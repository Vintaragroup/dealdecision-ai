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120" yWindow="60" windowWidth="14980" windowHeight="12300"/>
  </bookViews>
  <sheets>
    <sheet name="Sources &amp; Uses" sheetId="5" r:id="rId1"/>
    <sheet name="Assumptions" sheetId="1" r:id="rId2"/>
    <sheet name="Financial Statements &amp; Detail" sheetId="2" r:id="rId3"/>
    <sheet name="Cashflow" sheetId="4" r:id="rId4"/>
    <sheet name="OPEX" sheetId="3" r:id="rId5"/>
    <sheet name="Sheet6" sheetId="6" r:id="rId6"/>
    <sheet name="Sheet7" sheetId="7" r:id="rId7"/>
    <sheet name="Sheet8" sheetId="8" r:id="rId8"/>
  </sheets>
  <definedNames>
    <definedName name="_2_Way_FIBER_RF_Upgrade_Cost_Per_Mile">Assumptions!$B$102</definedName>
    <definedName name="_2_Way_Miles_per_Subscriber">Assumptions!$B$103</definedName>
    <definedName name="Acquired_Subscribers">Assumptions!$G$6:$L$6</definedName>
    <definedName name="Acquisition_Cost_per_subscriber">Assumptions!$G$7:$L$7</definedName>
    <definedName name="Advertising_Revenue_per_Sub">Assumptions!$B$107</definedName>
    <definedName name="Annual_Reduction_Starting_Year_2">Assumptions!$B$52</definedName>
    <definedName name="AR_DOH">Assumptions!$E$10</definedName>
    <definedName name="ARPU_Cable">Assumptions!$B$7</definedName>
    <definedName name="ARPU_Data">Assumptions!$B$14</definedName>
    <definedName name="ARPU_Voice">Assumptions!$B$22</definedName>
    <definedName name="ARPU_Voice_Data">Assumptions!$B$23</definedName>
    <definedName name="Assets_Acquired_per_Acquisition">Assumptions!$H$13</definedName>
    <definedName name="Attrition_Data">Assumptions!$B$15</definedName>
    <definedName name="Attrition_Voice">Assumptions!$B$24</definedName>
    <definedName name="Cable_Attrition">Assumptions!$B$8</definedName>
    <definedName name="Cable_Customer_Acquisition_Cost">Assumptions!$B$9</definedName>
    <definedName name="Carrier_Interconnections">Assumptions!$B$57</definedName>
    <definedName name="CMTS_Cost_Per_Subscriber">Assumptions!$B$63</definedName>
    <definedName name="CMTS_Initial_Capacity_Subs">Assumptions!$B$64</definedName>
    <definedName name="CMTS_Initial_Cost">Assumptions!$B$62</definedName>
    <definedName name="CMTS_Max_Capacity_Subs">Assumptions!$B$65</definedName>
    <definedName name="Commissions_Sales_and_Collections">OPEX!$B$81</definedName>
    <definedName name="cost_International_Calls">Assumptions!$B$41</definedName>
    <definedName name="Cost_Local_Termination_Off_Net">Assumptions!$B$40</definedName>
    <definedName name="Cost_per_Data_Trunk">Assumptions!$B$58</definedName>
    <definedName name="Cost_per_Household_Cabling">Assumptions!$B$93</definedName>
    <definedName name="Cost_per_Subscriber_Cable">Assumptions!$B$51</definedName>
    <definedName name="Cost_per_Voice_Trunk">Assumptions!$B$59</definedName>
    <definedName name="Cost_Roaming_Other_Net">Assumptions!$B$42</definedName>
    <definedName name="Cost_to_individual_Home">Assumptions!$B$94</definedName>
    <definedName name="CPE_Cable_Modem">Assumptions!$B$78</definedName>
    <definedName name="CPE_Router">Assumptions!$B$80</definedName>
    <definedName name="CPE_Voice_Adaptor">Assumptions!$B$79</definedName>
    <definedName name="Data_Customer_Acquisition_cost">Assumptions!$B$16</definedName>
    <definedName name="Data_Subscribers_Trunk">Assumptions!$B$55</definedName>
    <definedName name="Depreciation_Life_Months">Assumptions!$B$105</definedName>
    <definedName name="Edge_Router_Cost">Assumptions!$B$73</definedName>
    <definedName name="Edge_Router_Subs">Assumptions!$B$72</definedName>
    <definedName name="Ethernet_Radios">Assumptions!$B$86</definedName>
    <definedName name="Existing_Subscribers">Assumptions!#REF!</definedName>
    <definedName name="Fiber_Cost_per_Mile">Assumptions!$B$71</definedName>
    <definedName name="Fiber_Start">Assumptions!$B$99</definedName>
    <definedName name="Increase_per_Year">Assumptions!$B$47</definedName>
    <definedName name="Installation_Fee_Cable">Assumptions!$B$10</definedName>
    <definedName name="Local_Termination_On_Net">Assumptions!$B$43</definedName>
    <definedName name="Long_fiber_Cost">Assumptions!$B$97</definedName>
    <definedName name="Miles_Long_Fiber">Assumptions!$B$98</definedName>
    <definedName name="Minutes_International_Minutes">Assumptions!$B$31</definedName>
    <definedName name="Minutes_Roaming">Assumptions!$B$30</definedName>
    <definedName name="Minutes_Terminating_Off_Net">Assumptions!$B$32</definedName>
    <definedName name="Organic_Sub_Adds">Assumptions!$G$10:$L$10</definedName>
    <definedName name="Penetration_per_Households">Assumptions!$B$92</definedName>
    <definedName name="Rev_Minute_Roaming">Assumptions!$B$36</definedName>
    <definedName name="Rev_Minutes_International_Calls">Assumptions!$B$37</definedName>
    <definedName name="Soft_Switch_Cost_Per_Subscriber">Assumptions!$B$67</definedName>
    <definedName name="Soft_Switch_Initial_Payment">Assumptions!$B$66</definedName>
    <definedName name="Soft_Switch_Maintenance_per_Year">Assumptions!$B$68</definedName>
    <definedName name="Subs_Terminating_On_Net">Assumptions!$B$33</definedName>
    <definedName name="Termination_Minutes_Subscriber">Assumptions!$B$46</definedName>
    <definedName name="Termination_Revenue_Minute">Assumptions!$B$48</definedName>
    <definedName name="Voice_Customer_Acquisition_cost">Assumptions!$B$25</definedName>
    <definedName name="Voice_Mail_Server">Assumptions!$B$69</definedName>
    <definedName name="Voice_Provisioning_System">Assumptions!$B$70</definedName>
    <definedName name="Voice_subscribers_Trunk">Assumptions!$B$56</definedName>
    <definedName name="with_Data">Assumptions!$B$13</definedName>
    <definedName name="with_Voice">Assumptions!$B$21</definedName>
    <definedName name="with_Voice___Data">Assumptions!$B$20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3" i="1" l="1"/>
  <c r="C98" i="2"/>
  <c r="H10" i="1"/>
  <c r="C105" i="2"/>
  <c r="C100" i="2"/>
  <c r="C101" i="2"/>
  <c r="D98" i="2"/>
  <c r="D105" i="2"/>
  <c r="D100" i="2"/>
  <c r="D101" i="2"/>
  <c r="E98" i="2"/>
  <c r="E105" i="2"/>
  <c r="E100" i="2"/>
  <c r="E101" i="2"/>
  <c r="F98" i="2"/>
  <c r="F105" i="2"/>
  <c r="F100" i="2"/>
  <c r="F101" i="2"/>
  <c r="G98" i="2"/>
  <c r="G105" i="2"/>
  <c r="G100" i="2"/>
  <c r="G101" i="2"/>
  <c r="H98" i="2"/>
  <c r="H105" i="2"/>
  <c r="H100" i="2"/>
  <c r="H101" i="2"/>
  <c r="I98" i="2"/>
  <c r="I105" i="2"/>
  <c r="I100" i="2"/>
  <c r="I101" i="2"/>
  <c r="J98" i="2"/>
  <c r="J105" i="2"/>
  <c r="J100" i="2"/>
  <c r="J101" i="2"/>
  <c r="K98" i="2"/>
  <c r="K105" i="2"/>
  <c r="K100" i="2"/>
  <c r="K101" i="2"/>
  <c r="L98" i="2"/>
  <c r="L105" i="2"/>
  <c r="L100" i="2"/>
  <c r="L101" i="2"/>
  <c r="M98" i="2"/>
  <c r="M105" i="2"/>
  <c r="M100" i="2"/>
  <c r="M101" i="2"/>
  <c r="N98" i="2"/>
  <c r="N105" i="2"/>
  <c r="N100" i="2"/>
  <c r="N101" i="2"/>
  <c r="O98" i="2"/>
  <c r="O99" i="2"/>
  <c r="O100" i="2"/>
  <c r="O101" i="2"/>
  <c r="P98" i="2"/>
  <c r="P99" i="2"/>
  <c r="P100" i="2"/>
  <c r="P101" i="2"/>
  <c r="Q98" i="2"/>
  <c r="Q100" i="2"/>
  <c r="Q101" i="2"/>
  <c r="R98" i="2"/>
  <c r="R99" i="2"/>
  <c r="R100" i="2"/>
  <c r="R101" i="2"/>
  <c r="S98" i="2"/>
  <c r="S100" i="2"/>
  <c r="S101" i="2"/>
  <c r="T98" i="2"/>
  <c r="T100" i="2"/>
  <c r="T101" i="2"/>
  <c r="U98" i="2"/>
  <c r="U99" i="2"/>
  <c r="U100" i="2"/>
  <c r="U101" i="2"/>
  <c r="V98" i="2"/>
  <c r="V100" i="2"/>
  <c r="V101" i="2"/>
  <c r="W98" i="2"/>
  <c r="W100" i="2"/>
  <c r="W101" i="2"/>
  <c r="X98" i="2"/>
  <c r="X100" i="2"/>
  <c r="X101" i="2"/>
  <c r="Y98" i="2"/>
  <c r="Y100" i="2"/>
  <c r="Y101" i="2"/>
  <c r="Z98" i="2"/>
  <c r="Z100" i="2"/>
  <c r="Z101" i="2"/>
  <c r="AA98" i="2"/>
  <c r="AA99" i="2"/>
  <c r="AA100" i="2"/>
  <c r="AA101" i="2"/>
  <c r="AB98" i="2"/>
  <c r="AB100" i="2"/>
  <c r="AB101" i="2"/>
  <c r="AC98" i="2"/>
  <c r="AC100" i="2"/>
  <c r="AC101" i="2"/>
  <c r="AD98" i="2"/>
  <c r="AD99" i="2"/>
  <c r="AD100" i="2"/>
  <c r="AD101" i="2"/>
  <c r="AE98" i="2"/>
  <c r="AE100" i="2"/>
  <c r="AE101" i="2"/>
  <c r="AF98" i="2"/>
  <c r="AF100" i="2"/>
  <c r="AF101" i="2"/>
  <c r="AG98" i="2"/>
  <c r="AG99" i="2"/>
  <c r="AG100" i="2"/>
  <c r="AG101" i="2"/>
  <c r="AH98" i="2"/>
  <c r="AH100" i="2"/>
  <c r="AH101" i="2"/>
  <c r="AI98" i="2"/>
  <c r="AI100" i="2"/>
  <c r="AI101" i="2"/>
  <c r="AJ98" i="2"/>
  <c r="AJ100" i="2"/>
  <c r="AJ101" i="2"/>
  <c r="AK98" i="2"/>
  <c r="AK100" i="2"/>
  <c r="AK101" i="2"/>
  <c r="AL98" i="2"/>
  <c r="AL100" i="2"/>
  <c r="AL101" i="2"/>
  <c r="AM98" i="2"/>
  <c r="K6" i="1"/>
  <c r="AM99" i="2"/>
  <c r="AM100" i="2"/>
  <c r="AM101" i="2"/>
  <c r="AN98" i="2"/>
  <c r="AN100" i="2"/>
  <c r="AN101" i="2"/>
  <c r="AO98" i="2"/>
  <c r="AO100" i="2"/>
  <c r="AO101" i="2"/>
  <c r="AP98" i="2"/>
  <c r="AP99" i="2"/>
  <c r="AP100" i="2"/>
  <c r="AP101" i="2"/>
  <c r="AQ98" i="2"/>
  <c r="AQ100" i="2"/>
  <c r="AQ101" i="2"/>
  <c r="AR98" i="2"/>
  <c r="AR100" i="2"/>
  <c r="AR101" i="2"/>
  <c r="AS98" i="2"/>
  <c r="AS99" i="2"/>
  <c r="AS100" i="2"/>
  <c r="AS101" i="2"/>
  <c r="AT98" i="2"/>
  <c r="AT100" i="2"/>
  <c r="AT101" i="2"/>
  <c r="AU98" i="2"/>
  <c r="AU100" i="2"/>
  <c r="AU101" i="2"/>
  <c r="AV98" i="2"/>
  <c r="AV100" i="2"/>
  <c r="AV101" i="2"/>
  <c r="AW98" i="2"/>
  <c r="AW100" i="2"/>
  <c r="AW101" i="2"/>
  <c r="AX98" i="2"/>
  <c r="AX100" i="2"/>
  <c r="AX101" i="2"/>
  <c r="AY98" i="2"/>
  <c r="C106" i="2"/>
  <c r="C107" i="2"/>
  <c r="D104" i="2"/>
  <c r="D106" i="2"/>
  <c r="D107" i="2"/>
  <c r="E104" i="2"/>
  <c r="E106" i="2"/>
  <c r="E107" i="2"/>
  <c r="F104" i="2"/>
  <c r="F106" i="2"/>
  <c r="F107" i="2"/>
  <c r="G104" i="2"/>
  <c r="G106" i="2"/>
  <c r="G107" i="2"/>
  <c r="H104" i="2"/>
  <c r="H106" i="2"/>
  <c r="H107" i="2"/>
  <c r="I104" i="2"/>
  <c r="I106" i="2"/>
  <c r="I107" i="2"/>
  <c r="J104" i="2"/>
  <c r="J106" i="2"/>
  <c r="J107" i="2"/>
  <c r="K104" i="2"/>
  <c r="K106" i="2"/>
  <c r="K107" i="2"/>
  <c r="L104" i="2"/>
  <c r="L106" i="2"/>
  <c r="L107" i="2"/>
  <c r="M104" i="2"/>
  <c r="M106" i="2"/>
  <c r="M107" i="2"/>
  <c r="N104" i="2"/>
  <c r="N106" i="2"/>
  <c r="N107" i="2"/>
  <c r="O104" i="2"/>
  <c r="I10" i="1"/>
  <c r="O105" i="2"/>
  <c r="O106" i="2"/>
  <c r="O107" i="2"/>
  <c r="P104" i="2"/>
  <c r="P105" i="2"/>
  <c r="P106" i="2"/>
  <c r="P107" i="2"/>
  <c r="Q104" i="2"/>
  <c r="Q105" i="2"/>
  <c r="Q106" i="2"/>
  <c r="Q107" i="2"/>
  <c r="R104" i="2"/>
  <c r="R105" i="2"/>
  <c r="R106" i="2"/>
  <c r="R107" i="2"/>
  <c r="S104" i="2"/>
  <c r="S105" i="2"/>
  <c r="S106" i="2"/>
  <c r="S107" i="2"/>
  <c r="T104" i="2"/>
  <c r="T105" i="2"/>
  <c r="T106" i="2"/>
  <c r="T107" i="2"/>
  <c r="U104" i="2"/>
  <c r="U105" i="2"/>
  <c r="U106" i="2"/>
  <c r="U107" i="2"/>
  <c r="V104" i="2"/>
  <c r="V105" i="2"/>
  <c r="V106" i="2"/>
  <c r="V107" i="2"/>
  <c r="W104" i="2"/>
  <c r="W105" i="2"/>
  <c r="W106" i="2"/>
  <c r="W107" i="2"/>
  <c r="X104" i="2"/>
  <c r="X105" i="2"/>
  <c r="X106" i="2"/>
  <c r="X107" i="2"/>
  <c r="Y104" i="2"/>
  <c r="Y105" i="2"/>
  <c r="Y106" i="2"/>
  <c r="Y107" i="2"/>
  <c r="Z104" i="2"/>
  <c r="Z105" i="2"/>
  <c r="Z106" i="2"/>
  <c r="Z107" i="2"/>
  <c r="AA104" i="2"/>
  <c r="J10" i="1"/>
  <c r="AA105" i="2"/>
  <c r="AA106" i="2"/>
  <c r="AA107" i="2"/>
  <c r="AB104" i="2"/>
  <c r="AB105" i="2"/>
  <c r="AB106" i="2"/>
  <c r="AB107" i="2"/>
  <c r="AC104" i="2"/>
  <c r="AC105" i="2"/>
  <c r="AC106" i="2"/>
  <c r="AC107" i="2"/>
  <c r="AD104" i="2"/>
  <c r="AD105" i="2"/>
  <c r="AD106" i="2"/>
  <c r="AD107" i="2"/>
  <c r="AE104" i="2"/>
  <c r="AE105" i="2"/>
  <c r="AE106" i="2"/>
  <c r="AE107" i="2"/>
  <c r="AF104" i="2"/>
  <c r="AF105" i="2"/>
  <c r="AF106" i="2"/>
  <c r="AF107" i="2"/>
  <c r="AG104" i="2"/>
  <c r="AG105" i="2"/>
  <c r="AG106" i="2"/>
  <c r="AG107" i="2"/>
  <c r="AH104" i="2"/>
  <c r="AH105" i="2"/>
  <c r="AH106" i="2"/>
  <c r="AH107" i="2"/>
  <c r="AI104" i="2"/>
  <c r="AI105" i="2"/>
  <c r="AI106" i="2"/>
  <c r="AI107" i="2"/>
  <c r="AJ104" i="2"/>
  <c r="AJ105" i="2"/>
  <c r="AJ106" i="2"/>
  <c r="AJ107" i="2"/>
  <c r="AK104" i="2"/>
  <c r="AK105" i="2"/>
  <c r="AK106" i="2"/>
  <c r="AK107" i="2"/>
  <c r="AL104" i="2"/>
  <c r="AL105" i="2"/>
  <c r="AL106" i="2"/>
  <c r="AL107" i="2"/>
  <c r="AM104" i="2"/>
  <c r="K9" i="1"/>
  <c r="K10" i="1"/>
  <c r="AM105" i="2"/>
  <c r="AM106" i="2"/>
  <c r="AM107" i="2"/>
  <c r="AN104" i="2"/>
  <c r="AN105" i="2"/>
  <c r="AN106" i="2"/>
  <c r="AN107" i="2"/>
  <c r="AO104" i="2"/>
  <c r="AO105" i="2"/>
  <c r="AO106" i="2"/>
  <c r="AO107" i="2"/>
  <c r="AP104" i="2"/>
  <c r="AP105" i="2"/>
  <c r="AP106" i="2"/>
  <c r="AP107" i="2"/>
  <c r="AQ104" i="2"/>
  <c r="AQ105" i="2"/>
  <c r="AQ106" i="2"/>
  <c r="AQ107" i="2"/>
  <c r="AR104" i="2"/>
  <c r="AR105" i="2"/>
  <c r="AR106" i="2"/>
  <c r="AR107" i="2"/>
  <c r="AS104" i="2"/>
  <c r="AS105" i="2"/>
  <c r="AS106" i="2"/>
  <c r="AS107" i="2"/>
  <c r="AT104" i="2"/>
  <c r="AT105" i="2"/>
  <c r="AT106" i="2"/>
  <c r="AT107" i="2"/>
  <c r="AU104" i="2"/>
  <c r="AU105" i="2"/>
  <c r="AU106" i="2"/>
  <c r="AU107" i="2"/>
  <c r="AV104" i="2"/>
  <c r="AV105" i="2"/>
  <c r="AV106" i="2"/>
  <c r="AV107" i="2"/>
  <c r="AW104" i="2"/>
  <c r="AW105" i="2"/>
  <c r="AW106" i="2"/>
  <c r="AW107" i="2"/>
  <c r="AX104" i="2"/>
  <c r="AX105" i="2"/>
  <c r="AX106" i="2"/>
  <c r="AX107" i="2"/>
  <c r="AY104" i="2"/>
  <c r="AY109" i="2"/>
  <c r="AY113" i="2"/>
  <c r="AY121" i="2"/>
  <c r="AY114" i="2"/>
  <c r="AY122" i="2"/>
  <c r="AY112" i="2"/>
  <c r="AY120" i="2"/>
  <c r="AY119" i="2"/>
  <c r="AY123" i="2"/>
  <c r="AY115" i="2"/>
  <c r="B36" i="1"/>
  <c r="AY126" i="2"/>
  <c r="AY127" i="2"/>
  <c r="AY128" i="2"/>
  <c r="AY129" i="2"/>
  <c r="AY132" i="2"/>
  <c r="AY133" i="2"/>
  <c r="L9" i="1"/>
  <c r="L10" i="1"/>
  <c r="AY105" i="2"/>
  <c r="AY136" i="2"/>
  <c r="AY137" i="2"/>
  <c r="AY139" i="2"/>
  <c r="AY7" i="2"/>
  <c r="AY163" i="2"/>
  <c r="AY164" i="2"/>
  <c r="AY116" i="2"/>
  <c r="AY192" i="2"/>
  <c r="AY193" i="2"/>
  <c r="AX109" i="2"/>
  <c r="AX113" i="2"/>
  <c r="AX114" i="2"/>
  <c r="AX116" i="2"/>
  <c r="AW109" i="2"/>
  <c r="AW113" i="2"/>
  <c r="AW114" i="2"/>
  <c r="AW116" i="2"/>
  <c r="AV109" i="2"/>
  <c r="AV113" i="2"/>
  <c r="AV114" i="2"/>
  <c r="AV116" i="2"/>
  <c r="AU109" i="2"/>
  <c r="AU113" i="2"/>
  <c r="AU114" i="2"/>
  <c r="AU116" i="2"/>
  <c r="AT109" i="2"/>
  <c r="AT113" i="2"/>
  <c r="AT114" i="2"/>
  <c r="AT116" i="2"/>
  <c r="AS109" i="2"/>
  <c r="AS113" i="2"/>
  <c r="AS114" i="2"/>
  <c r="AS116" i="2"/>
  <c r="AR109" i="2"/>
  <c r="AR113" i="2"/>
  <c r="AR114" i="2"/>
  <c r="AR116" i="2"/>
  <c r="AQ109" i="2"/>
  <c r="AQ113" i="2"/>
  <c r="AQ114" i="2"/>
  <c r="AQ116" i="2"/>
  <c r="AP109" i="2"/>
  <c r="AP113" i="2"/>
  <c r="AP114" i="2"/>
  <c r="AP116" i="2"/>
  <c r="AO109" i="2"/>
  <c r="AO113" i="2"/>
  <c r="AO114" i="2"/>
  <c r="AO116" i="2"/>
  <c r="AN109" i="2"/>
  <c r="AN113" i="2"/>
  <c r="AN114" i="2"/>
  <c r="AN116" i="2"/>
  <c r="AM109" i="2"/>
  <c r="AM113" i="2"/>
  <c r="AM114" i="2"/>
  <c r="AM116" i="2"/>
  <c r="AL109" i="2"/>
  <c r="AL113" i="2"/>
  <c r="AL114" i="2"/>
  <c r="AL116" i="2"/>
  <c r="AK109" i="2"/>
  <c r="AK113" i="2"/>
  <c r="AK114" i="2"/>
  <c r="AK116" i="2"/>
  <c r="AJ109" i="2"/>
  <c r="AJ113" i="2"/>
  <c r="AJ114" i="2"/>
  <c r="AJ116" i="2"/>
  <c r="AI109" i="2"/>
  <c r="AI113" i="2"/>
  <c r="AI114" i="2"/>
  <c r="AI116" i="2"/>
  <c r="AH109" i="2"/>
  <c r="AH113" i="2"/>
  <c r="AH114" i="2"/>
  <c r="AH116" i="2"/>
  <c r="AG109" i="2"/>
  <c r="AG113" i="2"/>
  <c r="AG114" i="2"/>
  <c r="AG116" i="2"/>
  <c r="AF109" i="2"/>
  <c r="AF113" i="2"/>
  <c r="AF114" i="2"/>
  <c r="AF116" i="2"/>
  <c r="AE109" i="2"/>
  <c r="AE113" i="2"/>
  <c r="AE114" i="2"/>
  <c r="AE116" i="2"/>
  <c r="AD109" i="2"/>
  <c r="AD113" i="2"/>
  <c r="AD114" i="2"/>
  <c r="AD116" i="2"/>
  <c r="AC109" i="2"/>
  <c r="AC113" i="2"/>
  <c r="AC114" i="2"/>
  <c r="AC116" i="2"/>
  <c r="AB109" i="2"/>
  <c r="AB113" i="2"/>
  <c r="AB114" i="2"/>
  <c r="AB116" i="2"/>
  <c r="AA109" i="2"/>
  <c r="AA113" i="2"/>
  <c r="AA114" i="2"/>
  <c r="AA116" i="2"/>
  <c r="Z109" i="2"/>
  <c r="Z113" i="2"/>
  <c r="Z114" i="2"/>
  <c r="Z116" i="2"/>
  <c r="Y109" i="2"/>
  <c r="Y113" i="2"/>
  <c r="Y114" i="2"/>
  <c r="Y116" i="2"/>
  <c r="X109" i="2"/>
  <c r="X113" i="2"/>
  <c r="X114" i="2"/>
  <c r="X116" i="2"/>
  <c r="W109" i="2"/>
  <c r="W113" i="2"/>
  <c r="W114" i="2"/>
  <c r="W116" i="2"/>
  <c r="V109" i="2"/>
  <c r="V113" i="2"/>
  <c r="V114" i="2"/>
  <c r="V116" i="2"/>
  <c r="U109" i="2"/>
  <c r="U113" i="2"/>
  <c r="U114" i="2"/>
  <c r="U116" i="2"/>
  <c r="T109" i="2"/>
  <c r="T113" i="2"/>
  <c r="T114" i="2"/>
  <c r="T116" i="2"/>
  <c r="S109" i="2"/>
  <c r="S113" i="2"/>
  <c r="S114" i="2"/>
  <c r="S116" i="2"/>
  <c r="R109" i="2"/>
  <c r="R113" i="2"/>
  <c r="R114" i="2"/>
  <c r="R116" i="2"/>
  <c r="Q109" i="2"/>
  <c r="Q113" i="2"/>
  <c r="Q114" i="2"/>
  <c r="Q116" i="2"/>
  <c r="P109" i="2"/>
  <c r="P113" i="2"/>
  <c r="P114" i="2"/>
  <c r="P116" i="2"/>
  <c r="O109" i="2"/>
  <c r="O113" i="2"/>
  <c r="O114" i="2"/>
  <c r="O116" i="2"/>
  <c r="N109" i="2"/>
  <c r="N113" i="2"/>
  <c r="N114" i="2"/>
  <c r="N116" i="2"/>
  <c r="M109" i="2"/>
  <c r="M113" i="2"/>
  <c r="M114" i="2"/>
  <c r="M116" i="2"/>
  <c r="L109" i="2"/>
  <c r="L113" i="2"/>
  <c r="L114" i="2"/>
  <c r="L116" i="2"/>
  <c r="K109" i="2"/>
  <c r="K113" i="2"/>
  <c r="K114" i="2"/>
  <c r="K116" i="2"/>
  <c r="J109" i="2"/>
  <c r="J113" i="2"/>
  <c r="J114" i="2"/>
  <c r="J116" i="2"/>
  <c r="I109" i="2"/>
  <c r="I113" i="2"/>
  <c r="I114" i="2"/>
  <c r="I116" i="2"/>
  <c r="H109" i="2"/>
  <c r="H113" i="2"/>
  <c r="H114" i="2"/>
  <c r="H116" i="2"/>
  <c r="G109" i="2"/>
  <c r="G113" i="2"/>
  <c r="G114" i="2"/>
  <c r="G116" i="2"/>
  <c r="F109" i="2"/>
  <c r="F113" i="2"/>
  <c r="F114" i="2"/>
  <c r="F116" i="2"/>
  <c r="E109" i="2"/>
  <c r="E113" i="2"/>
  <c r="E114" i="2"/>
  <c r="E116" i="2"/>
  <c r="D109" i="2"/>
  <c r="D113" i="2"/>
  <c r="D114" i="2"/>
  <c r="D116" i="2"/>
  <c r="C109" i="2"/>
  <c r="C113" i="2"/>
  <c r="C114" i="2"/>
  <c r="C116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AQ204" i="2"/>
  <c r="AR204" i="2"/>
  <c r="AS204" i="2"/>
  <c r="AT204" i="2"/>
  <c r="AU204" i="2"/>
  <c r="AV204" i="2"/>
  <c r="AW204" i="2"/>
  <c r="AX204" i="2"/>
  <c r="AY204" i="2"/>
  <c r="AY205" i="2"/>
  <c r="AY180" i="2"/>
  <c r="AY182" i="2"/>
  <c r="AX112" i="2"/>
  <c r="AX115" i="2"/>
  <c r="AX180" i="2"/>
  <c r="AW112" i="2"/>
  <c r="AW115" i="2"/>
  <c r="AW180" i="2"/>
  <c r="AV112" i="2"/>
  <c r="AV115" i="2"/>
  <c r="AV180" i="2"/>
  <c r="AU112" i="2"/>
  <c r="AU115" i="2"/>
  <c r="AU180" i="2"/>
  <c r="AT112" i="2"/>
  <c r="AT115" i="2"/>
  <c r="AT180" i="2"/>
  <c r="AS112" i="2"/>
  <c r="AS115" i="2"/>
  <c r="AS180" i="2"/>
  <c r="AR112" i="2"/>
  <c r="AR115" i="2"/>
  <c r="AR180" i="2"/>
  <c r="AQ112" i="2"/>
  <c r="AQ115" i="2"/>
  <c r="AQ180" i="2"/>
  <c r="AP112" i="2"/>
  <c r="AP115" i="2"/>
  <c r="AP180" i="2"/>
  <c r="AO112" i="2"/>
  <c r="AO115" i="2"/>
  <c r="AO180" i="2"/>
  <c r="AN112" i="2"/>
  <c r="AN115" i="2"/>
  <c r="AN180" i="2"/>
  <c r="AM112" i="2"/>
  <c r="AM115" i="2"/>
  <c r="AM180" i="2"/>
  <c r="AL112" i="2"/>
  <c r="AL115" i="2"/>
  <c r="AL180" i="2"/>
  <c r="AK112" i="2"/>
  <c r="AK115" i="2"/>
  <c r="AK180" i="2"/>
  <c r="AJ112" i="2"/>
  <c r="AJ115" i="2"/>
  <c r="AJ180" i="2"/>
  <c r="AI112" i="2"/>
  <c r="AI115" i="2"/>
  <c r="AI180" i="2"/>
  <c r="AH112" i="2"/>
  <c r="AH115" i="2"/>
  <c r="AH180" i="2"/>
  <c r="AG112" i="2"/>
  <c r="AG115" i="2"/>
  <c r="AG180" i="2"/>
  <c r="AF112" i="2"/>
  <c r="AF115" i="2"/>
  <c r="AF180" i="2"/>
  <c r="AE112" i="2"/>
  <c r="AE115" i="2"/>
  <c r="AE180" i="2"/>
  <c r="AD112" i="2"/>
  <c r="AD115" i="2"/>
  <c r="AD180" i="2"/>
  <c r="AC112" i="2"/>
  <c r="AC115" i="2"/>
  <c r="AC180" i="2"/>
  <c r="AB112" i="2"/>
  <c r="AB115" i="2"/>
  <c r="AB180" i="2"/>
  <c r="AA112" i="2"/>
  <c r="AA115" i="2"/>
  <c r="AA180" i="2"/>
  <c r="Z112" i="2"/>
  <c r="Z115" i="2"/>
  <c r="Z180" i="2"/>
  <c r="Y112" i="2"/>
  <c r="Y115" i="2"/>
  <c r="Y180" i="2"/>
  <c r="X112" i="2"/>
  <c r="X115" i="2"/>
  <c r="X180" i="2"/>
  <c r="W112" i="2"/>
  <c r="W115" i="2"/>
  <c r="W180" i="2"/>
  <c r="V112" i="2"/>
  <c r="V115" i="2"/>
  <c r="V180" i="2"/>
  <c r="U112" i="2"/>
  <c r="U115" i="2"/>
  <c r="U180" i="2"/>
  <c r="T112" i="2"/>
  <c r="T115" i="2"/>
  <c r="T180" i="2"/>
  <c r="S112" i="2"/>
  <c r="S115" i="2"/>
  <c r="S180" i="2"/>
  <c r="R112" i="2"/>
  <c r="R115" i="2"/>
  <c r="R180" i="2"/>
  <c r="Q112" i="2"/>
  <c r="Q115" i="2"/>
  <c r="Q180" i="2"/>
  <c r="P112" i="2"/>
  <c r="P115" i="2"/>
  <c r="P180" i="2"/>
  <c r="O112" i="2"/>
  <c r="O115" i="2"/>
  <c r="O180" i="2"/>
  <c r="N112" i="2"/>
  <c r="N115" i="2"/>
  <c r="N180" i="2"/>
  <c r="M112" i="2"/>
  <c r="M115" i="2"/>
  <c r="M180" i="2"/>
  <c r="L112" i="2"/>
  <c r="L115" i="2"/>
  <c r="L180" i="2"/>
  <c r="K112" i="2"/>
  <c r="K115" i="2"/>
  <c r="K180" i="2"/>
  <c r="J112" i="2"/>
  <c r="J115" i="2"/>
  <c r="J180" i="2"/>
  <c r="I112" i="2"/>
  <c r="I115" i="2"/>
  <c r="I180" i="2"/>
  <c r="H112" i="2"/>
  <c r="H115" i="2"/>
  <c r="H180" i="2"/>
  <c r="G112" i="2"/>
  <c r="G115" i="2"/>
  <c r="G180" i="2"/>
  <c r="F112" i="2"/>
  <c r="F115" i="2"/>
  <c r="F180" i="2"/>
  <c r="E112" i="2"/>
  <c r="E115" i="2"/>
  <c r="E180" i="2"/>
  <c r="D112" i="2"/>
  <c r="D115" i="2"/>
  <c r="D180" i="2"/>
  <c r="C112" i="2"/>
  <c r="C115" i="2"/>
  <c r="C180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AQ181" i="2"/>
  <c r="AR181" i="2"/>
  <c r="AS181" i="2"/>
  <c r="AT181" i="2"/>
  <c r="AU181" i="2"/>
  <c r="AV181" i="2"/>
  <c r="AW181" i="2"/>
  <c r="AX181" i="2"/>
  <c r="AY181" i="2"/>
  <c r="AY183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AQ202" i="2"/>
  <c r="AR202" i="2"/>
  <c r="AS202" i="2"/>
  <c r="AT202" i="2"/>
  <c r="AU202" i="2"/>
  <c r="AV202" i="2"/>
  <c r="AW202" i="2"/>
  <c r="AX202" i="2"/>
  <c r="AY202" i="2"/>
  <c r="AY203" i="2"/>
  <c r="AY187" i="2"/>
  <c r="AY189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AQ194" i="2"/>
  <c r="AR194" i="2"/>
  <c r="AS194" i="2"/>
  <c r="AT194" i="2"/>
  <c r="AU194" i="2"/>
  <c r="AV194" i="2"/>
  <c r="AW194" i="2"/>
  <c r="AX194" i="2"/>
  <c r="L6" i="1"/>
  <c r="AY99" i="2"/>
  <c r="AY194" i="2"/>
  <c r="AY195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AQ200" i="2"/>
  <c r="AR200" i="2"/>
  <c r="AS200" i="2"/>
  <c r="AT200" i="2"/>
  <c r="AU200" i="2"/>
  <c r="AV200" i="2"/>
  <c r="AW200" i="2"/>
  <c r="AX200" i="2"/>
  <c r="AY200" i="2"/>
  <c r="AY201" i="2"/>
  <c r="AY208" i="2"/>
  <c r="AY209" i="2"/>
  <c r="AY210" i="2"/>
  <c r="AY211" i="2"/>
  <c r="AY214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AN217" i="2"/>
  <c r="AO217" i="2"/>
  <c r="AP217" i="2"/>
  <c r="AQ217" i="2"/>
  <c r="AR217" i="2"/>
  <c r="AS217" i="2"/>
  <c r="AT217" i="2"/>
  <c r="AU217" i="2"/>
  <c r="AV217" i="2"/>
  <c r="AW217" i="2"/>
  <c r="AX217" i="2"/>
  <c r="AY217" i="2"/>
  <c r="AY218" i="2"/>
  <c r="B103" i="1"/>
  <c r="AY219" i="2"/>
  <c r="AY220" i="2"/>
  <c r="AY224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AQ227" i="2"/>
  <c r="AR227" i="2"/>
  <c r="AS227" i="2"/>
  <c r="AT227" i="2"/>
  <c r="AU227" i="2"/>
  <c r="AV227" i="2"/>
  <c r="AW227" i="2"/>
  <c r="AX227" i="2"/>
  <c r="AY227" i="2"/>
  <c r="AY228" i="2"/>
  <c r="AY229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AN231" i="2"/>
  <c r="AO231" i="2"/>
  <c r="AP231" i="2"/>
  <c r="AQ231" i="2"/>
  <c r="AR231" i="2"/>
  <c r="AS231" i="2"/>
  <c r="AT231" i="2"/>
  <c r="AU231" i="2"/>
  <c r="AV231" i="2"/>
  <c r="AW231" i="2"/>
  <c r="AX231" i="2"/>
  <c r="AY231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AQ233" i="2"/>
  <c r="AR233" i="2"/>
  <c r="AS233" i="2"/>
  <c r="AT233" i="2"/>
  <c r="AU233" i="2"/>
  <c r="AV233" i="2"/>
  <c r="AW233" i="2"/>
  <c r="AX233" i="2"/>
  <c r="AY233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AS236" i="2"/>
  <c r="AT236" i="2"/>
  <c r="AU236" i="2"/>
  <c r="AV236" i="2"/>
  <c r="AW236" i="2"/>
  <c r="AX236" i="2"/>
  <c r="AY236" i="2"/>
  <c r="AY237" i="2"/>
  <c r="AY243" i="2"/>
  <c r="AY170" i="2"/>
  <c r="AY167" i="2"/>
  <c r="AY169" i="2"/>
  <c r="AY171" i="2"/>
  <c r="AY168" i="2"/>
  <c r="AY172" i="2"/>
  <c r="AY244" i="2"/>
  <c r="AY174" i="2"/>
  <c r="B32" i="1"/>
  <c r="AY143" i="2"/>
  <c r="AY144" i="2"/>
  <c r="AY145" i="2"/>
  <c r="B33" i="1"/>
  <c r="B43" i="1"/>
  <c r="AY146" i="2"/>
  <c r="AY147" i="2"/>
  <c r="AY150" i="2"/>
  <c r="AY156" i="2"/>
  <c r="AY159" i="2"/>
  <c r="AY160" i="2"/>
  <c r="AY176" i="2"/>
  <c r="AY8" i="2"/>
  <c r="AY9" i="2"/>
  <c r="AY97" i="3"/>
  <c r="AY98" i="3"/>
  <c r="AY94" i="3"/>
  <c r="AY95" i="3"/>
  <c r="AY91" i="3"/>
  <c r="AY92" i="3"/>
  <c r="AY99" i="3"/>
  <c r="AY12" i="3"/>
  <c r="AY12" i="2"/>
  <c r="AY13" i="2"/>
  <c r="AY14" i="2"/>
  <c r="AY15" i="2"/>
  <c r="AY16" i="2"/>
  <c r="AY32" i="3"/>
  <c r="AY39" i="3"/>
  <c r="AY40" i="3"/>
  <c r="AY41" i="3"/>
  <c r="AY43" i="3"/>
  <c r="AY45" i="3"/>
  <c r="AY51" i="3"/>
  <c r="AY53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Y61" i="3"/>
  <c r="AY72" i="3"/>
  <c r="AY73" i="3"/>
  <c r="AY74" i="3"/>
  <c r="AY66" i="3"/>
  <c r="AY67" i="3"/>
  <c r="AY68" i="3"/>
  <c r="AY69" i="3"/>
  <c r="AY70" i="3"/>
  <c r="AY71" i="3"/>
  <c r="AY75" i="3"/>
  <c r="AY36" i="3"/>
  <c r="AY37" i="3"/>
  <c r="AY49" i="3"/>
  <c r="AY57" i="3"/>
  <c r="AY77" i="3"/>
  <c r="AY79" i="3"/>
  <c r="AY17" i="3"/>
  <c r="AY17" i="2"/>
  <c r="AY18" i="2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Y19" i="3"/>
  <c r="AY19" i="2"/>
  <c r="AY20" i="2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AA104" i="3"/>
  <c r="AM104" i="3"/>
  <c r="AY104" i="3"/>
  <c r="AY21" i="3"/>
  <c r="AY21" i="2"/>
  <c r="C105" i="3"/>
  <c r="O105" i="3"/>
  <c r="AA105" i="3"/>
  <c r="AM105" i="3"/>
  <c r="AY105" i="3"/>
  <c r="AY22" i="3"/>
  <c r="AY22" i="2"/>
  <c r="C101" i="3"/>
  <c r="O101" i="3"/>
  <c r="AA101" i="3"/>
  <c r="AM101" i="3"/>
  <c r="AY101" i="3"/>
  <c r="AY23" i="3"/>
  <c r="AY23" i="2"/>
  <c r="AY24" i="3"/>
  <c r="AY24" i="2"/>
  <c r="AY25" i="2"/>
  <c r="AY26" i="2"/>
  <c r="C102" i="3"/>
  <c r="O102" i="3"/>
  <c r="AA102" i="3"/>
  <c r="AM102" i="3"/>
  <c r="AY102" i="3"/>
  <c r="AY27" i="3"/>
  <c r="AY27" i="2"/>
  <c r="AY28" i="2"/>
  <c r="AY29" i="2"/>
  <c r="AY31" i="2"/>
  <c r="AY41" i="2"/>
  <c r="AY100" i="2"/>
  <c r="AY101" i="2"/>
  <c r="AZ98" i="2"/>
  <c r="AY106" i="2"/>
  <c r="AY107" i="2"/>
  <c r="AZ104" i="2"/>
  <c r="AZ109" i="2"/>
  <c r="AZ113" i="2"/>
  <c r="AZ121" i="2"/>
  <c r="AZ114" i="2"/>
  <c r="AZ122" i="2"/>
  <c r="AZ112" i="2"/>
  <c r="AZ120" i="2"/>
  <c r="AZ119" i="2"/>
  <c r="AZ123" i="2"/>
  <c r="AZ115" i="2"/>
  <c r="AZ126" i="2"/>
  <c r="AZ127" i="2"/>
  <c r="AZ128" i="2"/>
  <c r="AZ129" i="2"/>
  <c r="AZ132" i="2"/>
  <c r="AZ133" i="2"/>
  <c r="AZ105" i="2"/>
  <c r="AZ136" i="2"/>
  <c r="AZ137" i="2"/>
  <c r="AZ139" i="2"/>
  <c r="AZ7" i="2"/>
  <c r="AZ163" i="2"/>
  <c r="AZ164" i="2"/>
  <c r="AZ116" i="2"/>
  <c r="AZ192" i="2"/>
  <c r="AZ193" i="2"/>
  <c r="AZ204" i="2"/>
  <c r="AZ205" i="2"/>
  <c r="AZ180" i="2"/>
  <c r="AZ182" i="2"/>
  <c r="AZ181" i="2"/>
  <c r="AZ183" i="2"/>
  <c r="AZ185" i="2"/>
  <c r="AZ202" i="2"/>
  <c r="AZ203" i="2"/>
  <c r="AZ187" i="2"/>
  <c r="AZ189" i="2"/>
  <c r="AZ194" i="2"/>
  <c r="AZ195" i="2"/>
  <c r="AZ200" i="2"/>
  <c r="AZ201" i="2"/>
  <c r="AZ208" i="2"/>
  <c r="AZ209" i="2"/>
  <c r="AZ210" i="2"/>
  <c r="AZ211" i="2"/>
  <c r="AZ214" i="2"/>
  <c r="AZ217" i="2"/>
  <c r="AZ218" i="2"/>
  <c r="AZ219" i="2"/>
  <c r="AZ220" i="2"/>
  <c r="AZ224" i="2"/>
  <c r="AZ227" i="2"/>
  <c r="AZ228" i="2"/>
  <c r="AZ229" i="2"/>
  <c r="AZ231" i="2"/>
  <c r="AZ233" i="2"/>
  <c r="AZ236" i="2"/>
  <c r="AZ237" i="2"/>
  <c r="AZ243" i="2"/>
  <c r="AZ170" i="2"/>
  <c r="AZ167" i="2"/>
  <c r="AZ169" i="2"/>
  <c r="AZ171" i="2"/>
  <c r="AZ168" i="2"/>
  <c r="AZ172" i="2"/>
  <c r="AZ244" i="2"/>
  <c r="AZ174" i="2"/>
  <c r="AZ143" i="2"/>
  <c r="AZ144" i="2"/>
  <c r="AZ145" i="2"/>
  <c r="AZ146" i="2"/>
  <c r="AZ147" i="2"/>
  <c r="AZ150" i="2"/>
  <c r="AZ156" i="2"/>
  <c r="AZ159" i="2"/>
  <c r="AZ160" i="2"/>
  <c r="AZ176" i="2"/>
  <c r="AZ8" i="2"/>
  <c r="AZ9" i="2"/>
  <c r="AZ97" i="3"/>
  <c r="AZ98" i="3"/>
  <c r="AZ94" i="3"/>
  <c r="AZ95" i="3"/>
  <c r="AZ91" i="3"/>
  <c r="AZ92" i="3"/>
  <c r="AZ99" i="3"/>
  <c r="AZ12" i="3"/>
  <c r="AZ12" i="2"/>
  <c r="AZ13" i="2"/>
  <c r="AZ14" i="2"/>
  <c r="AZ15" i="2"/>
  <c r="AZ16" i="2"/>
  <c r="AZ32" i="3"/>
  <c r="AZ39" i="3"/>
  <c r="AZ40" i="3"/>
  <c r="AZ41" i="3"/>
  <c r="AZ43" i="3"/>
  <c r="AZ45" i="3"/>
  <c r="AZ51" i="3"/>
  <c r="AZ53" i="3"/>
  <c r="AZ59" i="3"/>
  <c r="AZ61" i="3"/>
  <c r="AZ72" i="3"/>
  <c r="AZ73" i="3"/>
  <c r="AZ74" i="3"/>
  <c r="AZ66" i="3"/>
  <c r="AZ67" i="3"/>
  <c r="AZ68" i="3"/>
  <c r="AZ69" i="3"/>
  <c r="AZ70" i="3"/>
  <c r="AZ71" i="3"/>
  <c r="AZ75" i="3"/>
  <c r="AZ36" i="3"/>
  <c r="AZ37" i="3"/>
  <c r="AZ49" i="3"/>
  <c r="AZ57" i="3"/>
  <c r="AZ77" i="3"/>
  <c r="AZ79" i="3"/>
  <c r="AZ17" i="3"/>
  <c r="AZ17" i="2"/>
  <c r="AZ18" i="2"/>
  <c r="AZ103" i="3"/>
  <c r="AZ19" i="3"/>
  <c r="AZ19" i="2"/>
  <c r="AZ20" i="2"/>
  <c r="P104" i="3"/>
  <c r="AB104" i="3"/>
  <c r="AN104" i="3"/>
  <c r="AZ104" i="3"/>
  <c r="AZ21" i="3"/>
  <c r="AZ21" i="2"/>
  <c r="D105" i="3"/>
  <c r="P105" i="3"/>
  <c r="AB105" i="3"/>
  <c r="AN105" i="3"/>
  <c r="AZ105" i="3"/>
  <c r="AZ22" i="3"/>
  <c r="AZ22" i="2"/>
  <c r="D101" i="3"/>
  <c r="P101" i="3"/>
  <c r="AB101" i="3"/>
  <c r="AN101" i="3"/>
  <c r="AZ101" i="3"/>
  <c r="AZ23" i="3"/>
  <c r="AZ23" i="2"/>
  <c r="AZ24" i="3"/>
  <c r="AZ24" i="2"/>
  <c r="AZ25" i="2"/>
  <c r="AZ26" i="2"/>
  <c r="D102" i="3"/>
  <c r="P102" i="3"/>
  <c r="AB102" i="3"/>
  <c r="AN102" i="3"/>
  <c r="AZ102" i="3"/>
  <c r="AZ27" i="3"/>
  <c r="AZ27" i="2"/>
  <c r="AZ28" i="2"/>
  <c r="AZ29" i="2"/>
  <c r="AZ31" i="2"/>
  <c r="AZ41" i="2"/>
  <c r="AZ100" i="2"/>
  <c r="AZ101" i="2"/>
  <c r="BA98" i="2"/>
  <c r="AZ106" i="2"/>
  <c r="AZ107" i="2"/>
  <c r="BA104" i="2"/>
  <c r="BA109" i="2"/>
  <c r="BA113" i="2"/>
  <c r="BA121" i="2"/>
  <c r="BA114" i="2"/>
  <c r="BA122" i="2"/>
  <c r="BA112" i="2"/>
  <c r="BA120" i="2"/>
  <c r="BA119" i="2"/>
  <c r="BA123" i="2"/>
  <c r="BA115" i="2"/>
  <c r="BA126" i="2"/>
  <c r="BA127" i="2"/>
  <c r="BA128" i="2"/>
  <c r="BA129" i="2"/>
  <c r="BA132" i="2"/>
  <c r="BA133" i="2"/>
  <c r="BA105" i="2"/>
  <c r="BA136" i="2"/>
  <c r="BA137" i="2"/>
  <c r="BA139" i="2"/>
  <c r="BA7" i="2"/>
  <c r="BA163" i="2"/>
  <c r="BA164" i="2"/>
  <c r="BA116" i="2"/>
  <c r="BA192" i="2"/>
  <c r="BA193" i="2"/>
  <c r="BA204" i="2"/>
  <c r="BA205" i="2"/>
  <c r="BA180" i="2"/>
  <c r="BA182" i="2"/>
  <c r="BA181" i="2"/>
  <c r="BA183" i="2"/>
  <c r="BA185" i="2"/>
  <c r="BA202" i="2"/>
  <c r="BA203" i="2"/>
  <c r="BA187" i="2"/>
  <c r="BA189" i="2"/>
  <c r="BA194" i="2"/>
  <c r="BA195" i="2"/>
  <c r="BA200" i="2"/>
  <c r="BA201" i="2"/>
  <c r="BA208" i="2"/>
  <c r="BA209" i="2"/>
  <c r="BA210" i="2"/>
  <c r="BA211" i="2"/>
  <c r="BA214" i="2"/>
  <c r="BA217" i="2"/>
  <c r="BA218" i="2"/>
  <c r="BA219" i="2"/>
  <c r="BA220" i="2"/>
  <c r="BA224" i="2"/>
  <c r="BA227" i="2"/>
  <c r="BA228" i="2"/>
  <c r="BA229" i="2"/>
  <c r="BA231" i="2"/>
  <c r="BA233" i="2"/>
  <c r="BA236" i="2"/>
  <c r="BA237" i="2"/>
  <c r="BA243" i="2"/>
  <c r="BA170" i="2"/>
  <c r="BA167" i="2"/>
  <c r="BA169" i="2"/>
  <c r="BA171" i="2"/>
  <c r="BA168" i="2"/>
  <c r="BA172" i="2"/>
  <c r="BA244" i="2"/>
  <c r="BA174" i="2"/>
  <c r="BA143" i="2"/>
  <c r="BA144" i="2"/>
  <c r="BA145" i="2"/>
  <c r="BA146" i="2"/>
  <c r="BA147" i="2"/>
  <c r="BA150" i="2"/>
  <c r="BA156" i="2"/>
  <c r="BA159" i="2"/>
  <c r="BA160" i="2"/>
  <c r="BA176" i="2"/>
  <c r="BA8" i="2"/>
  <c r="BA9" i="2"/>
  <c r="BA97" i="3"/>
  <c r="BA98" i="3"/>
  <c r="BA94" i="3"/>
  <c r="BA95" i="3"/>
  <c r="BA91" i="3"/>
  <c r="BA92" i="3"/>
  <c r="BA99" i="3"/>
  <c r="BA12" i="3"/>
  <c r="BA12" i="2"/>
  <c r="BA13" i="2"/>
  <c r="BA14" i="2"/>
  <c r="BA15" i="2"/>
  <c r="BA16" i="2"/>
  <c r="BA32" i="3"/>
  <c r="BA39" i="3"/>
  <c r="BA40" i="3"/>
  <c r="BA41" i="3"/>
  <c r="BA43" i="3"/>
  <c r="BA45" i="3"/>
  <c r="BA51" i="3"/>
  <c r="BA53" i="3"/>
  <c r="BA59" i="3"/>
  <c r="BA61" i="3"/>
  <c r="BA72" i="3"/>
  <c r="BA73" i="3"/>
  <c r="BA74" i="3"/>
  <c r="BA66" i="3"/>
  <c r="BA67" i="3"/>
  <c r="BA68" i="3"/>
  <c r="BA69" i="3"/>
  <c r="BA70" i="3"/>
  <c r="BA71" i="3"/>
  <c r="BA75" i="3"/>
  <c r="BA36" i="3"/>
  <c r="BA37" i="3"/>
  <c r="BA49" i="3"/>
  <c r="BA57" i="3"/>
  <c r="BA77" i="3"/>
  <c r="BA79" i="3"/>
  <c r="BA17" i="3"/>
  <c r="BA17" i="2"/>
  <c r="BA18" i="2"/>
  <c r="BA103" i="3"/>
  <c r="BA19" i="3"/>
  <c r="BA19" i="2"/>
  <c r="BA20" i="2"/>
  <c r="Q104" i="3"/>
  <c r="AC104" i="3"/>
  <c r="AO104" i="3"/>
  <c r="BA104" i="3"/>
  <c r="BA21" i="3"/>
  <c r="BA21" i="2"/>
  <c r="E105" i="3"/>
  <c r="Q105" i="3"/>
  <c r="AC105" i="3"/>
  <c r="AO105" i="3"/>
  <c r="BA105" i="3"/>
  <c r="BA22" i="3"/>
  <c r="BA22" i="2"/>
  <c r="E101" i="3"/>
  <c r="Q101" i="3"/>
  <c r="AC101" i="3"/>
  <c r="AO101" i="3"/>
  <c r="BA101" i="3"/>
  <c r="BA23" i="3"/>
  <c r="BA23" i="2"/>
  <c r="BA24" i="3"/>
  <c r="BA24" i="2"/>
  <c r="BA25" i="2"/>
  <c r="BA26" i="2"/>
  <c r="E102" i="3"/>
  <c r="Q102" i="3"/>
  <c r="AC102" i="3"/>
  <c r="AO102" i="3"/>
  <c r="BA102" i="3"/>
  <c r="BA27" i="3"/>
  <c r="BA27" i="2"/>
  <c r="BA28" i="2"/>
  <c r="BA29" i="2"/>
  <c r="BA31" i="2"/>
  <c r="BA41" i="2"/>
  <c r="BA100" i="2"/>
  <c r="BA101" i="2"/>
  <c r="BB98" i="2"/>
  <c r="BA106" i="2"/>
  <c r="BA107" i="2"/>
  <c r="BB104" i="2"/>
  <c r="BB109" i="2"/>
  <c r="BB113" i="2"/>
  <c r="BB121" i="2"/>
  <c r="BB114" i="2"/>
  <c r="BB122" i="2"/>
  <c r="BB112" i="2"/>
  <c r="BB120" i="2"/>
  <c r="BB119" i="2"/>
  <c r="BB123" i="2"/>
  <c r="BB115" i="2"/>
  <c r="BB126" i="2"/>
  <c r="BB127" i="2"/>
  <c r="BB128" i="2"/>
  <c r="BB129" i="2"/>
  <c r="BB132" i="2"/>
  <c r="BB133" i="2"/>
  <c r="BB105" i="2"/>
  <c r="BB136" i="2"/>
  <c r="BB137" i="2"/>
  <c r="BB139" i="2"/>
  <c r="BB7" i="2"/>
  <c r="BB163" i="2"/>
  <c r="BB164" i="2"/>
  <c r="BB116" i="2"/>
  <c r="BB192" i="2"/>
  <c r="BB193" i="2"/>
  <c r="BB204" i="2"/>
  <c r="BB205" i="2"/>
  <c r="BB180" i="2"/>
  <c r="BB182" i="2"/>
  <c r="BB181" i="2"/>
  <c r="BB183" i="2"/>
  <c r="BB185" i="2"/>
  <c r="BB202" i="2"/>
  <c r="BB203" i="2"/>
  <c r="BB187" i="2"/>
  <c r="BB189" i="2"/>
  <c r="BB99" i="2"/>
  <c r="BB194" i="2"/>
  <c r="BB195" i="2"/>
  <c r="BB200" i="2"/>
  <c r="BB201" i="2"/>
  <c r="BB208" i="2"/>
  <c r="BB209" i="2"/>
  <c r="BB210" i="2"/>
  <c r="BB211" i="2"/>
  <c r="BB214" i="2"/>
  <c r="BB217" i="2"/>
  <c r="BB218" i="2"/>
  <c r="BB219" i="2"/>
  <c r="BB220" i="2"/>
  <c r="BB224" i="2"/>
  <c r="BB227" i="2"/>
  <c r="BB228" i="2"/>
  <c r="BB229" i="2"/>
  <c r="BB231" i="2"/>
  <c r="BB233" i="2"/>
  <c r="BB236" i="2"/>
  <c r="BB237" i="2"/>
  <c r="BB243" i="2"/>
  <c r="BB170" i="2"/>
  <c r="BB167" i="2"/>
  <c r="BB169" i="2"/>
  <c r="BB171" i="2"/>
  <c r="BB168" i="2"/>
  <c r="BB172" i="2"/>
  <c r="BB244" i="2"/>
  <c r="BB174" i="2"/>
  <c r="BB143" i="2"/>
  <c r="BB144" i="2"/>
  <c r="BB145" i="2"/>
  <c r="BB146" i="2"/>
  <c r="BB147" i="2"/>
  <c r="BB150" i="2"/>
  <c r="BB156" i="2"/>
  <c r="BB159" i="2"/>
  <c r="BB160" i="2"/>
  <c r="BB176" i="2"/>
  <c r="BB8" i="2"/>
  <c r="BB9" i="2"/>
  <c r="BB97" i="3"/>
  <c r="BB98" i="3"/>
  <c r="BB94" i="3"/>
  <c r="BB95" i="3"/>
  <c r="BB91" i="3"/>
  <c r="BB92" i="3"/>
  <c r="BB99" i="3"/>
  <c r="BB12" i="3"/>
  <c r="BB12" i="2"/>
  <c r="BB13" i="2"/>
  <c r="BB14" i="2"/>
  <c r="BB15" i="2"/>
  <c r="BB16" i="2"/>
  <c r="BB32" i="3"/>
  <c r="BB39" i="3"/>
  <c r="BB40" i="3"/>
  <c r="BB41" i="3"/>
  <c r="BB43" i="3"/>
  <c r="BB45" i="3"/>
  <c r="BB51" i="3"/>
  <c r="BB53" i="3"/>
  <c r="BB59" i="3"/>
  <c r="BB61" i="3"/>
  <c r="BB72" i="3"/>
  <c r="BB73" i="3"/>
  <c r="BB74" i="3"/>
  <c r="BB66" i="3"/>
  <c r="BB67" i="3"/>
  <c r="BB68" i="3"/>
  <c r="BB69" i="3"/>
  <c r="BB70" i="3"/>
  <c r="BB71" i="3"/>
  <c r="BB75" i="3"/>
  <c r="BB36" i="3"/>
  <c r="BB37" i="3"/>
  <c r="BB49" i="3"/>
  <c r="BB57" i="3"/>
  <c r="BB77" i="3"/>
  <c r="BB79" i="3"/>
  <c r="BB17" i="3"/>
  <c r="BB17" i="2"/>
  <c r="BB18" i="2"/>
  <c r="BB103" i="3"/>
  <c r="BB19" i="3"/>
  <c r="BB19" i="2"/>
  <c r="BB20" i="2"/>
  <c r="R104" i="3"/>
  <c r="AD104" i="3"/>
  <c r="AP104" i="3"/>
  <c r="BB104" i="3"/>
  <c r="BB21" i="3"/>
  <c r="BB21" i="2"/>
  <c r="F105" i="3"/>
  <c r="R105" i="3"/>
  <c r="AD105" i="3"/>
  <c r="AP105" i="3"/>
  <c r="BB105" i="3"/>
  <c r="BB22" i="3"/>
  <c r="BB22" i="2"/>
  <c r="F101" i="3"/>
  <c r="R101" i="3"/>
  <c r="AD101" i="3"/>
  <c r="AP101" i="3"/>
  <c r="BB101" i="3"/>
  <c r="BB23" i="3"/>
  <c r="BB23" i="2"/>
  <c r="BB24" i="3"/>
  <c r="BB24" i="2"/>
  <c r="BB25" i="2"/>
  <c r="BB26" i="2"/>
  <c r="F102" i="3"/>
  <c r="R102" i="3"/>
  <c r="AD102" i="3"/>
  <c r="AP102" i="3"/>
  <c r="BB102" i="3"/>
  <c r="BB27" i="3"/>
  <c r="BB27" i="2"/>
  <c r="BB28" i="2"/>
  <c r="BB29" i="2"/>
  <c r="BB31" i="2"/>
  <c r="BB41" i="2"/>
  <c r="BB100" i="2"/>
  <c r="BB101" i="2"/>
  <c r="BC98" i="2"/>
  <c r="BB106" i="2"/>
  <c r="BB107" i="2"/>
  <c r="BC104" i="2"/>
  <c r="BC109" i="2"/>
  <c r="BC113" i="2"/>
  <c r="BC121" i="2"/>
  <c r="BC114" i="2"/>
  <c r="BC122" i="2"/>
  <c r="BC112" i="2"/>
  <c r="BC120" i="2"/>
  <c r="BC119" i="2"/>
  <c r="BC123" i="2"/>
  <c r="BC115" i="2"/>
  <c r="BC126" i="2"/>
  <c r="BC127" i="2"/>
  <c r="BC128" i="2"/>
  <c r="BC129" i="2"/>
  <c r="BC132" i="2"/>
  <c r="BC133" i="2"/>
  <c r="BC105" i="2"/>
  <c r="BC136" i="2"/>
  <c r="BC137" i="2"/>
  <c r="BC139" i="2"/>
  <c r="BC7" i="2"/>
  <c r="BC163" i="2"/>
  <c r="BC164" i="2"/>
  <c r="BC116" i="2"/>
  <c r="BC192" i="2"/>
  <c r="BC193" i="2"/>
  <c r="BC204" i="2"/>
  <c r="BC205" i="2"/>
  <c r="BC180" i="2"/>
  <c r="BC182" i="2"/>
  <c r="BC181" i="2"/>
  <c r="BC183" i="2"/>
  <c r="BC185" i="2"/>
  <c r="BC202" i="2"/>
  <c r="BC203" i="2"/>
  <c r="BC187" i="2"/>
  <c r="BC189" i="2"/>
  <c r="BC194" i="2"/>
  <c r="BC195" i="2"/>
  <c r="BC200" i="2"/>
  <c r="BC201" i="2"/>
  <c r="BC208" i="2"/>
  <c r="BC209" i="2"/>
  <c r="BC210" i="2"/>
  <c r="BC211" i="2"/>
  <c r="BC214" i="2"/>
  <c r="BC217" i="2"/>
  <c r="BC218" i="2"/>
  <c r="BC219" i="2"/>
  <c r="BC220" i="2"/>
  <c r="BC224" i="2"/>
  <c r="BC227" i="2"/>
  <c r="BC228" i="2"/>
  <c r="BC229" i="2"/>
  <c r="BC231" i="2"/>
  <c r="BC233" i="2"/>
  <c r="BC236" i="2"/>
  <c r="BC237" i="2"/>
  <c r="BC243" i="2"/>
  <c r="BC170" i="2"/>
  <c r="BC167" i="2"/>
  <c r="BC169" i="2"/>
  <c r="BC171" i="2"/>
  <c r="BC168" i="2"/>
  <c r="BC172" i="2"/>
  <c r="BC244" i="2"/>
  <c r="BC174" i="2"/>
  <c r="BC143" i="2"/>
  <c r="BC144" i="2"/>
  <c r="BC145" i="2"/>
  <c r="BC146" i="2"/>
  <c r="BC147" i="2"/>
  <c r="BC150" i="2"/>
  <c r="BC156" i="2"/>
  <c r="BC159" i="2"/>
  <c r="BC160" i="2"/>
  <c r="BC176" i="2"/>
  <c r="BC8" i="2"/>
  <c r="BC9" i="2"/>
  <c r="BC97" i="3"/>
  <c r="BC98" i="3"/>
  <c r="BC94" i="3"/>
  <c r="BC95" i="3"/>
  <c r="BC91" i="3"/>
  <c r="BC92" i="3"/>
  <c r="BC99" i="3"/>
  <c r="BC12" i="3"/>
  <c r="BC12" i="2"/>
  <c r="BC13" i="2"/>
  <c r="BC14" i="2"/>
  <c r="BC15" i="2"/>
  <c r="BC16" i="2"/>
  <c r="BC32" i="3"/>
  <c r="BC39" i="3"/>
  <c r="BC40" i="3"/>
  <c r="BC41" i="3"/>
  <c r="BC43" i="3"/>
  <c r="BC45" i="3"/>
  <c r="BC51" i="3"/>
  <c r="BC53" i="3"/>
  <c r="BC59" i="3"/>
  <c r="BC61" i="3"/>
  <c r="BC72" i="3"/>
  <c r="BC73" i="3"/>
  <c r="BC74" i="3"/>
  <c r="BC66" i="3"/>
  <c r="BC67" i="3"/>
  <c r="BC68" i="3"/>
  <c r="BC69" i="3"/>
  <c r="BC70" i="3"/>
  <c r="BC71" i="3"/>
  <c r="BC75" i="3"/>
  <c r="BC36" i="3"/>
  <c r="BC37" i="3"/>
  <c r="BC49" i="3"/>
  <c r="BC57" i="3"/>
  <c r="BC77" i="3"/>
  <c r="BC79" i="3"/>
  <c r="BC17" i="3"/>
  <c r="BC17" i="2"/>
  <c r="BC18" i="2"/>
  <c r="BC103" i="3"/>
  <c r="BC19" i="3"/>
  <c r="BC19" i="2"/>
  <c r="BC20" i="2"/>
  <c r="S104" i="3"/>
  <c r="AE104" i="3"/>
  <c r="AQ104" i="3"/>
  <c r="BC104" i="3"/>
  <c r="BC21" i="3"/>
  <c r="BC21" i="2"/>
  <c r="G105" i="3"/>
  <c r="S105" i="3"/>
  <c r="AE105" i="3"/>
  <c r="AQ105" i="3"/>
  <c r="BC105" i="3"/>
  <c r="BC22" i="3"/>
  <c r="BC22" i="2"/>
  <c r="G101" i="3"/>
  <c r="S101" i="3"/>
  <c r="AE101" i="3"/>
  <c r="AQ101" i="3"/>
  <c r="BC101" i="3"/>
  <c r="BC23" i="3"/>
  <c r="BC23" i="2"/>
  <c r="BC24" i="3"/>
  <c r="BC24" i="2"/>
  <c r="BC25" i="2"/>
  <c r="BC26" i="2"/>
  <c r="G102" i="3"/>
  <c r="S102" i="3"/>
  <c r="AE102" i="3"/>
  <c r="AQ102" i="3"/>
  <c r="BC102" i="3"/>
  <c r="BC27" i="3"/>
  <c r="BC27" i="2"/>
  <c r="BC28" i="2"/>
  <c r="BC29" i="2"/>
  <c r="BC31" i="2"/>
  <c r="BC41" i="2"/>
  <c r="BC100" i="2"/>
  <c r="BC101" i="2"/>
  <c r="BD98" i="2"/>
  <c r="BC106" i="2"/>
  <c r="BC107" i="2"/>
  <c r="BD104" i="2"/>
  <c r="BD109" i="2"/>
  <c r="BD113" i="2"/>
  <c r="BD121" i="2"/>
  <c r="BD114" i="2"/>
  <c r="BD122" i="2"/>
  <c r="BD112" i="2"/>
  <c r="BD120" i="2"/>
  <c r="BD119" i="2"/>
  <c r="BD123" i="2"/>
  <c r="BD115" i="2"/>
  <c r="BD126" i="2"/>
  <c r="BD127" i="2"/>
  <c r="BD128" i="2"/>
  <c r="BD129" i="2"/>
  <c r="BD132" i="2"/>
  <c r="BD133" i="2"/>
  <c r="BD105" i="2"/>
  <c r="BD136" i="2"/>
  <c r="BD137" i="2"/>
  <c r="BD139" i="2"/>
  <c r="BD7" i="2"/>
  <c r="BD163" i="2"/>
  <c r="BD164" i="2"/>
  <c r="BD116" i="2"/>
  <c r="BD192" i="2"/>
  <c r="BD193" i="2"/>
  <c r="BD204" i="2"/>
  <c r="BD205" i="2"/>
  <c r="BD180" i="2"/>
  <c r="BD182" i="2"/>
  <c r="BD181" i="2"/>
  <c r="BD183" i="2"/>
  <c r="BD185" i="2"/>
  <c r="BD202" i="2"/>
  <c r="BD203" i="2"/>
  <c r="BD187" i="2"/>
  <c r="BD189" i="2"/>
  <c r="BD194" i="2"/>
  <c r="BD195" i="2"/>
  <c r="BD200" i="2"/>
  <c r="BD201" i="2"/>
  <c r="BD208" i="2"/>
  <c r="BD209" i="2"/>
  <c r="BD210" i="2"/>
  <c r="BD211" i="2"/>
  <c r="BD214" i="2"/>
  <c r="BD217" i="2"/>
  <c r="BD218" i="2"/>
  <c r="BD219" i="2"/>
  <c r="BD220" i="2"/>
  <c r="BD224" i="2"/>
  <c r="BD227" i="2"/>
  <c r="BD228" i="2"/>
  <c r="BD229" i="2"/>
  <c r="BD231" i="2"/>
  <c r="BD233" i="2"/>
  <c r="BD236" i="2"/>
  <c r="BD237" i="2"/>
  <c r="BD243" i="2"/>
  <c r="BD170" i="2"/>
  <c r="BD167" i="2"/>
  <c r="BD169" i="2"/>
  <c r="BD171" i="2"/>
  <c r="BD168" i="2"/>
  <c r="BD172" i="2"/>
  <c r="BD244" i="2"/>
  <c r="BD174" i="2"/>
  <c r="BD143" i="2"/>
  <c r="BD144" i="2"/>
  <c r="BD145" i="2"/>
  <c r="BD146" i="2"/>
  <c r="BD147" i="2"/>
  <c r="BD150" i="2"/>
  <c r="BD156" i="2"/>
  <c r="BD159" i="2"/>
  <c r="BD160" i="2"/>
  <c r="BD176" i="2"/>
  <c r="BD8" i="2"/>
  <c r="BD9" i="2"/>
  <c r="BD97" i="3"/>
  <c r="BD98" i="3"/>
  <c r="BD94" i="3"/>
  <c r="BD95" i="3"/>
  <c r="BD91" i="3"/>
  <c r="BD92" i="3"/>
  <c r="BD99" i="3"/>
  <c r="BD12" i="3"/>
  <c r="BD12" i="2"/>
  <c r="BD13" i="2"/>
  <c r="BD14" i="2"/>
  <c r="BD15" i="2"/>
  <c r="BD16" i="2"/>
  <c r="BD32" i="3"/>
  <c r="BD39" i="3"/>
  <c r="BD40" i="3"/>
  <c r="BD41" i="3"/>
  <c r="BD43" i="3"/>
  <c r="BD45" i="3"/>
  <c r="BD51" i="3"/>
  <c r="BD53" i="3"/>
  <c r="BD59" i="3"/>
  <c r="BD61" i="3"/>
  <c r="BD72" i="3"/>
  <c r="BD73" i="3"/>
  <c r="BD74" i="3"/>
  <c r="BD66" i="3"/>
  <c r="BD67" i="3"/>
  <c r="BD68" i="3"/>
  <c r="BD69" i="3"/>
  <c r="BD70" i="3"/>
  <c r="BD71" i="3"/>
  <c r="BD75" i="3"/>
  <c r="BD36" i="3"/>
  <c r="BD37" i="3"/>
  <c r="BD49" i="3"/>
  <c r="BD57" i="3"/>
  <c r="BD77" i="3"/>
  <c r="BD79" i="3"/>
  <c r="BD17" i="3"/>
  <c r="BD17" i="2"/>
  <c r="BD18" i="2"/>
  <c r="BD103" i="3"/>
  <c r="BD19" i="3"/>
  <c r="BD19" i="2"/>
  <c r="BD20" i="2"/>
  <c r="T104" i="3"/>
  <c r="AF104" i="3"/>
  <c r="AR104" i="3"/>
  <c r="BD104" i="3"/>
  <c r="BD21" i="3"/>
  <c r="BD21" i="2"/>
  <c r="H105" i="3"/>
  <c r="T105" i="3"/>
  <c r="AF105" i="3"/>
  <c r="AR105" i="3"/>
  <c r="BD105" i="3"/>
  <c r="BD22" i="3"/>
  <c r="BD22" i="2"/>
  <c r="H101" i="3"/>
  <c r="T101" i="3"/>
  <c r="AF101" i="3"/>
  <c r="AR101" i="3"/>
  <c r="BD101" i="3"/>
  <c r="BD23" i="3"/>
  <c r="BD23" i="2"/>
  <c r="BD24" i="3"/>
  <c r="BD24" i="2"/>
  <c r="BD25" i="2"/>
  <c r="BD26" i="2"/>
  <c r="H102" i="3"/>
  <c r="T102" i="3"/>
  <c r="AF102" i="3"/>
  <c r="AR102" i="3"/>
  <c r="BD102" i="3"/>
  <c r="BD27" i="3"/>
  <c r="BD27" i="2"/>
  <c r="BD28" i="2"/>
  <c r="BD29" i="2"/>
  <c r="BD31" i="2"/>
  <c r="BD41" i="2"/>
  <c r="BD100" i="2"/>
  <c r="BD101" i="2"/>
  <c r="BE98" i="2"/>
  <c r="BD106" i="2"/>
  <c r="BD107" i="2"/>
  <c r="BE104" i="2"/>
  <c r="BE109" i="2"/>
  <c r="BE113" i="2"/>
  <c r="BE121" i="2"/>
  <c r="BE114" i="2"/>
  <c r="BE122" i="2"/>
  <c r="BE112" i="2"/>
  <c r="BE120" i="2"/>
  <c r="BE119" i="2"/>
  <c r="BE123" i="2"/>
  <c r="BE115" i="2"/>
  <c r="BE126" i="2"/>
  <c r="BE127" i="2"/>
  <c r="BE128" i="2"/>
  <c r="BE129" i="2"/>
  <c r="BE132" i="2"/>
  <c r="BE133" i="2"/>
  <c r="BE105" i="2"/>
  <c r="BE136" i="2"/>
  <c r="BE137" i="2"/>
  <c r="BE139" i="2"/>
  <c r="BE7" i="2"/>
  <c r="BE163" i="2"/>
  <c r="BE164" i="2"/>
  <c r="BE116" i="2"/>
  <c r="BE192" i="2"/>
  <c r="BE193" i="2"/>
  <c r="BE204" i="2"/>
  <c r="BE205" i="2"/>
  <c r="BE180" i="2"/>
  <c r="BE182" i="2"/>
  <c r="BE181" i="2"/>
  <c r="BE183" i="2"/>
  <c r="BE185" i="2"/>
  <c r="BE202" i="2"/>
  <c r="BE203" i="2"/>
  <c r="BE187" i="2"/>
  <c r="BE189" i="2"/>
  <c r="BE99" i="2"/>
  <c r="BE194" i="2"/>
  <c r="BE195" i="2"/>
  <c r="BE200" i="2"/>
  <c r="BE201" i="2"/>
  <c r="BE208" i="2"/>
  <c r="BE209" i="2"/>
  <c r="BE210" i="2"/>
  <c r="BE211" i="2"/>
  <c r="BE214" i="2"/>
  <c r="BE217" i="2"/>
  <c r="BE218" i="2"/>
  <c r="BE219" i="2"/>
  <c r="BE220" i="2"/>
  <c r="BE224" i="2"/>
  <c r="BE227" i="2"/>
  <c r="BE228" i="2"/>
  <c r="BE229" i="2"/>
  <c r="BE231" i="2"/>
  <c r="BE233" i="2"/>
  <c r="BE236" i="2"/>
  <c r="BE237" i="2"/>
  <c r="BE243" i="2"/>
  <c r="BE170" i="2"/>
  <c r="BE167" i="2"/>
  <c r="BE169" i="2"/>
  <c r="BE171" i="2"/>
  <c r="BE168" i="2"/>
  <c r="BE172" i="2"/>
  <c r="BE244" i="2"/>
  <c r="BE174" i="2"/>
  <c r="BE143" i="2"/>
  <c r="BE144" i="2"/>
  <c r="BE145" i="2"/>
  <c r="BE146" i="2"/>
  <c r="BE147" i="2"/>
  <c r="BE150" i="2"/>
  <c r="BE156" i="2"/>
  <c r="BE159" i="2"/>
  <c r="BE160" i="2"/>
  <c r="BE176" i="2"/>
  <c r="BE8" i="2"/>
  <c r="BE9" i="2"/>
  <c r="BE97" i="3"/>
  <c r="BE98" i="3"/>
  <c r="BE94" i="3"/>
  <c r="BE95" i="3"/>
  <c r="BE91" i="3"/>
  <c r="BE92" i="3"/>
  <c r="BE99" i="3"/>
  <c r="BE12" i="3"/>
  <c r="BE12" i="2"/>
  <c r="BE13" i="2"/>
  <c r="BE14" i="2"/>
  <c r="BE15" i="2"/>
  <c r="BE16" i="2"/>
  <c r="BE32" i="3"/>
  <c r="BE39" i="3"/>
  <c r="BE40" i="3"/>
  <c r="BE41" i="3"/>
  <c r="BE43" i="3"/>
  <c r="BE45" i="3"/>
  <c r="BE51" i="3"/>
  <c r="BE53" i="3"/>
  <c r="BE59" i="3"/>
  <c r="BE61" i="3"/>
  <c r="BE72" i="3"/>
  <c r="BE73" i="3"/>
  <c r="BE74" i="3"/>
  <c r="BE66" i="3"/>
  <c r="BE67" i="3"/>
  <c r="BE68" i="3"/>
  <c r="BE69" i="3"/>
  <c r="BE70" i="3"/>
  <c r="BE71" i="3"/>
  <c r="BE75" i="3"/>
  <c r="BE36" i="3"/>
  <c r="BE37" i="3"/>
  <c r="BE49" i="3"/>
  <c r="BE57" i="3"/>
  <c r="BE77" i="3"/>
  <c r="BE79" i="3"/>
  <c r="BE17" i="3"/>
  <c r="BE17" i="2"/>
  <c r="BE18" i="2"/>
  <c r="BE103" i="3"/>
  <c r="BE19" i="3"/>
  <c r="BE19" i="2"/>
  <c r="BE20" i="2"/>
  <c r="U104" i="3"/>
  <c r="AG104" i="3"/>
  <c r="AS104" i="3"/>
  <c r="BE104" i="3"/>
  <c r="BE21" i="3"/>
  <c r="BE21" i="2"/>
  <c r="I105" i="3"/>
  <c r="U105" i="3"/>
  <c r="AG105" i="3"/>
  <c r="AS105" i="3"/>
  <c r="BE105" i="3"/>
  <c r="BE22" i="3"/>
  <c r="BE22" i="2"/>
  <c r="I101" i="3"/>
  <c r="U101" i="3"/>
  <c r="AG101" i="3"/>
  <c r="AS101" i="3"/>
  <c r="BE101" i="3"/>
  <c r="BE23" i="3"/>
  <c r="BE23" i="2"/>
  <c r="BE24" i="3"/>
  <c r="BE24" i="2"/>
  <c r="BE25" i="2"/>
  <c r="BE26" i="2"/>
  <c r="I102" i="3"/>
  <c r="U102" i="3"/>
  <c r="AG102" i="3"/>
  <c r="AS102" i="3"/>
  <c r="BE102" i="3"/>
  <c r="BE27" i="3"/>
  <c r="BE27" i="2"/>
  <c r="BE28" i="2"/>
  <c r="BE29" i="2"/>
  <c r="BE31" i="2"/>
  <c r="BE41" i="2"/>
  <c r="BE100" i="2"/>
  <c r="BE101" i="2"/>
  <c r="BF98" i="2"/>
  <c r="BE106" i="2"/>
  <c r="BE107" i="2"/>
  <c r="BF104" i="2"/>
  <c r="BF109" i="2"/>
  <c r="BF113" i="2"/>
  <c r="BF121" i="2"/>
  <c r="BF114" i="2"/>
  <c r="BF122" i="2"/>
  <c r="BF112" i="2"/>
  <c r="BF120" i="2"/>
  <c r="BF119" i="2"/>
  <c r="BF123" i="2"/>
  <c r="BF115" i="2"/>
  <c r="BF126" i="2"/>
  <c r="BF127" i="2"/>
  <c r="BF128" i="2"/>
  <c r="BF129" i="2"/>
  <c r="BF132" i="2"/>
  <c r="BF133" i="2"/>
  <c r="BF105" i="2"/>
  <c r="BF136" i="2"/>
  <c r="BF137" i="2"/>
  <c r="BF139" i="2"/>
  <c r="BF7" i="2"/>
  <c r="BF163" i="2"/>
  <c r="BF164" i="2"/>
  <c r="BF116" i="2"/>
  <c r="BF192" i="2"/>
  <c r="BF193" i="2"/>
  <c r="BF204" i="2"/>
  <c r="BF205" i="2"/>
  <c r="BF180" i="2"/>
  <c r="BF182" i="2"/>
  <c r="BF181" i="2"/>
  <c r="BF183" i="2"/>
  <c r="BF185" i="2"/>
  <c r="BF202" i="2"/>
  <c r="BF203" i="2"/>
  <c r="BF187" i="2"/>
  <c r="BF189" i="2"/>
  <c r="BF194" i="2"/>
  <c r="BF195" i="2"/>
  <c r="BF200" i="2"/>
  <c r="BF201" i="2"/>
  <c r="BF208" i="2"/>
  <c r="BF209" i="2"/>
  <c r="BF210" i="2"/>
  <c r="BF211" i="2"/>
  <c r="BF214" i="2"/>
  <c r="BF217" i="2"/>
  <c r="BF218" i="2"/>
  <c r="BF219" i="2"/>
  <c r="BF220" i="2"/>
  <c r="BF224" i="2"/>
  <c r="BF227" i="2"/>
  <c r="BF228" i="2"/>
  <c r="BF229" i="2"/>
  <c r="BF231" i="2"/>
  <c r="BF233" i="2"/>
  <c r="BF236" i="2"/>
  <c r="BF237" i="2"/>
  <c r="BF243" i="2"/>
  <c r="BF170" i="2"/>
  <c r="BF167" i="2"/>
  <c r="BF169" i="2"/>
  <c r="BF171" i="2"/>
  <c r="BF168" i="2"/>
  <c r="BF172" i="2"/>
  <c r="BF244" i="2"/>
  <c r="BF174" i="2"/>
  <c r="BF143" i="2"/>
  <c r="BF144" i="2"/>
  <c r="BF145" i="2"/>
  <c r="BF146" i="2"/>
  <c r="BF147" i="2"/>
  <c r="BF150" i="2"/>
  <c r="BF156" i="2"/>
  <c r="BF159" i="2"/>
  <c r="BF160" i="2"/>
  <c r="BF176" i="2"/>
  <c r="BF8" i="2"/>
  <c r="BF9" i="2"/>
  <c r="BF97" i="3"/>
  <c r="BF98" i="3"/>
  <c r="BF94" i="3"/>
  <c r="BF95" i="3"/>
  <c r="BF91" i="3"/>
  <c r="BF92" i="3"/>
  <c r="BF99" i="3"/>
  <c r="BF12" i="3"/>
  <c r="BF12" i="2"/>
  <c r="BF13" i="2"/>
  <c r="BF14" i="2"/>
  <c r="BF15" i="2"/>
  <c r="BF16" i="2"/>
  <c r="BF32" i="3"/>
  <c r="BF39" i="3"/>
  <c r="BF40" i="3"/>
  <c r="BF41" i="3"/>
  <c r="BF43" i="3"/>
  <c r="BF45" i="3"/>
  <c r="BF51" i="3"/>
  <c r="BF53" i="3"/>
  <c r="BF59" i="3"/>
  <c r="BF61" i="3"/>
  <c r="BF72" i="3"/>
  <c r="BF73" i="3"/>
  <c r="BF74" i="3"/>
  <c r="BF66" i="3"/>
  <c r="BF67" i="3"/>
  <c r="BF68" i="3"/>
  <c r="BF69" i="3"/>
  <c r="BF70" i="3"/>
  <c r="BF71" i="3"/>
  <c r="BF75" i="3"/>
  <c r="BF36" i="3"/>
  <c r="BF37" i="3"/>
  <c r="BF49" i="3"/>
  <c r="BF57" i="3"/>
  <c r="BF77" i="3"/>
  <c r="BF79" i="3"/>
  <c r="BF17" i="3"/>
  <c r="BF17" i="2"/>
  <c r="BF18" i="2"/>
  <c r="BF103" i="3"/>
  <c r="BF19" i="3"/>
  <c r="BF19" i="2"/>
  <c r="BF20" i="2"/>
  <c r="V104" i="3"/>
  <c r="AH104" i="3"/>
  <c r="AT104" i="3"/>
  <c r="BF104" i="3"/>
  <c r="BF21" i="3"/>
  <c r="BF21" i="2"/>
  <c r="J105" i="3"/>
  <c r="V105" i="3"/>
  <c r="AH105" i="3"/>
  <c r="AT105" i="3"/>
  <c r="BF105" i="3"/>
  <c r="BF22" i="3"/>
  <c r="BF22" i="2"/>
  <c r="J101" i="3"/>
  <c r="V101" i="3"/>
  <c r="AH101" i="3"/>
  <c r="AT101" i="3"/>
  <c r="BF101" i="3"/>
  <c r="BF23" i="3"/>
  <c r="BF23" i="2"/>
  <c r="BF24" i="3"/>
  <c r="BF24" i="2"/>
  <c r="BF25" i="2"/>
  <c r="BF26" i="2"/>
  <c r="J102" i="3"/>
  <c r="V102" i="3"/>
  <c r="AH102" i="3"/>
  <c r="AT102" i="3"/>
  <c r="BF102" i="3"/>
  <c r="BF27" i="3"/>
  <c r="BF27" i="2"/>
  <c r="BF28" i="2"/>
  <c r="BF29" i="2"/>
  <c r="BF31" i="2"/>
  <c r="BF41" i="2"/>
  <c r="BF100" i="2"/>
  <c r="BF101" i="2"/>
  <c r="BG98" i="2"/>
  <c r="BF106" i="2"/>
  <c r="BF107" i="2"/>
  <c r="BG104" i="2"/>
  <c r="BG109" i="2"/>
  <c r="BG113" i="2"/>
  <c r="BG121" i="2"/>
  <c r="BG114" i="2"/>
  <c r="BG122" i="2"/>
  <c r="BG112" i="2"/>
  <c r="BG120" i="2"/>
  <c r="BG119" i="2"/>
  <c r="BG123" i="2"/>
  <c r="BG115" i="2"/>
  <c r="BG126" i="2"/>
  <c r="BG127" i="2"/>
  <c r="BG128" i="2"/>
  <c r="BG129" i="2"/>
  <c r="BG132" i="2"/>
  <c r="BG133" i="2"/>
  <c r="BG105" i="2"/>
  <c r="BG136" i="2"/>
  <c r="BG137" i="2"/>
  <c r="BG139" i="2"/>
  <c r="BG7" i="2"/>
  <c r="BG163" i="2"/>
  <c r="BG164" i="2"/>
  <c r="BG116" i="2"/>
  <c r="BG192" i="2"/>
  <c r="BG193" i="2"/>
  <c r="BG204" i="2"/>
  <c r="BG205" i="2"/>
  <c r="BG180" i="2"/>
  <c r="BG182" i="2"/>
  <c r="BG181" i="2"/>
  <c r="BG183" i="2"/>
  <c r="BG185" i="2"/>
  <c r="BG202" i="2"/>
  <c r="BG203" i="2"/>
  <c r="BG187" i="2"/>
  <c r="BG189" i="2"/>
  <c r="BG194" i="2"/>
  <c r="BG195" i="2"/>
  <c r="BG200" i="2"/>
  <c r="BG201" i="2"/>
  <c r="BG208" i="2"/>
  <c r="BG209" i="2"/>
  <c r="BG210" i="2"/>
  <c r="BG211" i="2"/>
  <c r="BG214" i="2"/>
  <c r="BG217" i="2"/>
  <c r="BG218" i="2"/>
  <c r="BG219" i="2"/>
  <c r="BG220" i="2"/>
  <c r="BG224" i="2"/>
  <c r="BG227" i="2"/>
  <c r="BG228" i="2"/>
  <c r="BG229" i="2"/>
  <c r="BG231" i="2"/>
  <c r="BG233" i="2"/>
  <c r="BG236" i="2"/>
  <c r="BG237" i="2"/>
  <c r="BG243" i="2"/>
  <c r="BG170" i="2"/>
  <c r="BG167" i="2"/>
  <c r="BG169" i="2"/>
  <c r="BG171" i="2"/>
  <c r="BG168" i="2"/>
  <c r="BG172" i="2"/>
  <c r="BG244" i="2"/>
  <c r="BG174" i="2"/>
  <c r="BG143" i="2"/>
  <c r="BG144" i="2"/>
  <c r="BG145" i="2"/>
  <c r="BG146" i="2"/>
  <c r="BG147" i="2"/>
  <c r="BG150" i="2"/>
  <c r="BG156" i="2"/>
  <c r="BG159" i="2"/>
  <c r="BG160" i="2"/>
  <c r="BG176" i="2"/>
  <c r="BG8" i="2"/>
  <c r="BG9" i="2"/>
  <c r="BG97" i="3"/>
  <c r="BG98" i="3"/>
  <c r="BG94" i="3"/>
  <c r="BG95" i="3"/>
  <c r="BG91" i="3"/>
  <c r="BG92" i="3"/>
  <c r="BG99" i="3"/>
  <c r="BG12" i="3"/>
  <c r="BG12" i="2"/>
  <c r="BG13" i="2"/>
  <c r="BG14" i="2"/>
  <c r="BG15" i="2"/>
  <c r="BG16" i="2"/>
  <c r="BG32" i="3"/>
  <c r="BG39" i="3"/>
  <c r="BG40" i="3"/>
  <c r="BG41" i="3"/>
  <c r="BG43" i="3"/>
  <c r="BG45" i="3"/>
  <c r="BG51" i="3"/>
  <c r="BG53" i="3"/>
  <c r="BG59" i="3"/>
  <c r="BG61" i="3"/>
  <c r="BG72" i="3"/>
  <c r="BG73" i="3"/>
  <c r="BG74" i="3"/>
  <c r="BG66" i="3"/>
  <c r="BG67" i="3"/>
  <c r="BG68" i="3"/>
  <c r="BG69" i="3"/>
  <c r="BG70" i="3"/>
  <c r="BG71" i="3"/>
  <c r="BG75" i="3"/>
  <c r="BG36" i="3"/>
  <c r="BG37" i="3"/>
  <c r="BG49" i="3"/>
  <c r="BG57" i="3"/>
  <c r="BG77" i="3"/>
  <c r="BG79" i="3"/>
  <c r="BG17" i="3"/>
  <c r="BG17" i="2"/>
  <c r="BG18" i="2"/>
  <c r="BG103" i="3"/>
  <c r="BG19" i="3"/>
  <c r="BG19" i="2"/>
  <c r="BG20" i="2"/>
  <c r="W104" i="3"/>
  <c r="AI104" i="3"/>
  <c r="AU104" i="3"/>
  <c r="BG104" i="3"/>
  <c r="BG21" i="3"/>
  <c r="BG21" i="2"/>
  <c r="K105" i="3"/>
  <c r="W105" i="3"/>
  <c r="AI105" i="3"/>
  <c r="AU105" i="3"/>
  <c r="BG105" i="3"/>
  <c r="BG22" i="3"/>
  <c r="BG22" i="2"/>
  <c r="K101" i="3"/>
  <c r="W101" i="3"/>
  <c r="AI101" i="3"/>
  <c r="AU101" i="3"/>
  <c r="BG101" i="3"/>
  <c r="BG23" i="3"/>
  <c r="BG23" i="2"/>
  <c r="BG24" i="3"/>
  <c r="BG24" i="2"/>
  <c r="BG25" i="2"/>
  <c r="BG26" i="2"/>
  <c r="K102" i="3"/>
  <c r="W102" i="3"/>
  <c r="AI102" i="3"/>
  <c r="AU102" i="3"/>
  <c r="BG102" i="3"/>
  <c r="BG27" i="3"/>
  <c r="BG27" i="2"/>
  <c r="BG28" i="2"/>
  <c r="BG29" i="2"/>
  <c r="BG31" i="2"/>
  <c r="BG41" i="2"/>
  <c r="BG100" i="2"/>
  <c r="BG101" i="2"/>
  <c r="BH98" i="2"/>
  <c r="BG106" i="2"/>
  <c r="BG107" i="2"/>
  <c r="BH104" i="2"/>
  <c r="BH109" i="2"/>
  <c r="BH113" i="2"/>
  <c r="BH121" i="2"/>
  <c r="BH114" i="2"/>
  <c r="BH122" i="2"/>
  <c r="BH112" i="2"/>
  <c r="BH120" i="2"/>
  <c r="BH119" i="2"/>
  <c r="BH123" i="2"/>
  <c r="BH115" i="2"/>
  <c r="BH126" i="2"/>
  <c r="BH127" i="2"/>
  <c r="BH128" i="2"/>
  <c r="BH129" i="2"/>
  <c r="BH132" i="2"/>
  <c r="BH133" i="2"/>
  <c r="BH105" i="2"/>
  <c r="BH136" i="2"/>
  <c r="BH137" i="2"/>
  <c r="BH139" i="2"/>
  <c r="BH7" i="2"/>
  <c r="BH163" i="2"/>
  <c r="BH164" i="2"/>
  <c r="BH116" i="2"/>
  <c r="BH192" i="2"/>
  <c r="BH193" i="2"/>
  <c r="BH204" i="2"/>
  <c r="BH205" i="2"/>
  <c r="BH180" i="2"/>
  <c r="BH182" i="2"/>
  <c r="BH181" i="2"/>
  <c r="BH183" i="2"/>
  <c r="BH185" i="2"/>
  <c r="BH202" i="2"/>
  <c r="BH203" i="2"/>
  <c r="BH187" i="2"/>
  <c r="BH189" i="2"/>
  <c r="BH194" i="2"/>
  <c r="BH195" i="2"/>
  <c r="BH200" i="2"/>
  <c r="BH201" i="2"/>
  <c r="BH208" i="2"/>
  <c r="BH209" i="2"/>
  <c r="BH210" i="2"/>
  <c r="BH211" i="2"/>
  <c r="BH214" i="2"/>
  <c r="BH217" i="2"/>
  <c r="BH218" i="2"/>
  <c r="BH219" i="2"/>
  <c r="BH220" i="2"/>
  <c r="BH224" i="2"/>
  <c r="BH227" i="2"/>
  <c r="BH228" i="2"/>
  <c r="BH229" i="2"/>
  <c r="BH231" i="2"/>
  <c r="BH233" i="2"/>
  <c r="BH236" i="2"/>
  <c r="BH237" i="2"/>
  <c r="BH243" i="2"/>
  <c r="BH170" i="2"/>
  <c r="BH167" i="2"/>
  <c r="BH169" i="2"/>
  <c r="BH171" i="2"/>
  <c r="BH168" i="2"/>
  <c r="BH172" i="2"/>
  <c r="BH244" i="2"/>
  <c r="BH174" i="2"/>
  <c r="BH143" i="2"/>
  <c r="BH144" i="2"/>
  <c r="BH145" i="2"/>
  <c r="BH146" i="2"/>
  <c r="BH147" i="2"/>
  <c r="BH150" i="2"/>
  <c r="BH156" i="2"/>
  <c r="BH159" i="2"/>
  <c r="BH160" i="2"/>
  <c r="BH176" i="2"/>
  <c r="BH8" i="2"/>
  <c r="BH9" i="2"/>
  <c r="BH97" i="3"/>
  <c r="BH98" i="3"/>
  <c r="BH94" i="3"/>
  <c r="BH95" i="3"/>
  <c r="BH91" i="3"/>
  <c r="BH92" i="3"/>
  <c r="BH99" i="3"/>
  <c r="BH12" i="3"/>
  <c r="BH12" i="2"/>
  <c r="BH13" i="2"/>
  <c r="BH14" i="2"/>
  <c r="BH15" i="2"/>
  <c r="BH16" i="2"/>
  <c r="BH32" i="3"/>
  <c r="BH39" i="3"/>
  <c r="BH40" i="3"/>
  <c r="BH41" i="3"/>
  <c r="BH43" i="3"/>
  <c r="BH45" i="3"/>
  <c r="BH51" i="3"/>
  <c r="BH53" i="3"/>
  <c r="BH59" i="3"/>
  <c r="BH61" i="3"/>
  <c r="BH72" i="3"/>
  <c r="BH73" i="3"/>
  <c r="BH74" i="3"/>
  <c r="BH66" i="3"/>
  <c r="BH67" i="3"/>
  <c r="BH68" i="3"/>
  <c r="BH69" i="3"/>
  <c r="BH70" i="3"/>
  <c r="BH71" i="3"/>
  <c r="BH75" i="3"/>
  <c r="BH36" i="3"/>
  <c r="BH37" i="3"/>
  <c r="BH49" i="3"/>
  <c r="BH57" i="3"/>
  <c r="BH77" i="3"/>
  <c r="BH79" i="3"/>
  <c r="BH17" i="3"/>
  <c r="BH17" i="2"/>
  <c r="BH18" i="2"/>
  <c r="BH103" i="3"/>
  <c r="BH19" i="3"/>
  <c r="BH19" i="2"/>
  <c r="BH20" i="2"/>
  <c r="X104" i="3"/>
  <c r="AJ104" i="3"/>
  <c r="AV104" i="3"/>
  <c r="BH104" i="3"/>
  <c r="BH21" i="3"/>
  <c r="BH21" i="2"/>
  <c r="L105" i="3"/>
  <c r="X105" i="3"/>
  <c r="AJ105" i="3"/>
  <c r="AV105" i="3"/>
  <c r="BH105" i="3"/>
  <c r="BH22" i="3"/>
  <c r="BH22" i="2"/>
  <c r="L101" i="3"/>
  <c r="X101" i="3"/>
  <c r="AJ101" i="3"/>
  <c r="AV101" i="3"/>
  <c r="BH101" i="3"/>
  <c r="BH23" i="3"/>
  <c r="BH23" i="2"/>
  <c r="BH24" i="3"/>
  <c r="BH24" i="2"/>
  <c r="BH25" i="2"/>
  <c r="BH26" i="2"/>
  <c r="L102" i="3"/>
  <c r="X102" i="3"/>
  <c r="AJ102" i="3"/>
  <c r="AV102" i="3"/>
  <c r="BH102" i="3"/>
  <c r="BH27" i="3"/>
  <c r="BH27" i="2"/>
  <c r="BH28" i="2"/>
  <c r="BH29" i="2"/>
  <c r="BH31" i="2"/>
  <c r="BH41" i="2"/>
  <c r="BH100" i="2"/>
  <c r="BH101" i="2"/>
  <c r="BI98" i="2"/>
  <c r="BH106" i="2"/>
  <c r="BH107" i="2"/>
  <c r="BI104" i="2"/>
  <c r="BI109" i="2"/>
  <c r="BI113" i="2"/>
  <c r="BI121" i="2"/>
  <c r="BI114" i="2"/>
  <c r="BI122" i="2"/>
  <c r="BI112" i="2"/>
  <c r="BI120" i="2"/>
  <c r="BI119" i="2"/>
  <c r="BI123" i="2"/>
  <c r="BI115" i="2"/>
  <c r="BI126" i="2"/>
  <c r="BI127" i="2"/>
  <c r="BI128" i="2"/>
  <c r="BI129" i="2"/>
  <c r="BI132" i="2"/>
  <c r="BI133" i="2"/>
  <c r="BI105" i="2"/>
  <c r="BI136" i="2"/>
  <c r="BI137" i="2"/>
  <c r="BI139" i="2"/>
  <c r="BI7" i="2"/>
  <c r="BI163" i="2"/>
  <c r="BI164" i="2"/>
  <c r="BI116" i="2"/>
  <c r="BI192" i="2"/>
  <c r="BI193" i="2"/>
  <c r="BI204" i="2"/>
  <c r="BI205" i="2"/>
  <c r="BI180" i="2"/>
  <c r="BI182" i="2"/>
  <c r="BI181" i="2"/>
  <c r="BI183" i="2"/>
  <c r="BI185" i="2"/>
  <c r="BI202" i="2"/>
  <c r="BI203" i="2"/>
  <c r="BI187" i="2"/>
  <c r="BI189" i="2"/>
  <c r="BI194" i="2"/>
  <c r="BI195" i="2"/>
  <c r="BI200" i="2"/>
  <c r="BI201" i="2"/>
  <c r="BI208" i="2"/>
  <c r="BI209" i="2"/>
  <c r="BI210" i="2"/>
  <c r="BI211" i="2"/>
  <c r="BI214" i="2"/>
  <c r="BI217" i="2"/>
  <c r="BI218" i="2"/>
  <c r="BI219" i="2"/>
  <c r="BI220" i="2"/>
  <c r="BI224" i="2"/>
  <c r="BI227" i="2"/>
  <c r="BI228" i="2"/>
  <c r="BI229" i="2"/>
  <c r="BI231" i="2"/>
  <c r="BI233" i="2"/>
  <c r="BI236" i="2"/>
  <c r="BI237" i="2"/>
  <c r="BI243" i="2"/>
  <c r="BI170" i="2"/>
  <c r="BI167" i="2"/>
  <c r="BI169" i="2"/>
  <c r="BI171" i="2"/>
  <c r="BI168" i="2"/>
  <c r="BI172" i="2"/>
  <c r="BI244" i="2"/>
  <c r="BI174" i="2"/>
  <c r="BI143" i="2"/>
  <c r="BI144" i="2"/>
  <c r="BI145" i="2"/>
  <c r="BI146" i="2"/>
  <c r="BI147" i="2"/>
  <c r="BI150" i="2"/>
  <c r="BI156" i="2"/>
  <c r="BI159" i="2"/>
  <c r="BI160" i="2"/>
  <c r="BI176" i="2"/>
  <c r="BI8" i="2"/>
  <c r="BI9" i="2"/>
  <c r="BI97" i="3"/>
  <c r="BI98" i="3"/>
  <c r="BI94" i="3"/>
  <c r="BI95" i="3"/>
  <c r="BI91" i="3"/>
  <c r="BI92" i="3"/>
  <c r="BI99" i="3"/>
  <c r="BI12" i="3"/>
  <c r="BI12" i="2"/>
  <c r="BI13" i="2"/>
  <c r="BI14" i="2"/>
  <c r="BI15" i="2"/>
  <c r="BI16" i="2"/>
  <c r="BI32" i="3"/>
  <c r="BI39" i="3"/>
  <c r="BI40" i="3"/>
  <c r="BI41" i="3"/>
  <c r="BI43" i="3"/>
  <c r="BI45" i="3"/>
  <c r="BI51" i="3"/>
  <c r="BI53" i="3"/>
  <c r="BI59" i="3"/>
  <c r="BI61" i="3"/>
  <c r="BI72" i="3"/>
  <c r="BI73" i="3"/>
  <c r="BI74" i="3"/>
  <c r="BI66" i="3"/>
  <c r="BI67" i="3"/>
  <c r="BI68" i="3"/>
  <c r="BI69" i="3"/>
  <c r="BI70" i="3"/>
  <c r="BI71" i="3"/>
  <c r="BI75" i="3"/>
  <c r="BI36" i="3"/>
  <c r="BI37" i="3"/>
  <c r="BI49" i="3"/>
  <c r="BI57" i="3"/>
  <c r="BI77" i="3"/>
  <c r="BI79" i="3"/>
  <c r="BI17" i="3"/>
  <c r="BI17" i="2"/>
  <c r="BI18" i="2"/>
  <c r="BI103" i="3"/>
  <c r="BI19" i="3"/>
  <c r="BI19" i="2"/>
  <c r="BI20" i="2"/>
  <c r="Y104" i="3"/>
  <c r="AK104" i="3"/>
  <c r="AW104" i="3"/>
  <c r="BI104" i="3"/>
  <c r="BI21" i="3"/>
  <c r="BI21" i="2"/>
  <c r="M105" i="3"/>
  <c r="Y105" i="3"/>
  <c r="AK105" i="3"/>
  <c r="AW105" i="3"/>
  <c r="BI105" i="3"/>
  <c r="BI22" i="3"/>
  <c r="BI22" i="2"/>
  <c r="M101" i="3"/>
  <c r="Y101" i="3"/>
  <c r="AK101" i="3"/>
  <c r="AW101" i="3"/>
  <c r="BI101" i="3"/>
  <c r="BI23" i="3"/>
  <c r="BI23" i="2"/>
  <c r="BI24" i="3"/>
  <c r="BI24" i="2"/>
  <c r="BI25" i="2"/>
  <c r="BI26" i="2"/>
  <c r="M102" i="3"/>
  <c r="Y102" i="3"/>
  <c r="AK102" i="3"/>
  <c r="AW102" i="3"/>
  <c r="BI102" i="3"/>
  <c r="BI27" i="3"/>
  <c r="BI27" i="2"/>
  <c r="BI28" i="2"/>
  <c r="BI29" i="2"/>
  <c r="BI31" i="2"/>
  <c r="BI41" i="2"/>
  <c r="BI100" i="2"/>
  <c r="BI101" i="2"/>
  <c r="BJ98" i="2"/>
  <c r="BI106" i="2"/>
  <c r="BI107" i="2"/>
  <c r="BJ104" i="2"/>
  <c r="BJ109" i="2"/>
  <c r="BJ113" i="2"/>
  <c r="BJ121" i="2"/>
  <c r="BJ114" i="2"/>
  <c r="BJ122" i="2"/>
  <c r="BJ112" i="2"/>
  <c r="BJ120" i="2"/>
  <c r="BJ119" i="2"/>
  <c r="BJ123" i="2"/>
  <c r="BJ115" i="2"/>
  <c r="BJ126" i="2"/>
  <c r="BJ127" i="2"/>
  <c r="BJ128" i="2"/>
  <c r="BJ129" i="2"/>
  <c r="BJ132" i="2"/>
  <c r="BJ133" i="2"/>
  <c r="BJ105" i="2"/>
  <c r="BJ136" i="2"/>
  <c r="BJ137" i="2"/>
  <c r="BJ139" i="2"/>
  <c r="BJ7" i="2"/>
  <c r="BJ163" i="2"/>
  <c r="BJ164" i="2"/>
  <c r="BJ116" i="2"/>
  <c r="BJ192" i="2"/>
  <c r="BJ193" i="2"/>
  <c r="BJ204" i="2"/>
  <c r="BJ205" i="2"/>
  <c r="BJ180" i="2"/>
  <c r="BJ182" i="2"/>
  <c r="BJ181" i="2"/>
  <c r="BJ183" i="2"/>
  <c r="BJ185" i="2"/>
  <c r="BJ202" i="2"/>
  <c r="BJ203" i="2"/>
  <c r="BJ187" i="2"/>
  <c r="BJ189" i="2"/>
  <c r="BJ194" i="2"/>
  <c r="BJ195" i="2"/>
  <c r="BJ200" i="2"/>
  <c r="BJ201" i="2"/>
  <c r="BJ208" i="2"/>
  <c r="BJ209" i="2"/>
  <c r="BJ210" i="2"/>
  <c r="BJ211" i="2"/>
  <c r="BJ214" i="2"/>
  <c r="BJ217" i="2"/>
  <c r="BJ218" i="2"/>
  <c r="BJ219" i="2"/>
  <c r="BJ220" i="2"/>
  <c r="BJ224" i="2"/>
  <c r="BJ227" i="2"/>
  <c r="BJ228" i="2"/>
  <c r="BJ229" i="2"/>
  <c r="BJ231" i="2"/>
  <c r="BJ233" i="2"/>
  <c r="BJ236" i="2"/>
  <c r="BJ237" i="2"/>
  <c r="BJ243" i="2"/>
  <c r="BJ170" i="2"/>
  <c r="BJ167" i="2"/>
  <c r="BJ169" i="2"/>
  <c r="BJ171" i="2"/>
  <c r="BJ168" i="2"/>
  <c r="BJ172" i="2"/>
  <c r="BJ244" i="2"/>
  <c r="BJ174" i="2"/>
  <c r="BJ143" i="2"/>
  <c r="BJ144" i="2"/>
  <c r="BJ145" i="2"/>
  <c r="BJ146" i="2"/>
  <c r="BJ147" i="2"/>
  <c r="BJ150" i="2"/>
  <c r="BJ156" i="2"/>
  <c r="BJ159" i="2"/>
  <c r="BJ160" i="2"/>
  <c r="BJ176" i="2"/>
  <c r="BJ8" i="2"/>
  <c r="BJ9" i="2"/>
  <c r="BJ97" i="3"/>
  <c r="BJ98" i="3"/>
  <c r="BJ94" i="3"/>
  <c r="BJ95" i="3"/>
  <c r="BJ91" i="3"/>
  <c r="BJ92" i="3"/>
  <c r="BJ99" i="3"/>
  <c r="BJ12" i="3"/>
  <c r="BJ12" i="2"/>
  <c r="BJ13" i="2"/>
  <c r="BJ14" i="2"/>
  <c r="BJ15" i="2"/>
  <c r="BJ16" i="2"/>
  <c r="BJ32" i="3"/>
  <c r="BJ39" i="3"/>
  <c r="BJ40" i="3"/>
  <c r="BJ41" i="3"/>
  <c r="BJ43" i="3"/>
  <c r="BJ45" i="3"/>
  <c r="BJ51" i="3"/>
  <c r="BJ53" i="3"/>
  <c r="BJ59" i="3"/>
  <c r="BJ61" i="3"/>
  <c r="BJ72" i="3"/>
  <c r="BJ73" i="3"/>
  <c r="BJ74" i="3"/>
  <c r="BJ66" i="3"/>
  <c r="BJ67" i="3"/>
  <c r="BJ68" i="3"/>
  <c r="BJ69" i="3"/>
  <c r="BJ70" i="3"/>
  <c r="BJ71" i="3"/>
  <c r="BJ75" i="3"/>
  <c r="BJ36" i="3"/>
  <c r="BJ37" i="3"/>
  <c r="BJ49" i="3"/>
  <c r="BJ57" i="3"/>
  <c r="BJ77" i="3"/>
  <c r="BJ79" i="3"/>
  <c r="BJ17" i="3"/>
  <c r="BJ17" i="2"/>
  <c r="BJ18" i="2"/>
  <c r="BJ103" i="3"/>
  <c r="BJ19" i="3"/>
  <c r="BJ19" i="2"/>
  <c r="BJ20" i="2"/>
  <c r="Z104" i="3"/>
  <c r="AL104" i="3"/>
  <c r="AX104" i="3"/>
  <c r="BJ104" i="3"/>
  <c r="BJ21" i="3"/>
  <c r="BJ21" i="2"/>
  <c r="N105" i="3"/>
  <c r="Z105" i="3"/>
  <c r="AL105" i="3"/>
  <c r="AX105" i="3"/>
  <c r="BJ105" i="3"/>
  <c r="BJ22" i="3"/>
  <c r="BJ22" i="2"/>
  <c r="N101" i="3"/>
  <c r="Z101" i="3"/>
  <c r="AL101" i="3"/>
  <c r="AX101" i="3"/>
  <c r="BJ101" i="3"/>
  <c r="BJ23" i="3"/>
  <c r="BJ23" i="2"/>
  <c r="BJ24" i="3"/>
  <c r="BJ24" i="2"/>
  <c r="BJ25" i="2"/>
  <c r="BJ26" i="2"/>
  <c r="N102" i="3"/>
  <c r="Z102" i="3"/>
  <c r="AL102" i="3"/>
  <c r="AX102" i="3"/>
  <c r="BJ102" i="3"/>
  <c r="BJ27" i="3"/>
  <c r="BJ27" i="2"/>
  <c r="BJ28" i="2"/>
  <c r="BJ29" i="2"/>
  <c r="BJ31" i="2"/>
  <c r="BJ41" i="2"/>
  <c r="L28" i="1"/>
  <c r="AM121" i="2"/>
  <c r="AM122" i="2"/>
  <c r="AM120" i="2"/>
  <c r="AM119" i="2"/>
  <c r="AM123" i="2"/>
  <c r="AM126" i="2"/>
  <c r="AM127" i="2"/>
  <c r="AM128" i="2"/>
  <c r="AM129" i="2"/>
  <c r="AM132" i="2"/>
  <c r="AM133" i="2"/>
  <c r="AM136" i="2"/>
  <c r="AM137" i="2"/>
  <c r="AM139" i="2"/>
  <c r="AM7" i="2"/>
  <c r="AM163" i="2"/>
  <c r="AM164" i="2"/>
  <c r="AM192" i="2"/>
  <c r="AM193" i="2"/>
  <c r="AM205" i="2"/>
  <c r="AM182" i="2"/>
  <c r="AM183" i="2"/>
  <c r="AM203" i="2"/>
  <c r="AM187" i="2"/>
  <c r="AM189" i="2"/>
  <c r="AM195" i="2"/>
  <c r="AM201" i="2"/>
  <c r="AM208" i="2"/>
  <c r="AM209" i="2"/>
  <c r="AM210" i="2"/>
  <c r="AM211" i="2"/>
  <c r="AM214" i="2"/>
  <c r="AM218" i="2"/>
  <c r="AM219" i="2"/>
  <c r="AM220" i="2"/>
  <c r="AM224" i="2"/>
  <c r="AM228" i="2"/>
  <c r="AM229" i="2"/>
  <c r="AM237" i="2"/>
  <c r="AM243" i="2"/>
  <c r="AM170" i="2"/>
  <c r="AM167" i="2"/>
  <c r="AM169" i="2"/>
  <c r="AM171" i="2"/>
  <c r="AM168" i="2"/>
  <c r="AM172" i="2"/>
  <c r="AM244" i="2"/>
  <c r="AM174" i="2"/>
  <c r="AM143" i="2"/>
  <c r="AM144" i="2"/>
  <c r="AM145" i="2"/>
  <c r="AM146" i="2"/>
  <c r="AM147" i="2"/>
  <c r="AM150" i="2"/>
  <c r="AM156" i="2"/>
  <c r="AM159" i="2"/>
  <c r="AM160" i="2"/>
  <c r="AM176" i="2"/>
  <c r="AM8" i="2"/>
  <c r="AM9" i="2"/>
  <c r="AM97" i="3"/>
  <c r="AM98" i="3"/>
  <c r="AM94" i="3"/>
  <c r="AM95" i="3"/>
  <c r="AM91" i="3"/>
  <c r="AM92" i="3"/>
  <c r="AM99" i="3"/>
  <c r="AM12" i="3"/>
  <c r="AM12" i="2"/>
  <c r="AM13" i="2"/>
  <c r="AM14" i="2"/>
  <c r="AM15" i="2"/>
  <c r="AM16" i="2"/>
  <c r="AM39" i="3"/>
  <c r="AM40" i="3"/>
  <c r="AM41" i="3"/>
  <c r="AM43" i="3"/>
  <c r="AM45" i="3"/>
  <c r="AM51" i="3"/>
  <c r="AM53" i="3"/>
  <c r="AM61" i="3"/>
  <c r="AM72" i="3"/>
  <c r="AM73" i="3"/>
  <c r="AM74" i="3"/>
  <c r="AM66" i="3"/>
  <c r="AM67" i="3"/>
  <c r="AM68" i="3"/>
  <c r="AM69" i="3"/>
  <c r="AM70" i="3"/>
  <c r="AM71" i="3"/>
  <c r="AM75" i="3"/>
  <c r="AM36" i="3"/>
  <c r="AM37" i="3"/>
  <c r="AM49" i="3"/>
  <c r="AM57" i="3"/>
  <c r="AM77" i="3"/>
  <c r="AM79" i="3"/>
  <c r="AM17" i="3"/>
  <c r="AM17" i="2"/>
  <c r="AM18" i="2"/>
  <c r="AM19" i="3"/>
  <c r="AM19" i="2"/>
  <c r="AM20" i="2"/>
  <c r="AM21" i="3"/>
  <c r="AM21" i="2"/>
  <c r="AM22" i="3"/>
  <c r="AM22" i="2"/>
  <c r="AM23" i="3"/>
  <c r="AM23" i="2"/>
  <c r="AM24" i="3"/>
  <c r="AM24" i="2"/>
  <c r="AM25" i="2"/>
  <c r="AM26" i="2"/>
  <c r="AM27" i="3"/>
  <c r="AM27" i="2"/>
  <c r="AM28" i="2"/>
  <c r="AM29" i="2"/>
  <c r="AM31" i="2"/>
  <c r="AM41" i="2"/>
  <c r="AN121" i="2"/>
  <c r="AN122" i="2"/>
  <c r="AN120" i="2"/>
  <c r="AN119" i="2"/>
  <c r="AN123" i="2"/>
  <c r="AN126" i="2"/>
  <c r="AN127" i="2"/>
  <c r="AN128" i="2"/>
  <c r="AN129" i="2"/>
  <c r="AN132" i="2"/>
  <c r="AN133" i="2"/>
  <c r="AN136" i="2"/>
  <c r="AN137" i="2"/>
  <c r="AN139" i="2"/>
  <c r="AN7" i="2"/>
  <c r="AN163" i="2"/>
  <c r="AN164" i="2"/>
  <c r="AN192" i="2"/>
  <c r="AN193" i="2"/>
  <c r="AN205" i="2"/>
  <c r="AN182" i="2"/>
  <c r="AN183" i="2"/>
  <c r="AN203" i="2"/>
  <c r="AN187" i="2"/>
  <c r="AN189" i="2"/>
  <c r="AN195" i="2"/>
  <c r="AN201" i="2"/>
  <c r="AN208" i="2"/>
  <c r="AN209" i="2"/>
  <c r="AN210" i="2"/>
  <c r="AN211" i="2"/>
  <c r="AN214" i="2"/>
  <c r="AN218" i="2"/>
  <c r="AN219" i="2"/>
  <c r="AN220" i="2"/>
  <c r="AN224" i="2"/>
  <c r="AN228" i="2"/>
  <c r="AN229" i="2"/>
  <c r="AN237" i="2"/>
  <c r="AN243" i="2"/>
  <c r="AN170" i="2"/>
  <c r="AN167" i="2"/>
  <c r="AN169" i="2"/>
  <c r="AN171" i="2"/>
  <c r="AN168" i="2"/>
  <c r="AN172" i="2"/>
  <c r="AN244" i="2"/>
  <c r="AN174" i="2"/>
  <c r="AN143" i="2"/>
  <c r="AN144" i="2"/>
  <c r="AN145" i="2"/>
  <c r="AN146" i="2"/>
  <c r="AN147" i="2"/>
  <c r="AN150" i="2"/>
  <c r="AN156" i="2"/>
  <c r="AN159" i="2"/>
  <c r="AN160" i="2"/>
  <c r="AN176" i="2"/>
  <c r="AN8" i="2"/>
  <c r="AN9" i="2"/>
  <c r="AN97" i="3"/>
  <c r="AN98" i="3"/>
  <c r="AN94" i="3"/>
  <c r="AN95" i="3"/>
  <c r="AN91" i="3"/>
  <c r="AN92" i="3"/>
  <c r="AN99" i="3"/>
  <c r="AN12" i="3"/>
  <c r="AN12" i="2"/>
  <c r="AN13" i="2"/>
  <c r="AN14" i="2"/>
  <c r="AN15" i="2"/>
  <c r="AN16" i="2"/>
  <c r="AN39" i="3"/>
  <c r="AN40" i="3"/>
  <c r="AN41" i="3"/>
  <c r="AN43" i="3"/>
  <c r="AN45" i="3"/>
  <c r="AN51" i="3"/>
  <c r="AN53" i="3"/>
  <c r="AN61" i="3"/>
  <c r="AN72" i="3"/>
  <c r="AN73" i="3"/>
  <c r="AN74" i="3"/>
  <c r="AN66" i="3"/>
  <c r="AN67" i="3"/>
  <c r="AN68" i="3"/>
  <c r="AN69" i="3"/>
  <c r="AN70" i="3"/>
  <c r="AN71" i="3"/>
  <c r="AN75" i="3"/>
  <c r="AN36" i="3"/>
  <c r="AN37" i="3"/>
  <c r="AN49" i="3"/>
  <c r="AN57" i="3"/>
  <c r="AN77" i="3"/>
  <c r="AN79" i="3"/>
  <c r="AN17" i="3"/>
  <c r="AN17" i="2"/>
  <c r="AN18" i="2"/>
  <c r="AN19" i="3"/>
  <c r="AN19" i="2"/>
  <c r="AN20" i="2"/>
  <c r="AN21" i="3"/>
  <c r="AN21" i="2"/>
  <c r="AN22" i="3"/>
  <c r="AN22" i="2"/>
  <c r="AN23" i="3"/>
  <c r="AN23" i="2"/>
  <c r="AN24" i="3"/>
  <c r="AN24" i="2"/>
  <c r="AN25" i="2"/>
  <c r="AN26" i="2"/>
  <c r="AN27" i="3"/>
  <c r="AN27" i="2"/>
  <c r="AN28" i="2"/>
  <c r="AN29" i="2"/>
  <c r="AN31" i="2"/>
  <c r="AN41" i="2"/>
  <c r="AO121" i="2"/>
  <c r="AO122" i="2"/>
  <c r="AO120" i="2"/>
  <c r="AO119" i="2"/>
  <c r="AO123" i="2"/>
  <c r="AO126" i="2"/>
  <c r="AO127" i="2"/>
  <c r="AO128" i="2"/>
  <c r="AO129" i="2"/>
  <c r="AO132" i="2"/>
  <c r="AO133" i="2"/>
  <c r="AO136" i="2"/>
  <c r="AO137" i="2"/>
  <c r="AO139" i="2"/>
  <c r="AO7" i="2"/>
  <c r="AO163" i="2"/>
  <c r="AO164" i="2"/>
  <c r="AO192" i="2"/>
  <c r="AO193" i="2"/>
  <c r="AO205" i="2"/>
  <c r="AO182" i="2"/>
  <c r="AO183" i="2"/>
  <c r="AO203" i="2"/>
  <c r="AO187" i="2"/>
  <c r="AO189" i="2"/>
  <c r="AO195" i="2"/>
  <c r="AO201" i="2"/>
  <c r="AO208" i="2"/>
  <c r="AO209" i="2"/>
  <c r="AO210" i="2"/>
  <c r="AO211" i="2"/>
  <c r="AO214" i="2"/>
  <c r="AO218" i="2"/>
  <c r="AO219" i="2"/>
  <c r="AO220" i="2"/>
  <c r="AO224" i="2"/>
  <c r="AO228" i="2"/>
  <c r="AO229" i="2"/>
  <c r="AO237" i="2"/>
  <c r="AO243" i="2"/>
  <c r="AO170" i="2"/>
  <c r="AO167" i="2"/>
  <c r="AO169" i="2"/>
  <c r="AO171" i="2"/>
  <c r="AO168" i="2"/>
  <c r="AO172" i="2"/>
  <c r="AO244" i="2"/>
  <c r="AO174" i="2"/>
  <c r="AO143" i="2"/>
  <c r="AO144" i="2"/>
  <c r="AO145" i="2"/>
  <c r="AO146" i="2"/>
  <c r="AO147" i="2"/>
  <c r="AO150" i="2"/>
  <c r="AO156" i="2"/>
  <c r="AO159" i="2"/>
  <c r="AO160" i="2"/>
  <c r="AO176" i="2"/>
  <c r="AO8" i="2"/>
  <c r="AO9" i="2"/>
  <c r="AO97" i="3"/>
  <c r="AO98" i="3"/>
  <c r="AO94" i="3"/>
  <c r="AO95" i="3"/>
  <c r="AO91" i="3"/>
  <c r="AO92" i="3"/>
  <c r="AO99" i="3"/>
  <c r="AO12" i="3"/>
  <c r="AO12" i="2"/>
  <c r="AO13" i="2"/>
  <c r="AO14" i="2"/>
  <c r="AO15" i="2"/>
  <c r="AO16" i="2"/>
  <c r="AO39" i="3"/>
  <c r="AO40" i="3"/>
  <c r="AO41" i="3"/>
  <c r="AO43" i="3"/>
  <c r="AO45" i="3"/>
  <c r="AO51" i="3"/>
  <c r="AO53" i="3"/>
  <c r="AO61" i="3"/>
  <c r="AO72" i="3"/>
  <c r="AO73" i="3"/>
  <c r="AO74" i="3"/>
  <c r="AO66" i="3"/>
  <c r="AO67" i="3"/>
  <c r="AO68" i="3"/>
  <c r="AO69" i="3"/>
  <c r="AO70" i="3"/>
  <c r="AO71" i="3"/>
  <c r="AO75" i="3"/>
  <c r="AO36" i="3"/>
  <c r="AO37" i="3"/>
  <c r="AO49" i="3"/>
  <c r="AO57" i="3"/>
  <c r="AO77" i="3"/>
  <c r="AO79" i="3"/>
  <c r="AO17" i="3"/>
  <c r="AO17" i="2"/>
  <c r="AO18" i="2"/>
  <c r="AO19" i="3"/>
  <c r="AO19" i="2"/>
  <c r="AO20" i="2"/>
  <c r="AO21" i="3"/>
  <c r="AO21" i="2"/>
  <c r="AO22" i="3"/>
  <c r="AO22" i="2"/>
  <c r="AO23" i="3"/>
  <c r="AO23" i="2"/>
  <c r="AO24" i="3"/>
  <c r="AO24" i="2"/>
  <c r="AO25" i="2"/>
  <c r="AO26" i="2"/>
  <c r="AO27" i="3"/>
  <c r="AO27" i="2"/>
  <c r="AO28" i="2"/>
  <c r="AO29" i="2"/>
  <c r="AO31" i="2"/>
  <c r="AO41" i="2"/>
  <c r="AP121" i="2"/>
  <c r="AP122" i="2"/>
  <c r="AP120" i="2"/>
  <c r="AP119" i="2"/>
  <c r="AP123" i="2"/>
  <c r="AP126" i="2"/>
  <c r="AP127" i="2"/>
  <c r="AP128" i="2"/>
  <c r="AP129" i="2"/>
  <c r="AP132" i="2"/>
  <c r="AP133" i="2"/>
  <c r="AP136" i="2"/>
  <c r="AP137" i="2"/>
  <c r="AP139" i="2"/>
  <c r="AP7" i="2"/>
  <c r="AP163" i="2"/>
  <c r="AP164" i="2"/>
  <c r="AP192" i="2"/>
  <c r="AP193" i="2"/>
  <c r="AP205" i="2"/>
  <c r="AP182" i="2"/>
  <c r="AP183" i="2"/>
  <c r="AP203" i="2"/>
  <c r="AP187" i="2"/>
  <c r="AP189" i="2"/>
  <c r="AP195" i="2"/>
  <c r="AP201" i="2"/>
  <c r="AP208" i="2"/>
  <c r="AP209" i="2"/>
  <c r="AP210" i="2"/>
  <c r="AP211" i="2"/>
  <c r="AP214" i="2"/>
  <c r="AP218" i="2"/>
  <c r="AP219" i="2"/>
  <c r="AP220" i="2"/>
  <c r="AP224" i="2"/>
  <c r="AP228" i="2"/>
  <c r="AP229" i="2"/>
  <c r="AP237" i="2"/>
  <c r="AP243" i="2"/>
  <c r="AP170" i="2"/>
  <c r="AP167" i="2"/>
  <c r="AP169" i="2"/>
  <c r="AP171" i="2"/>
  <c r="AP168" i="2"/>
  <c r="AP172" i="2"/>
  <c r="AP244" i="2"/>
  <c r="AP174" i="2"/>
  <c r="AP143" i="2"/>
  <c r="AP144" i="2"/>
  <c r="AP145" i="2"/>
  <c r="AP146" i="2"/>
  <c r="AP147" i="2"/>
  <c r="AP150" i="2"/>
  <c r="AP156" i="2"/>
  <c r="AP159" i="2"/>
  <c r="AP160" i="2"/>
  <c r="AP176" i="2"/>
  <c r="AP8" i="2"/>
  <c r="AP9" i="2"/>
  <c r="AP97" i="3"/>
  <c r="AP98" i="3"/>
  <c r="AP94" i="3"/>
  <c r="AP95" i="3"/>
  <c r="AP91" i="3"/>
  <c r="AP92" i="3"/>
  <c r="AP99" i="3"/>
  <c r="AP12" i="3"/>
  <c r="AP12" i="2"/>
  <c r="AP13" i="2"/>
  <c r="AP14" i="2"/>
  <c r="AP15" i="2"/>
  <c r="AP16" i="2"/>
  <c r="AP39" i="3"/>
  <c r="AP40" i="3"/>
  <c r="AP41" i="3"/>
  <c r="AP43" i="3"/>
  <c r="AP45" i="3"/>
  <c r="AP51" i="3"/>
  <c r="AP53" i="3"/>
  <c r="AP61" i="3"/>
  <c r="AP72" i="3"/>
  <c r="AP73" i="3"/>
  <c r="AP74" i="3"/>
  <c r="AP66" i="3"/>
  <c r="AP67" i="3"/>
  <c r="AP68" i="3"/>
  <c r="AP69" i="3"/>
  <c r="AP70" i="3"/>
  <c r="AP71" i="3"/>
  <c r="AP75" i="3"/>
  <c r="AP36" i="3"/>
  <c r="AP37" i="3"/>
  <c r="AP49" i="3"/>
  <c r="AP57" i="3"/>
  <c r="AP77" i="3"/>
  <c r="AP79" i="3"/>
  <c r="AP17" i="3"/>
  <c r="AP17" i="2"/>
  <c r="AP18" i="2"/>
  <c r="AP19" i="3"/>
  <c r="AP19" i="2"/>
  <c r="AP20" i="2"/>
  <c r="AP21" i="3"/>
  <c r="AP21" i="2"/>
  <c r="AP22" i="3"/>
  <c r="AP22" i="2"/>
  <c r="AP23" i="3"/>
  <c r="AP23" i="2"/>
  <c r="AP24" i="3"/>
  <c r="AP24" i="2"/>
  <c r="AP25" i="2"/>
  <c r="AP26" i="2"/>
  <c r="AP27" i="3"/>
  <c r="AP27" i="2"/>
  <c r="AP28" i="2"/>
  <c r="AP29" i="2"/>
  <c r="AP31" i="2"/>
  <c r="AP41" i="2"/>
  <c r="AQ121" i="2"/>
  <c r="AQ122" i="2"/>
  <c r="AQ120" i="2"/>
  <c r="AQ119" i="2"/>
  <c r="AQ123" i="2"/>
  <c r="AQ126" i="2"/>
  <c r="AQ127" i="2"/>
  <c r="AQ128" i="2"/>
  <c r="AQ129" i="2"/>
  <c r="AQ132" i="2"/>
  <c r="AQ133" i="2"/>
  <c r="AQ136" i="2"/>
  <c r="AQ137" i="2"/>
  <c r="AQ139" i="2"/>
  <c r="AQ7" i="2"/>
  <c r="AQ163" i="2"/>
  <c r="AQ164" i="2"/>
  <c r="AQ192" i="2"/>
  <c r="AQ193" i="2"/>
  <c r="AQ205" i="2"/>
  <c r="AQ182" i="2"/>
  <c r="AQ183" i="2"/>
  <c r="AQ203" i="2"/>
  <c r="AQ187" i="2"/>
  <c r="AQ189" i="2"/>
  <c r="AQ195" i="2"/>
  <c r="AQ201" i="2"/>
  <c r="AQ208" i="2"/>
  <c r="AQ209" i="2"/>
  <c r="AQ210" i="2"/>
  <c r="AQ211" i="2"/>
  <c r="AQ214" i="2"/>
  <c r="AQ218" i="2"/>
  <c r="AQ219" i="2"/>
  <c r="AQ220" i="2"/>
  <c r="AQ224" i="2"/>
  <c r="AQ228" i="2"/>
  <c r="AQ229" i="2"/>
  <c r="AQ237" i="2"/>
  <c r="AQ243" i="2"/>
  <c r="AQ170" i="2"/>
  <c r="AQ167" i="2"/>
  <c r="AQ169" i="2"/>
  <c r="AQ171" i="2"/>
  <c r="AQ168" i="2"/>
  <c r="AQ172" i="2"/>
  <c r="AQ244" i="2"/>
  <c r="AQ174" i="2"/>
  <c r="AQ143" i="2"/>
  <c r="AQ144" i="2"/>
  <c r="AQ145" i="2"/>
  <c r="AQ146" i="2"/>
  <c r="AQ147" i="2"/>
  <c r="AQ150" i="2"/>
  <c r="AQ156" i="2"/>
  <c r="AQ159" i="2"/>
  <c r="AQ160" i="2"/>
  <c r="AQ176" i="2"/>
  <c r="AQ8" i="2"/>
  <c r="AQ9" i="2"/>
  <c r="AQ97" i="3"/>
  <c r="AQ98" i="3"/>
  <c r="AQ94" i="3"/>
  <c r="AQ95" i="3"/>
  <c r="AQ91" i="3"/>
  <c r="AQ92" i="3"/>
  <c r="AQ99" i="3"/>
  <c r="AQ12" i="3"/>
  <c r="AQ12" i="2"/>
  <c r="AQ13" i="2"/>
  <c r="AQ14" i="2"/>
  <c r="AQ15" i="2"/>
  <c r="AQ16" i="2"/>
  <c r="AQ39" i="3"/>
  <c r="AQ40" i="3"/>
  <c r="AQ41" i="3"/>
  <c r="AQ43" i="3"/>
  <c r="AQ45" i="3"/>
  <c r="AQ51" i="3"/>
  <c r="AQ53" i="3"/>
  <c r="AQ61" i="3"/>
  <c r="AQ72" i="3"/>
  <c r="AQ73" i="3"/>
  <c r="AQ74" i="3"/>
  <c r="AQ66" i="3"/>
  <c r="AQ67" i="3"/>
  <c r="AQ68" i="3"/>
  <c r="AQ69" i="3"/>
  <c r="AQ70" i="3"/>
  <c r="AQ71" i="3"/>
  <c r="AQ75" i="3"/>
  <c r="AQ36" i="3"/>
  <c r="AQ37" i="3"/>
  <c r="AQ49" i="3"/>
  <c r="AQ57" i="3"/>
  <c r="AQ77" i="3"/>
  <c r="AQ79" i="3"/>
  <c r="AQ17" i="3"/>
  <c r="AQ17" i="2"/>
  <c r="AQ18" i="2"/>
  <c r="AQ19" i="3"/>
  <c r="AQ19" i="2"/>
  <c r="AQ20" i="2"/>
  <c r="AQ21" i="3"/>
  <c r="AQ21" i="2"/>
  <c r="AQ22" i="3"/>
  <c r="AQ22" i="2"/>
  <c r="AQ23" i="3"/>
  <c r="AQ23" i="2"/>
  <c r="AQ24" i="3"/>
  <c r="AQ24" i="2"/>
  <c r="AQ25" i="2"/>
  <c r="AQ26" i="2"/>
  <c r="AQ27" i="3"/>
  <c r="AQ27" i="2"/>
  <c r="AQ28" i="2"/>
  <c r="AQ29" i="2"/>
  <c r="AQ31" i="2"/>
  <c r="AQ41" i="2"/>
  <c r="AR121" i="2"/>
  <c r="AR122" i="2"/>
  <c r="AR120" i="2"/>
  <c r="AR119" i="2"/>
  <c r="AR123" i="2"/>
  <c r="AR126" i="2"/>
  <c r="AR127" i="2"/>
  <c r="AR128" i="2"/>
  <c r="AR129" i="2"/>
  <c r="AR132" i="2"/>
  <c r="AR133" i="2"/>
  <c r="AR136" i="2"/>
  <c r="AR137" i="2"/>
  <c r="AR139" i="2"/>
  <c r="AR7" i="2"/>
  <c r="AR163" i="2"/>
  <c r="AR164" i="2"/>
  <c r="AR192" i="2"/>
  <c r="AR193" i="2"/>
  <c r="AR205" i="2"/>
  <c r="AR182" i="2"/>
  <c r="AR183" i="2"/>
  <c r="AR203" i="2"/>
  <c r="AR187" i="2"/>
  <c r="AR189" i="2"/>
  <c r="AR195" i="2"/>
  <c r="AR201" i="2"/>
  <c r="AR208" i="2"/>
  <c r="AR209" i="2"/>
  <c r="AR210" i="2"/>
  <c r="AR211" i="2"/>
  <c r="AR214" i="2"/>
  <c r="AR218" i="2"/>
  <c r="AR219" i="2"/>
  <c r="AR220" i="2"/>
  <c r="AR224" i="2"/>
  <c r="AR228" i="2"/>
  <c r="AR229" i="2"/>
  <c r="AR237" i="2"/>
  <c r="AR243" i="2"/>
  <c r="AR170" i="2"/>
  <c r="AR167" i="2"/>
  <c r="AR169" i="2"/>
  <c r="AR171" i="2"/>
  <c r="AR168" i="2"/>
  <c r="AR172" i="2"/>
  <c r="AR244" i="2"/>
  <c r="AR174" i="2"/>
  <c r="AR143" i="2"/>
  <c r="AR144" i="2"/>
  <c r="AR145" i="2"/>
  <c r="AR146" i="2"/>
  <c r="AR147" i="2"/>
  <c r="AR150" i="2"/>
  <c r="AR156" i="2"/>
  <c r="AR159" i="2"/>
  <c r="AR160" i="2"/>
  <c r="AR176" i="2"/>
  <c r="AR8" i="2"/>
  <c r="AR9" i="2"/>
  <c r="AR97" i="3"/>
  <c r="AR98" i="3"/>
  <c r="AR94" i="3"/>
  <c r="AR95" i="3"/>
  <c r="AR91" i="3"/>
  <c r="AR92" i="3"/>
  <c r="AR99" i="3"/>
  <c r="AR12" i="3"/>
  <c r="AR12" i="2"/>
  <c r="AR13" i="2"/>
  <c r="AR14" i="2"/>
  <c r="AR15" i="2"/>
  <c r="AR16" i="2"/>
  <c r="AR39" i="3"/>
  <c r="AR40" i="3"/>
  <c r="AR41" i="3"/>
  <c r="AR43" i="3"/>
  <c r="AR45" i="3"/>
  <c r="AR51" i="3"/>
  <c r="AR53" i="3"/>
  <c r="AR61" i="3"/>
  <c r="AR72" i="3"/>
  <c r="AR73" i="3"/>
  <c r="AR74" i="3"/>
  <c r="AR66" i="3"/>
  <c r="AR67" i="3"/>
  <c r="AR68" i="3"/>
  <c r="AR69" i="3"/>
  <c r="AR70" i="3"/>
  <c r="AR71" i="3"/>
  <c r="AR75" i="3"/>
  <c r="AR36" i="3"/>
  <c r="AR37" i="3"/>
  <c r="AR49" i="3"/>
  <c r="AR57" i="3"/>
  <c r="AR77" i="3"/>
  <c r="AR79" i="3"/>
  <c r="AR17" i="3"/>
  <c r="AR17" i="2"/>
  <c r="AR18" i="2"/>
  <c r="AR19" i="3"/>
  <c r="AR19" i="2"/>
  <c r="AR20" i="2"/>
  <c r="AR21" i="3"/>
  <c r="AR21" i="2"/>
  <c r="AR22" i="3"/>
  <c r="AR22" i="2"/>
  <c r="AR23" i="3"/>
  <c r="AR23" i="2"/>
  <c r="AR24" i="3"/>
  <c r="AR24" i="2"/>
  <c r="AR25" i="2"/>
  <c r="AR26" i="2"/>
  <c r="AR27" i="3"/>
  <c r="AR27" i="2"/>
  <c r="AR28" i="2"/>
  <c r="AR29" i="2"/>
  <c r="AR31" i="2"/>
  <c r="AR41" i="2"/>
  <c r="AS121" i="2"/>
  <c r="AS122" i="2"/>
  <c r="AS120" i="2"/>
  <c r="AS119" i="2"/>
  <c r="AS123" i="2"/>
  <c r="AS126" i="2"/>
  <c r="AS127" i="2"/>
  <c r="AS128" i="2"/>
  <c r="AS129" i="2"/>
  <c r="AS132" i="2"/>
  <c r="AS133" i="2"/>
  <c r="AS136" i="2"/>
  <c r="AS137" i="2"/>
  <c r="AS139" i="2"/>
  <c r="AS7" i="2"/>
  <c r="AS163" i="2"/>
  <c r="AS164" i="2"/>
  <c r="AS192" i="2"/>
  <c r="AS193" i="2"/>
  <c r="AS205" i="2"/>
  <c r="AS182" i="2"/>
  <c r="AS183" i="2"/>
  <c r="AS203" i="2"/>
  <c r="AS187" i="2"/>
  <c r="AS189" i="2"/>
  <c r="AS195" i="2"/>
  <c r="AS201" i="2"/>
  <c r="AS208" i="2"/>
  <c r="AS209" i="2"/>
  <c r="AS210" i="2"/>
  <c r="AS211" i="2"/>
  <c r="AS214" i="2"/>
  <c r="AS218" i="2"/>
  <c r="AS219" i="2"/>
  <c r="AS220" i="2"/>
  <c r="AS224" i="2"/>
  <c r="AS228" i="2"/>
  <c r="AS229" i="2"/>
  <c r="AS237" i="2"/>
  <c r="AS243" i="2"/>
  <c r="AS170" i="2"/>
  <c r="AS167" i="2"/>
  <c r="AS169" i="2"/>
  <c r="AS171" i="2"/>
  <c r="AS168" i="2"/>
  <c r="AS172" i="2"/>
  <c r="AS244" i="2"/>
  <c r="AS174" i="2"/>
  <c r="AS143" i="2"/>
  <c r="AS144" i="2"/>
  <c r="AS145" i="2"/>
  <c r="AS146" i="2"/>
  <c r="AS147" i="2"/>
  <c r="AS150" i="2"/>
  <c r="AS156" i="2"/>
  <c r="AS159" i="2"/>
  <c r="AS160" i="2"/>
  <c r="AS176" i="2"/>
  <c r="AS8" i="2"/>
  <c r="AS9" i="2"/>
  <c r="AS97" i="3"/>
  <c r="AS98" i="3"/>
  <c r="AS94" i="3"/>
  <c r="AS95" i="3"/>
  <c r="AS91" i="3"/>
  <c r="AS92" i="3"/>
  <c r="AS99" i="3"/>
  <c r="AS12" i="3"/>
  <c r="AS12" i="2"/>
  <c r="AS13" i="2"/>
  <c r="AS14" i="2"/>
  <c r="AS15" i="2"/>
  <c r="AS16" i="2"/>
  <c r="AS39" i="3"/>
  <c r="AS40" i="3"/>
  <c r="AS41" i="3"/>
  <c r="AS43" i="3"/>
  <c r="AS45" i="3"/>
  <c r="AS51" i="3"/>
  <c r="AS53" i="3"/>
  <c r="AS61" i="3"/>
  <c r="AS72" i="3"/>
  <c r="AS73" i="3"/>
  <c r="AS74" i="3"/>
  <c r="AS66" i="3"/>
  <c r="AS67" i="3"/>
  <c r="AS68" i="3"/>
  <c r="AS69" i="3"/>
  <c r="AS70" i="3"/>
  <c r="AS71" i="3"/>
  <c r="AS75" i="3"/>
  <c r="AS36" i="3"/>
  <c r="AS37" i="3"/>
  <c r="AS49" i="3"/>
  <c r="AS57" i="3"/>
  <c r="AS77" i="3"/>
  <c r="AS79" i="3"/>
  <c r="AS17" i="3"/>
  <c r="AS17" i="2"/>
  <c r="AS18" i="2"/>
  <c r="AS19" i="3"/>
  <c r="AS19" i="2"/>
  <c r="AS20" i="2"/>
  <c r="AS21" i="3"/>
  <c r="AS21" i="2"/>
  <c r="AS22" i="3"/>
  <c r="AS22" i="2"/>
  <c r="AS23" i="3"/>
  <c r="AS23" i="2"/>
  <c r="AS24" i="3"/>
  <c r="AS24" i="2"/>
  <c r="AS25" i="2"/>
  <c r="AS26" i="2"/>
  <c r="AS27" i="3"/>
  <c r="AS27" i="2"/>
  <c r="AS28" i="2"/>
  <c r="AS29" i="2"/>
  <c r="AS31" i="2"/>
  <c r="AS41" i="2"/>
  <c r="AT121" i="2"/>
  <c r="AT122" i="2"/>
  <c r="AT120" i="2"/>
  <c r="AT119" i="2"/>
  <c r="AT123" i="2"/>
  <c r="AT126" i="2"/>
  <c r="AT127" i="2"/>
  <c r="AT128" i="2"/>
  <c r="AT129" i="2"/>
  <c r="AT132" i="2"/>
  <c r="AT133" i="2"/>
  <c r="AT136" i="2"/>
  <c r="AT137" i="2"/>
  <c r="AT139" i="2"/>
  <c r="AT7" i="2"/>
  <c r="AT163" i="2"/>
  <c r="AT164" i="2"/>
  <c r="AT192" i="2"/>
  <c r="AT193" i="2"/>
  <c r="AT205" i="2"/>
  <c r="AT182" i="2"/>
  <c r="AT183" i="2"/>
  <c r="AT203" i="2"/>
  <c r="AT187" i="2"/>
  <c r="AT189" i="2"/>
  <c r="AT195" i="2"/>
  <c r="AT201" i="2"/>
  <c r="AT208" i="2"/>
  <c r="AT209" i="2"/>
  <c r="AT210" i="2"/>
  <c r="AT211" i="2"/>
  <c r="AT214" i="2"/>
  <c r="AT218" i="2"/>
  <c r="AT219" i="2"/>
  <c r="AT220" i="2"/>
  <c r="AT224" i="2"/>
  <c r="AT228" i="2"/>
  <c r="AT229" i="2"/>
  <c r="AT237" i="2"/>
  <c r="AT243" i="2"/>
  <c r="AT170" i="2"/>
  <c r="AT167" i="2"/>
  <c r="AT169" i="2"/>
  <c r="AT171" i="2"/>
  <c r="AT168" i="2"/>
  <c r="AT172" i="2"/>
  <c r="AT244" i="2"/>
  <c r="AT174" i="2"/>
  <c r="AT143" i="2"/>
  <c r="AT144" i="2"/>
  <c r="AT145" i="2"/>
  <c r="AT146" i="2"/>
  <c r="AT147" i="2"/>
  <c r="AT150" i="2"/>
  <c r="AT156" i="2"/>
  <c r="AT159" i="2"/>
  <c r="AT160" i="2"/>
  <c r="AT176" i="2"/>
  <c r="AT8" i="2"/>
  <c r="AT9" i="2"/>
  <c r="AT97" i="3"/>
  <c r="AT98" i="3"/>
  <c r="AT94" i="3"/>
  <c r="AT95" i="3"/>
  <c r="AT91" i="3"/>
  <c r="AT92" i="3"/>
  <c r="AT99" i="3"/>
  <c r="AT12" i="3"/>
  <c r="AT12" i="2"/>
  <c r="AT13" i="2"/>
  <c r="AT14" i="2"/>
  <c r="AT15" i="2"/>
  <c r="AT16" i="2"/>
  <c r="AT39" i="3"/>
  <c r="AT40" i="3"/>
  <c r="AT41" i="3"/>
  <c r="AT43" i="3"/>
  <c r="AT45" i="3"/>
  <c r="AT51" i="3"/>
  <c r="AT53" i="3"/>
  <c r="AT61" i="3"/>
  <c r="AT72" i="3"/>
  <c r="AT73" i="3"/>
  <c r="AT74" i="3"/>
  <c r="AT66" i="3"/>
  <c r="AT67" i="3"/>
  <c r="AT68" i="3"/>
  <c r="AT69" i="3"/>
  <c r="AT70" i="3"/>
  <c r="AT71" i="3"/>
  <c r="AT75" i="3"/>
  <c r="AT36" i="3"/>
  <c r="AT37" i="3"/>
  <c r="AT49" i="3"/>
  <c r="AT57" i="3"/>
  <c r="AT77" i="3"/>
  <c r="AT79" i="3"/>
  <c r="AT17" i="3"/>
  <c r="AT17" i="2"/>
  <c r="AT18" i="2"/>
  <c r="AT19" i="3"/>
  <c r="AT19" i="2"/>
  <c r="AT20" i="2"/>
  <c r="AT21" i="3"/>
  <c r="AT21" i="2"/>
  <c r="AT22" i="3"/>
  <c r="AT22" i="2"/>
  <c r="AT23" i="3"/>
  <c r="AT23" i="2"/>
  <c r="AT24" i="3"/>
  <c r="AT24" i="2"/>
  <c r="AT25" i="2"/>
  <c r="AT26" i="2"/>
  <c r="AT27" i="3"/>
  <c r="AT27" i="2"/>
  <c r="AT28" i="2"/>
  <c r="AT29" i="2"/>
  <c r="AT31" i="2"/>
  <c r="AT41" i="2"/>
  <c r="AU121" i="2"/>
  <c r="AU122" i="2"/>
  <c r="AU120" i="2"/>
  <c r="AU119" i="2"/>
  <c r="AU123" i="2"/>
  <c r="AU126" i="2"/>
  <c r="AU127" i="2"/>
  <c r="AU128" i="2"/>
  <c r="AU129" i="2"/>
  <c r="AU132" i="2"/>
  <c r="AU133" i="2"/>
  <c r="AU136" i="2"/>
  <c r="AU137" i="2"/>
  <c r="AU139" i="2"/>
  <c r="AU7" i="2"/>
  <c r="AU163" i="2"/>
  <c r="AU164" i="2"/>
  <c r="AU192" i="2"/>
  <c r="AU193" i="2"/>
  <c r="AU205" i="2"/>
  <c r="AU182" i="2"/>
  <c r="AU183" i="2"/>
  <c r="AU203" i="2"/>
  <c r="AU187" i="2"/>
  <c r="AU189" i="2"/>
  <c r="AU195" i="2"/>
  <c r="AU201" i="2"/>
  <c r="AU208" i="2"/>
  <c r="AU209" i="2"/>
  <c r="AU210" i="2"/>
  <c r="AU211" i="2"/>
  <c r="AU214" i="2"/>
  <c r="AU218" i="2"/>
  <c r="AU219" i="2"/>
  <c r="AU220" i="2"/>
  <c r="AU224" i="2"/>
  <c r="AU228" i="2"/>
  <c r="AU229" i="2"/>
  <c r="AU237" i="2"/>
  <c r="AU243" i="2"/>
  <c r="AU170" i="2"/>
  <c r="AU167" i="2"/>
  <c r="AU169" i="2"/>
  <c r="AU171" i="2"/>
  <c r="AU168" i="2"/>
  <c r="AU172" i="2"/>
  <c r="AU244" i="2"/>
  <c r="AU174" i="2"/>
  <c r="AU143" i="2"/>
  <c r="AU144" i="2"/>
  <c r="AU145" i="2"/>
  <c r="AU146" i="2"/>
  <c r="AU147" i="2"/>
  <c r="AU150" i="2"/>
  <c r="AU156" i="2"/>
  <c r="AU159" i="2"/>
  <c r="AU160" i="2"/>
  <c r="AU176" i="2"/>
  <c r="AU8" i="2"/>
  <c r="AU9" i="2"/>
  <c r="AU97" i="3"/>
  <c r="AU98" i="3"/>
  <c r="AU94" i="3"/>
  <c r="AU95" i="3"/>
  <c r="AU91" i="3"/>
  <c r="AU92" i="3"/>
  <c r="AU99" i="3"/>
  <c r="AU12" i="3"/>
  <c r="AU12" i="2"/>
  <c r="AU13" i="2"/>
  <c r="AU14" i="2"/>
  <c r="AU15" i="2"/>
  <c r="AU16" i="2"/>
  <c r="AU39" i="3"/>
  <c r="AU40" i="3"/>
  <c r="AU41" i="3"/>
  <c r="AU43" i="3"/>
  <c r="AU45" i="3"/>
  <c r="AU51" i="3"/>
  <c r="AU53" i="3"/>
  <c r="AU61" i="3"/>
  <c r="AU72" i="3"/>
  <c r="AU73" i="3"/>
  <c r="AU74" i="3"/>
  <c r="AU66" i="3"/>
  <c r="AU67" i="3"/>
  <c r="AU68" i="3"/>
  <c r="AU69" i="3"/>
  <c r="AU70" i="3"/>
  <c r="AU71" i="3"/>
  <c r="AU75" i="3"/>
  <c r="AU36" i="3"/>
  <c r="AU37" i="3"/>
  <c r="AU49" i="3"/>
  <c r="AU57" i="3"/>
  <c r="AU77" i="3"/>
  <c r="AU79" i="3"/>
  <c r="AU17" i="3"/>
  <c r="AU17" i="2"/>
  <c r="AU18" i="2"/>
  <c r="AU19" i="3"/>
  <c r="AU19" i="2"/>
  <c r="AU20" i="2"/>
  <c r="AU21" i="3"/>
  <c r="AU21" i="2"/>
  <c r="AU22" i="3"/>
  <c r="AU22" i="2"/>
  <c r="AU23" i="3"/>
  <c r="AU23" i="2"/>
  <c r="AU24" i="3"/>
  <c r="AU24" i="2"/>
  <c r="AU25" i="2"/>
  <c r="AU26" i="2"/>
  <c r="AU27" i="3"/>
  <c r="AU27" i="2"/>
  <c r="AU28" i="2"/>
  <c r="AU29" i="2"/>
  <c r="AU31" i="2"/>
  <c r="AU41" i="2"/>
  <c r="AV121" i="2"/>
  <c r="AV122" i="2"/>
  <c r="AV120" i="2"/>
  <c r="AV119" i="2"/>
  <c r="AV123" i="2"/>
  <c r="AV126" i="2"/>
  <c r="AV127" i="2"/>
  <c r="AV128" i="2"/>
  <c r="AV129" i="2"/>
  <c r="AV132" i="2"/>
  <c r="AV133" i="2"/>
  <c r="AV136" i="2"/>
  <c r="AV137" i="2"/>
  <c r="AV139" i="2"/>
  <c r="AV7" i="2"/>
  <c r="AV163" i="2"/>
  <c r="AV164" i="2"/>
  <c r="AV192" i="2"/>
  <c r="AV193" i="2"/>
  <c r="AV205" i="2"/>
  <c r="AV182" i="2"/>
  <c r="AV183" i="2"/>
  <c r="AV203" i="2"/>
  <c r="AV187" i="2"/>
  <c r="AV189" i="2"/>
  <c r="AV195" i="2"/>
  <c r="AV201" i="2"/>
  <c r="AV208" i="2"/>
  <c r="AV209" i="2"/>
  <c r="AV210" i="2"/>
  <c r="AV211" i="2"/>
  <c r="AV214" i="2"/>
  <c r="AV218" i="2"/>
  <c r="AV219" i="2"/>
  <c r="AV220" i="2"/>
  <c r="AV224" i="2"/>
  <c r="AV228" i="2"/>
  <c r="AV229" i="2"/>
  <c r="AV237" i="2"/>
  <c r="AV243" i="2"/>
  <c r="AV170" i="2"/>
  <c r="AV167" i="2"/>
  <c r="AV169" i="2"/>
  <c r="AV171" i="2"/>
  <c r="AV168" i="2"/>
  <c r="AV172" i="2"/>
  <c r="AV244" i="2"/>
  <c r="AV174" i="2"/>
  <c r="AV143" i="2"/>
  <c r="AV144" i="2"/>
  <c r="AV145" i="2"/>
  <c r="AV146" i="2"/>
  <c r="AV147" i="2"/>
  <c r="AV150" i="2"/>
  <c r="AV156" i="2"/>
  <c r="AV159" i="2"/>
  <c r="AV160" i="2"/>
  <c r="AV176" i="2"/>
  <c r="AV8" i="2"/>
  <c r="AV9" i="2"/>
  <c r="AV97" i="3"/>
  <c r="AV98" i="3"/>
  <c r="AV94" i="3"/>
  <c r="AV95" i="3"/>
  <c r="AV91" i="3"/>
  <c r="AV92" i="3"/>
  <c r="AV99" i="3"/>
  <c r="AV12" i="3"/>
  <c r="AV12" i="2"/>
  <c r="AV13" i="2"/>
  <c r="AV14" i="2"/>
  <c r="AV15" i="2"/>
  <c r="AV16" i="2"/>
  <c r="AV39" i="3"/>
  <c r="AV40" i="3"/>
  <c r="AV41" i="3"/>
  <c r="AV43" i="3"/>
  <c r="AV45" i="3"/>
  <c r="AV51" i="3"/>
  <c r="AV53" i="3"/>
  <c r="AV61" i="3"/>
  <c r="AV72" i="3"/>
  <c r="AV73" i="3"/>
  <c r="AV74" i="3"/>
  <c r="AV66" i="3"/>
  <c r="AV67" i="3"/>
  <c r="AV68" i="3"/>
  <c r="AV69" i="3"/>
  <c r="AV70" i="3"/>
  <c r="AV71" i="3"/>
  <c r="AV75" i="3"/>
  <c r="AV36" i="3"/>
  <c r="AV37" i="3"/>
  <c r="AV49" i="3"/>
  <c r="AV57" i="3"/>
  <c r="AV77" i="3"/>
  <c r="AV79" i="3"/>
  <c r="AV17" i="3"/>
  <c r="AV17" i="2"/>
  <c r="AV18" i="2"/>
  <c r="AV19" i="3"/>
  <c r="AV19" i="2"/>
  <c r="AV20" i="2"/>
  <c r="AV21" i="3"/>
  <c r="AV21" i="2"/>
  <c r="AV22" i="3"/>
  <c r="AV22" i="2"/>
  <c r="AV23" i="3"/>
  <c r="AV23" i="2"/>
  <c r="AV24" i="3"/>
  <c r="AV24" i="2"/>
  <c r="AV25" i="2"/>
  <c r="AV26" i="2"/>
  <c r="AV27" i="3"/>
  <c r="AV27" i="2"/>
  <c r="AV28" i="2"/>
  <c r="AV29" i="2"/>
  <c r="AV31" i="2"/>
  <c r="AV41" i="2"/>
  <c r="AW121" i="2"/>
  <c r="AW122" i="2"/>
  <c r="AW120" i="2"/>
  <c r="AW119" i="2"/>
  <c r="AW123" i="2"/>
  <c r="AW126" i="2"/>
  <c r="AW127" i="2"/>
  <c r="AW128" i="2"/>
  <c r="AW129" i="2"/>
  <c r="AW132" i="2"/>
  <c r="AW133" i="2"/>
  <c r="AW136" i="2"/>
  <c r="AW137" i="2"/>
  <c r="AW139" i="2"/>
  <c r="AW7" i="2"/>
  <c r="AW163" i="2"/>
  <c r="AW164" i="2"/>
  <c r="AW192" i="2"/>
  <c r="AW193" i="2"/>
  <c r="AW205" i="2"/>
  <c r="AW182" i="2"/>
  <c r="AW183" i="2"/>
  <c r="AW203" i="2"/>
  <c r="AW187" i="2"/>
  <c r="AW189" i="2"/>
  <c r="AW195" i="2"/>
  <c r="AW201" i="2"/>
  <c r="AW208" i="2"/>
  <c r="AW209" i="2"/>
  <c r="AW210" i="2"/>
  <c r="AW211" i="2"/>
  <c r="AW214" i="2"/>
  <c r="AW218" i="2"/>
  <c r="AW219" i="2"/>
  <c r="AW220" i="2"/>
  <c r="AW224" i="2"/>
  <c r="AW228" i="2"/>
  <c r="AW229" i="2"/>
  <c r="AW237" i="2"/>
  <c r="AW243" i="2"/>
  <c r="AW170" i="2"/>
  <c r="AW167" i="2"/>
  <c r="AW169" i="2"/>
  <c r="AW171" i="2"/>
  <c r="AW168" i="2"/>
  <c r="AW172" i="2"/>
  <c r="AW244" i="2"/>
  <c r="AW174" i="2"/>
  <c r="AW143" i="2"/>
  <c r="AW144" i="2"/>
  <c r="AW145" i="2"/>
  <c r="AW146" i="2"/>
  <c r="AW147" i="2"/>
  <c r="AW150" i="2"/>
  <c r="AW156" i="2"/>
  <c r="AW159" i="2"/>
  <c r="AW160" i="2"/>
  <c r="AW176" i="2"/>
  <c r="AW8" i="2"/>
  <c r="AW9" i="2"/>
  <c r="AW97" i="3"/>
  <c r="AW98" i="3"/>
  <c r="AW94" i="3"/>
  <c r="AW95" i="3"/>
  <c r="AW91" i="3"/>
  <c r="AW92" i="3"/>
  <c r="AW99" i="3"/>
  <c r="AW12" i="3"/>
  <c r="AW12" i="2"/>
  <c r="AW13" i="2"/>
  <c r="AW14" i="2"/>
  <c r="AW15" i="2"/>
  <c r="AW16" i="2"/>
  <c r="AW39" i="3"/>
  <c r="AW40" i="3"/>
  <c r="AW41" i="3"/>
  <c r="AW43" i="3"/>
  <c r="AW45" i="3"/>
  <c r="AW51" i="3"/>
  <c r="AW53" i="3"/>
  <c r="AW61" i="3"/>
  <c r="AW72" i="3"/>
  <c r="AW73" i="3"/>
  <c r="AW74" i="3"/>
  <c r="AW66" i="3"/>
  <c r="AW67" i="3"/>
  <c r="AW68" i="3"/>
  <c r="AW69" i="3"/>
  <c r="AW70" i="3"/>
  <c r="AW71" i="3"/>
  <c r="AW75" i="3"/>
  <c r="AW36" i="3"/>
  <c r="AW37" i="3"/>
  <c r="AW49" i="3"/>
  <c r="AW57" i="3"/>
  <c r="AW77" i="3"/>
  <c r="AW79" i="3"/>
  <c r="AW17" i="3"/>
  <c r="AW17" i="2"/>
  <c r="AW18" i="2"/>
  <c r="AW19" i="3"/>
  <c r="AW19" i="2"/>
  <c r="AW20" i="2"/>
  <c r="AW21" i="3"/>
  <c r="AW21" i="2"/>
  <c r="AW22" i="3"/>
  <c r="AW22" i="2"/>
  <c r="AW23" i="3"/>
  <c r="AW23" i="2"/>
  <c r="AW24" i="3"/>
  <c r="AW24" i="2"/>
  <c r="AW25" i="2"/>
  <c r="AW26" i="2"/>
  <c r="AW27" i="3"/>
  <c r="AW27" i="2"/>
  <c r="AW28" i="2"/>
  <c r="AW29" i="2"/>
  <c r="AW31" i="2"/>
  <c r="AW41" i="2"/>
  <c r="AX121" i="2"/>
  <c r="AX122" i="2"/>
  <c r="AX120" i="2"/>
  <c r="AX119" i="2"/>
  <c r="AX123" i="2"/>
  <c r="AX126" i="2"/>
  <c r="AX127" i="2"/>
  <c r="AX128" i="2"/>
  <c r="AX129" i="2"/>
  <c r="AX132" i="2"/>
  <c r="AX133" i="2"/>
  <c r="AX136" i="2"/>
  <c r="AX137" i="2"/>
  <c r="AX139" i="2"/>
  <c r="AX7" i="2"/>
  <c r="AX163" i="2"/>
  <c r="AX164" i="2"/>
  <c r="AX192" i="2"/>
  <c r="AX193" i="2"/>
  <c r="AX205" i="2"/>
  <c r="AX182" i="2"/>
  <c r="AX183" i="2"/>
  <c r="AX203" i="2"/>
  <c r="AX187" i="2"/>
  <c r="AX189" i="2"/>
  <c r="AX195" i="2"/>
  <c r="AX201" i="2"/>
  <c r="AX208" i="2"/>
  <c r="AX209" i="2"/>
  <c r="AX210" i="2"/>
  <c r="AX211" i="2"/>
  <c r="AX214" i="2"/>
  <c r="AX218" i="2"/>
  <c r="AX219" i="2"/>
  <c r="AX220" i="2"/>
  <c r="AX224" i="2"/>
  <c r="AX228" i="2"/>
  <c r="AX229" i="2"/>
  <c r="AX237" i="2"/>
  <c r="AX243" i="2"/>
  <c r="AX170" i="2"/>
  <c r="AX167" i="2"/>
  <c r="AX169" i="2"/>
  <c r="AX171" i="2"/>
  <c r="AX168" i="2"/>
  <c r="AX172" i="2"/>
  <c r="AX244" i="2"/>
  <c r="AX174" i="2"/>
  <c r="AX143" i="2"/>
  <c r="AX144" i="2"/>
  <c r="AX145" i="2"/>
  <c r="AX146" i="2"/>
  <c r="AX147" i="2"/>
  <c r="AX150" i="2"/>
  <c r="AX156" i="2"/>
  <c r="AX159" i="2"/>
  <c r="AX160" i="2"/>
  <c r="AX176" i="2"/>
  <c r="AX8" i="2"/>
  <c r="AX9" i="2"/>
  <c r="AX97" i="3"/>
  <c r="AX98" i="3"/>
  <c r="AX94" i="3"/>
  <c r="AX95" i="3"/>
  <c r="AX91" i="3"/>
  <c r="AX92" i="3"/>
  <c r="AX99" i="3"/>
  <c r="AX12" i="3"/>
  <c r="AX12" i="2"/>
  <c r="AX13" i="2"/>
  <c r="AX14" i="2"/>
  <c r="AX15" i="2"/>
  <c r="AX16" i="2"/>
  <c r="AX39" i="3"/>
  <c r="AX40" i="3"/>
  <c r="AX41" i="3"/>
  <c r="AX43" i="3"/>
  <c r="AX45" i="3"/>
  <c r="AX51" i="3"/>
  <c r="AX53" i="3"/>
  <c r="AX61" i="3"/>
  <c r="AX72" i="3"/>
  <c r="AX73" i="3"/>
  <c r="AX74" i="3"/>
  <c r="AX66" i="3"/>
  <c r="AX67" i="3"/>
  <c r="AX68" i="3"/>
  <c r="AX69" i="3"/>
  <c r="AX70" i="3"/>
  <c r="AX71" i="3"/>
  <c r="AX75" i="3"/>
  <c r="AX36" i="3"/>
  <c r="AX37" i="3"/>
  <c r="AX49" i="3"/>
  <c r="AX57" i="3"/>
  <c r="AX77" i="3"/>
  <c r="AX79" i="3"/>
  <c r="AX17" i="3"/>
  <c r="AX17" i="2"/>
  <c r="AX18" i="2"/>
  <c r="AX19" i="3"/>
  <c r="AX19" i="2"/>
  <c r="AX20" i="2"/>
  <c r="AX21" i="3"/>
  <c r="AX21" i="2"/>
  <c r="AX22" i="3"/>
  <c r="AX22" i="2"/>
  <c r="AX23" i="3"/>
  <c r="AX23" i="2"/>
  <c r="AX24" i="3"/>
  <c r="AX24" i="2"/>
  <c r="AX25" i="2"/>
  <c r="AX26" i="2"/>
  <c r="AX27" i="3"/>
  <c r="AX27" i="2"/>
  <c r="AX28" i="2"/>
  <c r="AX29" i="2"/>
  <c r="AX31" i="2"/>
  <c r="AX41" i="2"/>
  <c r="K28" i="1"/>
  <c r="AA121" i="2"/>
  <c r="AA122" i="2"/>
  <c r="AA120" i="2"/>
  <c r="AA119" i="2"/>
  <c r="AA123" i="2"/>
  <c r="AA126" i="2"/>
  <c r="AA127" i="2"/>
  <c r="AA128" i="2"/>
  <c r="AA129" i="2"/>
  <c r="AA132" i="2"/>
  <c r="AA133" i="2"/>
  <c r="AA136" i="2"/>
  <c r="AA137" i="2"/>
  <c r="AA139" i="2"/>
  <c r="AA7" i="2"/>
  <c r="AA163" i="2"/>
  <c r="AA164" i="2"/>
  <c r="AA192" i="2"/>
  <c r="AA193" i="2"/>
  <c r="AA205" i="2"/>
  <c r="AA182" i="2"/>
  <c r="AA183" i="2"/>
  <c r="AA203" i="2"/>
  <c r="AA187" i="2"/>
  <c r="AA189" i="2"/>
  <c r="AA195" i="2"/>
  <c r="AA201" i="2"/>
  <c r="AA208" i="2"/>
  <c r="AA209" i="2"/>
  <c r="AA210" i="2"/>
  <c r="AA211" i="2"/>
  <c r="AA214" i="2"/>
  <c r="AA218" i="2"/>
  <c r="AA219" i="2"/>
  <c r="AA220" i="2"/>
  <c r="AA224" i="2"/>
  <c r="AA228" i="2"/>
  <c r="AA229" i="2"/>
  <c r="AA237" i="2"/>
  <c r="AA243" i="2"/>
  <c r="AA170" i="2"/>
  <c r="AA167" i="2"/>
  <c r="AA169" i="2"/>
  <c r="AA171" i="2"/>
  <c r="AA168" i="2"/>
  <c r="AA172" i="2"/>
  <c r="AA244" i="2"/>
  <c r="AA174" i="2"/>
  <c r="AA143" i="2"/>
  <c r="AA144" i="2"/>
  <c r="AA145" i="2"/>
  <c r="AA146" i="2"/>
  <c r="AA147" i="2"/>
  <c r="AA150" i="2"/>
  <c r="AA156" i="2"/>
  <c r="AA159" i="2"/>
  <c r="AA160" i="2"/>
  <c r="AA176" i="2"/>
  <c r="AA8" i="2"/>
  <c r="AA9" i="2"/>
  <c r="AA97" i="3"/>
  <c r="AA98" i="3"/>
  <c r="AA94" i="3"/>
  <c r="AA95" i="3"/>
  <c r="AA91" i="3"/>
  <c r="AA92" i="3"/>
  <c r="AA99" i="3"/>
  <c r="AA12" i="3"/>
  <c r="AA12" i="2"/>
  <c r="AA13" i="2"/>
  <c r="AA14" i="2"/>
  <c r="AA15" i="2"/>
  <c r="AA16" i="2"/>
  <c r="AA39" i="3"/>
  <c r="AA40" i="3"/>
  <c r="AA41" i="3"/>
  <c r="AA43" i="3"/>
  <c r="AA45" i="3"/>
  <c r="AA51" i="3"/>
  <c r="AA53" i="3"/>
  <c r="AA61" i="3"/>
  <c r="AA72" i="3"/>
  <c r="AA73" i="3"/>
  <c r="AA74" i="3"/>
  <c r="AA66" i="3"/>
  <c r="AA67" i="3"/>
  <c r="AA68" i="3"/>
  <c r="AA69" i="3"/>
  <c r="AA70" i="3"/>
  <c r="AA71" i="3"/>
  <c r="AA75" i="3"/>
  <c r="AA36" i="3"/>
  <c r="AA37" i="3"/>
  <c r="AA49" i="3"/>
  <c r="AA57" i="3"/>
  <c r="AA77" i="3"/>
  <c r="AA79" i="3"/>
  <c r="AA17" i="3"/>
  <c r="AA17" i="2"/>
  <c r="AA18" i="2"/>
  <c r="AA19" i="3"/>
  <c r="AA19" i="2"/>
  <c r="AA20" i="2"/>
  <c r="AA21" i="3"/>
  <c r="AA21" i="2"/>
  <c r="AA22" i="3"/>
  <c r="AA22" i="2"/>
  <c r="AA23" i="3"/>
  <c r="AA23" i="2"/>
  <c r="AA24" i="3"/>
  <c r="AA24" i="2"/>
  <c r="AA25" i="2"/>
  <c r="AA26" i="2"/>
  <c r="AA27" i="3"/>
  <c r="AA27" i="2"/>
  <c r="AA28" i="2"/>
  <c r="AA29" i="2"/>
  <c r="AA31" i="2"/>
  <c r="AA41" i="2"/>
  <c r="AB121" i="2"/>
  <c r="AB122" i="2"/>
  <c r="AB120" i="2"/>
  <c r="AB119" i="2"/>
  <c r="AB123" i="2"/>
  <c r="AB126" i="2"/>
  <c r="AB127" i="2"/>
  <c r="AB128" i="2"/>
  <c r="AB129" i="2"/>
  <c r="AB132" i="2"/>
  <c r="AB133" i="2"/>
  <c r="AB136" i="2"/>
  <c r="AB137" i="2"/>
  <c r="AB139" i="2"/>
  <c r="AB7" i="2"/>
  <c r="AB163" i="2"/>
  <c r="AB164" i="2"/>
  <c r="AB192" i="2"/>
  <c r="AB193" i="2"/>
  <c r="AB205" i="2"/>
  <c r="AB182" i="2"/>
  <c r="AB183" i="2"/>
  <c r="AB203" i="2"/>
  <c r="AB187" i="2"/>
  <c r="AB189" i="2"/>
  <c r="AB195" i="2"/>
  <c r="AB201" i="2"/>
  <c r="AB208" i="2"/>
  <c r="AB209" i="2"/>
  <c r="AB210" i="2"/>
  <c r="AB211" i="2"/>
  <c r="AB214" i="2"/>
  <c r="AB218" i="2"/>
  <c r="AB219" i="2"/>
  <c r="AB220" i="2"/>
  <c r="AB224" i="2"/>
  <c r="AB228" i="2"/>
  <c r="AB229" i="2"/>
  <c r="AB237" i="2"/>
  <c r="AB243" i="2"/>
  <c r="AB170" i="2"/>
  <c r="AB167" i="2"/>
  <c r="AB169" i="2"/>
  <c r="AB171" i="2"/>
  <c r="AB168" i="2"/>
  <c r="AB172" i="2"/>
  <c r="AB244" i="2"/>
  <c r="AB174" i="2"/>
  <c r="AB143" i="2"/>
  <c r="AB144" i="2"/>
  <c r="AB145" i="2"/>
  <c r="AB146" i="2"/>
  <c r="AB147" i="2"/>
  <c r="AB150" i="2"/>
  <c r="AB156" i="2"/>
  <c r="AB159" i="2"/>
  <c r="AB160" i="2"/>
  <c r="AB176" i="2"/>
  <c r="AB8" i="2"/>
  <c r="AB9" i="2"/>
  <c r="AB97" i="3"/>
  <c r="AB98" i="3"/>
  <c r="AB94" i="3"/>
  <c r="AB95" i="3"/>
  <c r="AB91" i="3"/>
  <c r="AB92" i="3"/>
  <c r="AB99" i="3"/>
  <c r="AB12" i="3"/>
  <c r="AB12" i="2"/>
  <c r="AB13" i="2"/>
  <c r="AB14" i="2"/>
  <c r="AB15" i="2"/>
  <c r="AB16" i="2"/>
  <c r="AB39" i="3"/>
  <c r="AB40" i="3"/>
  <c r="AB41" i="3"/>
  <c r="AB43" i="3"/>
  <c r="AB45" i="3"/>
  <c r="AB51" i="3"/>
  <c r="AB53" i="3"/>
  <c r="AB61" i="3"/>
  <c r="AB72" i="3"/>
  <c r="AB73" i="3"/>
  <c r="AB74" i="3"/>
  <c r="AB66" i="3"/>
  <c r="AB67" i="3"/>
  <c r="AB68" i="3"/>
  <c r="AB69" i="3"/>
  <c r="AB70" i="3"/>
  <c r="AB71" i="3"/>
  <c r="AB75" i="3"/>
  <c r="AB36" i="3"/>
  <c r="AB37" i="3"/>
  <c r="AB49" i="3"/>
  <c r="AB57" i="3"/>
  <c r="AB77" i="3"/>
  <c r="AB79" i="3"/>
  <c r="AB17" i="3"/>
  <c r="AB17" i="2"/>
  <c r="AB18" i="2"/>
  <c r="AB19" i="3"/>
  <c r="AB19" i="2"/>
  <c r="AB20" i="2"/>
  <c r="AB21" i="3"/>
  <c r="AB21" i="2"/>
  <c r="AB22" i="3"/>
  <c r="AB22" i="2"/>
  <c r="AB23" i="3"/>
  <c r="AB23" i="2"/>
  <c r="AB24" i="3"/>
  <c r="AB24" i="2"/>
  <c r="AB25" i="2"/>
  <c r="AB26" i="2"/>
  <c r="AB27" i="3"/>
  <c r="AB27" i="2"/>
  <c r="AB28" i="2"/>
  <c r="AB29" i="2"/>
  <c r="AB31" i="2"/>
  <c r="AB41" i="2"/>
  <c r="AC121" i="2"/>
  <c r="AC122" i="2"/>
  <c r="AC120" i="2"/>
  <c r="AC119" i="2"/>
  <c r="AC123" i="2"/>
  <c r="AC126" i="2"/>
  <c r="AC127" i="2"/>
  <c r="AC128" i="2"/>
  <c r="AC129" i="2"/>
  <c r="AC132" i="2"/>
  <c r="AC133" i="2"/>
  <c r="AC136" i="2"/>
  <c r="AC137" i="2"/>
  <c r="AC139" i="2"/>
  <c r="AC7" i="2"/>
  <c r="AC163" i="2"/>
  <c r="AC164" i="2"/>
  <c r="AC192" i="2"/>
  <c r="AC193" i="2"/>
  <c r="AC205" i="2"/>
  <c r="AC182" i="2"/>
  <c r="AC183" i="2"/>
  <c r="AC203" i="2"/>
  <c r="AC187" i="2"/>
  <c r="AC189" i="2"/>
  <c r="AC195" i="2"/>
  <c r="AC201" i="2"/>
  <c r="AC208" i="2"/>
  <c r="AC209" i="2"/>
  <c r="AC210" i="2"/>
  <c r="AC211" i="2"/>
  <c r="AC214" i="2"/>
  <c r="AC218" i="2"/>
  <c r="AC219" i="2"/>
  <c r="AC220" i="2"/>
  <c r="AC224" i="2"/>
  <c r="AC228" i="2"/>
  <c r="AC229" i="2"/>
  <c r="AC237" i="2"/>
  <c r="AC243" i="2"/>
  <c r="AC170" i="2"/>
  <c r="AC167" i="2"/>
  <c r="AC169" i="2"/>
  <c r="AC171" i="2"/>
  <c r="AC168" i="2"/>
  <c r="AC172" i="2"/>
  <c r="AC244" i="2"/>
  <c r="AC174" i="2"/>
  <c r="AC143" i="2"/>
  <c r="AC144" i="2"/>
  <c r="AC145" i="2"/>
  <c r="AC146" i="2"/>
  <c r="AC147" i="2"/>
  <c r="AC150" i="2"/>
  <c r="AC156" i="2"/>
  <c r="AC159" i="2"/>
  <c r="AC160" i="2"/>
  <c r="AC176" i="2"/>
  <c r="AC8" i="2"/>
  <c r="AC9" i="2"/>
  <c r="AC97" i="3"/>
  <c r="AC98" i="3"/>
  <c r="AC94" i="3"/>
  <c r="AC95" i="3"/>
  <c r="AC91" i="3"/>
  <c r="AC92" i="3"/>
  <c r="AC99" i="3"/>
  <c r="AC12" i="3"/>
  <c r="AC12" i="2"/>
  <c r="AC13" i="2"/>
  <c r="AC14" i="2"/>
  <c r="AC15" i="2"/>
  <c r="AC16" i="2"/>
  <c r="AC39" i="3"/>
  <c r="AC40" i="3"/>
  <c r="AC41" i="3"/>
  <c r="AC43" i="3"/>
  <c r="AC45" i="3"/>
  <c r="AC51" i="3"/>
  <c r="AC53" i="3"/>
  <c r="AC61" i="3"/>
  <c r="AC72" i="3"/>
  <c r="AC73" i="3"/>
  <c r="AC74" i="3"/>
  <c r="AC66" i="3"/>
  <c r="AC67" i="3"/>
  <c r="AC68" i="3"/>
  <c r="AC69" i="3"/>
  <c r="AC70" i="3"/>
  <c r="AC71" i="3"/>
  <c r="AC75" i="3"/>
  <c r="AC36" i="3"/>
  <c r="AC37" i="3"/>
  <c r="AC49" i="3"/>
  <c r="AC57" i="3"/>
  <c r="AC77" i="3"/>
  <c r="AC79" i="3"/>
  <c r="AC17" i="3"/>
  <c r="AC17" i="2"/>
  <c r="AC18" i="2"/>
  <c r="AC19" i="3"/>
  <c r="AC19" i="2"/>
  <c r="AC20" i="2"/>
  <c r="AC21" i="3"/>
  <c r="AC21" i="2"/>
  <c r="AC22" i="3"/>
  <c r="AC22" i="2"/>
  <c r="AC23" i="3"/>
  <c r="AC23" i="2"/>
  <c r="AC24" i="3"/>
  <c r="AC24" i="2"/>
  <c r="AC25" i="2"/>
  <c r="AC26" i="2"/>
  <c r="AC27" i="3"/>
  <c r="AC27" i="2"/>
  <c r="AC28" i="2"/>
  <c r="AC29" i="2"/>
  <c r="AC31" i="2"/>
  <c r="AC41" i="2"/>
  <c r="AD121" i="2"/>
  <c r="AD122" i="2"/>
  <c r="AD120" i="2"/>
  <c r="AD119" i="2"/>
  <c r="AD123" i="2"/>
  <c r="AD126" i="2"/>
  <c r="AD127" i="2"/>
  <c r="AD128" i="2"/>
  <c r="AD129" i="2"/>
  <c r="AD132" i="2"/>
  <c r="AD133" i="2"/>
  <c r="AD136" i="2"/>
  <c r="AD137" i="2"/>
  <c r="AD139" i="2"/>
  <c r="AD7" i="2"/>
  <c r="AD163" i="2"/>
  <c r="AD164" i="2"/>
  <c r="AD192" i="2"/>
  <c r="AD193" i="2"/>
  <c r="AD205" i="2"/>
  <c r="AD182" i="2"/>
  <c r="AD183" i="2"/>
  <c r="AD203" i="2"/>
  <c r="AD187" i="2"/>
  <c r="AD189" i="2"/>
  <c r="AD195" i="2"/>
  <c r="AD201" i="2"/>
  <c r="AD208" i="2"/>
  <c r="AD209" i="2"/>
  <c r="AD210" i="2"/>
  <c r="AD211" i="2"/>
  <c r="AD214" i="2"/>
  <c r="AD218" i="2"/>
  <c r="AD219" i="2"/>
  <c r="AD220" i="2"/>
  <c r="AD224" i="2"/>
  <c r="AD228" i="2"/>
  <c r="AD229" i="2"/>
  <c r="AD237" i="2"/>
  <c r="AD243" i="2"/>
  <c r="AD170" i="2"/>
  <c r="AD167" i="2"/>
  <c r="AD169" i="2"/>
  <c r="AD171" i="2"/>
  <c r="AD168" i="2"/>
  <c r="AD172" i="2"/>
  <c r="AD244" i="2"/>
  <c r="AD174" i="2"/>
  <c r="AD143" i="2"/>
  <c r="AD144" i="2"/>
  <c r="AD145" i="2"/>
  <c r="AD146" i="2"/>
  <c r="AD147" i="2"/>
  <c r="AD150" i="2"/>
  <c r="AD156" i="2"/>
  <c r="AD159" i="2"/>
  <c r="AD160" i="2"/>
  <c r="AD176" i="2"/>
  <c r="AD8" i="2"/>
  <c r="AD9" i="2"/>
  <c r="AD97" i="3"/>
  <c r="AD98" i="3"/>
  <c r="AD94" i="3"/>
  <c r="AD95" i="3"/>
  <c r="AD91" i="3"/>
  <c r="AD92" i="3"/>
  <c r="AD99" i="3"/>
  <c r="AD12" i="3"/>
  <c r="AD12" i="2"/>
  <c r="AD13" i="2"/>
  <c r="AD14" i="2"/>
  <c r="AD15" i="2"/>
  <c r="AD16" i="2"/>
  <c r="AD39" i="3"/>
  <c r="AD40" i="3"/>
  <c r="AD41" i="3"/>
  <c r="AD43" i="3"/>
  <c r="AD45" i="3"/>
  <c r="AD51" i="3"/>
  <c r="AD53" i="3"/>
  <c r="AD61" i="3"/>
  <c r="AD72" i="3"/>
  <c r="AD73" i="3"/>
  <c r="AD74" i="3"/>
  <c r="AD66" i="3"/>
  <c r="AD67" i="3"/>
  <c r="AD68" i="3"/>
  <c r="AD69" i="3"/>
  <c r="AD70" i="3"/>
  <c r="AD71" i="3"/>
  <c r="AD75" i="3"/>
  <c r="AD36" i="3"/>
  <c r="AD37" i="3"/>
  <c r="AD49" i="3"/>
  <c r="AD57" i="3"/>
  <c r="AD77" i="3"/>
  <c r="AD79" i="3"/>
  <c r="AD17" i="3"/>
  <c r="AD17" i="2"/>
  <c r="AD18" i="2"/>
  <c r="AD19" i="3"/>
  <c r="AD19" i="2"/>
  <c r="AD20" i="2"/>
  <c r="AD21" i="3"/>
  <c r="AD21" i="2"/>
  <c r="AD22" i="3"/>
  <c r="AD22" i="2"/>
  <c r="AD23" i="3"/>
  <c r="AD23" i="2"/>
  <c r="AD24" i="3"/>
  <c r="AD24" i="2"/>
  <c r="AD25" i="2"/>
  <c r="AD26" i="2"/>
  <c r="AD27" i="3"/>
  <c r="AD27" i="2"/>
  <c r="AD28" i="2"/>
  <c r="AD29" i="2"/>
  <c r="AD31" i="2"/>
  <c r="AD41" i="2"/>
  <c r="AE121" i="2"/>
  <c r="AE122" i="2"/>
  <c r="AE120" i="2"/>
  <c r="AE119" i="2"/>
  <c r="AE123" i="2"/>
  <c r="AE126" i="2"/>
  <c r="AE127" i="2"/>
  <c r="AE128" i="2"/>
  <c r="AE129" i="2"/>
  <c r="AE132" i="2"/>
  <c r="AE133" i="2"/>
  <c r="AE136" i="2"/>
  <c r="AE137" i="2"/>
  <c r="AE139" i="2"/>
  <c r="AE7" i="2"/>
  <c r="AE163" i="2"/>
  <c r="AE164" i="2"/>
  <c r="AE192" i="2"/>
  <c r="AE193" i="2"/>
  <c r="AE205" i="2"/>
  <c r="AE182" i="2"/>
  <c r="AE183" i="2"/>
  <c r="AE203" i="2"/>
  <c r="AE187" i="2"/>
  <c r="AE189" i="2"/>
  <c r="AE195" i="2"/>
  <c r="AE201" i="2"/>
  <c r="AE208" i="2"/>
  <c r="AE209" i="2"/>
  <c r="AE210" i="2"/>
  <c r="AE211" i="2"/>
  <c r="AE214" i="2"/>
  <c r="AE218" i="2"/>
  <c r="AE219" i="2"/>
  <c r="AE220" i="2"/>
  <c r="AE224" i="2"/>
  <c r="AE228" i="2"/>
  <c r="AE229" i="2"/>
  <c r="AE237" i="2"/>
  <c r="AE243" i="2"/>
  <c r="AE170" i="2"/>
  <c r="AE167" i="2"/>
  <c r="AE169" i="2"/>
  <c r="AE171" i="2"/>
  <c r="AE168" i="2"/>
  <c r="AE172" i="2"/>
  <c r="AE244" i="2"/>
  <c r="AE174" i="2"/>
  <c r="AE143" i="2"/>
  <c r="AE144" i="2"/>
  <c r="AE145" i="2"/>
  <c r="AE146" i="2"/>
  <c r="AE147" i="2"/>
  <c r="AE150" i="2"/>
  <c r="AE156" i="2"/>
  <c r="AE159" i="2"/>
  <c r="AE160" i="2"/>
  <c r="AE176" i="2"/>
  <c r="AE8" i="2"/>
  <c r="AE9" i="2"/>
  <c r="AE97" i="3"/>
  <c r="AE98" i="3"/>
  <c r="AE94" i="3"/>
  <c r="AE95" i="3"/>
  <c r="AE91" i="3"/>
  <c r="AE92" i="3"/>
  <c r="AE99" i="3"/>
  <c r="AE12" i="3"/>
  <c r="AE12" i="2"/>
  <c r="AE13" i="2"/>
  <c r="AE14" i="2"/>
  <c r="AE15" i="2"/>
  <c r="AE16" i="2"/>
  <c r="AE39" i="3"/>
  <c r="AE40" i="3"/>
  <c r="AE41" i="3"/>
  <c r="AE43" i="3"/>
  <c r="AE45" i="3"/>
  <c r="AE51" i="3"/>
  <c r="AE53" i="3"/>
  <c r="AE61" i="3"/>
  <c r="AE72" i="3"/>
  <c r="AE73" i="3"/>
  <c r="AE74" i="3"/>
  <c r="AE66" i="3"/>
  <c r="AE67" i="3"/>
  <c r="AE68" i="3"/>
  <c r="AE69" i="3"/>
  <c r="AE70" i="3"/>
  <c r="AE71" i="3"/>
  <c r="AE75" i="3"/>
  <c r="AE36" i="3"/>
  <c r="AE37" i="3"/>
  <c r="AE49" i="3"/>
  <c r="AE57" i="3"/>
  <c r="AE77" i="3"/>
  <c r="AE79" i="3"/>
  <c r="AE17" i="3"/>
  <c r="AE17" i="2"/>
  <c r="AE18" i="2"/>
  <c r="AE19" i="3"/>
  <c r="AE19" i="2"/>
  <c r="AE20" i="2"/>
  <c r="AE21" i="3"/>
  <c r="AE21" i="2"/>
  <c r="AE22" i="3"/>
  <c r="AE22" i="2"/>
  <c r="AE23" i="3"/>
  <c r="AE23" i="2"/>
  <c r="AE24" i="3"/>
  <c r="AE24" i="2"/>
  <c r="AE25" i="2"/>
  <c r="AE26" i="2"/>
  <c r="AE27" i="3"/>
  <c r="AE27" i="2"/>
  <c r="AE28" i="2"/>
  <c r="AE29" i="2"/>
  <c r="AE31" i="2"/>
  <c r="AE41" i="2"/>
  <c r="AF121" i="2"/>
  <c r="AF122" i="2"/>
  <c r="AF120" i="2"/>
  <c r="AF119" i="2"/>
  <c r="AF123" i="2"/>
  <c r="AF126" i="2"/>
  <c r="AF127" i="2"/>
  <c r="AF128" i="2"/>
  <c r="AF129" i="2"/>
  <c r="AF132" i="2"/>
  <c r="AF133" i="2"/>
  <c r="AF136" i="2"/>
  <c r="AF137" i="2"/>
  <c r="AF139" i="2"/>
  <c r="AF7" i="2"/>
  <c r="AF163" i="2"/>
  <c r="AF164" i="2"/>
  <c r="AF192" i="2"/>
  <c r="AF193" i="2"/>
  <c r="AF205" i="2"/>
  <c r="AF182" i="2"/>
  <c r="AF183" i="2"/>
  <c r="AF203" i="2"/>
  <c r="AF187" i="2"/>
  <c r="AF189" i="2"/>
  <c r="AF195" i="2"/>
  <c r="AF201" i="2"/>
  <c r="AF208" i="2"/>
  <c r="AF209" i="2"/>
  <c r="AF210" i="2"/>
  <c r="AF211" i="2"/>
  <c r="AF214" i="2"/>
  <c r="AF218" i="2"/>
  <c r="AF219" i="2"/>
  <c r="AF220" i="2"/>
  <c r="AF224" i="2"/>
  <c r="AF228" i="2"/>
  <c r="AF229" i="2"/>
  <c r="AF237" i="2"/>
  <c r="AF243" i="2"/>
  <c r="AF170" i="2"/>
  <c r="AF167" i="2"/>
  <c r="AF169" i="2"/>
  <c r="AF171" i="2"/>
  <c r="AF168" i="2"/>
  <c r="AF172" i="2"/>
  <c r="AF244" i="2"/>
  <c r="AF174" i="2"/>
  <c r="AF143" i="2"/>
  <c r="AF144" i="2"/>
  <c r="AF145" i="2"/>
  <c r="AF146" i="2"/>
  <c r="AF147" i="2"/>
  <c r="AF150" i="2"/>
  <c r="AF156" i="2"/>
  <c r="AF159" i="2"/>
  <c r="AF160" i="2"/>
  <c r="AF176" i="2"/>
  <c r="AF8" i="2"/>
  <c r="AF9" i="2"/>
  <c r="AF97" i="3"/>
  <c r="AF98" i="3"/>
  <c r="AF94" i="3"/>
  <c r="AF95" i="3"/>
  <c r="AF91" i="3"/>
  <c r="AF92" i="3"/>
  <c r="AF99" i="3"/>
  <c r="AF12" i="3"/>
  <c r="AF12" i="2"/>
  <c r="AF13" i="2"/>
  <c r="AF14" i="2"/>
  <c r="AF15" i="2"/>
  <c r="AF16" i="2"/>
  <c r="AF39" i="3"/>
  <c r="AF40" i="3"/>
  <c r="AF41" i="3"/>
  <c r="AF43" i="3"/>
  <c r="AF45" i="3"/>
  <c r="AF51" i="3"/>
  <c r="AF53" i="3"/>
  <c r="AF61" i="3"/>
  <c r="AF72" i="3"/>
  <c r="AF73" i="3"/>
  <c r="AF74" i="3"/>
  <c r="AF66" i="3"/>
  <c r="AF67" i="3"/>
  <c r="AF68" i="3"/>
  <c r="AF69" i="3"/>
  <c r="AF70" i="3"/>
  <c r="AF71" i="3"/>
  <c r="AF75" i="3"/>
  <c r="AF36" i="3"/>
  <c r="AF37" i="3"/>
  <c r="AF49" i="3"/>
  <c r="AF57" i="3"/>
  <c r="AF77" i="3"/>
  <c r="AF79" i="3"/>
  <c r="AF17" i="3"/>
  <c r="AF17" i="2"/>
  <c r="AF18" i="2"/>
  <c r="AF19" i="3"/>
  <c r="AF19" i="2"/>
  <c r="AF20" i="2"/>
  <c r="AF21" i="3"/>
  <c r="AF21" i="2"/>
  <c r="AF22" i="3"/>
  <c r="AF22" i="2"/>
  <c r="AF23" i="3"/>
  <c r="AF23" i="2"/>
  <c r="AF24" i="3"/>
  <c r="AF24" i="2"/>
  <c r="AF25" i="2"/>
  <c r="AF26" i="2"/>
  <c r="AF27" i="3"/>
  <c r="AF27" i="2"/>
  <c r="AF28" i="2"/>
  <c r="AF29" i="2"/>
  <c r="AF31" i="2"/>
  <c r="AF41" i="2"/>
  <c r="AG121" i="2"/>
  <c r="AG122" i="2"/>
  <c r="AG120" i="2"/>
  <c r="AG119" i="2"/>
  <c r="AG123" i="2"/>
  <c r="AG126" i="2"/>
  <c r="AG127" i="2"/>
  <c r="AG128" i="2"/>
  <c r="AG129" i="2"/>
  <c r="AG132" i="2"/>
  <c r="AG133" i="2"/>
  <c r="AG136" i="2"/>
  <c r="AG137" i="2"/>
  <c r="AG139" i="2"/>
  <c r="AG7" i="2"/>
  <c r="AG163" i="2"/>
  <c r="AG164" i="2"/>
  <c r="AG192" i="2"/>
  <c r="AG193" i="2"/>
  <c r="AG205" i="2"/>
  <c r="AG182" i="2"/>
  <c r="AG183" i="2"/>
  <c r="AG203" i="2"/>
  <c r="AG187" i="2"/>
  <c r="AG189" i="2"/>
  <c r="AG195" i="2"/>
  <c r="AG201" i="2"/>
  <c r="AG208" i="2"/>
  <c r="AG209" i="2"/>
  <c r="AG210" i="2"/>
  <c r="AG211" i="2"/>
  <c r="AG214" i="2"/>
  <c r="AG218" i="2"/>
  <c r="AG219" i="2"/>
  <c r="AG220" i="2"/>
  <c r="AG224" i="2"/>
  <c r="AG228" i="2"/>
  <c r="AG229" i="2"/>
  <c r="AG237" i="2"/>
  <c r="AG243" i="2"/>
  <c r="AG170" i="2"/>
  <c r="AG167" i="2"/>
  <c r="AG169" i="2"/>
  <c r="AG171" i="2"/>
  <c r="AG168" i="2"/>
  <c r="AG172" i="2"/>
  <c r="AG244" i="2"/>
  <c r="AG174" i="2"/>
  <c r="AG143" i="2"/>
  <c r="AG144" i="2"/>
  <c r="AG145" i="2"/>
  <c r="AG146" i="2"/>
  <c r="AG147" i="2"/>
  <c r="AG150" i="2"/>
  <c r="AG156" i="2"/>
  <c r="AG159" i="2"/>
  <c r="AG160" i="2"/>
  <c r="AG176" i="2"/>
  <c r="AG8" i="2"/>
  <c r="AG9" i="2"/>
  <c r="AG97" i="3"/>
  <c r="AG98" i="3"/>
  <c r="AG94" i="3"/>
  <c r="AG95" i="3"/>
  <c r="AG91" i="3"/>
  <c r="AG92" i="3"/>
  <c r="AG99" i="3"/>
  <c r="AG12" i="3"/>
  <c r="AG12" i="2"/>
  <c r="AG13" i="2"/>
  <c r="AG14" i="2"/>
  <c r="AG15" i="2"/>
  <c r="AG16" i="2"/>
  <c r="AG39" i="3"/>
  <c r="AG40" i="3"/>
  <c r="AG41" i="3"/>
  <c r="AG43" i="3"/>
  <c r="AG45" i="3"/>
  <c r="AG51" i="3"/>
  <c r="AG53" i="3"/>
  <c r="AG61" i="3"/>
  <c r="AG72" i="3"/>
  <c r="AG73" i="3"/>
  <c r="AG74" i="3"/>
  <c r="AG66" i="3"/>
  <c r="AG67" i="3"/>
  <c r="AG68" i="3"/>
  <c r="AG69" i="3"/>
  <c r="AG70" i="3"/>
  <c r="AG71" i="3"/>
  <c r="AG75" i="3"/>
  <c r="AG36" i="3"/>
  <c r="AG37" i="3"/>
  <c r="AG49" i="3"/>
  <c r="AG57" i="3"/>
  <c r="AG77" i="3"/>
  <c r="AG79" i="3"/>
  <c r="AG17" i="3"/>
  <c r="AG17" i="2"/>
  <c r="AG18" i="2"/>
  <c r="AG19" i="3"/>
  <c r="AG19" i="2"/>
  <c r="AG20" i="2"/>
  <c r="AG21" i="3"/>
  <c r="AG21" i="2"/>
  <c r="AG22" i="3"/>
  <c r="AG22" i="2"/>
  <c r="AG23" i="3"/>
  <c r="AG23" i="2"/>
  <c r="AG24" i="3"/>
  <c r="AG24" i="2"/>
  <c r="AG25" i="2"/>
  <c r="AG26" i="2"/>
  <c r="AG27" i="3"/>
  <c r="AG27" i="2"/>
  <c r="AG28" i="2"/>
  <c r="AG29" i="2"/>
  <c r="AG31" i="2"/>
  <c r="AG41" i="2"/>
  <c r="AH121" i="2"/>
  <c r="AH122" i="2"/>
  <c r="AH120" i="2"/>
  <c r="AH119" i="2"/>
  <c r="AH123" i="2"/>
  <c r="AH126" i="2"/>
  <c r="AH127" i="2"/>
  <c r="AH128" i="2"/>
  <c r="AH129" i="2"/>
  <c r="AH132" i="2"/>
  <c r="AH133" i="2"/>
  <c r="AH136" i="2"/>
  <c r="AH137" i="2"/>
  <c r="AH139" i="2"/>
  <c r="AH7" i="2"/>
  <c r="AH163" i="2"/>
  <c r="AH164" i="2"/>
  <c r="AH192" i="2"/>
  <c r="AH193" i="2"/>
  <c r="AH205" i="2"/>
  <c r="AH182" i="2"/>
  <c r="AH183" i="2"/>
  <c r="AH203" i="2"/>
  <c r="AH187" i="2"/>
  <c r="AH189" i="2"/>
  <c r="AH195" i="2"/>
  <c r="AH201" i="2"/>
  <c r="AH208" i="2"/>
  <c r="AH209" i="2"/>
  <c r="AH210" i="2"/>
  <c r="AH211" i="2"/>
  <c r="AH214" i="2"/>
  <c r="AH218" i="2"/>
  <c r="AH219" i="2"/>
  <c r="AH220" i="2"/>
  <c r="AH224" i="2"/>
  <c r="AH228" i="2"/>
  <c r="AH229" i="2"/>
  <c r="AH237" i="2"/>
  <c r="AH243" i="2"/>
  <c r="AH170" i="2"/>
  <c r="AH167" i="2"/>
  <c r="AH169" i="2"/>
  <c r="AH171" i="2"/>
  <c r="AH168" i="2"/>
  <c r="AH172" i="2"/>
  <c r="AH244" i="2"/>
  <c r="AH174" i="2"/>
  <c r="AH143" i="2"/>
  <c r="AH144" i="2"/>
  <c r="AH145" i="2"/>
  <c r="AH146" i="2"/>
  <c r="AH147" i="2"/>
  <c r="AH150" i="2"/>
  <c r="AH156" i="2"/>
  <c r="AH159" i="2"/>
  <c r="AH160" i="2"/>
  <c r="AH176" i="2"/>
  <c r="AH8" i="2"/>
  <c r="AH9" i="2"/>
  <c r="AH97" i="3"/>
  <c r="AH98" i="3"/>
  <c r="AH94" i="3"/>
  <c r="AH95" i="3"/>
  <c r="AH91" i="3"/>
  <c r="AH92" i="3"/>
  <c r="AH99" i="3"/>
  <c r="AH12" i="3"/>
  <c r="AH12" i="2"/>
  <c r="AH13" i="2"/>
  <c r="AH14" i="2"/>
  <c r="AH15" i="2"/>
  <c r="AH16" i="2"/>
  <c r="AH39" i="3"/>
  <c r="AH40" i="3"/>
  <c r="AH41" i="3"/>
  <c r="AH43" i="3"/>
  <c r="AH45" i="3"/>
  <c r="AH51" i="3"/>
  <c r="AH53" i="3"/>
  <c r="AH61" i="3"/>
  <c r="AH72" i="3"/>
  <c r="AH73" i="3"/>
  <c r="AH74" i="3"/>
  <c r="AH66" i="3"/>
  <c r="AH67" i="3"/>
  <c r="AH68" i="3"/>
  <c r="AH69" i="3"/>
  <c r="AH70" i="3"/>
  <c r="AH71" i="3"/>
  <c r="AH75" i="3"/>
  <c r="AH36" i="3"/>
  <c r="AH37" i="3"/>
  <c r="AH49" i="3"/>
  <c r="AH57" i="3"/>
  <c r="AH77" i="3"/>
  <c r="AH79" i="3"/>
  <c r="AH17" i="3"/>
  <c r="AH17" i="2"/>
  <c r="AH18" i="2"/>
  <c r="AH19" i="3"/>
  <c r="AH19" i="2"/>
  <c r="AH20" i="2"/>
  <c r="AH21" i="3"/>
  <c r="AH21" i="2"/>
  <c r="AH22" i="3"/>
  <c r="AH22" i="2"/>
  <c r="AH23" i="3"/>
  <c r="AH23" i="2"/>
  <c r="AH24" i="3"/>
  <c r="AH24" i="2"/>
  <c r="AH25" i="2"/>
  <c r="AH26" i="2"/>
  <c r="AH27" i="3"/>
  <c r="AH27" i="2"/>
  <c r="AH28" i="2"/>
  <c r="AH29" i="2"/>
  <c r="AH31" i="2"/>
  <c r="AH41" i="2"/>
  <c r="AI121" i="2"/>
  <c r="AI122" i="2"/>
  <c r="AI120" i="2"/>
  <c r="AI119" i="2"/>
  <c r="AI123" i="2"/>
  <c r="AI126" i="2"/>
  <c r="AI127" i="2"/>
  <c r="AI128" i="2"/>
  <c r="AI129" i="2"/>
  <c r="AI132" i="2"/>
  <c r="AI133" i="2"/>
  <c r="AI136" i="2"/>
  <c r="AI137" i="2"/>
  <c r="AI139" i="2"/>
  <c r="AI7" i="2"/>
  <c r="AI163" i="2"/>
  <c r="AI164" i="2"/>
  <c r="AI192" i="2"/>
  <c r="AI193" i="2"/>
  <c r="AI205" i="2"/>
  <c r="AI182" i="2"/>
  <c r="AI183" i="2"/>
  <c r="AI203" i="2"/>
  <c r="AI187" i="2"/>
  <c r="AI189" i="2"/>
  <c r="AI195" i="2"/>
  <c r="AI201" i="2"/>
  <c r="AI208" i="2"/>
  <c r="AI209" i="2"/>
  <c r="AI210" i="2"/>
  <c r="AI211" i="2"/>
  <c r="AI214" i="2"/>
  <c r="AI218" i="2"/>
  <c r="AI219" i="2"/>
  <c r="AI220" i="2"/>
  <c r="AI224" i="2"/>
  <c r="AI228" i="2"/>
  <c r="AI229" i="2"/>
  <c r="AI237" i="2"/>
  <c r="AI243" i="2"/>
  <c r="AI170" i="2"/>
  <c r="AI167" i="2"/>
  <c r="AI169" i="2"/>
  <c r="AI171" i="2"/>
  <c r="AI168" i="2"/>
  <c r="AI172" i="2"/>
  <c r="AI244" i="2"/>
  <c r="AI174" i="2"/>
  <c r="AI143" i="2"/>
  <c r="AI144" i="2"/>
  <c r="AI145" i="2"/>
  <c r="AI146" i="2"/>
  <c r="AI147" i="2"/>
  <c r="AI150" i="2"/>
  <c r="AI156" i="2"/>
  <c r="AI159" i="2"/>
  <c r="AI160" i="2"/>
  <c r="AI176" i="2"/>
  <c r="AI8" i="2"/>
  <c r="AI9" i="2"/>
  <c r="AI97" i="3"/>
  <c r="AI98" i="3"/>
  <c r="AI94" i="3"/>
  <c r="AI95" i="3"/>
  <c r="AI91" i="3"/>
  <c r="AI92" i="3"/>
  <c r="AI99" i="3"/>
  <c r="AI12" i="3"/>
  <c r="AI12" i="2"/>
  <c r="AI13" i="2"/>
  <c r="AI14" i="2"/>
  <c r="AI15" i="2"/>
  <c r="AI16" i="2"/>
  <c r="AI39" i="3"/>
  <c r="AI40" i="3"/>
  <c r="AI41" i="3"/>
  <c r="AI43" i="3"/>
  <c r="AI45" i="3"/>
  <c r="AI51" i="3"/>
  <c r="AI53" i="3"/>
  <c r="AI61" i="3"/>
  <c r="AI72" i="3"/>
  <c r="AI73" i="3"/>
  <c r="AI74" i="3"/>
  <c r="AI66" i="3"/>
  <c r="AI67" i="3"/>
  <c r="AI68" i="3"/>
  <c r="AI69" i="3"/>
  <c r="AI70" i="3"/>
  <c r="AI71" i="3"/>
  <c r="AI75" i="3"/>
  <c r="AI36" i="3"/>
  <c r="AI37" i="3"/>
  <c r="AI49" i="3"/>
  <c r="AI57" i="3"/>
  <c r="AI77" i="3"/>
  <c r="AI79" i="3"/>
  <c r="AI17" i="3"/>
  <c r="AI17" i="2"/>
  <c r="AI18" i="2"/>
  <c r="AI19" i="3"/>
  <c r="AI19" i="2"/>
  <c r="AI20" i="2"/>
  <c r="AI21" i="3"/>
  <c r="AI21" i="2"/>
  <c r="AI22" i="3"/>
  <c r="AI22" i="2"/>
  <c r="AI23" i="3"/>
  <c r="AI23" i="2"/>
  <c r="AI24" i="3"/>
  <c r="AI24" i="2"/>
  <c r="AI25" i="2"/>
  <c r="AI26" i="2"/>
  <c r="AI27" i="3"/>
  <c r="AI27" i="2"/>
  <c r="AI28" i="2"/>
  <c r="AI29" i="2"/>
  <c r="AI31" i="2"/>
  <c r="AI41" i="2"/>
  <c r="AJ121" i="2"/>
  <c r="AJ122" i="2"/>
  <c r="AJ120" i="2"/>
  <c r="AJ119" i="2"/>
  <c r="AJ123" i="2"/>
  <c r="AJ126" i="2"/>
  <c r="AJ127" i="2"/>
  <c r="AJ128" i="2"/>
  <c r="AJ129" i="2"/>
  <c r="AJ132" i="2"/>
  <c r="AJ133" i="2"/>
  <c r="AJ136" i="2"/>
  <c r="AJ137" i="2"/>
  <c r="AJ139" i="2"/>
  <c r="AJ7" i="2"/>
  <c r="AJ163" i="2"/>
  <c r="AJ164" i="2"/>
  <c r="AJ192" i="2"/>
  <c r="AJ193" i="2"/>
  <c r="AJ205" i="2"/>
  <c r="AJ182" i="2"/>
  <c r="AJ183" i="2"/>
  <c r="AJ203" i="2"/>
  <c r="AJ187" i="2"/>
  <c r="AJ189" i="2"/>
  <c r="AJ195" i="2"/>
  <c r="AJ201" i="2"/>
  <c r="AJ208" i="2"/>
  <c r="AJ209" i="2"/>
  <c r="AJ210" i="2"/>
  <c r="AJ211" i="2"/>
  <c r="AJ214" i="2"/>
  <c r="AJ218" i="2"/>
  <c r="AJ219" i="2"/>
  <c r="AJ220" i="2"/>
  <c r="AJ224" i="2"/>
  <c r="AJ228" i="2"/>
  <c r="AJ229" i="2"/>
  <c r="AJ237" i="2"/>
  <c r="AJ243" i="2"/>
  <c r="AJ170" i="2"/>
  <c r="AJ167" i="2"/>
  <c r="AJ169" i="2"/>
  <c r="AJ171" i="2"/>
  <c r="AJ168" i="2"/>
  <c r="AJ172" i="2"/>
  <c r="AJ244" i="2"/>
  <c r="AJ174" i="2"/>
  <c r="AJ143" i="2"/>
  <c r="AJ144" i="2"/>
  <c r="AJ145" i="2"/>
  <c r="AJ146" i="2"/>
  <c r="AJ147" i="2"/>
  <c r="AJ150" i="2"/>
  <c r="AJ156" i="2"/>
  <c r="AJ159" i="2"/>
  <c r="AJ160" i="2"/>
  <c r="AJ176" i="2"/>
  <c r="AJ8" i="2"/>
  <c r="AJ9" i="2"/>
  <c r="AJ97" i="3"/>
  <c r="AJ98" i="3"/>
  <c r="AJ94" i="3"/>
  <c r="AJ95" i="3"/>
  <c r="AJ91" i="3"/>
  <c r="AJ92" i="3"/>
  <c r="AJ99" i="3"/>
  <c r="AJ12" i="3"/>
  <c r="AJ12" i="2"/>
  <c r="AJ13" i="2"/>
  <c r="AJ14" i="2"/>
  <c r="AJ15" i="2"/>
  <c r="AJ16" i="2"/>
  <c r="AJ39" i="3"/>
  <c r="AJ40" i="3"/>
  <c r="AJ41" i="3"/>
  <c r="AJ43" i="3"/>
  <c r="AJ45" i="3"/>
  <c r="AJ51" i="3"/>
  <c r="AJ53" i="3"/>
  <c r="AJ61" i="3"/>
  <c r="AJ72" i="3"/>
  <c r="AJ73" i="3"/>
  <c r="AJ74" i="3"/>
  <c r="AJ66" i="3"/>
  <c r="AJ67" i="3"/>
  <c r="AJ68" i="3"/>
  <c r="AJ69" i="3"/>
  <c r="AJ70" i="3"/>
  <c r="AJ71" i="3"/>
  <c r="AJ75" i="3"/>
  <c r="AJ36" i="3"/>
  <c r="AJ37" i="3"/>
  <c r="AJ49" i="3"/>
  <c r="AJ57" i="3"/>
  <c r="AJ77" i="3"/>
  <c r="AJ79" i="3"/>
  <c r="AJ17" i="3"/>
  <c r="AJ17" i="2"/>
  <c r="AJ18" i="2"/>
  <c r="AJ19" i="3"/>
  <c r="AJ19" i="2"/>
  <c r="AJ20" i="2"/>
  <c r="AJ21" i="3"/>
  <c r="AJ21" i="2"/>
  <c r="AJ22" i="3"/>
  <c r="AJ22" i="2"/>
  <c r="AJ23" i="3"/>
  <c r="AJ23" i="2"/>
  <c r="AJ24" i="3"/>
  <c r="AJ24" i="2"/>
  <c r="AJ25" i="2"/>
  <c r="AJ26" i="2"/>
  <c r="AJ27" i="3"/>
  <c r="AJ27" i="2"/>
  <c r="AJ28" i="2"/>
  <c r="AJ29" i="2"/>
  <c r="AJ31" i="2"/>
  <c r="AJ41" i="2"/>
  <c r="AK121" i="2"/>
  <c r="AK122" i="2"/>
  <c r="AK120" i="2"/>
  <c r="AK119" i="2"/>
  <c r="AK123" i="2"/>
  <c r="AK126" i="2"/>
  <c r="AK127" i="2"/>
  <c r="AK128" i="2"/>
  <c r="AK129" i="2"/>
  <c r="AK132" i="2"/>
  <c r="AK133" i="2"/>
  <c r="AK136" i="2"/>
  <c r="AK137" i="2"/>
  <c r="AK139" i="2"/>
  <c r="AK7" i="2"/>
  <c r="AK163" i="2"/>
  <c r="AK164" i="2"/>
  <c r="AK192" i="2"/>
  <c r="AK193" i="2"/>
  <c r="AK205" i="2"/>
  <c r="AK182" i="2"/>
  <c r="AK183" i="2"/>
  <c r="AK203" i="2"/>
  <c r="AK187" i="2"/>
  <c r="AK189" i="2"/>
  <c r="AK195" i="2"/>
  <c r="AK201" i="2"/>
  <c r="AK208" i="2"/>
  <c r="AK209" i="2"/>
  <c r="AK210" i="2"/>
  <c r="AK211" i="2"/>
  <c r="AK214" i="2"/>
  <c r="AK218" i="2"/>
  <c r="AK219" i="2"/>
  <c r="AK220" i="2"/>
  <c r="AK224" i="2"/>
  <c r="AK228" i="2"/>
  <c r="AK229" i="2"/>
  <c r="AK237" i="2"/>
  <c r="AK243" i="2"/>
  <c r="AK170" i="2"/>
  <c r="AK167" i="2"/>
  <c r="AK169" i="2"/>
  <c r="AK171" i="2"/>
  <c r="AK168" i="2"/>
  <c r="AK172" i="2"/>
  <c r="AK244" i="2"/>
  <c r="AK174" i="2"/>
  <c r="AK143" i="2"/>
  <c r="AK144" i="2"/>
  <c r="AK145" i="2"/>
  <c r="AK146" i="2"/>
  <c r="AK147" i="2"/>
  <c r="AK150" i="2"/>
  <c r="AK156" i="2"/>
  <c r="AK159" i="2"/>
  <c r="AK160" i="2"/>
  <c r="AK176" i="2"/>
  <c r="AK8" i="2"/>
  <c r="AK9" i="2"/>
  <c r="AK97" i="3"/>
  <c r="AK98" i="3"/>
  <c r="AK94" i="3"/>
  <c r="AK95" i="3"/>
  <c r="AK91" i="3"/>
  <c r="AK92" i="3"/>
  <c r="AK99" i="3"/>
  <c r="AK12" i="3"/>
  <c r="AK12" i="2"/>
  <c r="AK13" i="2"/>
  <c r="AK14" i="2"/>
  <c r="AK15" i="2"/>
  <c r="AK16" i="2"/>
  <c r="AK39" i="3"/>
  <c r="AK40" i="3"/>
  <c r="AK41" i="3"/>
  <c r="AK43" i="3"/>
  <c r="AK45" i="3"/>
  <c r="AK51" i="3"/>
  <c r="AK53" i="3"/>
  <c r="AK61" i="3"/>
  <c r="AK72" i="3"/>
  <c r="AK73" i="3"/>
  <c r="AK74" i="3"/>
  <c r="AK66" i="3"/>
  <c r="AK67" i="3"/>
  <c r="AK68" i="3"/>
  <c r="AK69" i="3"/>
  <c r="AK70" i="3"/>
  <c r="AK71" i="3"/>
  <c r="AK75" i="3"/>
  <c r="AK36" i="3"/>
  <c r="AK37" i="3"/>
  <c r="AK49" i="3"/>
  <c r="AK57" i="3"/>
  <c r="AK77" i="3"/>
  <c r="AK79" i="3"/>
  <c r="AK17" i="3"/>
  <c r="AK17" i="2"/>
  <c r="AK18" i="2"/>
  <c r="AK19" i="3"/>
  <c r="AK19" i="2"/>
  <c r="AK20" i="2"/>
  <c r="AK21" i="3"/>
  <c r="AK21" i="2"/>
  <c r="AK22" i="3"/>
  <c r="AK22" i="2"/>
  <c r="AK23" i="3"/>
  <c r="AK23" i="2"/>
  <c r="AK24" i="3"/>
  <c r="AK24" i="2"/>
  <c r="AK25" i="2"/>
  <c r="AK26" i="2"/>
  <c r="AK27" i="3"/>
  <c r="AK27" i="2"/>
  <c r="AK28" i="2"/>
  <c r="AK29" i="2"/>
  <c r="AK31" i="2"/>
  <c r="AK41" i="2"/>
  <c r="AL121" i="2"/>
  <c r="AL122" i="2"/>
  <c r="AL120" i="2"/>
  <c r="AL119" i="2"/>
  <c r="AL123" i="2"/>
  <c r="AL126" i="2"/>
  <c r="AL127" i="2"/>
  <c r="AL128" i="2"/>
  <c r="AL129" i="2"/>
  <c r="AL132" i="2"/>
  <c r="AL133" i="2"/>
  <c r="AL136" i="2"/>
  <c r="AL137" i="2"/>
  <c r="AL139" i="2"/>
  <c r="AL7" i="2"/>
  <c r="AL163" i="2"/>
  <c r="AL164" i="2"/>
  <c r="AL192" i="2"/>
  <c r="AL193" i="2"/>
  <c r="AL205" i="2"/>
  <c r="AL182" i="2"/>
  <c r="AL183" i="2"/>
  <c r="AL203" i="2"/>
  <c r="AL187" i="2"/>
  <c r="AL189" i="2"/>
  <c r="AL195" i="2"/>
  <c r="AL201" i="2"/>
  <c r="AL208" i="2"/>
  <c r="AL209" i="2"/>
  <c r="AL210" i="2"/>
  <c r="AL211" i="2"/>
  <c r="AL214" i="2"/>
  <c r="AL218" i="2"/>
  <c r="AL219" i="2"/>
  <c r="AL220" i="2"/>
  <c r="AL224" i="2"/>
  <c r="AL228" i="2"/>
  <c r="AL229" i="2"/>
  <c r="AL237" i="2"/>
  <c r="AL243" i="2"/>
  <c r="AL170" i="2"/>
  <c r="AL167" i="2"/>
  <c r="AL169" i="2"/>
  <c r="AL171" i="2"/>
  <c r="AL168" i="2"/>
  <c r="AL172" i="2"/>
  <c r="AL244" i="2"/>
  <c r="AL174" i="2"/>
  <c r="AL143" i="2"/>
  <c r="AL144" i="2"/>
  <c r="AL145" i="2"/>
  <c r="AL146" i="2"/>
  <c r="AL147" i="2"/>
  <c r="AL150" i="2"/>
  <c r="AL156" i="2"/>
  <c r="AL159" i="2"/>
  <c r="AL160" i="2"/>
  <c r="AL176" i="2"/>
  <c r="AL8" i="2"/>
  <c r="AL9" i="2"/>
  <c r="AL97" i="3"/>
  <c r="AL98" i="3"/>
  <c r="AL94" i="3"/>
  <c r="AL95" i="3"/>
  <c r="AL91" i="3"/>
  <c r="AL92" i="3"/>
  <c r="AL99" i="3"/>
  <c r="AL12" i="3"/>
  <c r="AL12" i="2"/>
  <c r="AL13" i="2"/>
  <c r="AL14" i="2"/>
  <c r="AL15" i="2"/>
  <c r="AL16" i="2"/>
  <c r="AL39" i="3"/>
  <c r="AL40" i="3"/>
  <c r="AL41" i="3"/>
  <c r="AL43" i="3"/>
  <c r="AL45" i="3"/>
  <c r="AL51" i="3"/>
  <c r="AL53" i="3"/>
  <c r="AL61" i="3"/>
  <c r="AL72" i="3"/>
  <c r="AL73" i="3"/>
  <c r="AL74" i="3"/>
  <c r="AL66" i="3"/>
  <c r="AL67" i="3"/>
  <c r="AL68" i="3"/>
  <c r="AL69" i="3"/>
  <c r="AL70" i="3"/>
  <c r="AL71" i="3"/>
  <c r="AL75" i="3"/>
  <c r="AL36" i="3"/>
  <c r="AL37" i="3"/>
  <c r="AL49" i="3"/>
  <c r="AL57" i="3"/>
  <c r="AL77" i="3"/>
  <c r="AL79" i="3"/>
  <c r="AL17" i="3"/>
  <c r="AL17" i="2"/>
  <c r="AL18" i="2"/>
  <c r="AL19" i="3"/>
  <c r="AL19" i="2"/>
  <c r="AL20" i="2"/>
  <c r="AL21" i="3"/>
  <c r="AL21" i="2"/>
  <c r="AL22" i="3"/>
  <c r="AL22" i="2"/>
  <c r="AL23" i="3"/>
  <c r="AL23" i="2"/>
  <c r="AL24" i="3"/>
  <c r="AL24" i="2"/>
  <c r="AL25" i="2"/>
  <c r="AL26" i="2"/>
  <c r="AL27" i="3"/>
  <c r="AL27" i="2"/>
  <c r="AL28" i="2"/>
  <c r="AL29" i="2"/>
  <c r="AL31" i="2"/>
  <c r="AL41" i="2"/>
  <c r="J28" i="1"/>
  <c r="O121" i="2"/>
  <c r="O122" i="2"/>
  <c r="O120" i="2"/>
  <c r="O119" i="2"/>
  <c r="O123" i="2"/>
  <c r="O126" i="2"/>
  <c r="O127" i="2"/>
  <c r="O128" i="2"/>
  <c r="O129" i="2"/>
  <c r="O132" i="2"/>
  <c r="O133" i="2"/>
  <c r="O136" i="2"/>
  <c r="O137" i="2"/>
  <c r="O139" i="2"/>
  <c r="O7" i="2"/>
  <c r="O163" i="2"/>
  <c r="O164" i="2"/>
  <c r="O192" i="2"/>
  <c r="O193" i="2"/>
  <c r="O205" i="2"/>
  <c r="O182" i="2"/>
  <c r="O183" i="2"/>
  <c r="O203" i="2"/>
  <c r="O187" i="2"/>
  <c r="O189" i="2"/>
  <c r="O195" i="2"/>
  <c r="O201" i="2"/>
  <c r="O208" i="2"/>
  <c r="O209" i="2"/>
  <c r="O210" i="2"/>
  <c r="O211" i="2"/>
  <c r="O214" i="2"/>
  <c r="O218" i="2"/>
  <c r="O219" i="2"/>
  <c r="O220" i="2"/>
  <c r="O224" i="2"/>
  <c r="O228" i="2"/>
  <c r="O229" i="2"/>
  <c r="O237" i="2"/>
  <c r="O243" i="2"/>
  <c r="O170" i="2"/>
  <c r="O167" i="2"/>
  <c r="O169" i="2"/>
  <c r="O171" i="2"/>
  <c r="O168" i="2"/>
  <c r="O172" i="2"/>
  <c r="O244" i="2"/>
  <c r="O174" i="2"/>
  <c r="O143" i="2"/>
  <c r="O144" i="2"/>
  <c r="O145" i="2"/>
  <c r="O146" i="2"/>
  <c r="O147" i="2"/>
  <c r="O150" i="2"/>
  <c r="O156" i="2"/>
  <c r="O159" i="2"/>
  <c r="O160" i="2"/>
  <c r="O176" i="2"/>
  <c r="O8" i="2"/>
  <c r="O9" i="2"/>
  <c r="O97" i="3"/>
  <c r="O98" i="3"/>
  <c r="O94" i="3"/>
  <c r="O95" i="3"/>
  <c r="O91" i="3"/>
  <c r="O92" i="3"/>
  <c r="O99" i="3"/>
  <c r="O12" i="3"/>
  <c r="O12" i="2"/>
  <c r="O13" i="2"/>
  <c r="O14" i="2"/>
  <c r="O15" i="2"/>
  <c r="O16" i="2"/>
  <c r="O39" i="3"/>
  <c r="O40" i="3"/>
  <c r="O41" i="3"/>
  <c r="O43" i="3"/>
  <c r="O45" i="3"/>
  <c r="O51" i="3"/>
  <c r="O53" i="3"/>
  <c r="O61" i="3"/>
  <c r="O72" i="3"/>
  <c r="O73" i="3"/>
  <c r="O74" i="3"/>
  <c r="O66" i="3"/>
  <c r="O67" i="3"/>
  <c r="O68" i="3"/>
  <c r="O69" i="3"/>
  <c r="O70" i="3"/>
  <c r="O71" i="3"/>
  <c r="O75" i="3"/>
  <c r="O36" i="3"/>
  <c r="O37" i="3"/>
  <c r="O49" i="3"/>
  <c r="O57" i="3"/>
  <c r="O77" i="3"/>
  <c r="O79" i="3"/>
  <c r="O17" i="3"/>
  <c r="O17" i="2"/>
  <c r="O18" i="2"/>
  <c r="O19" i="3"/>
  <c r="O19" i="2"/>
  <c r="O20" i="2"/>
  <c r="O21" i="3"/>
  <c r="O21" i="2"/>
  <c r="O22" i="3"/>
  <c r="O22" i="2"/>
  <c r="O23" i="3"/>
  <c r="O23" i="2"/>
  <c r="O24" i="3"/>
  <c r="O24" i="2"/>
  <c r="O25" i="2"/>
  <c r="O26" i="2"/>
  <c r="O27" i="3"/>
  <c r="O27" i="2"/>
  <c r="O28" i="2"/>
  <c r="O29" i="2"/>
  <c r="O31" i="2"/>
  <c r="O41" i="2"/>
  <c r="P121" i="2"/>
  <c r="P122" i="2"/>
  <c r="P120" i="2"/>
  <c r="P119" i="2"/>
  <c r="P123" i="2"/>
  <c r="P126" i="2"/>
  <c r="P127" i="2"/>
  <c r="P128" i="2"/>
  <c r="P129" i="2"/>
  <c r="P132" i="2"/>
  <c r="P133" i="2"/>
  <c r="P136" i="2"/>
  <c r="P137" i="2"/>
  <c r="P139" i="2"/>
  <c r="P7" i="2"/>
  <c r="P163" i="2"/>
  <c r="P164" i="2"/>
  <c r="P192" i="2"/>
  <c r="P193" i="2"/>
  <c r="P205" i="2"/>
  <c r="P182" i="2"/>
  <c r="P183" i="2"/>
  <c r="P203" i="2"/>
  <c r="P187" i="2"/>
  <c r="P189" i="2"/>
  <c r="P195" i="2"/>
  <c r="P201" i="2"/>
  <c r="P208" i="2"/>
  <c r="P209" i="2"/>
  <c r="P210" i="2"/>
  <c r="P211" i="2"/>
  <c r="P214" i="2"/>
  <c r="P218" i="2"/>
  <c r="P219" i="2"/>
  <c r="P220" i="2"/>
  <c r="P224" i="2"/>
  <c r="P228" i="2"/>
  <c r="P229" i="2"/>
  <c r="P237" i="2"/>
  <c r="P243" i="2"/>
  <c r="P170" i="2"/>
  <c r="P167" i="2"/>
  <c r="P169" i="2"/>
  <c r="P171" i="2"/>
  <c r="P168" i="2"/>
  <c r="P172" i="2"/>
  <c r="P244" i="2"/>
  <c r="P174" i="2"/>
  <c r="P143" i="2"/>
  <c r="P144" i="2"/>
  <c r="P145" i="2"/>
  <c r="P146" i="2"/>
  <c r="P147" i="2"/>
  <c r="P150" i="2"/>
  <c r="P156" i="2"/>
  <c r="P159" i="2"/>
  <c r="P160" i="2"/>
  <c r="P176" i="2"/>
  <c r="P8" i="2"/>
  <c r="P9" i="2"/>
  <c r="P97" i="3"/>
  <c r="P98" i="3"/>
  <c r="P94" i="3"/>
  <c r="P95" i="3"/>
  <c r="P91" i="3"/>
  <c r="P92" i="3"/>
  <c r="P99" i="3"/>
  <c r="P12" i="3"/>
  <c r="P12" i="2"/>
  <c r="P13" i="2"/>
  <c r="P14" i="2"/>
  <c r="P15" i="2"/>
  <c r="P16" i="2"/>
  <c r="P39" i="3"/>
  <c r="P40" i="3"/>
  <c r="P41" i="3"/>
  <c r="P43" i="3"/>
  <c r="P45" i="3"/>
  <c r="P51" i="3"/>
  <c r="P53" i="3"/>
  <c r="P61" i="3"/>
  <c r="P72" i="3"/>
  <c r="P73" i="3"/>
  <c r="P74" i="3"/>
  <c r="P66" i="3"/>
  <c r="P67" i="3"/>
  <c r="P68" i="3"/>
  <c r="P69" i="3"/>
  <c r="P70" i="3"/>
  <c r="P71" i="3"/>
  <c r="P75" i="3"/>
  <c r="P36" i="3"/>
  <c r="P37" i="3"/>
  <c r="P49" i="3"/>
  <c r="P57" i="3"/>
  <c r="P77" i="3"/>
  <c r="P79" i="3"/>
  <c r="P17" i="3"/>
  <c r="P17" i="2"/>
  <c r="P18" i="2"/>
  <c r="P19" i="3"/>
  <c r="P19" i="2"/>
  <c r="P20" i="2"/>
  <c r="P21" i="3"/>
  <c r="P21" i="2"/>
  <c r="P22" i="3"/>
  <c r="P22" i="2"/>
  <c r="P23" i="3"/>
  <c r="P23" i="2"/>
  <c r="P24" i="3"/>
  <c r="P24" i="2"/>
  <c r="P25" i="2"/>
  <c r="P26" i="2"/>
  <c r="P27" i="3"/>
  <c r="P27" i="2"/>
  <c r="P28" i="2"/>
  <c r="P29" i="2"/>
  <c r="P31" i="2"/>
  <c r="P41" i="2"/>
  <c r="Q121" i="2"/>
  <c r="Q122" i="2"/>
  <c r="Q120" i="2"/>
  <c r="Q119" i="2"/>
  <c r="Q123" i="2"/>
  <c r="Q126" i="2"/>
  <c r="Q127" i="2"/>
  <c r="Q128" i="2"/>
  <c r="Q129" i="2"/>
  <c r="Q132" i="2"/>
  <c r="Q133" i="2"/>
  <c r="Q136" i="2"/>
  <c r="Q137" i="2"/>
  <c r="Q139" i="2"/>
  <c r="Q7" i="2"/>
  <c r="Q163" i="2"/>
  <c r="Q164" i="2"/>
  <c r="Q192" i="2"/>
  <c r="Q193" i="2"/>
  <c r="Q205" i="2"/>
  <c r="Q182" i="2"/>
  <c r="Q183" i="2"/>
  <c r="Q203" i="2"/>
  <c r="Q187" i="2"/>
  <c r="Q189" i="2"/>
  <c r="Q195" i="2"/>
  <c r="Q201" i="2"/>
  <c r="Q208" i="2"/>
  <c r="Q209" i="2"/>
  <c r="Q210" i="2"/>
  <c r="Q211" i="2"/>
  <c r="Q214" i="2"/>
  <c r="Q218" i="2"/>
  <c r="Q219" i="2"/>
  <c r="Q220" i="2"/>
  <c r="Q224" i="2"/>
  <c r="Q228" i="2"/>
  <c r="Q229" i="2"/>
  <c r="Q237" i="2"/>
  <c r="Q243" i="2"/>
  <c r="Q170" i="2"/>
  <c r="Q167" i="2"/>
  <c r="Q169" i="2"/>
  <c r="Q171" i="2"/>
  <c r="Q168" i="2"/>
  <c r="Q172" i="2"/>
  <c r="Q244" i="2"/>
  <c r="Q174" i="2"/>
  <c r="Q143" i="2"/>
  <c r="Q144" i="2"/>
  <c r="Q145" i="2"/>
  <c r="Q146" i="2"/>
  <c r="Q147" i="2"/>
  <c r="Q150" i="2"/>
  <c r="Q156" i="2"/>
  <c r="Q159" i="2"/>
  <c r="Q160" i="2"/>
  <c r="Q176" i="2"/>
  <c r="Q8" i="2"/>
  <c r="Q9" i="2"/>
  <c r="Q97" i="3"/>
  <c r="Q98" i="3"/>
  <c r="Q94" i="3"/>
  <c r="Q95" i="3"/>
  <c r="Q91" i="3"/>
  <c r="Q92" i="3"/>
  <c r="Q99" i="3"/>
  <c r="Q12" i="3"/>
  <c r="Q12" i="2"/>
  <c r="Q13" i="2"/>
  <c r="Q14" i="2"/>
  <c r="Q15" i="2"/>
  <c r="Q16" i="2"/>
  <c r="Q39" i="3"/>
  <c r="Q40" i="3"/>
  <c r="Q41" i="3"/>
  <c r="Q43" i="3"/>
  <c r="Q45" i="3"/>
  <c r="Q51" i="3"/>
  <c r="Q53" i="3"/>
  <c r="Q61" i="3"/>
  <c r="Q72" i="3"/>
  <c r="Q73" i="3"/>
  <c r="Q74" i="3"/>
  <c r="Q66" i="3"/>
  <c r="Q67" i="3"/>
  <c r="Q68" i="3"/>
  <c r="Q69" i="3"/>
  <c r="Q70" i="3"/>
  <c r="Q71" i="3"/>
  <c r="Q75" i="3"/>
  <c r="Q36" i="3"/>
  <c r="Q37" i="3"/>
  <c r="Q49" i="3"/>
  <c r="Q57" i="3"/>
  <c r="Q77" i="3"/>
  <c r="Q79" i="3"/>
  <c r="Q17" i="3"/>
  <c r="Q17" i="2"/>
  <c r="Q18" i="2"/>
  <c r="Q19" i="3"/>
  <c r="Q19" i="2"/>
  <c r="Q20" i="2"/>
  <c r="Q21" i="3"/>
  <c r="Q21" i="2"/>
  <c r="Q22" i="3"/>
  <c r="Q22" i="2"/>
  <c r="Q23" i="3"/>
  <c r="Q23" i="2"/>
  <c r="Q24" i="3"/>
  <c r="Q24" i="2"/>
  <c r="Q25" i="2"/>
  <c r="Q26" i="2"/>
  <c r="Q27" i="3"/>
  <c r="Q27" i="2"/>
  <c r="Q28" i="2"/>
  <c r="Q29" i="2"/>
  <c r="Q31" i="2"/>
  <c r="Q41" i="2"/>
  <c r="R121" i="2"/>
  <c r="R122" i="2"/>
  <c r="R120" i="2"/>
  <c r="R119" i="2"/>
  <c r="R123" i="2"/>
  <c r="R126" i="2"/>
  <c r="R127" i="2"/>
  <c r="R128" i="2"/>
  <c r="R129" i="2"/>
  <c r="R132" i="2"/>
  <c r="R133" i="2"/>
  <c r="R136" i="2"/>
  <c r="R137" i="2"/>
  <c r="R139" i="2"/>
  <c r="R7" i="2"/>
  <c r="R163" i="2"/>
  <c r="R164" i="2"/>
  <c r="R192" i="2"/>
  <c r="R193" i="2"/>
  <c r="R205" i="2"/>
  <c r="R182" i="2"/>
  <c r="R183" i="2"/>
  <c r="R203" i="2"/>
  <c r="R187" i="2"/>
  <c r="R189" i="2"/>
  <c r="R195" i="2"/>
  <c r="R201" i="2"/>
  <c r="R208" i="2"/>
  <c r="R209" i="2"/>
  <c r="R210" i="2"/>
  <c r="R211" i="2"/>
  <c r="R214" i="2"/>
  <c r="R218" i="2"/>
  <c r="R219" i="2"/>
  <c r="R220" i="2"/>
  <c r="R224" i="2"/>
  <c r="R228" i="2"/>
  <c r="R229" i="2"/>
  <c r="R237" i="2"/>
  <c r="R243" i="2"/>
  <c r="R170" i="2"/>
  <c r="R167" i="2"/>
  <c r="R169" i="2"/>
  <c r="R171" i="2"/>
  <c r="R168" i="2"/>
  <c r="R172" i="2"/>
  <c r="R244" i="2"/>
  <c r="R174" i="2"/>
  <c r="R143" i="2"/>
  <c r="R144" i="2"/>
  <c r="R145" i="2"/>
  <c r="R146" i="2"/>
  <c r="R147" i="2"/>
  <c r="R150" i="2"/>
  <c r="R156" i="2"/>
  <c r="R159" i="2"/>
  <c r="R160" i="2"/>
  <c r="R176" i="2"/>
  <c r="R8" i="2"/>
  <c r="R9" i="2"/>
  <c r="R97" i="3"/>
  <c r="R98" i="3"/>
  <c r="R94" i="3"/>
  <c r="R95" i="3"/>
  <c r="R91" i="3"/>
  <c r="R92" i="3"/>
  <c r="R99" i="3"/>
  <c r="R12" i="3"/>
  <c r="R12" i="2"/>
  <c r="R13" i="2"/>
  <c r="R14" i="2"/>
  <c r="R15" i="2"/>
  <c r="R16" i="2"/>
  <c r="R39" i="3"/>
  <c r="R40" i="3"/>
  <c r="R41" i="3"/>
  <c r="R43" i="3"/>
  <c r="R45" i="3"/>
  <c r="R51" i="3"/>
  <c r="R53" i="3"/>
  <c r="R61" i="3"/>
  <c r="R72" i="3"/>
  <c r="R73" i="3"/>
  <c r="R74" i="3"/>
  <c r="R66" i="3"/>
  <c r="R67" i="3"/>
  <c r="R68" i="3"/>
  <c r="R69" i="3"/>
  <c r="R70" i="3"/>
  <c r="R71" i="3"/>
  <c r="R75" i="3"/>
  <c r="R36" i="3"/>
  <c r="R37" i="3"/>
  <c r="R49" i="3"/>
  <c r="R57" i="3"/>
  <c r="R77" i="3"/>
  <c r="R79" i="3"/>
  <c r="R17" i="3"/>
  <c r="R17" i="2"/>
  <c r="R18" i="2"/>
  <c r="R19" i="3"/>
  <c r="R19" i="2"/>
  <c r="R20" i="2"/>
  <c r="R21" i="3"/>
  <c r="R21" i="2"/>
  <c r="R22" i="3"/>
  <c r="R22" i="2"/>
  <c r="R23" i="3"/>
  <c r="R23" i="2"/>
  <c r="R24" i="3"/>
  <c r="R24" i="2"/>
  <c r="R25" i="2"/>
  <c r="R26" i="2"/>
  <c r="R27" i="3"/>
  <c r="R27" i="2"/>
  <c r="R28" i="2"/>
  <c r="R29" i="2"/>
  <c r="R31" i="2"/>
  <c r="R41" i="2"/>
  <c r="S121" i="2"/>
  <c r="S122" i="2"/>
  <c r="S120" i="2"/>
  <c r="S119" i="2"/>
  <c r="S123" i="2"/>
  <c r="S126" i="2"/>
  <c r="S127" i="2"/>
  <c r="S128" i="2"/>
  <c r="S129" i="2"/>
  <c r="S132" i="2"/>
  <c r="S133" i="2"/>
  <c r="S136" i="2"/>
  <c r="S137" i="2"/>
  <c r="S139" i="2"/>
  <c r="S7" i="2"/>
  <c r="S163" i="2"/>
  <c r="S164" i="2"/>
  <c r="S192" i="2"/>
  <c r="S193" i="2"/>
  <c r="S205" i="2"/>
  <c r="S182" i="2"/>
  <c r="S183" i="2"/>
  <c r="S203" i="2"/>
  <c r="S187" i="2"/>
  <c r="S189" i="2"/>
  <c r="S195" i="2"/>
  <c r="S201" i="2"/>
  <c r="S208" i="2"/>
  <c r="S209" i="2"/>
  <c r="S210" i="2"/>
  <c r="S211" i="2"/>
  <c r="S214" i="2"/>
  <c r="S218" i="2"/>
  <c r="S219" i="2"/>
  <c r="S220" i="2"/>
  <c r="S224" i="2"/>
  <c r="S228" i="2"/>
  <c r="S229" i="2"/>
  <c r="S237" i="2"/>
  <c r="S243" i="2"/>
  <c r="S170" i="2"/>
  <c r="S167" i="2"/>
  <c r="S169" i="2"/>
  <c r="S171" i="2"/>
  <c r="S168" i="2"/>
  <c r="S172" i="2"/>
  <c r="S244" i="2"/>
  <c r="S174" i="2"/>
  <c r="S143" i="2"/>
  <c r="S144" i="2"/>
  <c r="S145" i="2"/>
  <c r="S146" i="2"/>
  <c r="S147" i="2"/>
  <c r="S150" i="2"/>
  <c r="S156" i="2"/>
  <c r="S159" i="2"/>
  <c r="S160" i="2"/>
  <c r="S176" i="2"/>
  <c r="S8" i="2"/>
  <c r="S9" i="2"/>
  <c r="S97" i="3"/>
  <c r="S98" i="3"/>
  <c r="S94" i="3"/>
  <c r="S95" i="3"/>
  <c r="S91" i="3"/>
  <c r="S92" i="3"/>
  <c r="S99" i="3"/>
  <c r="S12" i="3"/>
  <c r="S12" i="2"/>
  <c r="S13" i="2"/>
  <c r="S14" i="2"/>
  <c r="S15" i="2"/>
  <c r="S16" i="2"/>
  <c r="S39" i="3"/>
  <c r="S40" i="3"/>
  <c r="S41" i="3"/>
  <c r="S43" i="3"/>
  <c r="S45" i="3"/>
  <c r="S51" i="3"/>
  <c r="S53" i="3"/>
  <c r="S61" i="3"/>
  <c r="S72" i="3"/>
  <c r="S73" i="3"/>
  <c r="S74" i="3"/>
  <c r="S66" i="3"/>
  <c r="S67" i="3"/>
  <c r="S68" i="3"/>
  <c r="S69" i="3"/>
  <c r="S70" i="3"/>
  <c r="S71" i="3"/>
  <c r="S75" i="3"/>
  <c r="S36" i="3"/>
  <c r="S37" i="3"/>
  <c r="S49" i="3"/>
  <c r="S57" i="3"/>
  <c r="S77" i="3"/>
  <c r="S79" i="3"/>
  <c r="S17" i="3"/>
  <c r="S17" i="2"/>
  <c r="S18" i="2"/>
  <c r="S19" i="3"/>
  <c r="S19" i="2"/>
  <c r="S20" i="2"/>
  <c r="S21" i="3"/>
  <c r="S21" i="2"/>
  <c r="S22" i="3"/>
  <c r="S22" i="2"/>
  <c r="S23" i="3"/>
  <c r="S23" i="2"/>
  <c r="S24" i="3"/>
  <c r="S24" i="2"/>
  <c r="S25" i="2"/>
  <c r="S26" i="2"/>
  <c r="S27" i="3"/>
  <c r="S27" i="2"/>
  <c r="S28" i="2"/>
  <c r="S29" i="2"/>
  <c r="S31" i="2"/>
  <c r="S41" i="2"/>
  <c r="T121" i="2"/>
  <c r="T122" i="2"/>
  <c r="T120" i="2"/>
  <c r="T119" i="2"/>
  <c r="T123" i="2"/>
  <c r="T126" i="2"/>
  <c r="T127" i="2"/>
  <c r="T128" i="2"/>
  <c r="T129" i="2"/>
  <c r="T132" i="2"/>
  <c r="T133" i="2"/>
  <c r="T136" i="2"/>
  <c r="T137" i="2"/>
  <c r="T139" i="2"/>
  <c r="T7" i="2"/>
  <c r="T163" i="2"/>
  <c r="T164" i="2"/>
  <c r="T192" i="2"/>
  <c r="T193" i="2"/>
  <c r="T205" i="2"/>
  <c r="T182" i="2"/>
  <c r="T183" i="2"/>
  <c r="T203" i="2"/>
  <c r="T187" i="2"/>
  <c r="T189" i="2"/>
  <c r="T195" i="2"/>
  <c r="T201" i="2"/>
  <c r="T208" i="2"/>
  <c r="T209" i="2"/>
  <c r="T210" i="2"/>
  <c r="T211" i="2"/>
  <c r="T214" i="2"/>
  <c r="T218" i="2"/>
  <c r="T219" i="2"/>
  <c r="T220" i="2"/>
  <c r="T224" i="2"/>
  <c r="T228" i="2"/>
  <c r="T229" i="2"/>
  <c r="T237" i="2"/>
  <c r="T243" i="2"/>
  <c r="T170" i="2"/>
  <c r="T167" i="2"/>
  <c r="T169" i="2"/>
  <c r="T171" i="2"/>
  <c r="T168" i="2"/>
  <c r="T172" i="2"/>
  <c r="T244" i="2"/>
  <c r="T174" i="2"/>
  <c r="T143" i="2"/>
  <c r="T144" i="2"/>
  <c r="T145" i="2"/>
  <c r="T146" i="2"/>
  <c r="T147" i="2"/>
  <c r="T150" i="2"/>
  <c r="T156" i="2"/>
  <c r="T159" i="2"/>
  <c r="T160" i="2"/>
  <c r="T176" i="2"/>
  <c r="T8" i="2"/>
  <c r="T9" i="2"/>
  <c r="T97" i="3"/>
  <c r="T98" i="3"/>
  <c r="T94" i="3"/>
  <c r="T95" i="3"/>
  <c r="T91" i="3"/>
  <c r="T92" i="3"/>
  <c r="T99" i="3"/>
  <c r="T12" i="3"/>
  <c r="T12" i="2"/>
  <c r="T13" i="2"/>
  <c r="T14" i="2"/>
  <c r="T15" i="2"/>
  <c r="T16" i="2"/>
  <c r="T39" i="3"/>
  <c r="T40" i="3"/>
  <c r="T41" i="3"/>
  <c r="T43" i="3"/>
  <c r="T45" i="3"/>
  <c r="T51" i="3"/>
  <c r="T53" i="3"/>
  <c r="T61" i="3"/>
  <c r="T72" i="3"/>
  <c r="T73" i="3"/>
  <c r="T74" i="3"/>
  <c r="T66" i="3"/>
  <c r="T67" i="3"/>
  <c r="T68" i="3"/>
  <c r="T69" i="3"/>
  <c r="T70" i="3"/>
  <c r="T71" i="3"/>
  <c r="T75" i="3"/>
  <c r="T36" i="3"/>
  <c r="T37" i="3"/>
  <c r="T49" i="3"/>
  <c r="T57" i="3"/>
  <c r="T77" i="3"/>
  <c r="T79" i="3"/>
  <c r="T17" i="3"/>
  <c r="T17" i="2"/>
  <c r="T18" i="2"/>
  <c r="T19" i="3"/>
  <c r="T19" i="2"/>
  <c r="T20" i="2"/>
  <c r="T21" i="3"/>
  <c r="T21" i="2"/>
  <c r="T22" i="3"/>
  <c r="T22" i="2"/>
  <c r="T23" i="3"/>
  <c r="T23" i="2"/>
  <c r="T24" i="3"/>
  <c r="T24" i="2"/>
  <c r="T25" i="2"/>
  <c r="T26" i="2"/>
  <c r="T27" i="3"/>
  <c r="T27" i="2"/>
  <c r="T28" i="2"/>
  <c r="T29" i="2"/>
  <c r="T31" i="2"/>
  <c r="T41" i="2"/>
  <c r="U121" i="2"/>
  <c r="U122" i="2"/>
  <c r="U120" i="2"/>
  <c r="U119" i="2"/>
  <c r="U123" i="2"/>
  <c r="U126" i="2"/>
  <c r="U127" i="2"/>
  <c r="U128" i="2"/>
  <c r="U129" i="2"/>
  <c r="U132" i="2"/>
  <c r="U133" i="2"/>
  <c r="U136" i="2"/>
  <c r="U137" i="2"/>
  <c r="U139" i="2"/>
  <c r="U7" i="2"/>
  <c r="U163" i="2"/>
  <c r="U164" i="2"/>
  <c r="U192" i="2"/>
  <c r="U193" i="2"/>
  <c r="U205" i="2"/>
  <c r="U182" i="2"/>
  <c r="U183" i="2"/>
  <c r="U203" i="2"/>
  <c r="U187" i="2"/>
  <c r="U189" i="2"/>
  <c r="U195" i="2"/>
  <c r="U201" i="2"/>
  <c r="U208" i="2"/>
  <c r="U209" i="2"/>
  <c r="U210" i="2"/>
  <c r="U211" i="2"/>
  <c r="U214" i="2"/>
  <c r="U218" i="2"/>
  <c r="U219" i="2"/>
  <c r="U220" i="2"/>
  <c r="U224" i="2"/>
  <c r="U228" i="2"/>
  <c r="U229" i="2"/>
  <c r="U237" i="2"/>
  <c r="U243" i="2"/>
  <c r="U170" i="2"/>
  <c r="U167" i="2"/>
  <c r="U169" i="2"/>
  <c r="U171" i="2"/>
  <c r="U168" i="2"/>
  <c r="U172" i="2"/>
  <c r="U244" i="2"/>
  <c r="U174" i="2"/>
  <c r="U143" i="2"/>
  <c r="U144" i="2"/>
  <c r="U145" i="2"/>
  <c r="U146" i="2"/>
  <c r="U147" i="2"/>
  <c r="U150" i="2"/>
  <c r="U156" i="2"/>
  <c r="U159" i="2"/>
  <c r="U160" i="2"/>
  <c r="U176" i="2"/>
  <c r="U8" i="2"/>
  <c r="U9" i="2"/>
  <c r="U97" i="3"/>
  <c r="U98" i="3"/>
  <c r="U94" i="3"/>
  <c r="U95" i="3"/>
  <c r="U91" i="3"/>
  <c r="U92" i="3"/>
  <c r="U99" i="3"/>
  <c r="U12" i="3"/>
  <c r="U12" i="2"/>
  <c r="U13" i="2"/>
  <c r="U14" i="2"/>
  <c r="U15" i="2"/>
  <c r="U16" i="2"/>
  <c r="U39" i="3"/>
  <c r="U40" i="3"/>
  <c r="U41" i="3"/>
  <c r="U43" i="3"/>
  <c r="U45" i="3"/>
  <c r="U51" i="3"/>
  <c r="U53" i="3"/>
  <c r="U61" i="3"/>
  <c r="U72" i="3"/>
  <c r="U73" i="3"/>
  <c r="U74" i="3"/>
  <c r="U66" i="3"/>
  <c r="U67" i="3"/>
  <c r="U68" i="3"/>
  <c r="U69" i="3"/>
  <c r="U70" i="3"/>
  <c r="U71" i="3"/>
  <c r="U75" i="3"/>
  <c r="U36" i="3"/>
  <c r="U37" i="3"/>
  <c r="U49" i="3"/>
  <c r="U57" i="3"/>
  <c r="U77" i="3"/>
  <c r="U79" i="3"/>
  <c r="U17" i="3"/>
  <c r="U17" i="2"/>
  <c r="U18" i="2"/>
  <c r="U19" i="3"/>
  <c r="U19" i="2"/>
  <c r="U20" i="2"/>
  <c r="U21" i="3"/>
  <c r="U21" i="2"/>
  <c r="U22" i="3"/>
  <c r="U22" i="2"/>
  <c r="U23" i="3"/>
  <c r="U23" i="2"/>
  <c r="U24" i="3"/>
  <c r="U24" i="2"/>
  <c r="U25" i="2"/>
  <c r="U26" i="2"/>
  <c r="U27" i="3"/>
  <c r="U27" i="2"/>
  <c r="U28" i="2"/>
  <c r="U29" i="2"/>
  <c r="U31" i="2"/>
  <c r="U41" i="2"/>
  <c r="V121" i="2"/>
  <c r="V122" i="2"/>
  <c r="V120" i="2"/>
  <c r="V119" i="2"/>
  <c r="V123" i="2"/>
  <c r="V126" i="2"/>
  <c r="V127" i="2"/>
  <c r="V128" i="2"/>
  <c r="V129" i="2"/>
  <c r="V132" i="2"/>
  <c r="V133" i="2"/>
  <c r="V136" i="2"/>
  <c r="V137" i="2"/>
  <c r="V139" i="2"/>
  <c r="V7" i="2"/>
  <c r="V163" i="2"/>
  <c r="V164" i="2"/>
  <c r="V192" i="2"/>
  <c r="V193" i="2"/>
  <c r="V205" i="2"/>
  <c r="V182" i="2"/>
  <c r="V183" i="2"/>
  <c r="V203" i="2"/>
  <c r="V187" i="2"/>
  <c r="V189" i="2"/>
  <c r="V195" i="2"/>
  <c r="V201" i="2"/>
  <c r="V208" i="2"/>
  <c r="V209" i="2"/>
  <c r="V210" i="2"/>
  <c r="V211" i="2"/>
  <c r="V214" i="2"/>
  <c r="V218" i="2"/>
  <c r="V219" i="2"/>
  <c r="V220" i="2"/>
  <c r="V224" i="2"/>
  <c r="V228" i="2"/>
  <c r="V229" i="2"/>
  <c r="V237" i="2"/>
  <c r="V243" i="2"/>
  <c r="V170" i="2"/>
  <c r="V167" i="2"/>
  <c r="V169" i="2"/>
  <c r="V171" i="2"/>
  <c r="V168" i="2"/>
  <c r="V172" i="2"/>
  <c r="V244" i="2"/>
  <c r="V174" i="2"/>
  <c r="V143" i="2"/>
  <c r="V144" i="2"/>
  <c r="V145" i="2"/>
  <c r="V146" i="2"/>
  <c r="V147" i="2"/>
  <c r="V150" i="2"/>
  <c r="V156" i="2"/>
  <c r="V159" i="2"/>
  <c r="V160" i="2"/>
  <c r="V176" i="2"/>
  <c r="V8" i="2"/>
  <c r="V9" i="2"/>
  <c r="V97" i="3"/>
  <c r="V98" i="3"/>
  <c r="V94" i="3"/>
  <c r="V95" i="3"/>
  <c r="V91" i="3"/>
  <c r="V92" i="3"/>
  <c r="V99" i="3"/>
  <c r="V12" i="3"/>
  <c r="V12" i="2"/>
  <c r="V13" i="2"/>
  <c r="V14" i="2"/>
  <c r="V15" i="2"/>
  <c r="V16" i="2"/>
  <c r="V39" i="3"/>
  <c r="V40" i="3"/>
  <c r="V41" i="3"/>
  <c r="V43" i="3"/>
  <c r="V45" i="3"/>
  <c r="V51" i="3"/>
  <c r="V53" i="3"/>
  <c r="V61" i="3"/>
  <c r="V72" i="3"/>
  <c r="V73" i="3"/>
  <c r="V74" i="3"/>
  <c r="V66" i="3"/>
  <c r="V67" i="3"/>
  <c r="V68" i="3"/>
  <c r="V69" i="3"/>
  <c r="V70" i="3"/>
  <c r="V71" i="3"/>
  <c r="V75" i="3"/>
  <c r="V36" i="3"/>
  <c r="V37" i="3"/>
  <c r="V49" i="3"/>
  <c r="V57" i="3"/>
  <c r="V77" i="3"/>
  <c r="V79" i="3"/>
  <c r="V17" i="3"/>
  <c r="V17" i="2"/>
  <c r="V18" i="2"/>
  <c r="V19" i="3"/>
  <c r="V19" i="2"/>
  <c r="V20" i="2"/>
  <c r="V21" i="3"/>
  <c r="V21" i="2"/>
  <c r="V22" i="3"/>
  <c r="V22" i="2"/>
  <c r="V23" i="3"/>
  <c r="V23" i="2"/>
  <c r="V24" i="3"/>
  <c r="V24" i="2"/>
  <c r="V25" i="2"/>
  <c r="V26" i="2"/>
  <c r="V27" i="3"/>
  <c r="V27" i="2"/>
  <c r="V28" i="2"/>
  <c r="V29" i="2"/>
  <c r="V31" i="2"/>
  <c r="V41" i="2"/>
  <c r="W121" i="2"/>
  <c r="W122" i="2"/>
  <c r="W120" i="2"/>
  <c r="W119" i="2"/>
  <c r="W123" i="2"/>
  <c r="W126" i="2"/>
  <c r="W127" i="2"/>
  <c r="W128" i="2"/>
  <c r="W129" i="2"/>
  <c r="W132" i="2"/>
  <c r="W133" i="2"/>
  <c r="W136" i="2"/>
  <c r="W137" i="2"/>
  <c r="W139" i="2"/>
  <c r="W7" i="2"/>
  <c r="W163" i="2"/>
  <c r="W164" i="2"/>
  <c r="W192" i="2"/>
  <c r="W193" i="2"/>
  <c r="W205" i="2"/>
  <c r="W182" i="2"/>
  <c r="W183" i="2"/>
  <c r="W203" i="2"/>
  <c r="W187" i="2"/>
  <c r="W189" i="2"/>
  <c r="W195" i="2"/>
  <c r="W201" i="2"/>
  <c r="W208" i="2"/>
  <c r="W209" i="2"/>
  <c r="W210" i="2"/>
  <c r="W211" i="2"/>
  <c r="W214" i="2"/>
  <c r="W218" i="2"/>
  <c r="W219" i="2"/>
  <c r="W220" i="2"/>
  <c r="W224" i="2"/>
  <c r="W228" i="2"/>
  <c r="W229" i="2"/>
  <c r="W237" i="2"/>
  <c r="W243" i="2"/>
  <c r="W170" i="2"/>
  <c r="W167" i="2"/>
  <c r="W169" i="2"/>
  <c r="W171" i="2"/>
  <c r="W168" i="2"/>
  <c r="W172" i="2"/>
  <c r="W244" i="2"/>
  <c r="W174" i="2"/>
  <c r="W143" i="2"/>
  <c r="W144" i="2"/>
  <c r="W145" i="2"/>
  <c r="W146" i="2"/>
  <c r="W147" i="2"/>
  <c r="W150" i="2"/>
  <c r="W156" i="2"/>
  <c r="W159" i="2"/>
  <c r="W160" i="2"/>
  <c r="W176" i="2"/>
  <c r="W8" i="2"/>
  <c r="W9" i="2"/>
  <c r="W97" i="3"/>
  <c r="W98" i="3"/>
  <c r="W94" i="3"/>
  <c r="W95" i="3"/>
  <c r="W91" i="3"/>
  <c r="W92" i="3"/>
  <c r="W99" i="3"/>
  <c r="W12" i="3"/>
  <c r="W12" i="2"/>
  <c r="W13" i="2"/>
  <c r="W14" i="2"/>
  <c r="W15" i="2"/>
  <c r="W16" i="2"/>
  <c r="W39" i="3"/>
  <c r="W40" i="3"/>
  <c r="W41" i="3"/>
  <c r="W43" i="3"/>
  <c r="W45" i="3"/>
  <c r="W51" i="3"/>
  <c r="W53" i="3"/>
  <c r="W61" i="3"/>
  <c r="W72" i="3"/>
  <c r="W73" i="3"/>
  <c r="W74" i="3"/>
  <c r="W66" i="3"/>
  <c r="W67" i="3"/>
  <c r="W68" i="3"/>
  <c r="W69" i="3"/>
  <c r="W70" i="3"/>
  <c r="W71" i="3"/>
  <c r="W75" i="3"/>
  <c r="W36" i="3"/>
  <c r="W37" i="3"/>
  <c r="W49" i="3"/>
  <c r="W57" i="3"/>
  <c r="W77" i="3"/>
  <c r="W79" i="3"/>
  <c r="W17" i="3"/>
  <c r="W17" i="2"/>
  <c r="W18" i="2"/>
  <c r="W19" i="3"/>
  <c r="W19" i="2"/>
  <c r="W20" i="2"/>
  <c r="W21" i="3"/>
  <c r="W21" i="2"/>
  <c r="W22" i="3"/>
  <c r="W22" i="2"/>
  <c r="W23" i="3"/>
  <c r="W23" i="2"/>
  <c r="W24" i="3"/>
  <c r="W24" i="2"/>
  <c r="W25" i="2"/>
  <c r="W26" i="2"/>
  <c r="W27" i="3"/>
  <c r="W27" i="2"/>
  <c r="W28" i="2"/>
  <c r="W29" i="2"/>
  <c r="W31" i="2"/>
  <c r="W41" i="2"/>
  <c r="X121" i="2"/>
  <c r="X122" i="2"/>
  <c r="X120" i="2"/>
  <c r="X119" i="2"/>
  <c r="X123" i="2"/>
  <c r="X126" i="2"/>
  <c r="X127" i="2"/>
  <c r="X128" i="2"/>
  <c r="X129" i="2"/>
  <c r="X132" i="2"/>
  <c r="X133" i="2"/>
  <c r="X136" i="2"/>
  <c r="X137" i="2"/>
  <c r="X139" i="2"/>
  <c r="X7" i="2"/>
  <c r="X163" i="2"/>
  <c r="X164" i="2"/>
  <c r="X192" i="2"/>
  <c r="X193" i="2"/>
  <c r="X205" i="2"/>
  <c r="X182" i="2"/>
  <c r="X183" i="2"/>
  <c r="X203" i="2"/>
  <c r="X187" i="2"/>
  <c r="X189" i="2"/>
  <c r="X195" i="2"/>
  <c r="X201" i="2"/>
  <c r="X208" i="2"/>
  <c r="X209" i="2"/>
  <c r="X210" i="2"/>
  <c r="X211" i="2"/>
  <c r="X214" i="2"/>
  <c r="X218" i="2"/>
  <c r="X219" i="2"/>
  <c r="X220" i="2"/>
  <c r="X224" i="2"/>
  <c r="X228" i="2"/>
  <c r="X229" i="2"/>
  <c r="X237" i="2"/>
  <c r="X243" i="2"/>
  <c r="X170" i="2"/>
  <c r="X167" i="2"/>
  <c r="X169" i="2"/>
  <c r="X171" i="2"/>
  <c r="X168" i="2"/>
  <c r="X172" i="2"/>
  <c r="X244" i="2"/>
  <c r="X174" i="2"/>
  <c r="X143" i="2"/>
  <c r="X144" i="2"/>
  <c r="X145" i="2"/>
  <c r="X146" i="2"/>
  <c r="X147" i="2"/>
  <c r="X150" i="2"/>
  <c r="X156" i="2"/>
  <c r="X159" i="2"/>
  <c r="X160" i="2"/>
  <c r="X176" i="2"/>
  <c r="X8" i="2"/>
  <c r="X9" i="2"/>
  <c r="X97" i="3"/>
  <c r="X98" i="3"/>
  <c r="X94" i="3"/>
  <c r="X95" i="3"/>
  <c r="X91" i="3"/>
  <c r="X92" i="3"/>
  <c r="X99" i="3"/>
  <c r="X12" i="3"/>
  <c r="X12" i="2"/>
  <c r="X13" i="2"/>
  <c r="X14" i="2"/>
  <c r="X15" i="2"/>
  <c r="X16" i="2"/>
  <c r="X39" i="3"/>
  <c r="X40" i="3"/>
  <c r="X41" i="3"/>
  <c r="X43" i="3"/>
  <c r="X45" i="3"/>
  <c r="X51" i="3"/>
  <c r="X53" i="3"/>
  <c r="X61" i="3"/>
  <c r="X72" i="3"/>
  <c r="X73" i="3"/>
  <c r="X74" i="3"/>
  <c r="X66" i="3"/>
  <c r="X67" i="3"/>
  <c r="X68" i="3"/>
  <c r="X69" i="3"/>
  <c r="X70" i="3"/>
  <c r="X71" i="3"/>
  <c r="X75" i="3"/>
  <c r="X36" i="3"/>
  <c r="X37" i="3"/>
  <c r="X49" i="3"/>
  <c r="X57" i="3"/>
  <c r="X77" i="3"/>
  <c r="X79" i="3"/>
  <c r="X17" i="3"/>
  <c r="X17" i="2"/>
  <c r="X18" i="2"/>
  <c r="X19" i="3"/>
  <c r="X19" i="2"/>
  <c r="X20" i="2"/>
  <c r="X21" i="3"/>
  <c r="X21" i="2"/>
  <c r="X22" i="3"/>
  <c r="X22" i="2"/>
  <c r="X23" i="3"/>
  <c r="X23" i="2"/>
  <c r="X24" i="3"/>
  <c r="X24" i="2"/>
  <c r="X25" i="2"/>
  <c r="X26" i="2"/>
  <c r="X27" i="3"/>
  <c r="X27" i="2"/>
  <c r="X28" i="2"/>
  <c r="X29" i="2"/>
  <c r="X31" i="2"/>
  <c r="X41" i="2"/>
  <c r="Y121" i="2"/>
  <c r="Y122" i="2"/>
  <c r="Y120" i="2"/>
  <c r="Y119" i="2"/>
  <c r="Y123" i="2"/>
  <c r="Y126" i="2"/>
  <c r="Y127" i="2"/>
  <c r="Y128" i="2"/>
  <c r="Y129" i="2"/>
  <c r="Y132" i="2"/>
  <c r="Y133" i="2"/>
  <c r="Y136" i="2"/>
  <c r="Y137" i="2"/>
  <c r="Y139" i="2"/>
  <c r="Y7" i="2"/>
  <c r="Y163" i="2"/>
  <c r="Y164" i="2"/>
  <c r="Y192" i="2"/>
  <c r="Y193" i="2"/>
  <c r="Y205" i="2"/>
  <c r="Y182" i="2"/>
  <c r="Y183" i="2"/>
  <c r="Y203" i="2"/>
  <c r="Y187" i="2"/>
  <c r="Y189" i="2"/>
  <c r="Y195" i="2"/>
  <c r="Y201" i="2"/>
  <c r="Y208" i="2"/>
  <c r="Y209" i="2"/>
  <c r="Y210" i="2"/>
  <c r="Y211" i="2"/>
  <c r="Y214" i="2"/>
  <c r="Y218" i="2"/>
  <c r="Y219" i="2"/>
  <c r="Y220" i="2"/>
  <c r="Y224" i="2"/>
  <c r="Y228" i="2"/>
  <c r="Y229" i="2"/>
  <c r="Y237" i="2"/>
  <c r="Y243" i="2"/>
  <c r="Y170" i="2"/>
  <c r="Y167" i="2"/>
  <c r="Y169" i="2"/>
  <c r="Y171" i="2"/>
  <c r="Y168" i="2"/>
  <c r="Y172" i="2"/>
  <c r="Y244" i="2"/>
  <c r="Y174" i="2"/>
  <c r="Y143" i="2"/>
  <c r="Y144" i="2"/>
  <c r="Y145" i="2"/>
  <c r="Y146" i="2"/>
  <c r="Y147" i="2"/>
  <c r="Y150" i="2"/>
  <c r="Y156" i="2"/>
  <c r="Y159" i="2"/>
  <c r="Y160" i="2"/>
  <c r="Y176" i="2"/>
  <c r="Y8" i="2"/>
  <c r="Y9" i="2"/>
  <c r="Y97" i="3"/>
  <c r="Y98" i="3"/>
  <c r="Y94" i="3"/>
  <c r="Y95" i="3"/>
  <c r="Y91" i="3"/>
  <c r="Y92" i="3"/>
  <c r="Y99" i="3"/>
  <c r="Y12" i="3"/>
  <c r="Y12" i="2"/>
  <c r="Y13" i="2"/>
  <c r="Y14" i="2"/>
  <c r="Y15" i="2"/>
  <c r="Y16" i="2"/>
  <c r="Y39" i="3"/>
  <c r="Y40" i="3"/>
  <c r="Y41" i="3"/>
  <c r="Y43" i="3"/>
  <c r="Y45" i="3"/>
  <c r="Y51" i="3"/>
  <c r="Y53" i="3"/>
  <c r="Y61" i="3"/>
  <c r="Y72" i="3"/>
  <c r="Y73" i="3"/>
  <c r="Y74" i="3"/>
  <c r="Y66" i="3"/>
  <c r="Y67" i="3"/>
  <c r="Y68" i="3"/>
  <c r="Y69" i="3"/>
  <c r="Y70" i="3"/>
  <c r="Y71" i="3"/>
  <c r="Y75" i="3"/>
  <c r="Y36" i="3"/>
  <c r="Y37" i="3"/>
  <c r="Y49" i="3"/>
  <c r="Y57" i="3"/>
  <c r="Y77" i="3"/>
  <c r="Y79" i="3"/>
  <c r="Y17" i="3"/>
  <c r="Y17" i="2"/>
  <c r="Y18" i="2"/>
  <c r="Y19" i="3"/>
  <c r="Y19" i="2"/>
  <c r="Y20" i="2"/>
  <c r="Y21" i="3"/>
  <c r="Y21" i="2"/>
  <c r="Y22" i="3"/>
  <c r="Y22" i="2"/>
  <c r="Y23" i="3"/>
  <c r="Y23" i="2"/>
  <c r="Y24" i="3"/>
  <c r="Y24" i="2"/>
  <c r="Y25" i="2"/>
  <c r="Y26" i="2"/>
  <c r="Y27" i="3"/>
  <c r="Y27" i="2"/>
  <c r="Y28" i="2"/>
  <c r="Y29" i="2"/>
  <c r="Y31" i="2"/>
  <c r="Y41" i="2"/>
  <c r="Z121" i="2"/>
  <c r="Z122" i="2"/>
  <c r="Z120" i="2"/>
  <c r="Z119" i="2"/>
  <c r="Z123" i="2"/>
  <c r="Z126" i="2"/>
  <c r="Z127" i="2"/>
  <c r="Z128" i="2"/>
  <c r="Z129" i="2"/>
  <c r="Z132" i="2"/>
  <c r="Z133" i="2"/>
  <c r="Z136" i="2"/>
  <c r="Z137" i="2"/>
  <c r="Z139" i="2"/>
  <c r="Z7" i="2"/>
  <c r="Z163" i="2"/>
  <c r="Z164" i="2"/>
  <c r="Z192" i="2"/>
  <c r="Z193" i="2"/>
  <c r="Z205" i="2"/>
  <c r="Z182" i="2"/>
  <c r="Z183" i="2"/>
  <c r="Z203" i="2"/>
  <c r="Z187" i="2"/>
  <c r="Z189" i="2"/>
  <c r="Z195" i="2"/>
  <c r="Z201" i="2"/>
  <c r="Z208" i="2"/>
  <c r="Z209" i="2"/>
  <c r="Z210" i="2"/>
  <c r="Z211" i="2"/>
  <c r="Z214" i="2"/>
  <c r="Z218" i="2"/>
  <c r="Z219" i="2"/>
  <c r="Z220" i="2"/>
  <c r="Z224" i="2"/>
  <c r="Z228" i="2"/>
  <c r="Z229" i="2"/>
  <c r="Z237" i="2"/>
  <c r="Z243" i="2"/>
  <c r="Z170" i="2"/>
  <c r="Z167" i="2"/>
  <c r="Z169" i="2"/>
  <c r="Z171" i="2"/>
  <c r="Z168" i="2"/>
  <c r="Z172" i="2"/>
  <c r="Z244" i="2"/>
  <c r="Z174" i="2"/>
  <c r="Z143" i="2"/>
  <c r="Z144" i="2"/>
  <c r="Z145" i="2"/>
  <c r="Z146" i="2"/>
  <c r="Z147" i="2"/>
  <c r="Z150" i="2"/>
  <c r="Z156" i="2"/>
  <c r="Z159" i="2"/>
  <c r="Z160" i="2"/>
  <c r="Z176" i="2"/>
  <c r="Z8" i="2"/>
  <c r="Z9" i="2"/>
  <c r="Z97" i="3"/>
  <c r="Z98" i="3"/>
  <c r="Z94" i="3"/>
  <c r="Z95" i="3"/>
  <c r="Z91" i="3"/>
  <c r="Z92" i="3"/>
  <c r="Z99" i="3"/>
  <c r="Z12" i="3"/>
  <c r="Z12" i="2"/>
  <c r="Z13" i="2"/>
  <c r="Z14" i="2"/>
  <c r="Z15" i="2"/>
  <c r="Z16" i="2"/>
  <c r="Z39" i="3"/>
  <c r="Z40" i="3"/>
  <c r="Z41" i="3"/>
  <c r="Z43" i="3"/>
  <c r="Z45" i="3"/>
  <c r="Z51" i="3"/>
  <c r="Z53" i="3"/>
  <c r="Z61" i="3"/>
  <c r="Z72" i="3"/>
  <c r="Z73" i="3"/>
  <c r="Z74" i="3"/>
  <c r="Z66" i="3"/>
  <c r="Z67" i="3"/>
  <c r="Z68" i="3"/>
  <c r="Z69" i="3"/>
  <c r="Z70" i="3"/>
  <c r="Z71" i="3"/>
  <c r="Z75" i="3"/>
  <c r="Z36" i="3"/>
  <c r="Z37" i="3"/>
  <c r="Z49" i="3"/>
  <c r="Z57" i="3"/>
  <c r="Z77" i="3"/>
  <c r="Z79" i="3"/>
  <c r="Z17" i="3"/>
  <c r="Z17" i="2"/>
  <c r="Z18" i="2"/>
  <c r="Z19" i="3"/>
  <c r="Z19" i="2"/>
  <c r="Z20" i="2"/>
  <c r="Z21" i="3"/>
  <c r="Z21" i="2"/>
  <c r="Z22" i="3"/>
  <c r="Z22" i="2"/>
  <c r="Z23" i="3"/>
  <c r="Z23" i="2"/>
  <c r="Z24" i="3"/>
  <c r="Z24" i="2"/>
  <c r="Z25" i="2"/>
  <c r="Z26" i="2"/>
  <c r="Z27" i="3"/>
  <c r="Z27" i="2"/>
  <c r="Z28" i="2"/>
  <c r="Z29" i="2"/>
  <c r="Z31" i="2"/>
  <c r="Z41" i="2"/>
  <c r="I28" i="1"/>
  <c r="C121" i="2"/>
  <c r="C122" i="2"/>
  <c r="C120" i="2"/>
  <c r="C119" i="2"/>
  <c r="C123" i="2"/>
  <c r="C126" i="2"/>
  <c r="C127" i="2"/>
  <c r="C128" i="2"/>
  <c r="C129" i="2"/>
  <c r="C132" i="2"/>
  <c r="C133" i="2"/>
  <c r="C136" i="2"/>
  <c r="C137" i="2"/>
  <c r="C139" i="2"/>
  <c r="C7" i="2"/>
  <c r="C163" i="2"/>
  <c r="C164" i="2"/>
  <c r="C192" i="2"/>
  <c r="C193" i="2"/>
  <c r="C205" i="2"/>
  <c r="C182" i="2"/>
  <c r="C183" i="2"/>
  <c r="C203" i="2"/>
  <c r="C187" i="2"/>
  <c r="C189" i="2"/>
  <c r="C195" i="2"/>
  <c r="C201" i="2"/>
  <c r="C208" i="2"/>
  <c r="C209" i="2"/>
  <c r="C210" i="2"/>
  <c r="C211" i="2"/>
  <c r="C214" i="2"/>
  <c r="C218" i="2"/>
  <c r="C219" i="2"/>
  <c r="C220" i="2"/>
  <c r="C224" i="2"/>
  <c r="C228" i="2"/>
  <c r="C229" i="2"/>
  <c r="C237" i="2"/>
  <c r="C243" i="2"/>
  <c r="C170" i="2"/>
  <c r="C167" i="2"/>
  <c r="C169" i="2"/>
  <c r="C171" i="2"/>
  <c r="C168" i="2"/>
  <c r="C172" i="2"/>
  <c r="C244" i="2"/>
  <c r="C174" i="2"/>
  <c r="C143" i="2"/>
  <c r="C145" i="2"/>
  <c r="C146" i="2"/>
  <c r="C147" i="2"/>
  <c r="C150" i="2"/>
  <c r="C156" i="2"/>
  <c r="C159" i="2"/>
  <c r="C160" i="2"/>
  <c r="C176" i="2"/>
  <c r="C8" i="2"/>
  <c r="C9" i="2"/>
  <c r="C97" i="3"/>
  <c r="C98" i="3"/>
  <c r="C94" i="3"/>
  <c r="C95" i="3"/>
  <c r="C91" i="3"/>
  <c r="C92" i="3"/>
  <c r="C99" i="3"/>
  <c r="C12" i="3"/>
  <c r="C12" i="2"/>
  <c r="C13" i="2"/>
  <c r="C14" i="2"/>
  <c r="C15" i="2"/>
  <c r="C16" i="2"/>
  <c r="C39" i="3"/>
  <c r="C40" i="3"/>
  <c r="C41" i="3"/>
  <c r="C43" i="3"/>
  <c r="C45" i="3"/>
  <c r="C51" i="3"/>
  <c r="C53" i="3"/>
  <c r="C61" i="3"/>
  <c r="C72" i="3"/>
  <c r="C73" i="3"/>
  <c r="C74" i="3"/>
  <c r="C66" i="3"/>
  <c r="C67" i="3"/>
  <c r="C68" i="3"/>
  <c r="C69" i="3"/>
  <c r="C70" i="3"/>
  <c r="C71" i="3"/>
  <c r="C75" i="3"/>
  <c r="C36" i="3"/>
  <c r="C37" i="3"/>
  <c r="C49" i="3"/>
  <c r="C57" i="3"/>
  <c r="C77" i="3"/>
  <c r="C79" i="3"/>
  <c r="C17" i="3"/>
  <c r="C17" i="2"/>
  <c r="C18" i="2"/>
  <c r="C19" i="3"/>
  <c r="C19" i="2"/>
  <c r="C20" i="2"/>
  <c r="C21" i="3"/>
  <c r="C21" i="2"/>
  <c r="C22" i="3"/>
  <c r="C22" i="2"/>
  <c r="C23" i="3"/>
  <c r="C23" i="2"/>
  <c r="C24" i="3"/>
  <c r="C24" i="2"/>
  <c r="C25" i="2"/>
  <c r="C26" i="2"/>
  <c r="C27" i="3"/>
  <c r="C27" i="2"/>
  <c r="C28" i="2"/>
  <c r="C29" i="2"/>
  <c r="C31" i="2"/>
  <c r="C41" i="2"/>
  <c r="D121" i="2"/>
  <c r="D122" i="2"/>
  <c r="D120" i="2"/>
  <c r="D119" i="2"/>
  <c r="D123" i="2"/>
  <c r="D126" i="2"/>
  <c r="D127" i="2"/>
  <c r="D128" i="2"/>
  <c r="D129" i="2"/>
  <c r="D132" i="2"/>
  <c r="D133" i="2"/>
  <c r="D136" i="2"/>
  <c r="D137" i="2"/>
  <c r="D139" i="2"/>
  <c r="D7" i="2"/>
  <c r="D163" i="2"/>
  <c r="D164" i="2"/>
  <c r="D192" i="2"/>
  <c r="D193" i="2"/>
  <c r="D205" i="2"/>
  <c r="D182" i="2"/>
  <c r="D183" i="2"/>
  <c r="D203" i="2"/>
  <c r="D187" i="2"/>
  <c r="D189" i="2"/>
  <c r="D195" i="2"/>
  <c r="D201" i="2"/>
  <c r="D208" i="2"/>
  <c r="D209" i="2"/>
  <c r="D210" i="2"/>
  <c r="D211" i="2"/>
  <c r="D214" i="2"/>
  <c r="D218" i="2"/>
  <c r="D219" i="2"/>
  <c r="D220" i="2"/>
  <c r="D224" i="2"/>
  <c r="D228" i="2"/>
  <c r="D229" i="2"/>
  <c r="D237" i="2"/>
  <c r="D243" i="2"/>
  <c r="D170" i="2"/>
  <c r="D167" i="2"/>
  <c r="D169" i="2"/>
  <c r="D171" i="2"/>
  <c r="D168" i="2"/>
  <c r="D172" i="2"/>
  <c r="D244" i="2"/>
  <c r="D174" i="2"/>
  <c r="D143" i="2"/>
  <c r="D144" i="2"/>
  <c r="D145" i="2"/>
  <c r="D146" i="2"/>
  <c r="D147" i="2"/>
  <c r="D150" i="2"/>
  <c r="D156" i="2"/>
  <c r="D159" i="2"/>
  <c r="D160" i="2"/>
  <c r="D176" i="2"/>
  <c r="D8" i="2"/>
  <c r="D9" i="2"/>
  <c r="D97" i="3"/>
  <c r="D98" i="3"/>
  <c r="D94" i="3"/>
  <c r="D95" i="3"/>
  <c r="D91" i="3"/>
  <c r="D92" i="3"/>
  <c r="D99" i="3"/>
  <c r="D12" i="3"/>
  <c r="D12" i="2"/>
  <c r="D13" i="2"/>
  <c r="D14" i="2"/>
  <c r="D15" i="2"/>
  <c r="D16" i="2"/>
  <c r="D39" i="3"/>
  <c r="D40" i="3"/>
  <c r="D41" i="3"/>
  <c r="D43" i="3"/>
  <c r="D45" i="3"/>
  <c r="D51" i="3"/>
  <c r="D53" i="3"/>
  <c r="D61" i="3"/>
  <c r="D72" i="3"/>
  <c r="D73" i="3"/>
  <c r="D74" i="3"/>
  <c r="D66" i="3"/>
  <c r="D67" i="3"/>
  <c r="D68" i="3"/>
  <c r="D69" i="3"/>
  <c r="D70" i="3"/>
  <c r="D71" i="3"/>
  <c r="D75" i="3"/>
  <c r="D36" i="3"/>
  <c r="D37" i="3"/>
  <c r="D49" i="3"/>
  <c r="D57" i="3"/>
  <c r="D77" i="3"/>
  <c r="D79" i="3"/>
  <c r="D17" i="3"/>
  <c r="D17" i="2"/>
  <c r="D18" i="2"/>
  <c r="D19" i="3"/>
  <c r="D19" i="2"/>
  <c r="D20" i="2"/>
  <c r="D21" i="3"/>
  <c r="D21" i="2"/>
  <c r="D22" i="3"/>
  <c r="D22" i="2"/>
  <c r="D23" i="3"/>
  <c r="D23" i="2"/>
  <c r="D24" i="3"/>
  <c r="D24" i="2"/>
  <c r="D25" i="2"/>
  <c r="D26" i="2"/>
  <c r="D27" i="3"/>
  <c r="D27" i="2"/>
  <c r="D28" i="2"/>
  <c r="D29" i="2"/>
  <c r="D31" i="2"/>
  <c r="D41" i="2"/>
  <c r="E121" i="2"/>
  <c r="E122" i="2"/>
  <c r="E120" i="2"/>
  <c r="E119" i="2"/>
  <c r="E123" i="2"/>
  <c r="E126" i="2"/>
  <c r="E127" i="2"/>
  <c r="E128" i="2"/>
  <c r="E129" i="2"/>
  <c r="E132" i="2"/>
  <c r="E133" i="2"/>
  <c r="E136" i="2"/>
  <c r="E137" i="2"/>
  <c r="E139" i="2"/>
  <c r="E7" i="2"/>
  <c r="E163" i="2"/>
  <c r="E164" i="2"/>
  <c r="E192" i="2"/>
  <c r="E193" i="2"/>
  <c r="E205" i="2"/>
  <c r="E182" i="2"/>
  <c r="E183" i="2"/>
  <c r="E203" i="2"/>
  <c r="E187" i="2"/>
  <c r="E189" i="2"/>
  <c r="E195" i="2"/>
  <c r="E201" i="2"/>
  <c r="E208" i="2"/>
  <c r="E209" i="2"/>
  <c r="E210" i="2"/>
  <c r="E211" i="2"/>
  <c r="E214" i="2"/>
  <c r="E218" i="2"/>
  <c r="E219" i="2"/>
  <c r="E220" i="2"/>
  <c r="E224" i="2"/>
  <c r="E228" i="2"/>
  <c r="E229" i="2"/>
  <c r="E237" i="2"/>
  <c r="E243" i="2"/>
  <c r="E170" i="2"/>
  <c r="E167" i="2"/>
  <c r="E169" i="2"/>
  <c r="E171" i="2"/>
  <c r="E168" i="2"/>
  <c r="E172" i="2"/>
  <c r="E244" i="2"/>
  <c r="E174" i="2"/>
  <c r="E143" i="2"/>
  <c r="E144" i="2"/>
  <c r="E145" i="2"/>
  <c r="E146" i="2"/>
  <c r="E147" i="2"/>
  <c r="E150" i="2"/>
  <c r="E156" i="2"/>
  <c r="E159" i="2"/>
  <c r="E160" i="2"/>
  <c r="E176" i="2"/>
  <c r="E8" i="2"/>
  <c r="E9" i="2"/>
  <c r="E97" i="3"/>
  <c r="E98" i="3"/>
  <c r="E94" i="3"/>
  <c r="E95" i="3"/>
  <c r="E91" i="3"/>
  <c r="E92" i="3"/>
  <c r="E99" i="3"/>
  <c r="E12" i="3"/>
  <c r="E12" i="2"/>
  <c r="E13" i="2"/>
  <c r="E14" i="2"/>
  <c r="E15" i="2"/>
  <c r="E16" i="2"/>
  <c r="E39" i="3"/>
  <c r="E40" i="3"/>
  <c r="E41" i="3"/>
  <c r="E43" i="3"/>
  <c r="E45" i="3"/>
  <c r="E51" i="3"/>
  <c r="E53" i="3"/>
  <c r="E61" i="3"/>
  <c r="E72" i="3"/>
  <c r="E73" i="3"/>
  <c r="E74" i="3"/>
  <c r="E66" i="3"/>
  <c r="E67" i="3"/>
  <c r="E68" i="3"/>
  <c r="E69" i="3"/>
  <c r="E70" i="3"/>
  <c r="E71" i="3"/>
  <c r="E75" i="3"/>
  <c r="E36" i="3"/>
  <c r="E37" i="3"/>
  <c r="E49" i="3"/>
  <c r="E57" i="3"/>
  <c r="E77" i="3"/>
  <c r="E79" i="3"/>
  <c r="E17" i="3"/>
  <c r="E17" i="2"/>
  <c r="E18" i="2"/>
  <c r="E19" i="3"/>
  <c r="E19" i="2"/>
  <c r="E20" i="2"/>
  <c r="E21" i="3"/>
  <c r="E21" i="2"/>
  <c r="E22" i="3"/>
  <c r="E22" i="2"/>
  <c r="E23" i="3"/>
  <c r="E23" i="2"/>
  <c r="E24" i="3"/>
  <c r="E24" i="2"/>
  <c r="E25" i="2"/>
  <c r="E26" i="2"/>
  <c r="E27" i="3"/>
  <c r="E27" i="2"/>
  <c r="E28" i="2"/>
  <c r="E29" i="2"/>
  <c r="E31" i="2"/>
  <c r="E41" i="2"/>
  <c r="F121" i="2"/>
  <c r="F122" i="2"/>
  <c r="F120" i="2"/>
  <c r="F119" i="2"/>
  <c r="F123" i="2"/>
  <c r="F126" i="2"/>
  <c r="F127" i="2"/>
  <c r="F128" i="2"/>
  <c r="F129" i="2"/>
  <c r="F132" i="2"/>
  <c r="F133" i="2"/>
  <c r="F136" i="2"/>
  <c r="F137" i="2"/>
  <c r="F139" i="2"/>
  <c r="F7" i="2"/>
  <c r="F163" i="2"/>
  <c r="F164" i="2"/>
  <c r="F192" i="2"/>
  <c r="F193" i="2"/>
  <c r="F205" i="2"/>
  <c r="F182" i="2"/>
  <c r="F183" i="2"/>
  <c r="F203" i="2"/>
  <c r="F187" i="2"/>
  <c r="F189" i="2"/>
  <c r="F195" i="2"/>
  <c r="F201" i="2"/>
  <c r="F208" i="2"/>
  <c r="F209" i="2"/>
  <c r="F210" i="2"/>
  <c r="F211" i="2"/>
  <c r="F214" i="2"/>
  <c r="F218" i="2"/>
  <c r="F219" i="2"/>
  <c r="F220" i="2"/>
  <c r="F224" i="2"/>
  <c r="F228" i="2"/>
  <c r="F229" i="2"/>
  <c r="F237" i="2"/>
  <c r="F243" i="2"/>
  <c r="F170" i="2"/>
  <c r="F167" i="2"/>
  <c r="F169" i="2"/>
  <c r="F171" i="2"/>
  <c r="F168" i="2"/>
  <c r="F172" i="2"/>
  <c r="F244" i="2"/>
  <c r="F174" i="2"/>
  <c r="F143" i="2"/>
  <c r="F144" i="2"/>
  <c r="F145" i="2"/>
  <c r="F146" i="2"/>
  <c r="F147" i="2"/>
  <c r="F150" i="2"/>
  <c r="F156" i="2"/>
  <c r="F159" i="2"/>
  <c r="F160" i="2"/>
  <c r="F176" i="2"/>
  <c r="F8" i="2"/>
  <c r="F9" i="2"/>
  <c r="F97" i="3"/>
  <c r="F98" i="3"/>
  <c r="F94" i="3"/>
  <c r="F95" i="3"/>
  <c r="F91" i="3"/>
  <c r="F92" i="3"/>
  <c r="F99" i="3"/>
  <c r="F12" i="3"/>
  <c r="F12" i="2"/>
  <c r="F13" i="2"/>
  <c r="F14" i="2"/>
  <c r="F15" i="2"/>
  <c r="F16" i="2"/>
  <c r="F39" i="3"/>
  <c r="F40" i="3"/>
  <c r="F41" i="3"/>
  <c r="F43" i="3"/>
  <c r="F45" i="3"/>
  <c r="F51" i="3"/>
  <c r="F53" i="3"/>
  <c r="F61" i="3"/>
  <c r="F72" i="3"/>
  <c r="F73" i="3"/>
  <c r="F74" i="3"/>
  <c r="F66" i="3"/>
  <c r="F67" i="3"/>
  <c r="F68" i="3"/>
  <c r="F69" i="3"/>
  <c r="F70" i="3"/>
  <c r="F71" i="3"/>
  <c r="F75" i="3"/>
  <c r="F36" i="3"/>
  <c r="F37" i="3"/>
  <c r="F49" i="3"/>
  <c r="F57" i="3"/>
  <c r="F77" i="3"/>
  <c r="F79" i="3"/>
  <c r="F17" i="3"/>
  <c r="F17" i="2"/>
  <c r="F18" i="2"/>
  <c r="F19" i="3"/>
  <c r="F19" i="2"/>
  <c r="F20" i="2"/>
  <c r="F21" i="3"/>
  <c r="F21" i="2"/>
  <c r="F22" i="3"/>
  <c r="F22" i="2"/>
  <c r="F23" i="3"/>
  <c r="F23" i="2"/>
  <c r="F24" i="3"/>
  <c r="F24" i="2"/>
  <c r="F25" i="2"/>
  <c r="F26" i="2"/>
  <c r="F27" i="3"/>
  <c r="F27" i="2"/>
  <c r="F28" i="2"/>
  <c r="F29" i="2"/>
  <c r="F31" i="2"/>
  <c r="F41" i="2"/>
  <c r="G121" i="2"/>
  <c r="G122" i="2"/>
  <c r="G120" i="2"/>
  <c r="G119" i="2"/>
  <c r="G123" i="2"/>
  <c r="G126" i="2"/>
  <c r="G127" i="2"/>
  <c r="G128" i="2"/>
  <c r="G129" i="2"/>
  <c r="G132" i="2"/>
  <c r="G133" i="2"/>
  <c r="G136" i="2"/>
  <c r="G137" i="2"/>
  <c r="G139" i="2"/>
  <c r="G7" i="2"/>
  <c r="G163" i="2"/>
  <c r="G164" i="2"/>
  <c r="G192" i="2"/>
  <c r="G193" i="2"/>
  <c r="G205" i="2"/>
  <c r="G182" i="2"/>
  <c r="G183" i="2"/>
  <c r="G203" i="2"/>
  <c r="G187" i="2"/>
  <c r="G189" i="2"/>
  <c r="G195" i="2"/>
  <c r="G201" i="2"/>
  <c r="G208" i="2"/>
  <c r="G209" i="2"/>
  <c r="G210" i="2"/>
  <c r="G211" i="2"/>
  <c r="G214" i="2"/>
  <c r="G218" i="2"/>
  <c r="G219" i="2"/>
  <c r="G220" i="2"/>
  <c r="G224" i="2"/>
  <c r="G228" i="2"/>
  <c r="G229" i="2"/>
  <c r="G237" i="2"/>
  <c r="G243" i="2"/>
  <c r="G170" i="2"/>
  <c r="G167" i="2"/>
  <c r="G169" i="2"/>
  <c r="G171" i="2"/>
  <c r="G168" i="2"/>
  <c r="G172" i="2"/>
  <c r="G244" i="2"/>
  <c r="G174" i="2"/>
  <c r="G143" i="2"/>
  <c r="G144" i="2"/>
  <c r="G145" i="2"/>
  <c r="G146" i="2"/>
  <c r="G147" i="2"/>
  <c r="G150" i="2"/>
  <c r="G156" i="2"/>
  <c r="G159" i="2"/>
  <c r="G160" i="2"/>
  <c r="G176" i="2"/>
  <c r="G8" i="2"/>
  <c r="G9" i="2"/>
  <c r="G97" i="3"/>
  <c r="G98" i="3"/>
  <c r="G94" i="3"/>
  <c r="G95" i="3"/>
  <c r="G91" i="3"/>
  <c r="G92" i="3"/>
  <c r="G99" i="3"/>
  <c r="G12" i="3"/>
  <c r="G12" i="2"/>
  <c r="G13" i="2"/>
  <c r="G14" i="2"/>
  <c r="G15" i="2"/>
  <c r="G16" i="2"/>
  <c r="G39" i="3"/>
  <c r="G40" i="3"/>
  <c r="G41" i="3"/>
  <c r="G43" i="3"/>
  <c r="G45" i="3"/>
  <c r="G51" i="3"/>
  <c r="G53" i="3"/>
  <c r="G61" i="3"/>
  <c r="G72" i="3"/>
  <c r="G73" i="3"/>
  <c r="G74" i="3"/>
  <c r="G66" i="3"/>
  <c r="G67" i="3"/>
  <c r="G68" i="3"/>
  <c r="G69" i="3"/>
  <c r="G70" i="3"/>
  <c r="G71" i="3"/>
  <c r="G75" i="3"/>
  <c r="G36" i="3"/>
  <c r="G37" i="3"/>
  <c r="G49" i="3"/>
  <c r="G57" i="3"/>
  <c r="G77" i="3"/>
  <c r="G79" i="3"/>
  <c r="G17" i="3"/>
  <c r="G17" i="2"/>
  <c r="G18" i="2"/>
  <c r="G19" i="3"/>
  <c r="G19" i="2"/>
  <c r="G20" i="2"/>
  <c r="G21" i="3"/>
  <c r="G21" i="2"/>
  <c r="G22" i="3"/>
  <c r="G22" i="2"/>
  <c r="G23" i="3"/>
  <c r="G23" i="2"/>
  <c r="G24" i="3"/>
  <c r="G24" i="2"/>
  <c r="G25" i="2"/>
  <c r="G26" i="2"/>
  <c r="G27" i="3"/>
  <c r="G27" i="2"/>
  <c r="G28" i="2"/>
  <c r="G29" i="2"/>
  <c r="G31" i="2"/>
  <c r="G41" i="2"/>
  <c r="H121" i="2"/>
  <c r="H122" i="2"/>
  <c r="H120" i="2"/>
  <c r="H119" i="2"/>
  <c r="H123" i="2"/>
  <c r="H126" i="2"/>
  <c r="H127" i="2"/>
  <c r="H128" i="2"/>
  <c r="H129" i="2"/>
  <c r="H132" i="2"/>
  <c r="H133" i="2"/>
  <c r="H136" i="2"/>
  <c r="H137" i="2"/>
  <c r="H139" i="2"/>
  <c r="H7" i="2"/>
  <c r="H163" i="2"/>
  <c r="H164" i="2"/>
  <c r="H192" i="2"/>
  <c r="H193" i="2"/>
  <c r="H205" i="2"/>
  <c r="H182" i="2"/>
  <c r="H183" i="2"/>
  <c r="H203" i="2"/>
  <c r="H187" i="2"/>
  <c r="H189" i="2"/>
  <c r="H195" i="2"/>
  <c r="H201" i="2"/>
  <c r="H208" i="2"/>
  <c r="H209" i="2"/>
  <c r="H210" i="2"/>
  <c r="H211" i="2"/>
  <c r="H214" i="2"/>
  <c r="H218" i="2"/>
  <c r="H219" i="2"/>
  <c r="H220" i="2"/>
  <c r="H224" i="2"/>
  <c r="H228" i="2"/>
  <c r="H229" i="2"/>
  <c r="H237" i="2"/>
  <c r="H243" i="2"/>
  <c r="H170" i="2"/>
  <c r="H167" i="2"/>
  <c r="H169" i="2"/>
  <c r="H171" i="2"/>
  <c r="H168" i="2"/>
  <c r="H172" i="2"/>
  <c r="H244" i="2"/>
  <c r="H174" i="2"/>
  <c r="H143" i="2"/>
  <c r="H144" i="2"/>
  <c r="H145" i="2"/>
  <c r="H146" i="2"/>
  <c r="H147" i="2"/>
  <c r="H150" i="2"/>
  <c r="H156" i="2"/>
  <c r="H159" i="2"/>
  <c r="H160" i="2"/>
  <c r="H176" i="2"/>
  <c r="H8" i="2"/>
  <c r="H9" i="2"/>
  <c r="H97" i="3"/>
  <c r="H98" i="3"/>
  <c r="H94" i="3"/>
  <c r="H95" i="3"/>
  <c r="H91" i="3"/>
  <c r="H92" i="3"/>
  <c r="H99" i="3"/>
  <c r="H12" i="3"/>
  <c r="H12" i="2"/>
  <c r="H13" i="2"/>
  <c r="H14" i="2"/>
  <c r="H15" i="2"/>
  <c r="H16" i="2"/>
  <c r="H39" i="3"/>
  <c r="H40" i="3"/>
  <c r="H41" i="3"/>
  <c r="H43" i="3"/>
  <c r="H45" i="3"/>
  <c r="H51" i="3"/>
  <c r="H53" i="3"/>
  <c r="H61" i="3"/>
  <c r="H72" i="3"/>
  <c r="H73" i="3"/>
  <c r="H74" i="3"/>
  <c r="H66" i="3"/>
  <c r="H67" i="3"/>
  <c r="H68" i="3"/>
  <c r="H69" i="3"/>
  <c r="H70" i="3"/>
  <c r="H71" i="3"/>
  <c r="H75" i="3"/>
  <c r="H36" i="3"/>
  <c r="H37" i="3"/>
  <c r="H49" i="3"/>
  <c r="H57" i="3"/>
  <c r="H77" i="3"/>
  <c r="H79" i="3"/>
  <c r="H17" i="3"/>
  <c r="H17" i="2"/>
  <c r="H18" i="2"/>
  <c r="H19" i="3"/>
  <c r="H19" i="2"/>
  <c r="H20" i="2"/>
  <c r="H21" i="3"/>
  <c r="H21" i="2"/>
  <c r="H22" i="3"/>
  <c r="H22" i="2"/>
  <c r="H23" i="3"/>
  <c r="H23" i="2"/>
  <c r="H24" i="3"/>
  <c r="H24" i="2"/>
  <c r="H25" i="2"/>
  <c r="H26" i="2"/>
  <c r="H27" i="3"/>
  <c r="H27" i="2"/>
  <c r="H28" i="2"/>
  <c r="H29" i="2"/>
  <c r="H31" i="2"/>
  <c r="H41" i="2"/>
  <c r="I121" i="2"/>
  <c r="I122" i="2"/>
  <c r="I120" i="2"/>
  <c r="I119" i="2"/>
  <c r="I123" i="2"/>
  <c r="I126" i="2"/>
  <c r="I127" i="2"/>
  <c r="I128" i="2"/>
  <c r="I129" i="2"/>
  <c r="I132" i="2"/>
  <c r="I133" i="2"/>
  <c r="I136" i="2"/>
  <c r="I137" i="2"/>
  <c r="I139" i="2"/>
  <c r="I7" i="2"/>
  <c r="I163" i="2"/>
  <c r="I164" i="2"/>
  <c r="I192" i="2"/>
  <c r="I193" i="2"/>
  <c r="I205" i="2"/>
  <c r="I182" i="2"/>
  <c r="I183" i="2"/>
  <c r="I203" i="2"/>
  <c r="I187" i="2"/>
  <c r="I189" i="2"/>
  <c r="I195" i="2"/>
  <c r="I201" i="2"/>
  <c r="I208" i="2"/>
  <c r="I209" i="2"/>
  <c r="I210" i="2"/>
  <c r="I211" i="2"/>
  <c r="I214" i="2"/>
  <c r="I218" i="2"/>
  <c r="I219" i="2"/>
  <c r="I220" i="2"/>
  <c r="I224" i="2"/>
  <c r="I228" i="2"/>
  <c r="I229" i="2"/>
  <c r="I237" i="2"/>
  <c r="I243" i="2"/>
  <c r="I170" i="2"/>
  <c r="I167" i="2"/>
  <c r="I169" i="2"/>
  <c r="I171" i="2"/>
  <c r="I168" i="2"/>
  <c r="I172" i="2"/>
  <c r="I244" i="2"/>
  <c r="I174" i="2"/>
  <c r="I143" i="2"/>
  <c r="I144" i="2"/>
  <c r="I145" i="2"/>
  <c r="I146" i="2"/>
  <c r="I147" i="2"/>
  <c r="I150" i="2"/>
  <c r="I156" i="2"/>
  <c r="I159" i="2"/>
  <c r="I160" i="2"/>
  <c r="I176" i="2"/>
  <c r="I8" i="2"/>
  <c r="I9" i="2"/>
  <c r="I97" i="3"/>
  <c r="I98" i="3"/>
  <c r="I94" i="3"/>
  <c r="I95" i="3"/>
  <c r="I91" i="3"/>
  <c r="I92" i="3"/>
  <c r="I99" i="3"/>
  <c r="I12" i="3"/>
  <c r="I12" i="2"/>
  <c r="I13" i="2"/>
  <c r="I14" i="2"/>
  <c r="I15" i="2"/>
  <c r="I16" i="2"/>
  <c r="I39" i="3"/>
  <c r="I40" i="3"/>
  <c r="I41" i="3"/>
  <c r="I43" i="3"/>
  <c r="I45" i="3"/>
  <c r="I51" i="3"/>
  <c r="I53" i="3"/>
  <c r="I61" i="3"/>
  <c r="I72" i="3"/>
  <c r="I73" i="3"/>
  <c r="I74" i="3"/>
  <c r="I66" i="3"/>
  <c r="I67" i="3"/>
  <c r="I68" i="3"/>
  <c r="I69" i="3"/>
  <c r="I70" i="3"/>
  <c r="I71" i="3"/>
  <c r="I75" i="3"/>
  <c r="I36" i="3"/>
  <c r="I37" i="3"/>
  <c r="I49" i="3"/>
  <c r="I57" i="3"/>
  <c r="I77" i="3"/>
  <c r="I79" i="3"/>
  <c r="I17" i="3"/>
  <c r="I17" i="2"/>
  <c r="I18" i="2"/>
  <c r="I19" i="3"/>
  <c r="I19" i="2"/>
  <c r="I20" i="2"/>
  <c r="I21" i="3"/>
  <c r="I21" i="2"/>
  <c r="I22" i="3"/>
  <c r="I22" i="2"/>
  <c r="I23" i="3"/>
  <c r="I23" i="2"/>
  <c r="I24" i="3"/>
  <c r="I24" i="2"/>
  <c r="I25" i="2"/>
  <c r="I26" i="2"/>
  <c r="I27" i="3"/>
  <c r="I27" i="2"/>
  <c r="I28" i="2"/>
  <c r="I29" i="2"/>
  <c r="I31" i="2"/>
  <c r="I41" i="2"/>
  <c r="J121" i="2"/>
  <c r="J122" i="2"/>
  <c r="J120" i="2"/>
  <c r="J119" i="2"/>
  <c r="J123" i="2"/>
  <c r="J126" i="2"/>
  <c r="J127" i="2"/>
  <c r="J128" i="2"/>
  <c r="J129" i="2"/>
  <c r="J132" i="2"/>
  <c r="J133" i="2"/>
  <c r="J136" i="2"/>
  <c r="J137" i="2"/>
  <c r="J139" i="2"/>
  <c r="J7" i="2"/>
  <c r="J163" i="2"/>
  <c r="J164" i="2"/>
  <c r="J192" i="2"/>
  <c r="J193" i="2"/>
  <c r="J205" i="2"/>
  <c r="J182" i="2"/>
  <c r="J183" i="2"/>
  <c r="J203" i="2"/>
  <c r="J187" i="2"/>
  <c r="J189" i="2"/>
  <c r="J195" i="2"/>
  <c r="J201" i="2"/>
  <c r="J208" i="2"/>
  <c r="J209" i="2"/>
  <c r="J210" i="2"/>
  <c r="J211" i="2"/>
  <c r="J214" i="2"/>
  <c r="J218" i="2"/>
  <c r="J219" i="2"/>
  <c r="J220" i="2"/>
  <c r="J224" i="2"/>
  <c r="J228" i="2"/>
  <c r="J229" i="2"/>
  <c r="J237" i="2"/>
  <c r="J243" i="2"/>
  <c r="J170" i="2"/>
  <c r="J167" i="2"/>
  <c r="J169" i="2"/>
  <c r="J171" i="2"/>
  <c r="J168" i="2"/>
  <c r="J172" i="2"/>
  <c r="J244" i="2"/>
  <c r="J174" i="2"/>
  <c r="J143" i="2"/>
  <c r="J144" i="2"/>
  <c r="J145" i="2"/>
  <c r="J146" i="2"/>
  <c r="J147" i="2"/>
  <c r="J150" i="2"/>
  <c r="J156" i="2"/>
  <c r="J159" i="2"/>
  <c r="J160" i="2"/>
  <c r="J176" i="2"/>
  <c r="J8" i="2"/>
  <c r="J9" i="2"/>
  <c r="J97" i="3"/>
  <c r="J98" i="3"/>
  <c r="J94" i="3"/>
  <c r="J95" i="3"/>
  <c r="J91" i="3"/>
  <c r="J92" i="3"/>
  <c r="J99" i="3"/>
  <c r="J12" i="3"/>
  <c r="J12" i="2"/>
  <c r="J13" i="2"/>
  <c r="J14" i="2"/>
  <c r="J15" i="2"/>
  <c r="J16" i="2"/>
  <c r="J39" i="3"/>
  <c r="J40" i="3"/>
  <c r="J41" i="3"/>
  <c r="J43" i="3"/>
  <c r="J45" i="3"/>
  <c r="J51" i="3"/>
  <c r="J53" i="3"/>
  <c r="J61" i="3"/>
  <c r="J72" i="3"/>
  <c r="J73" i="3"/>
  <c r="J74" i="3"/>
  <c r="J66" i="3"/>
  <c r="J67" i="3"/>
  <c r="J68" i="3"/>
  <c r="J69" i="3"/>
  <c r="J70" i="3"/>
  <c r="J71" i="3"/>
  <c r="J75" i="3"/>
  <c r="J36" i="3"/>
  <c r="J37" i="3"/>
  <c r="J49" i="3"/>
  <c r="J57" i="3"/>
  <c r="J77" i="3"/>
  <c r="J79" i="3"/>
  <c r="J17" i="3"/>
  <c r="J17" i="2"/>
  <c r="J18" i="2"/>
  <c r="J19" i="3"/>
  <c r="J19" i="2"/>
  <c r="J20" i="2"/>
  <c r="J21" i="3"/>
  <c r="J21" i="2"/>
  <c r="J22" i="3"/>
  <c r="J22" i="2"/>
  <c r="J23" i="3"/>
  <c r="J23" i="2"/>
  <c r="J24" i="3"/>
  <c r="J24" i="2"/>
  <c r="J25" i="2"/>
  <c r="J26" i="2"/>
  <c r="J27" i="3"/>
  <c r="J27" i="2"/>
  <c r="J28" i="2"/>
  <c r="J29" i="2"/>
  <c r="J31" i="2"/>
  <c r="J41" i="2"/>
  <c r="K121" i="2"/>
  <c r="K122" i="2"/>
  <c r="K120" i="2"/>
  <c r="K119" i="2"/>
  <c r="K123" i="2"/>
  <c r="K126" i="2"/>
  <c r="K127" i="2"/>
  <c r="K128" i="2"/>
  <c r="K129" i="2"/>
  <c r="K132" i="2"/>
  <c r="K133" i="2"/>
  <c r="K136" i="2"/>
  <c r="K137" i="2"/>
  <c r="K139" i="2"/>
  <c r="K7" i="2"/>
  <c r="K163" i="2"/>
  <c r="K164" i="2"/>
  <c r="K192" i="2"/>
  <c r="K193" i="2"/>
  <c r="K205" i="2"/>
  <c r="K182" i="2"/>
  <c r="K183" i="2"/>
  <c r="K203" i="2"/>
  <c r="K187" i="2"/>
  <c r="K189" i="2"/>
  <c r="K195" i="2"/>
  <c r="K201" i="2"/>
  <c r="K208" i="2"/>
  <c r="K209" i="2"/>
  <c r="K210" i="2"/>
  <c r="K211" i="2"/>
  <c r="K214" i="2"/>
  <c r="K218" i="2"/>
  <c r="K219" i="2"/>
  <c r="K220" i="2"/>
  <c r="K224" i="2"/>
  <c r="K228" i="2"/>
  <c r="K229" i="2"/>
  <c r="K237" i="2"/>
  <c r="K243" i="2"/>
  <c r="K170" i="2"/>
  <c r="K167" i="2"/>
  <c r="K169" i="2"/>
  <c r="K171" i="2"/>
  <c r="K168" i="2"/>
  <c r="K172" i="2"/>
  <c r="K244" i="2"/>
  <c r="K174" i="2"/>
  <c r="K143" i="2"/>
  <c r="K144" i="2"/>
  <c r="K145" i="2"/>
  <c r="K146" i="2"/>
  <c r="K147" i="2"/>
  <c r="K150" i="2"/>
  <c r="K156" i="2"/>
  <c r="K159" i="2"/>
  <c r="K160" i="2"/>
  <c r="K176" i="2"/>
  <c r="K8" i="2"/>
  <c r="K9" i="2"/>
  <c r="K97" i="3"/>
  <c r="K98" i="3"/>
  <c r="K94" i="3"/>
  <c r="K95" i="3"/>
  <c r="K91" i="3"/>
  <c r="K92" i="3"/>
  <c r="K99" i="3"/>
  <c r="K12" i="3"/>
  <c r="K12" i="2"/>
  <c r="K13" i="2"/>
  <c r="K14" i="2"/>
  <c r="K15" i="2"/>
  <c r="K16" i="2"/>
  <c r="K39" i="3"/>
  <c r="K40" i="3"/>
  <c r="K41" i="3"/>
  <c r="K43" i="3"/>
  <c r="K45" i="3"/>
  <c r="K51" i="3"/>
  <c r="K53" i="3"/>
  <c r="K61" i="3"/>
  <c r="K72" i="3"/>
  <c r="K73" i="3"/>
  <c r="K74" i="3"/>
  <c r="K66" i="3"/>
  <c r="K67" i="3"/>
  <c r="K68" i="3"/>
  <c r="K69" i="3"/>
  <c r="K70" i="3"/>
  <c r="K71" i="3"/>
  <c r="K75" i="3"/>
  <c r="K36" i="3"/>
  <c r="K37" i="3"/>
  <c r="K49" i="3"/>
  <c r="K57" i="3"/>
  <c r="K77" i="3"/>
  <c r="K79" i="3"/>
  <c r="K17" i="3"/>
  <c r="K17" i="2"/>
  <c r="K18" i="2"/>
  <c r="K19" i="3"/>
  <c r="K19" i="2"/>
  <c r="K20" i="2"/>
  <c r="K21" i="3"/>
  <c r="K21" i="2"/>
  <c r="K22" i="3"/>
  <c r="K22" i="2"/>
  <c r="K23" i="3"/>
  <c r="K23" i="2"/>
  <c r="K24" i="3"/>
  <c r="K24" i="2"/>
  <c r="K25" i="2"/>
  <c r="K26" i="2"/>
  <c r="K27" i="3"/>
  <c r="K27" i="2"/>
  <c r="K28" i="2"/>
  <c r="K29" i="2"/>
  <c r="K31" i="2"/>
  <c r="K41" i="2"/>
  <c r="L121" i="2"/>
  <c r="L122" i="2"/>
  <c r="L120" i="2"/>
  <c r="L119" i="2"/>
  <c r="L123" i="2"/>
  <c r="L126" i="2"/>
  <c r="L127" i="2"/>
  <c r="L128" i="2"/>
  <c r="L129" i="2"/>
  <c r="L132" i="2"/>
  <c r="L133" i="2"/>
  <c r="L136" i="2"/>
  <c r="L137" i="2"/>
  <c r="L139" i="2"/>
  <c r="L7" i="2"/>
  <c r="L163" i="2"/>
  <c r="L164" i="2"/>
  <c r="L192" i="2"/>
  <c r="L193" i="2"/>
  <c r="L205" i="2"/>
  <c r="L182" i="2"/>
  <c r="L183" i="2"/>
  <c r="L203" i="2"/>
  <c r="L187" i="2"/>
  <c r="L189" i="2"/>
  <c r="L195" i="2"/>
  <c r="L201" i="2"/>
  <c r="L208" i="2"/>
  <c r="L209" i="2"/>
  <c r="L210" i="2"/>
  <c r="L211" i="2"/>
  <c r="L214" i="2"/>
  <c r="L218" i="2"/>
  <c r="L219" i="2"/>
  <c r="L220" i="2"/>
  <c r="L224" i="2"/>
  <c r="L228" i="2"/>
  <c r="L229" i="2"/>
  <c r="L237" i="2"/>
  <c r="L243" i="2"/>
  <c r="L170" i="2"/>
  <c r="L167" i="2"/>
  <c r="L169" i="2"/>
  <c r="L171" i="2"/>
  <c r="L168" i="2"/>
  <c r="L172" i="2"/>
  <c r="L244" i="2"/>
  <c r="L174" i="2"/>
  <c r="L143" i="2"/>
  <c r="L144" i="2"/>
  <c r="L145" i="2"/>
  <c r="L146" i="2"/>
  <c r="L147" i="2"/>
  <c r="L150" i="2"/>
  <c r="L156" i="2"/>
  <c r="L159" i="2"/>
  <c r="L160" i="2"/>
  <c r="L176" i="2"/>
  <c r="L8" i="2"/>
  <c r="L9" i="2"/>
  <c r="L97" i="3"/>
  <c r="L98" i="3"/>
  <c r="L94" i="3"/>
  <c r="L95" i="3"/>
  <c r="L91" i="3"/>
  <c r="L92" i="3"/>
  <c r="L99" i="3"/>
  <c r="L12" i="3"/>
  <c r="L12" i="2"/>
  <c r="L13" i="2"/>
  <c r="L14" i="2"/>
  <c r="L15" i="2"/>
  <c r="L16" i="2"/>
  <c r="L39" i="3"/>
  <c r="L40" i="3"/>
  <c r="L41" i="3"/>
  <c r="L43" i="3"/>
  <c r="L45" i="3"/>
  <c r="L51" i="3"/>
  <c r="L53" i="3"/>
  <c r="L61" i="3"/>
  <c r="L72" i="3"/>
  <c r="L73" i="3"/>
  <c r="L74" i="3"/>
  <c r="L66" i="3"/>
  <c r="L67" i="3"/>
  <c r="L68" i="3"/>
  <c r="L69" i="3"/>
  <c r="L70" i="3"/>
  <c r="L71" i="3"/>
  <c r="L75" i="3"/>
  <c r="L36" i="3"/>
  <c r="L37" i="3"/>
  <c r="L49" i="3"/>
  <c r="L57" i="3"/>
  <c r="L77" i="3"/>
  <c r="L79" i="3"/>
  <c r="L17" i="3"/>
  <c r="L17" i="2"/>
  <c r="L18" i="2"/>
  <c r="L19" i="3"/>
  <c r="L19" i="2"/>
  <c r="L20" i="2"/>
  <c r="L21" i="3"/>
  <c r="L21" i="2"/>
  <c r="L22" i="3"/>
  <c r="L22" i="2"/>
  <c r="L23" i="3"/>
  <c r="L23" i="2"/>
  <c r="L24" i="3"/>
  <c r="L24" i="2"/>
  <c r="L25" i="2"/>
  <c r="L26" i="2"/>
  <c r="L27" i="3"/>
  <c r="L27" i="2"/>
  <c r="L28" i="2"/>
  <c r="L29" i="2"/>
  <c r="L31" i="2"/>
  <c r="L41" i="2"/>
  <c r="M121" i="2"/>
  <c r="M122" i="2"/>
  <c r="M120" i="2"/>
  <c r="M119" i="2"/>
  <c r="M123" i="2"/>
  <c r="M126" i="2"/>
  <c r="M127" i="2"/>
  <c r="M128" i="2"/>
  <c r="M129" i="2"/>
  <c r="M132" i="2"/>
  <c r="M133" i="2"/>
  <c r="M136" i="2"/>
  <c r="M137" i="2"/>
  <c r="M139" i="2"/>
  <c r="M7" i="2"/>
  <c r="M163" i="2"/>
  <c r="M164" i="2"/>
  <c r="M192" i="2"/>
  <c r="M193" i="2"/>
  <c r="M205" i="2"/>
  <c r="M182" i="2"/>
  <c r="M183" i="2"/>
  <c r="M203" i="2"/>
  <c r="M187" i="2"/>
  <c r="M189" i="2"/>
  <c r="M195" i="2"/>
  <c r="M201" i="2"/>
  <c r="M208" i="2"/>
  <c r="M209" i="2"/>
  <c r="M210" i="2"/>
  <c r="M211" i="2"/>
  <c r="M214" i="2"/>
  <c r="M218" i="2"/>
  <c r="M219" i="2"/>
  <c r="M220" i="2"/>
  <c r="M224" i="2"/>
  <c r="M228" i="2"/>
  <c r="M229" i="2"/>
  <c r="M237" i="2"/>
  <c r="M243" i="2"/>
  <c r="M170" i="2"/>
  <c r="M167" i="2"/>
  <c r="M169" i="2"/>
  <c r="M171" i="2"/>
  <c r="M168" i="2"/>
  <c r="M172" i="2"/>
  <c r="M244" i="2"/>
  <c r="M174" i="2"/>
  <c r="M143" i="2"/>
  <c r="M144" i="2"/>
  <c r="M145" i="2"/>
  <c r="M146" i="2"/>
  <c r="M147" i="2"/>
  <c r="M150" i="2"/>
  <c r="M156" i="2"/>
  <c r="M159" i="2"/>
  <c r="M160" i="2"/>
  <c r="M176" i="2"/>
  <c r="M8" i="2"/>
  <c r="M9" i="2"/>
  <c r="M97" i="3"/>
  <c r="M98" i="3"/>
  <c r="M94" i="3"/>
  <c r="M95" i="3"/>
  <c r="M91" i="3"/>
  <c r="M92" i="3"/>
  <c r="M99" i="3"/>
  <c r="M12" i="3"/>
  <c r="M12" i="2"/>
  <c r="M13" i="2"/>
  <c r="M14" i="2"/>
  <c r="M15" i="2"/>
  <c r="M16" i="2"/>
  <c r="M39" i="3"/>
  <c r="M40" i="3"/>
  <c r="M41" i="3"/>
  <c r="M43" i="3"/>
  <c r="M45" i="3"/>
  <c r="M51" i="3"/>
  <c r="M53" i="3"/>
  <c r="M61" i="3"/>
  <c r="M72" i="3"/>
  <c r="M73" i="3"/>
  <c r="M74" i="3"/>
  <c r="M66" i="3"/>
  <c r="M67" i="3"/>
  <c r="M68" i="3"/>
  <c r="M69" i="3"/>
  <c r="M70" i="3"/>
  <c r="M71" i="3"/>
  <c r="M75" i="3"/>
  <c r="M36" i="3"/>
  <c r="M37" i="3"/>
  <c r="M49" i="3"/>
  <c r="M57" i="3"/>
  <c r="M77" i="3"/>
  <c r="M79" i="3"/>
  <c r="M17" i="3"/>
  <c r="M17" i="2"/>
  <c r="M18" i="2"/>
  <c r="M19" i="3"/>
  <c r="M19" i="2"/>
  <c r="M20" i="2"/>
  <c r="M21" i="3"/>
  <c r="M21" i="2"/>
  <c r="M22" i="3"/>
  <c r="M22" i="2"/>
  <c r="M23" i="3"/>
  <c r="M23" i="2"/>
  <c r="M24" i="3"/>
  <c r="M24" i="2"/>
  <c r="M25" i="2"/>
  <c r="M26" i="2"/>
  <c r="M27" i="3"/>
  <c r="M27" i="2"/>
  <c r="M28" i="2"/>
  <c r="M29" i="2"/>
  <c r="M31" i="2"/>
  <c r="M41" i="2"/>
  <c r="N121" i="2"/>
  <c r="N122" i="2"/>
  <c r="N120" i="2"/>
  <c r="N119" i="2"/>
  <c r="N123" i="2"/>
  <c r="N126" i="2"/>
  <c r="N127" i="2"/>
  <c r="N128" i="2"/>
  <c r="N129" i="2"/>
  <c r="N132" i="2"/>
  <c r="N133" i="2"/>
  <c r="N136" i="2"/>
  <c r="N137" i="2"/>
  <c r="N139" i="2"/>
  <c r="N7" i="2"/>
  <c r="N163" i="2"/>
  <c r="N164" i="2"/>
  <c r="N192" i="2"/>
  <c r="N193" i="2"/>
  <c r="N205" i="2"/>
  <c r="N182" i="2"/>
  <c r="N183" i="2"/>
  <c r="N203" i="2"/>
  <c r="N187" i="2"/>
  <c r="N189" i="2"/>
  <c r="N195" i="2"/>
  <c r="N201" i="2"/>
  <c r="N208" i="2"/>
  <c r="N209" i="2"/>
  <c r="N210" i="2"/>
  <c r="N211" i="2"/>
  <c r="N214" i="2"/>
  <c r="N218" i="2"/>
  <c r="N219" i="2"/>
  <c r="N220" i="2"/>
  <c r="N224" i="2"/>
  <c r="N228" i="2"/>
  <c r="N229" i="2"/>
  <c r="N237" i="2"/>
  <c r="N243" i="2"/>
  <c r="N170" i="2"/>
  <c r="N167" i="2"/>
  <c r="N169" i="2"/>
  <c r="N171" i="2"/>
  <c r="N168" i="2"/>
  <c r="N172" i="2"/>
  <c r="N244" i="2"/>
  <c r="N174" i="2"/>
  <c r="N143" i="2"/>
  <c r="N144" i="2"/>
  <c r="N145" i="2"/>
  <c r="N146" i="2"/>
  <c r="N147" i="2"/>
  <c r="N150" i="2"/>
  <c r="N156" i="2"/>
  <c r="N159" i="2"/>
  <c r="N160" i="2"/>
  <c r="N176" i="2"/>
  <c r="N8" i="2"/>
  <c r="N9" i="2"/>
  <c r="N97" i="3"/>
  <c r="N98" i="3"/>
  <c r="N94" i="3"/>
  <c r="N95" i="3"/>
  <c r="N91" i="3"/>
  <c r="N92" i="3"/>
  <c r="N99" i="3"/>
  <c r="N12" i="3"/>
  <c r="N12" i="2"/>
  <c r="N13" i="2"/>
  <c r="N14" i="2"/>
  <c r="N15" i="2"/>
  <c r="N16" i="2"/>
  <c r="N39" i="3"/>
  <c r="N40" i="3"/>
  <c r="N41" i="3"/>
  <c r="N43" i="3"/>
  <c r="N45" i="3"/>
  <c r="N51" i="3"/>
  <c r="N53" i="3"/>
  <c r="N61" i="3"/>
  <c r="N72" i="3"/>
  <c r="N73" i="3"/>
  <c r="N74" i="3"/>
  <c r="N66" i="3"/>
  <c r="N67" i="3"/>
  <c r="N68" i="3"/>
  <c r="N69" i="3"/>
  <c r="N70" i="3"/>
  <c r="N71" i="3"/>
  <c r="N75" i="3"/>
  <c r="N36" i="3"/>
  <c r="N37" i="3"/>
  <c r="N49" i="3"/>
  <c r="N57" i="3"/>
  <c r="N77" i="3"/>
  <c r="N79" i="3"/>
  <c r="N17" i="3"/>
  <c r="N17" i="2"/>
  <c r="N18" i="2"/>
  <c r="N19" i="3"/>
  <c r="N19" i="2"/>
  <c r="N20" i="2"/>
  <c r="N21" i="3"/>
  <c r="N21" i="2"/>
  <c r="N22" i="3"/>
  <c r="N22" i="2"/>
  <c r="N23" i="3"/>
  <c r="N23" i="2"/>
  <c r="N24" i="3"/>
  <c r="N24" i="2"/>
  <c r="N25" i="2"/>
  <c r="N26" i="2"/>
  <c r="N27" i="3"/>
  <c r="N27" i="2"/>
  <c r="N28" i="2"/>
  <c r="N29" i="2"/>
  <c r="N31" i="2"/>
  <c r="N41" i="2"/>
  <c r="H28" i="1"/>
  <c r="F7" i="5"/>
  <c r="C238" i="2"/>
  <c r="F6" i="5"/>
  <c r="F8" i="5"/>
  <c r="F11" i="5"/>
  <c r="C241" i="2"/>
  <c r="C9" i="5"/>
  <c r="C10" i="5"/>
  <c r="C11" i="5"/>
  <c r="O255" i="2"/>
  <c r="P252" i="2"/>
  <c r="P255" i="2"/>
  <c r="Q252" i="2"/>
  <c r="Q255" i="2"/>
  <c r="R252" i="2"/>
  <c r="R255" i="2"/>
  <c r="S252" i="2"/>
  <c r="S255" i="2"/>
  <c r="T252" i="2"/>
  <c r="T255" i="2"/>
  <c r="U252" i="2"/>
  <c r="U255" i="2"/>
  <c r="V252" i="2"/>
  <c r="V255" i="2"/>
  <c r="W252" i="2"/>
  <c r="W255" i="2"/>
  <c r="X252" i="2"/>
  <c r="X255" i="2"/>
  <c r="Y252" i="2"/>
  <c r="Y255" i="2"/>
  <c r="Z252" i="2"/>
  <c r="AA254" i="2"/>
  <c r="Z255" i="2"/>
  <c r="AA252" i="2"/>
  <c r="AA255" i="2"/>
  <c r="AB252" i="2"/>
  <c r="AB254" i="2"/>
  <c r="AB255" i="2"/>
  <c r="AC252" i="2"/>
  <c r="AC254" i="2"/>
  <c r="AC255" i="2"/>
  <c r="AD252" i="2"/>
  <c r="AD254" i="2"/>
  <c r="AD255" i="2"/>
  <c r="AE252" i="2"/>
  <c r="AE254" i="2"/>
  <c r="AE255" i="2"/>
  <c r="AF252" i="2"/>
  <c r="AF254" i="2"/>
  <c r="AF255" i="2"/>
  <c r="AG252" i="2"/>
  <c r="AG254" i="2"/>
  <c r="AG255" i="2"/>
  <c r="AH252" i="2"/>
  <c r="AH254" i="2"/>
  <c r="AH255" i="2"/>
  <c r="AI252" i="2"/>
  <c r="AI254" i="2"/>
  <c r="AI255" i="2"/>
  <c r="AJ252" i="2"/>
  <c r="AJ254" i="2"/>
  <c r="AJ255" i="2"/>
  <c r="AK252" i="2"/>
  <c r="AK254" i="2"/>
  <c r="AK255" i="2"/>
  <c r="AL252" i="2"/>
  <c r="AL254" i="2"/>
  <c r="AL255" i="2"/>
  <c r="AM252" i="2"/>
  <c r="AM254" i="2"/>
  <c r="AM255" i="2"/>
  <c r="AN252" i="2"/>
  <c r="AN254" i="2"/>
  <c r="AN255" i="2"/>
  <c r="AO252" i="2"/>
  <c r="AO254" i="2"/>
  <c r="AO255" i="2"/>
  <c r="AP252" i="2"/>
  <c r="AP254" i="2"/>
  <c r="AP255" i="2"/>
  <c r="AQ252" i="2"/>
  <c r="AQ254" i="2"/>
  <c r="AQ255" i="2"/>
  <c r="AR252" i="2"/>
  <c r="AR254" i="2"/>
  <c r="AR255" i="2"/>
  <c r="AS252" i="2"/>
  <c r="AS254" i="2"/>
  <c r="AS255" i="2"/>
  <c r="AT252" i="2"/>
  <c r="AT254" i="2"/>
  <c r="AT255" i="2"/>
  <c r="AU252" i="2"/>
  <c r="AU254" i="2"/>
  <c r="AU255" i="2"/>
  <c r="AV252" i="2"/>
  <c r="AV254" i="2"/>
  <c r="AV255" i="2"/>
  <c r="AW252" i="2"/>
  <c r="AW254" i="2"/>
  <c r="AW255" i="2"/>
  <c r="AX252" i="2"/>
  <c r="BJ254" i="2"/>
  <c r="BJ256" i="2"/>
  <c r="BJ65" i="2"/>
  <c r="AX254" i="2"/>
  <c r="AX255" i="2"/>
  <c r="AY252" i="2"/>
  <c r="AY254" i="2"/>
  <c r="AY255" i="2"/>
  <c r="AZ252" i="2"/>
  <c r="AZ254" i="2"/>
  <c r="AZ255" i="2"/>
  <c r="BA252" i="2"/>
  <c r="BA254" i="2"/>
  <c r="BA255" i="2"/>
  <c r="BB252" i="2"/>
  <c r="BB254" i="2"/>
  <c r="BB255" i="2"/>
  <c r="BC252" i="2"/>
  <c r="BC254" i="2"/>
  <c r="BC255" i="2"/>
  <c r="BD252" i="2"/>
  <c r="BD254" i="2"/>
  <c r="BD255" i="2"/>
  <c r="BE252" i="2"/>
  <c r="BE254" i="2"/>
  <c r="BE255" i="2"/>
  <c r="BF252" i="2"/>
  <c r="BF254" i="2"/>
  <c r="BF255" i="2"/>
  <c r="BG252" i="2"/>
  <c r="BG254" i="2"/>
  <c r="BG255" i="2"/>
  <c r="BH252" i="2"/>
  <c r="BH254" i="2"/>
  <c r="BH255" i="2"/>
  <c r="BI252" i="2"/>
  <c r="BI254" i="2"/>
  <c r="BI255" i="2"/>
  <c r="BJ252" i="2"/>
  <c r="BJ255" i="2"/>
  <c r="BJ257" i="2"/>
  <c r="BJ72" i="2"/>
  <c r="BJ91" i="2"/>
  <c r="L40" i="1"/>
  <c r="AX256" i="2"/>
  <c r="AX65" i="2"/>
  <c r="AX257" i="2"/>
  <c r="AX72" i="2"/>
  <c r="AX91" i="2"/>
  <c r="K40" i="1"/>
  <c r="AL256" i="2"/>
  <c r="AL65" i="2"/>
  <c r="AL257" i="2"/>
  <c r="AL72" i="2"/>
  <c r="AL91" i="2"/>
  <c r="J40" i="1"/>
  <c r="Z256" i="2"/>
  <c r="Z65" i="2"/>
  <c r="Z257" i="2"/>
  <c r="Z72" i="2"/>
  <c r="Z91" i="2"/>
  <c r="I40" i="1"/>
  <c r="N65" i="2"/>
  <c r="N72" i="2"/>
  <c r="N91" i="2"/>
  <c r="H40" i="1"/>
  <c r="L24" i="1"/>
  <c r="K24" i="1"/>
  <c r="J24" i="1"/>
  <c r="BJ54" i="2"/>
  <c r="BJ245" i="2"/>
  <c r="BJ55" i="2"/>
  <c r="BJ56" i="2"/>
  <c r="L37" i="1"/>
  <c r="AX54" i="2"/>
  <c r="AX245" i="2"/>
  <c r="AX55" i="2"/>
  <c r="AX56" i="2"/>
  <c r="K37" i="1"/>
  <c r="AL54" i="2"/>
  <c r="AL245" i="2"/>
  <c r="AL55" i="2"/>
  <c r="AL56" i="2"/>
  <c r="J37" i="1"/>
  <c r="Z54" i="2"/>
  <c r="Z245" i="2"/>
  <c r="Z55" i="2"/>
  <c r="Z56" i="2"/>
  <c r="I37" i="1"/>
  <c r="N54" i="2"/>
  <c r="N245" i="2"/>
  <c r="N55" i="2"/>
  <c r="N56" i="2"/>
  <c r="H37" i="1"/>
  <c r="B258" i="2"/>
  <c r="AX258" i="2"/>
  <c r="AX34" i="2"/>
  <c r="AX35" i="2"/>
  <c r="AX37" i="2"/>
  <c r="AX38" i="2"/>
  <c r="AX39" i="2"/>
  <c r="AX83" i="2"/>
  <c r="AX11" i="4"/>
  <c r="AX67" i="2"/>
  <c r="AW67" i="2"/>
  <c r="AX23" i="4"/>
  <c r="AX68" i="2"/>
  <c r="AW258" i="2"/>
  <c r="AW34" i="2"/>
  <c r="AW35" i="2"/>
  <c r="AW37" i="2"/>
  <c r="AW38" i="2"/>
  <c r="AW68" i="2"/>
  <c r="AX24" i="4"/>
  <c r="AW247" i="2"/>
  <c r="AW47" i="2"/>
  <c r="AX247" i="2"/>
  <c r="AX47" i="2"/>
  <c r="AX18" i="4"/>
  <c r="AW248" i="2"/>
  <c r="AW48" i="2"/>
  <c r="AX248" i="2"/>
  <c r="AX48" i="2"/>
  <c r="AX19" i="4"/>
  <c r="AX249" i="2"/>
  <c r="AX66" i="2"/>
  <c r="AW249" i="2"/>
  <c r="AW66" i="2"/>
  <c r="AX22" i="4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AN232" i="2"/>
  <c r="AO232" i="2"/>
  <c r="AP232" i="2"/>
  <c r="AQ232" i="2"/>
  <c r="AR232" i="2"/>
  <c r="AS232" i="2"/>
  <c r="AT232" i="2"/>
  <c r="AU232" i="2"/>
  <c r="AV232" i="2"/>
  <c r="AW232" i="2"/>
  <c r="C239" i="2"/>
  <c r="D238" i="2"/>
  <c r="D239" i="2"/>
  <c r="E238" i="2"/>
  <c r="E239" i="2"/>
  <c r="F238" i="2"/>
  <c r="F239" i="2"/>
  <c r="G238" i="2"/>
  <c r="G239" i="2"/>
  <c r="H238" i="2"/>
  <c r="H239" i="2"/>
  <c r="I238" i="2"/>
  <c r="I239" i="2"/>
  <c r="J238" i="2"/>
  <c r="J239" i="2"/>
  <c r="K238" i="2"/>
  <c r="K239" i="2"/>
  <c r="L238" i="2"/>
  <c r="L239" i="2"/>
  <c r="M238" i="2"/>
  <c r="M239" i="2"/>
  <c r="N238" i="2"/>
  <c r="N239" i="2"/>
  <c r="I7" i="1"/>
  <c r="O238" i="2"/>
  <c r="O239" i="2"/>
  <c r="P238" i="2"/>
  <c r="P239" i="2"/>
  <c r="Q238" i="2"/>
  <c r="Q239" i="2"/>
  <c r="R238" i="2"/>
  <c r="R239" i="2"/>
  <c r="S238" i="2"/>
  <c r="S239" i="2"/>
  <c r="T238" i="2"/>
  <c r="T239" i="2"/>
  <c r="U238" i="2"/>
  <c r="U239" i="2"/>
  <c r="V238" i="2"/>
  <c r="V239" i="2"/>
  <c r="W238" i="2"/>
  <c r="W239" i="2"/>
  <c r="X238" i="2"/>
  <c r="X239" i="2"/>
  <c r="Y238" i="2"/>
  <c r="Y239" i="2"/>
  <c r="Z238" i="2"/>
  <c r="Z239" i="2"/>
  <c r="J7" i="1"/>
  <c r="AA238" i="2"/>
  <c r="AA239" i="2"/>
  <c r="AB238" i="2"/>
  <c r="AB239" i="2"/>
  <c r="AC238" i="2"/>
  <c r="AC239" i="2"/>
  <c r="AD238" i="2"/>
  <c r="AD239" i="2"/>
  <c r="AE238" i="2"/>
  <c r="AE239" i="2"/>
  <c r="AF238" i="2"/>
  <c r="AF239" i="2"/>
  <c r="AG238" i="2"/>
  <c r="AG239" i="2"/>
  <c r="AH238" i="2"/>
  <c r="AH239" i="2"/>
  <c r="AI238" i="2"/>
  <c r="AI239" i="2"/>
  <c r="AJ238" i="2"/>
  <c r="AJ239" i="2"/>
  <c r="AK238" i="2"/>
  <c r="AK239" i="2"/>
  <c r="AL238" i="2"/>
  <c r="AL239" i="2"/>
  <c r="K7" i="1"/>
  <c r="AM238" i="2"/>
  <c r="AM239" i="2"/>
  <c r="AN238" i="2"/>
  <c r="AN239" i="2"/>
  <c r="AO238" i="2"/>
  <c r="AO239" i="2"/>
  <c r="AP238" i="2"/>
  <c r="AP239" i="2"/>
  <c r="AQ238" i="2"/>
  <c r="AQ239" i="2"/>
  <c r="AR238" i="2"/>
  <c r="AR239" i="2"/>
  <c r="AS238" i="2"/>
  <c r="AS239" i="2"/>
  <c r="AT238" i="2"/>
  <c r="AT239" i="2"/>
  <c r="AU238" i="2"/>
  <c r="AU239" i="2"/>
  <c r="AV238" i="2"/>
  <c r="AV239" i="2"/>
  <c r="AW238" i="2"/>
  <c r="AW239" i="2"/>
  <c r="AW240" i="2"/>
  <c r="AW58" i="2"/>
  <c r="AX232" i="2"/>
  <c r="AX238" i="2"/>
  <c r="AX239" i="2"/>
  <c r="AX240" i="2"/>
  <c r="AX58" i="2"/>
  <c r="AX21" i="4"/>
  <c r="AX20" i="4"/>
  <c r="AX25" i="4"/>
  <c r="AX13" i="4"/>
  <c r="AX16" i="4"/>
  <c r="AX26" i="4"/>
  <c r="AW54" i="2"/>
  <c r="AX29" i="4"/>
  <c r="AX31" i="4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AN241" i="2"/>
  <c r="AO241" i="2"/>
  <c r="AP241" i="2"/>
  <c r="AQ241" i="2"/>
  <c r="AR241" i="2"/>
  <c r="AS241" i="2"/>
  <c r="AT241" i="2"/>
  <c r="AU241" i="2"/>
  <c r="AV241" i="2"/>
  <c r="AW241" i="2"/>
  <c r="AX241" i="2"/>
  <c r="AX78" i="2"/>
  <c r="AW78" i="2"/>
  <c r="AX35" i="4"/>
  <c r="AX33" i="4"/>
  <c r="AW256" i="2"/>
  <c r="AW65" i="2"/>
  <c r="AW257" i="2"/>
  <c r="AW72" i="2"/>
  <c r="AX34" i="4"/>
  <c r="AX36" i="4"/>
  <c r="AX37" i="4"/>
  <c r="AX39" i="4"/>
  <c r="AW39" i="2"/>
  <c r="AW83" i="2"/>
  <c r="AW11" i="4"/>
  <c r="AV67" i="2"/>
  <c r="AW23" i="4"/>
  <c r="AV258" i="2"/>
  <c r="AV34" i="2"/>
  <c r="AV35" i="2"/>
  <c r="AV37" i="2"/>
  <c r="AV38" i="2"/>
  <c r="AV68" i="2"/>
  <c r="AW24" i="4"/>
  <c r="AV247" i="2"/>
  <c r="AV47" i="2"/>
  <c r="AW18" i="4"/>
  <c r="AV248" i="2"/>
  <c r="AV48" i="2"/>
  <c r="AW19" i="4"/>
  <c r="AV249" i="2"/>
  <c r="AV66" i="2"/>
  <c r="AW22" i="4"/>
  <c r="AV240" i="2"/>
  <c r="AV58" i="2"/>
  <c r="AW21" i="4"/>
  <c r="AW20" i="4"/>
  <c r="AW25" i="4"/>
  <c r="AW13" i="4"/>
  <c r="AW16" i="4"/>
  <c r="AW26" i="4"/>
  <c r="AV54" i="2"/>
  <c r="AW29" i="4"/>
  <c r="AW31" i="4"/>
  <c r="AV78" i="2"/>
  <c r="AW35" i="4"/>
  <c r="AW33" i="4"/>
  <c r="AV256" i="2"/>
  <c r="AV65" i="2"/>
  <c r="AV257" i="2"/>
  <c r="AV72" i="2"/>
  <c r="AW34" i="4"/>
  <c r="AW36" i="4"/>
  <c r="AW37" i="4"/>
  <c r="AW39" i="4"/>
  <c r="AV39" i="2"/>
  <c r="AV83" i="2"/>
  <c r="AV11" i="4"/>
  <c r="AU67" i="2"/>
  <c r="AV23" i="4"/>
  <c r="AU258" i="2"/>
  <c r="AU34" i="2"/>
  <c r="AU35" i="2"/>
  <c r="AU37" i="2"/>
  <c r="AU38" i="2"/>
  <c r="AU68" i="2"/>
  <c r="AV24" i="4"/>
  <c r="AU247" i="2"/>
  <c r="AU47" i="2"/>
  <c r="AV18" i="4"/>
  <c r="AU248" i="2"/>
  <c r="AU48" i="2"/>
  <c r="AV19" i="4"/>
  <c r="AU249" i="2"/>
  <c r="AU66" i="2"/>
  <c r="AV22" i="4"/>
  <c r="AU240" i="2"/>
  <c r="AU58" i="2"/>
  <c r="AV21" i="4"/>
  <c r="AV20" i="4"/>
  <c r="AV25" i="4"/>
  <c r="AV13" i="4"/>
  <c r="AV16" i="4"/>
  <c r="AV26" i="4"/>
  <c r="AU54" i="2"/>
  <c r="AV29" i="4"/>
  <c r="AV31" i="4"/>
  <c r="AU78" i="2"/>
  <c r="AV35" i="4"/>
  <c r="AV33" i="4"/>
  <c r="AU256" i="2"/>
  <c r="AU65" i="2"/>
  <c r="AU257" i="2"/>
  <c r="AU72" i="2"/>
  <c r="AV34" i="4"/>
  <c r="AV36" i="4"/>
  <c r="AV37" i="4"/>
  <c r="AV39" i="4"/>
  <c r="AU39" i="2"/>
  <c r="AU83" i="2"/>
  <c r="AU11" i="4"/>
  <c r="AT67" i="2"/>
  <c r="AU23" i="4"/>
  <c r="AT258" i="2"/>
  <c r="AT34" i="2"/>
  <c r="AT35" i="2"/>
  <c r="AT37" i="2"/>
  <c r="AT38" i="2"/>
  <c r="AT68" i="2"/>
  <c r="AU24" i="4"/>
  <c r="AT247" i="2"/>
  <c r="AT47" i="2"/>
  <c r="AU18" i="4"/>
  <c r="AT248" i="2"/>
  <c r="AT48" i="2"/>
  <c r="AU19" i="4"/>
  <c r="AT249" i="2"/>
  <c r="AT66" i="2"/>
  <c r="AU22" i="4"/>
  <c r="AT240" i="2"/>
  <c r="AT58" i="2"/>
  <c r="AU21" i="4"/>
  <c r="AU20" i="4"/>
  <c r="AU25" i="4"/>
  <c r="AU13" i="4"/>
  <c r="AU16" i="4"/>
  <c r="AU26" i="4"/>
  <c r="AT54" i="2"/>
  <c r="AU29" i="4"/>
  <c r="AU31" i="4"/>
  <c r="AT78" i="2"/>
  <c r="AU35" i="4"/>
  <c r="AU33" i="4"/>
  <c r="AT256" i="2"/>
  <c r="AT65" i="2"/>
  <c r="AT257" i="2"/>
  <c r="AT72" i="2"/>
  <c r="AU34" i="4"/>
  <c r="AU36" i="4"/>
  <c r="AU37" i="4"/>
  <c r="AU39" i="4"/>
  <c r="AT39" i="2"/>
  <c r="AT83" i="2"/>
  <c r="AT11" i="4"/>
  <c r="AS67" i="2"/>
  <c r="AT23" i="4"/>
  <c r="AS258" i="2"/>
  <c r="AS34" i="2"/>
  <c r="AS35" i="2"/>
  <c r="AS37" i="2"/>
  <c r="AS38" i="2"/>
  <c r="AS68" i="2"/>
  <c r="AT24" i="4"/>
  <c r="AS247" i="2"/>
  <c r="AS47" i="2"/>
  <c r="AT18" i="4"/>
  <c r="AS248" i="2"/>
  <c r="AS48" i="2"/>
  <c r="AT19" i="4"/>
  <c r="AS249" i="2"/>
  <c r="AS66" i="2"/>
  <c r="AT22" i="4"/>
  <c r="AS240" i="2"/>
  <c r="AS58" i="2"/>
  <c r="AT21" i="4"/>
  <c r="AT20" i="4"/>
  <c r="AT25" i="4"/>
  <c r="AT13" i="4"/>
  <c r="AT16" i="4"/>
  <c r="AT26" i="4"/>
  <c r="AS54" i="2"/>
  <c r="AT29" i="4"/>
  <c r="AT31" i="4"/>
  <c r="AS78" i="2"/>
  <c r="AT35" i="4"/>
  <c r="AT33" i="4"/>
  <c r="AS256" i="2"/>
  <c r="AS65" i="2"/>
  <c r="AS257" i="2"/>
  <c r="AS72" i="2"/>
  <c r="AT34" i="4"/>
  <c r="AT36" i="4"/>
  <c r="AT37" i="4"/>
  <c r="AT39" i="4"/>
  <c r="AS39" i="2"/>
  <c r="AS83" i="2"/>
  <c r="AS11" i="4"/>
  <c r="AR67" i="2"/>
  <c r="AS23" i="4"/>
  <c r="AR258" i="2"/>
  <c r="AR34" i="2"/>
  <c r="AR35" i="2"/>
  <c r="AR37" i="2"/>
  <c r="AR38" i="2"/>
  <c r="AR68" i="2"/>
  <c r="AS24" i="4"/>
  <c r="AR247" i="2"/>
  <c r="AR47" i="2"/>
  <c r="AS18" i="4"/>
  <c r="AR248" i="2"/>
  <c r="AR48" i="2"/>
  <c r="AS19" i="4"/>
  <c r="AR249" i="2"/>
  <c r="AR66" i="2"/>
  <c r="AS22" i="4"/>
  <c r="AR240" i="2"/>
  <c r="AR58" i="2"/>
  <c r="AS21" i="4"/>
  <c r="AS20" i="4"/>
  <c r="AS25" i="4"/>
  <c r="AS13" i="4"/>
  <c r="AS16" i="4"/>
  <c r="AS26" i="4"/>
  <c r="AR54" i="2"/>
  <c r="AS29" i="4"/>
  <c r="AS31" i="4"/>
  <c r="AR78" i="2"/>
  <c r="AS35" i="4"/>
  <c r="AS33" i="4"/>
  <c r="AR256" i="2"/>
  <c r="AR65" i="2"/>
  <c r="AR257" i="2"/>
  <c r="AR72" i="2"/>
  <c r="AS34" i="4"/>
  <c r="AS36" i="4"/>
  <c r="AS37" i="4"/>
  <c r="AS39" i="4"/>
  <c r="AR39" i="2"/>
  <c r="AR83" i="2"/>
  <c r="AR11" i="4"/>
  <c r="AQ67" i="2"/>
  <c r="AR23" i="4"/>
  <c r="AQ258" i="2"/>
  <c r="AQ34" i="2"/>
  <c r="AQ35" i="2"/>
  <c r="AQ37" i="2"/>
  <c r="AQ38" i="2"/>
  <c r="AQ68" i="2"/>
  <c r="AR24" i="4"/>
  <c r="AQ247" i="2"/>
  <c r="AQ47" i="2"/>
  <c r="AR18" i="4"/>
  <c r="AQ248" i="2"/>
  <c r="AQ48" i="2"/>
  <c r="AR19" i="4"/>
  <c r="AQ249" i="2"/>
  <c r="AQ66" i="2"/>
  <c r="AR22" i="4"/>
  <c r="AQ240" i="2"/>
  <c r="AQ58" i="2"/>
  <c r="AR21" i="4"/>
  <c r="AR20" i="4"/>
  <c r="AR25" i="4"/>
  <c r="AR13" i="4"/>
  <c r="AR16" i="4"/>
  <c r="AR26" i="4"/>
  <c r="AQ54" i="2"/>
  <c r="AR29" i="4"/>
  <c r="AR31" i="4"/>
  <c r="AQ78" i="2"/>
  <c r="AR35" i="4"/>
  <c r="AR33" i="4"/>
  <c r="AQ256" i="2"/>
  <c r="AQ65" i="2"/>
  <c r="AQ257" i="2"/>
  <c r="AQ72" i="2"/>
  <c r="AR34" i="4"/>
  <c r="AR36" i="4"/>
  <c r="AR37" i="4"/>
  <c r="AR39" i="4"/>
  <c r="AQ39" i="2"/>
  <c r="AQ83" i="2"/>
  <c r="AQ11" i="4"/>
  <c r="AP67" i="2"/>
  <c r="AQ23" i="4"/>
  <c r="AP258" i="2"/>
  <c r="AP34" i="2"/>
  <c r="AP35" i="2"/>
  <c r="AP37" i="2"/>
  <c r="AP38" i="2"/>
  <c r="AP68" i="2"/>
  <c r="AQ24" i="4"/>
  <c r="AP247" i="2"/>
  <c r="AP47" i="2"/>
  <c r="AQ18" i="4"/>
  <c r="AP248" i="2"/>
  <c r="AP48" i="2"/>
  <c r="AQ19" i="4"/>
  <c r="AP249" i="2"/>
  <c r="AP66" i="2"/>
  <c r="AQ22" i="4"/>
  <c r="AP240" i="2"/>
  <c r="AP58" i="2"/>
  <c r="AQ21" i="4"/>
  <c r="AQ20" i="4"/>
  <c r="AQ25" i="4"/>
  <c r="AQ13" i="4"/>
  <c r="AQ16" i="4"/>
  <c r="AQ26" i="4"/>
  <c r="AP54" i="2"/>
  <c r="AQ29" i="4"/>
  <c r="AQ31" i="4"/>
  <c r="AP78" i="2"/>
  <c r="AQ35" i="4"/>
  <c r="AQ33" i="4"/>
  <c r="AP256" i="2"/>
  <c r="AP65" i="2"/>
  <c r="AP257" i="2"/>
  <c r="AP72" i="2"/>
  <c r="AQ34" i="4"/>
  <c r="AQ36" i="4"/>
  <c r="AQ37" i="4"/>
  <c r="AQ39" i="4"/>
  <c r="AP39" i="2"/>
  <c r="AP83" i="2"/>
  <c r="AP11" i="4"/>
  <c r="AO67" i="2"/>
  <c r="AP23" i="4"/>
  <c r="AO258" i="2"/>
  <c r="AO34" i="2"/>
  <c r="AO35" i="2"/>
  <c r="AO37" i="2"/>
  <c r="AO38" i="2"/>
  <c r="AO68" i="2"/>
  <c r="AP24" i="4"/>
  <c r="AO247" i="2"/>
  <c r="AO47" i="2"/>
  <c r="AP18" i="4"/>
  <c r="AO248" i="2"/>
  <c r="AO48" i="2"/>
  <c r="AP19" i="4"/>
  <c r="AO249" i="2"/>
  <c r="AO66" i="2"/>
  <c r="AP22" i="4"/>
  <c r="AO240" i="2"/>
  <c r="AO58" i="2"/>
  <c r="AP21" i="4"/>
  <c r="AP20" i="4"/>
  <c r="AP25" i="4"/>
  <c r="AP13" i="4"/>
  <c r="AP16" i="4"/>
  <c r="AP26" i="4"/>
  <c r="AO54" i="2"/>
  <c r="AP29" i="4"/>
  <c r="AP31" i="4"/>
  <c r="AO78" i="2"/>
  <c r="AP35" i="4"/>
  <c r="AP33" i="4"/>
  <c r="AO256" i="2"/>
  <c r="AO65" i="2"/>
  <c r="AO257" i="2"/>
  <c r="AO72" i="2"/>
  <c r="AP34" i="4"/>
  <c r="AP36" i="4"/>
  <c r="AP37" i="4"/>
  <c r="AP39" i="4"/>
  <c r="AO39" i="2"/>
  <c r="AO83" i="2"/>
  <c r="AO11" i="4"/>
  <c r="AN67" i="2"/>
  <c r="AO23" i="4"/>
  <c r="AN258" i="2"/>
  <c r="AN34" i="2"/>
  <c r="AN35" i="2"/>
  <c r="AN37" i="2"/>
  <c r="AN38" i="2"/>
  <c r="AN68" i="2"/>
  <c r="AO24" i="4"/>
  <c r="AN247" i="2"/>
  <c r="AN47" i="2"/>
  <c r="AO18" i="4"/>
  <c r="AN248" i="2"/>
  <c r="AN48" i="2"/>
  <c r="AO19" i="4"/>
  <c r="AN249" i="2"/>
  <c r="AN66" i="2"/>
  <c r="AO22" i="4"/>
  <c r="AN240" i="2"/>
  <c r="AN58" i="2"/>
  <c r="AO21" i="4"/>
  <c r="AO20" i="4"/>
  <c r="AO25" i="4"/>
  <c r="AO13" i="4"/>
  <c r="AO16" i="4"/>
  <c r="AO26" i="4"/>
  <c r="AN54" i="2"/>
  <c r="AO29" i="4"/>
  <c r="AO31" i="4"/>
  <c r="AN78" i="2"/>
  <c r="AO35" i="4"/>
  <c r="AO33" i="4"/>
  <c r="AN256" i="2"/>
  <c r="AN65" i="2"/>
  <c r="AN257" i="2"/>
  <c r="AN72" i="2"/>
  <c r="AO34" i="4"/>
  <c r="AO36" i="4"/>
  <c r="AO37" i="4"/>
  <c r="AO39" i="4"/>
  <c r="AN39" i="2"/>
  <c r="AN83" i="2"/>
  <c r="AN11" i="4"/>
  <c r="AM67" i="2"/>
  <c r="AN23" i="4"/>
  <c r="AM258" i="2"/>
  <c r="AM34" i="2"/>
  <c r="AM35" i="2"/>
  <c r="AM37" i="2"/>
  <c r="AM38" i="2"/>
  <c r="AM68" i="2"/>
  <c r="AN24" i="4"/>
  <c r="AM247" i="2"/>
  <c r="AM47" i="2"/>
  <c r="AN18" i="4"/>
  <c r="AM248" i="2"/>
  <c r="AM48" i="2"/>
  <c r="AN19" i="4"/>
  <c r="AM249" i="2"/>
  <c r="AM66" i="2"/>
  <c r="AN22" i="4"/>
  <c r="AM240" i="2"/>
  <c r="AM58" i="2"/>
  <c r="AN21" i="4"/>
  <c r="AN20" i="4"/>
  <c r="AN25" i="4"/>
  <c r="AN13" i="4"/>
  <c r="AN16" i="4"/>
  <c r="AN26" i="4"/>
  <c r="AM54" i="2"/>
  <c r="AN29" i="4"/>
  <c r="AN31" i="4"/>
  <c r="AM78" i="2"/>
  <c r="AN35" i="4"/>
  <c r="AN33" i="4"/>
  <c r="AM256" i="2"/>
  <c r="AM65" i="2"/>
  <c r="AM257" i="2"/>
  <c r="AM72" i="2"/>
  <c r="AN34" i="4"/>
  <c r="AN36" i="4"/>
  <c r="AN37" i="4"/>
  <c r="AN39" i="4"/>
  <c r="AM39" i="2"/>
  <c r="AM83" i="2"/>
  <c r="AM11" i="4"/>
  <c r="AL67" i="2"/>
  <c r="AM23" i="4"/>
  <c r="AL258" i="2"/>
  <c r="AL34" i="2"/>
  <c r="AL35" i="2"/>
  <c r="AL37" i="2"/>
  <c r="AL38" i="2"/>
  <c r="AL68" i="2"/>
  <c r="AM24" i="4"/>
  <c r="AL247" i="2"/>
  <c r="AL47" i="2"/>
  <c r="AM18" i="4"/>
  <c r="AL248" i="2"/>
  <c r="AL48" i="2"/>
  <c r="AM19" i="4"/>
  <c r="AL249" i="2"/>
  <c r="AL66" i="2"/>
  <c r="AM22" i="4"/>
  <c r="AL240" i="2"/>
  <c r="AL58" i="2"/>
  <c r="AM21" i="4"/>
  <c r="AM20" i="4"/>
  <c r="AM25" i="4"/>
  <c r="AM13" i="4"/>
  <c r="AM16" i="4"/>
  <c r="AM26" i="4"/>
  <c r="AM29" i="4"/>
  <c r="AM31" i="4"/>
  <c r="AL78" i="2"/>
  <c r="AM35" i="4"/>
  <c r="AM33" i="4"/>
  <c r="AM34" i="4"/>
  <c r="AM36" i="4"/>
  <c r="AM37" i="4"/>
  <c r="AM39" i="4"/>
  <c r="AL39" i="2"/>
  <c r="AL83" i="2"/>
  <c r="AL11" i="4"/>
  <c r="AK67" i="2"/>
  <c r="AL23" i="4"/>
  <c r="AK258" i="2"/>
  <c r="AK34" i="2"/>
  <c r="AK35" i="2"/>
  <c r="AK37" i="2"/>
  <c r="AK38" i="2"/>
  <c r="AK68" i="2"/>
  <c r="AL24" i="4"/>
  <c r="AK247" i="2"/>
  <c r="AK47" i="2"/>
  <c r="AL18" i="4"/>
  <c r="AK248" i="2"/>
  <c r="AK48" i="2"/>
  <c r="AL19" i="4"/>
  <c r="AK249" i="2"/>
  <c r="AK66" i="2"/>
  <c r="AL22" i="4"/>
  <c r="AK240" i="2"/>
  <c r="AK58" i="2"/>
  <c r="AL21" i="4"/>
  <c r="AL20" i="4"/>
  <c r="AL25" i="4"/>
  <c r="AL13" i="4"/>
  <c r="AL16" i="4"/>
  <c r="AL26" i="4"/>
  <c r="AK54" i="2"/>
  <c r="AL29" i="4"/>
  <c r="AL31" i="4"/>
  <c r="AK78" i="2"/>
  <c r="AL35" i="4"/>
  <c r="AL33" i="4"/>
  <c r="AK256" i="2"/>
  <c r="AK65" i="2"/>
  <c r="AK257" i="2"/>
  <c r="AK72" i="2"/>
  <c r="AL34" i="4"/>
  <c r="AL36" i="4"/>
  <c r="AL37" i="4"/>
  <c r="AL39" i="4"/>
  <c r="AK39" i="2"/>
  <c r="AK83" i="2"/>
  <c r="AK11" i="4"/>
  <c r="AJ67" i="2"/>
  <c r="AK23" i="4"/>
  <c r="AJ258" i="2"/>
  <c r="AJ34" i="2"/>
  <c r="AJ35" i="2"/>
  <c r="AJ37" i="2"/>
  <c r="AJ38" i="2"/>
  <c r="AJ68" i="2"/>
  <c r="AK24" i="4"/>
  <c r="AJ247" i="2"/>
  <c r="AJ47" i="2"/>
  <c r="AK18" i="4"/>
  <c r="AJ248" i="2"/>
  <c r="AJ48" i="2"/>
  <c r="AK19" i="4"/>
  <c r="AJ249" i="2"/>
  <c r="AJ66" i="2"/>
  <c r="AK22" i="4"/>
  <c r="AJ240" i="2"/>
  <c r="AJ58" i="2"/>
  <c r="AK21" i="4"/>
  <c r="AK20" i="4"/>
  <c r="AK25" i="4"/>
  <c r="AK13" i="4"/>
  <c r="AK16" i="4"/>
  <c r="AK26" i="4"/>
  <c r="AJ54" i="2"/>
  <c r="AK29" i="4"/>
  <c r="AK31" i="4"/>
  <c r="AJ78" i="2"/>
  <c r="AK35" i="4"/>
  <c r="AK33" i="4"/>
  <c r="AJ256" i="2"/>
  <c r="AJ65" i="2"/>
  <c r="AJ257" i="2"/>
  <c r="AJ72" i="2"/>
  <c r="AK34" i="4"/>
  <c r="AK36" i="4"/>
  <c r="AK37" i="4"/>
  <c r="AK39" i="4"/>
  <c r="AJ39" i="2"/>
  <c r="AJ83" i="2"/>
  <c r="AJ11" i="4"/>
  <c r="AI67" i="2"/>
  <c r="AJ23" i="4"/>
  <c r="AI258" i="2"/>
  <c r="AI34" i="2"/>
  <c r="AI35" i="2"/>
  <c r="AI37" i="2"/>
  <c r="AI38" i="2"/>
  <c r="AI68" i="2"/>
  <c r="AJ24" i="4"/>
  <c r="AI247" i="2"/>
  <c r="AI47" i="2"/>
  <c r="AJ18" i="4"/>
  <c r="AI248" i="2"/>
  <c r="AI48" i="2"/>
  <c r="AJ19" i="4"/>
  <c r="AI249" i="2"/>
  <c r="AI66" i="2"/>
  <c r="AJ22" i="4"/>
  <c r="AI240" i="2"/>
  <c r="AI58" i="2"/>
  <c r="AJ21" i="4"/>
  <c r="AJ20" i="4"/>
  <c r="AJ25" i="4"/>
  <c r="AJ13" i="4"/>
  <c r="AJ16" i="4"/>
  <c r="AJ26" i="4"/>
  <c r="AI54" i="2"/>
  <c r="AJ29" i="4"/>
  <c r="AJ31" i="4"/>
  <c r="AI78" i="2"/>
  <c r="AJ35" i="4"/>
  <c r="AJ33" i="4"/>
  <c r="AI256" i="2"/>
  <c r="AI65" i="2"/>
  <c r="AI257" i="2"/>
  <c r="AI72" i="2"/>
  <c r="AJ34" i="4"/>
  <c r="AJ36" i="4"/>
  <c r="AJ37" i="4"/>
  <c r="AJ39" i="4"/>
  <c r="AI39" i="2"/>
  <c r="AI83" i="2"/>
  <c r="AI11" i="4"/>
  <c r="AH67" i="2"/>
  <c r="AI23" i="4"/>
  <c r="AH258" i="2"/>
  <c r="AH34" i="2"/>
  <c r="AH35" i="2"/>
  <c r="AH37" i="2"/>
  <c r="AH38" i="2"/>
  <c r="AH68" i="2"/>
  <c r="AI24" i="4"/>
  <c r="AH247" i="2"/>
  <c r="AH47" i="2"/>
  <c r="AI18" i="4"/>
  <c r="AH248" i="2"/>
  <c r="AH48" i="2"/>
  <c r="AI19" i="4"/>
  <c r="AH249" i="2"/>
  <c r="AH66" i="2"/>
  <c r="AI22" i="4"/>
  <c r="AH240" i="2"/>
  <c r="AH58" i="2"/>
  <c r="AI21" i="4"/>
  <c r="AI20" i="4"/>
  <c r="AI25" i="4"/>
  <c r="AI13" i="4"/>
  <c r="AI16" i="4"/>
  <c r="AI26" i="4"/>
  <c r="AH54" i="2"/>
  <c r="AI29" i="4"/>
  <c r="AI31" i="4"/>
  <c r="AH78" i="2"/>
  <c r="AI35" i="4"/>
  <c r="AI33" i="4"/>
  <c r="AH256" i="2"/>
  <c r="AH65" i="2"/>
  <c r="AH257" i="2"/>
  <c r="AH72" i="2"/>
  <c r="AI34" i="4"/>
  <c r="AI36" i="4"/>
  <c r="AI37" i="4"/>
  <c r="AI39" i="4"/>
  <c r="AH39" i="2"/>
  <c r="AH83" i="2"/>
  <c r="AH11" i="4"/>
  <c r="AG67" i="2"/>
  <c r="AH23" i="4"/>
  <c r="AG258" i="2"/>
  <c r="AG34" i="2"/>
  <c r="AG35" i="2"/>
  <c r="AG37" i="2"/>
  <c r="AG38" i="2"/>
  <c r="AG68" i="2"/>
  <c r="AH24" i="4"/>
  <c r="AG247" i="2"/>
  <c r="AG47" i="2"/>
  <c r="AH18" i="4"/>
  <c r="AG248" i="2"/>
  <c r="AG48" i="2"/>
  <c r="AH19" i="4"/>
  <c r="AG249" i="2"/>
  <c r="AG66" i="2"/>
  <c r="AH22" i="4"/>
  <c r="AG240" i="2"/>
  <c r="AG58" i="2"/>
  <c r="AH21" i="4"/>
  <c r="AH20" i="4"/>
  <c r="AH25" i="4"/>
  <c r="AH13" i="4"/>
  <c r="AH16" i="4"/>
  <c r="AH26" i="4"/>
  <c r="AG54" i="2"/>
  <c r="AH29" i="4"/>
  <c r="AH31" i="4"/>
  <c r="AG78" i="2"/>
  <c r="AH35" i="4"/>
  <c r="AH33" i="4"/>
  <c r="AG256" i="2"/>
  <c r="AG65" i="2"/>
  <c r="AG257" i="2"/>
  <c r="AG72" i="2"/>
  <c r="AH34" i="4"/>
  <c r="AH36" i="4"/>
  <c r="AH37" i="4"/>
  <c r="AH39" i="4"/>
  <c r="AG39" i="2"/>
  <c r="AG83" i="2"/>
  <c r="AG11" i="4"/>
  <c r="AF67" i="2"/>
  <c r="AG23" i="4"/>
  <c r="AF258" i="2"/>
  <c r="AF34" i="2"/>
  <c r="AF35" i="2"/>
  <c r="AF37" i="2"/>
  <c r="AF38" i="2"/>
  <c r="AF68" i="2"/>
  <c r="AG24" i="4"/>
  <c r="AF247" i="2"/>
  <c r="AF47" i="2"/>
  <c r="AG18" i="4"/>
  <c r="AF248" i="2"/>
  <c r="AF48" i="2"/>
  <c r="AG19" i="4"/>
  <c r="AF249" i="2"/>
  <c r="AF66" i="2"/>
  <c r="AG22" i="4"/>
  <c r="AF240" i="2"/>
  <c r="AF58" i="2"/>
  <c r="AG21" i="4"/>
  <c r="AG20" i="4"/>
  <c r="AG25" i="4"/>
  <c r="AG13" i="4"/>
  <c r="AG16" i="4"/>
  <c r="AG26" i="4"/>
  <c r="AF54" i="2"/>
  <c r="AG29" i="4"/>
  <c r="AG31" i="4"/>
  <c r="AF78" i="2"/>
  <c r="AG35" i="4"/>
  <c r="AG33" i="4"/>
  <c r="AF256" i="2"/>
  <c r="AF65" i="2"/>
  <c r="AF257" i="2"/>
  <c r="AF72" i="2"/>
  <c r="AG34" i="4"/>
  <c r="AG36" i="4"/>
  <c r="AG37" i="4"/>
  <c r="AG39" i="4"/>
  <c r="AF39" i="2"/>
  <c r="AF83" i="2"/>
  <c r="AF11" i="4"/>
  <c r="AE67" i="2"/>
  <c r="AF23" i="4"/>
  <c r="AE258" i="2"/>
  <c r="AE34" i="2"/>
  <c r="AE35" i="2"/>
  <c r="AE37" i="2"/>
  <c r="AE38" i="2"/>
  <c r="AE68" i="2"/>
  <c r="AF24" i="4"/>
  <c r="AE247" i="2"/>
  <c r="AE47" i="2"/>
  <c r="AF18" i="4"/>
  <c r="AE248" i="2"/>
  <c r="AE48" i="2"/>
  <c r="AF19" i="4"/>
  <c r="AE249" i="2"/>
  <c r="AE66" i="2"/>
  <c r="AF22" i="4"/>
  <c r="AE240" i="2"/>
  <c r="AE58" i="2"/>
  <c r="AF21" i="4"/>
  <c r="AF20" i="4"/>
  <c r="AF25" i="4"/>
  <c r="AF13" i="4"/>
  <c r="AF16" i="4"/>
  <c r="AF26" i="4"/>
  <c r="AE54" i="2"/>
  <c r="AF29" i="4"/>
  <c r="AF31" i="4"/>
  <c r="AE78" i="2"/>
  <c r="AF35" i="4"/>
  <c r="AF33" i="4"/>
  <c r="AE256" i="2"/>
  <c r="AE65" i="2"/>
  <c r="AE257" i="2"/>
  <c r="AE72" i="2"/>
  <c r="AF34" i="4"/>
  <c r="AF36" i="4"/>
  <c r="AF37" i="4"/>
  <c r="AF39" i="4"/>
  <c r="AE39" i="2"/>
  <c r="AE83" i="2"/>
  <c r="AE11" i="4"/>
  <c r="AD67" i="2"/>
  <c r="AE23" i="4"/>
  <c r="AD258" i="2"/>
  <c r="AD34" i="2"/>
  <c r="AD35" i="2"/>
  <c r="AD37" i="2"/>
  <c r="AD38" i="2"/>
  <c r="AD68" i="2"/>
  <c r="AE24" i="4"/>
  <c r="AD247" i="2"/>
  <c r="AD47" i="2"/>
  <c r="AE18" i="4"/>
  <c r="AD248" i="2"/>
  <c r="AD48" i="2"/>
  <c r="AE19" i="4"/>
  <c r="AD249" i="2"/>
  <c r="AD66" i="2"/>
  <c r="AE22" i="4"/>
  <c r="AD240" i="2"/>
  <c r="AD58" i="2"/>
  <c r="AE21" i="4"/>
  <c r="AE20" i="4"/>
  <c r="AE25" i="4"/>
  <c r="AE13" i="4"/>
  <c r="AE16" i="4"/>
  <c r="AE26" i="4"/>
  <c r="AD54" i="2"/>
  <c r="AE29" i="4"/>
  <c r="AE31" i="4"/>
  <c r="AD78" i="2"/>
  <c r="AE35" i="4"/>
  <c r="AE33" i="4"/>
  <c r="AD256" i="2"/>
  <c r="AD65" i="2"/>
  <c r="AD257" i="2"/>
  <c r="AD72" i="2"/>
  <c r="AE34" i="4"/>
  <c r="AE36" i="4"/>
  <c r="AE37" i="4"/>
  <c r="AE39" i="4"/>
  <c r="AD39" i="2"/>
  <c r="AD83" i="2"/>
  <c r="AD11" i="4"/>
  <c r="AC67" i="2"/>
  <c r="AD23" i="4"/>
  <c r="AC258" i="2"/>
  <c r="AC34" i="2"/>
  <c r="AC35" i="2"/>
  <c r="AC37" i="2"/>
  <c r="AC38" i="2"/>
  <c r="AC68" i="2"/>
  <c r="AD24" i="4"/>
  <c r="AC247" i="2"/>
  <c r="AC47" i="2"/>
  <c r="AD18" i="4"/>
  <c r="AC248" i="2"/>
  <c r="AC48" i="2"/>
  <c r="AD19" i="4"/>
  <c r="AC249" i="2"/>
  <c r="AC66" i="2"/>
  <c r="AD22" i="4"/>
  <c r="AC240" i="2"/>
  <c r="AC58" i="2"/>
  <c r="AD21" i="4"/>
  <c r="AD20" i="4"/>
  <c r="AD25" i="4"/>
  <c r="AD13" i="4"/>
  <c r="AD16" i="4"/>
  <c r="AD26" i="4"/>
  <c r="AC54" i="2"/>
  <c r="AD29" i="4"/>
  <c r="AD31" i="4"/>
  <c r="AC78" i="2"/>
  <c r="AD35" i="4"/>
  <c r="AD33" i="4"/>
  <c r="AC256" i="2"/>
  <c r="AC65" i="2"/>
  <c r="AC257" i="2"/>
  <c r="AC72" i="2"/>
  <c r="AD34" i="4"/>
  <c r="AD36" i="4"/>
  <c r="AD37" i="4"/>
  <c r="AD39" i="4"/>
  <c r="AC39" i="2"/>
  <c r="AC83" i="2"/>
  <c r="AC11" i="4"/>
  <c r="AB67" i="2"/>
  <c r="AC23" i="4"/>
  <c r="AB258" i="2"/>
  <c r="AB34" i="2"/>
  <c r="AB35" i="2"/>
  <c r="AB37" i="2"/>
  <c r="AB38" i="2"/>
  <c r="AB68" i="2"/>
  <c r="AC24" i="4"/>
  <c r="AB247" i="2"/>
  <c r="AB47" i="2"/>
  <c r="AC18" i="4"/>
  <c r="AB248" i="2"/>
  <c r="AB48" i="2"/>
  <c r="AC19" i="4"/>
  <c r="AB249" i="2"/>
  <c r="AB66" i="2"/>
  <c r="AC22" i="4"/>
  <c r="AB240" i="2"/>
  <c r="AB58" i="2"/>
  <c r="AC21" i="4"/>
  <c r="AC20" i="4"/>
  <c r="AC25" i="4"/>
  <c r="AC13" i="4"/>
  <c r="AC16" i="4"/>
  <c r="AC26" i="4"/>
  <c r="AB54" i="2"/>
  <c r="AC29" i="4"/>
  <c r="AC31" i="4"/>
  <c r="AB78" i="2"/>
  <c r="AC35" i="4"/>
  <c r="AC33" i="4"/>
  <c r="AB256" i="2"/>
  <c r="AB65" i="2"/>
  <c r="AB257" i="2"/>
  <c r="AB72" i="2"/>
  <c r="AC34" i="4"/>
  <c r="AC36" i="4"/>
  <c r="AC37" i="4"/>
  <c r="AC39" i="4"/>
  <c r="AB39" i="2"/>
  <c r="AB83" i="2"/>
  <c r="AB11" i="4"/>
  <c r="AA67" i="2"/>
  <c r="AB23" i="4"/>
  <c r="AA258" i="2"/>
  <c r="AA34" i="2"/>
  <c r="AA35" i="2"/>
  <c r="AA37" i="2"/>
  <c r="AA38" i="2"/>
  <c r="AA68" i="2"/>
  <c r="AB24" i="4"/>
  <c r="AA247" i="2"/>
  <c r="AA47" i="2"/>
  <c r="AB18" i="4"/>
  <c r="AA248" i="2"/>
  <c r="AA48" i="2"/>
  <c r="AB19" i="4"/>
  <c r="AA249" i="2"/>
  <c r="AA66" i="2"/>
  <c r="AB22" i="4"/>
  <c r="AA240" i="2"/>
  <c r="AA58" i="2"/>
  <c r="AB21" i="4"/>
  <c r="AB20" i="4"/>
  <c r="AB25" i="4"/>
  <c r="AB13" i="4"/>
  <c r="AB16" i="4"/>
  <c r="AB26" i="4"/>
  <c r="AA54" i="2"/>
  <c r="AB29" i="4"/>
  <c r="AB31" i="4"/>
  <c r="AA78" i="2"/>
  <c r="AB35" i="4"/>
  <c r="AB33" i="4"/>
  <c r="AA256" i="2"/>
  <c r="AA65" i="2"/>
  <c r="AA257" i="2"/>
  <c r="AA72" i="2"/>
  <c r="AB34" i="4"/>
  <c r="AB36" i="4"/>
  <c r="AB37" i="4"/>
  <c r="AB39" i="4"/>
  <c r="AA39" i="2"/>
  <c r="AA83" i="2"/>
  <c r="AA11" i="4"/>
  <c r="Z67" i="2"/>
  <c r="AA23" i="4"/>
  <c r="Z258" i="2"/>
  <c r="Z34" i="2"/>
  <c r="Z35" i="2"/>
  <c r="Z37" i="2"/>
  <c r="Z38" i="2"/>
  <c r="Z68" i="2"/>
  <c r="AA24" i="4"/>
  <c r="Z247" i="2"/>
  <c r="Z47" i="2"/>
  <c r="AA18" i="4"/>
  <c r="Z248" i="2"/>
  <c r="Z48" i="2"/>
  <c r="AA19" i="4"/>
  <c r="Z249" i="2"/>
  <c r="Z66" i="2"/>
  <c r="AA22" i="4"/>
  <c r="Z240" i="2"/>
  <c r="Z58" i="2"/>
  <c r="AA21" i="4"/>
  <c r="AA20" i="4"/>
  <c r="AA25" i="4"/>
  <c r="AA13" i="4"/>
  <c r="AA16" i="4"/>
  <c r="AA26" i="4"/>
  <c r="AA29" i="4"/>
  <c r="AA31" i="4"/>
  <c r="Z78" i="2"/>
  <c r="AA35" i="4"/>
  <c r="AA33" i="4"/>
  <c r="AA34" i="4"/>
  <c r="AA36" i="4"/>
  <c r="AA37" i="4"/>
  <c r="AA39" i="4"/>
  <c r="Z39" i="2"/>
  <c r="Z83" i="2"/>
  <c r="Z11" i="4"/>
  <c r="Y67" i="2"/>
  <c r="Z23" i="4"/>
  <c r="Y258" i="2"/>
  <c r="Y34" i="2"/>
  <c r="Y35" i="2"/>
  <c r="Y37" i="2"/>
  <c r="Y38" i="2"/>
  <c r="Y68" i="2"/>
  <c r="Z24" i="4"/>
  <c r="Y247" i="2"/>
  <c r="Y47" i="2"/>
  <c r="Z18" i="4"/>
  <c r="Y248" i="2"/>
  <c r="Y48" i="2"/>
  <c r="Z19" i="4"/>
  <c r="Y249" i="2"/>
  <c r="Y66" i="2"/>
  <c r="Z22" i="4"/>
  <c r="Y240" i="2"/>
  <c r="Y58" i="2"/>
  <c r="Z21" i="4"/>
  <c r="Z20" i="4"/>
  <c r="Z25" i="4"/>
  <c r="Z13" i="4"/>
  <c r="Z16" i="4"/>
  <c r="Z26" i="4"/>
  <c r="Y54" i="2"/>
  <c r="Z29" i="4"/>
  <c r="Z31" i="4"/>
  <c r="Y78" i="2"/>
  <c r="Z35" i="4"/>
  <c r="Z33" i="4"/>
  <c r="Y256" i="2"/>
  <c r="Y65" i="2"/>
  <c r="Y257" i="2"/>
  <c r="Y72" i="2"/>
  <c r="Z34" i="4"/>
  <c r="Z36" i="4"/>
  <c r="Z37" i="4"/>
  <c r="Z39" i="4"/>
  <c r="Y39" i="2"/>
  <c r="Y83" i="2"/>
  <c r="Y11" i="4"/>
  <c r="X67" i="2"/>
  <c r="Y23" i="4"/>
  <c r="X258" i="2"/>
  <c r="X34" i="2"/>
  <c r="X35" i="2"/>
  <c r="X37" i="2"/>
  <c r="X38" i="2"/>
  <c r="X68" i="2"/>
  <c r="Y24" i="4"/>
  <c r="X247" i="2"/>
  <c r="X47" i="2"/>
  <c r="Y18" i="4"/>
  <c r="X248" i="2"/>
  <c r="X48" i="2"/>
  <c r="Y19" i="4"/>
  <c r="X249" i="2"/>
  <c r="X66" i="2"/>
  <c r="Y22" i="4"/>
  <c r="X240" i="2"/>
  <c r="X58" i="2"/>
  <c r="Y21" i="4"/>
  <c r="Y20" i="4"/>
  <c r="Y25" i="4"/>
  <c r="Y13" i="4"/>
  <c r="Y16" i="4"/>
  <c r="Y26" i="4"/>
  <c r="X54" i="2"/>
  <c r="Y29" i="4"/>
  <c r="Y31" i="4"/>
  <c r="X78" i="2"/>
  <c r="Y35" i="4"/>
  <c r="Y33" i="4"/>
  <c r="X256" i="2"/>
  <c r="X65" i="2"/>
  <c r="X257" i="2"/>
  <c r="X72" i="2"/>
  <c r="Y34" i="4"/>
  <c r="Y36" i="4"/>
  <c r="Y37" i="4"/>
  <c r="Y39" i="4"/>
  <c r="X39" i="2"/>
  <c r="X83" i="2"/>
  <c r="X11" i="4"/>
  <c r="W67" i="2"/>
  <c r="X23" i="4"/>
  <c r="W258" i="2"/>
  <c r="W34" i="2"/>
  <c r="W35" i="2"/>
  <c r="W37" i="2"/>
  <c r="W38" i="2"/>
  <c r="W68" i="2"/>
  <c r="X24" i="4"/>
  <c r="W247" i="2"/>
  <c r="W47" i="2"/>
  <c r="X18" i="4"/>
  <c r="W248" i="2"/>
  <c r="W48" i="2"/>
  <c r="X19" i="4"/>
  <c r="W249" i="2"/>
  <c r="W66" i="2"/>
  <c r="X22" i="4"/>
  <c r="W240" i="2"/>
  <c r="W58" i="2"/>
  <c r="X21" i="4"/>
  <c r="X20" i="4"/>
  <c r="X25" i="4"/>
  <c r="X13" i="4"/>
  <c r="X16" i="4"/>
  <c r="X26" i="4"/>
  <c r="W54" i="2"/>
  <c r="X29" i="4"/>
  <c r="X31" i="4"/>
  <c r="W78" i="2"/>
  <c r="X35" i="4"/>
  <c r="X33" i="4"/>
  <c r="W256" i="2"/>
  <c r="W65" i="2"/>
  <c r="W257" i="2"/>
  <c r="W72" i="2"/>
  <c r="X34" i="4"/>
  <c r="X36" i="4"/>
  <c r="X37" i="4"/>
  <c r="X39" i="4"/>
  <c r="W39" i="2"/>
  <c r="W83" i="2"/>
  <c r="W11" i="4"/>
  <c r="V67" i="2"/>
  <c r="W23" i="4"/>
  <c r="V258" i="2"/>
  <c r="V34" i="2"/>
  <c r="V35" i="2"/>
  <c r="V37" i="2"/>
  <c r="V38" i="2"/>
  <c r="V68" i="2"/>
  <c r="W24" i="4"/>
  <c r="V247" i="2"/>
  <c r="V47" i="2"/>
  <c r="W18" i="4"/>
  <c r="V248" i="2"/>
  <c r="V48" i="2"/>
  <c r="W19" i="4"/>
  <c r="V249" i="2"/>
  <c r="V66" i="2"/>
  <c r="W22" i="4"/>
  <c r="V240" i="2"/>
  <c r="V58" i="2"/>
  <c r="W21" i="4"/>
  <c r="W20" i="4"/>
  <c r="W25" i="4"/>
  <c r="W13" i="4"/>
  <c r="W16" i="4"/>
  <c r="W26" i="4"/>
  <c r="V54" i="2"/>
  <c r="W29" i="4"/>
  <c r="W31" i="4"/>
  <c r="V78" i="2"/>
  <c r="W35" i="4"/>
  <c r="W33" i="4"/>
  <c r="V256" i="2"/>
  <c r="V65" i="2"/>
  <c r="V257" i="2"/>
  <c r="V72" i="2"/>
  <c r="W34" i="4"/>
  <c r="W36" i="4"/>
  <c r="W37" i="4"/>
  <c r="W39" i="4"/>
  <c r="V39" i="2"/>
  <c r="V83" i="2"/>
  <c r="V11" i="4"/>
  <c r="U67" i="2"/>
  <c r="V23" i="4"/>
  <c r="U258" i="2"/>
  <c r="U34" i="2"/>
  <c r="U35" i="2"/>
  <c r="U37" i="2"/>
  <c r="U38" i="2"/>
  <c r="U68" i="2"/>
  <c r="V24" i="4"/>
  <c r="U247" i="2"/>
  <c r="U47" i="2"/>
  <c r="V18" i="4"/>
  <c r="U248" i="2"/>
  <c r="U48" i="2"/>
  <c r="V19" i="4"/>
  <c r="U249" i="2"/>
  <c r="U66" i="2"/>
  <c r="V22" i="4"/>
  <c r="U240" i="2"/>
  <c r="U58" i="2"/>
  <c r="V21" i="4"/>
  <c r="V20" i="4"/>
  <c r="V25" i="4"/>
  <c r="V13" i="4"/>
  <c r="V16" i="4"/>
  <c r="V26" i="4"/>
  <c r="U54" i="2"/>
  <c r="V29" i="4"/>
  <c r="V31" i="4"/>
  <c r="U78" i="2"/>
  <c r="V35" i="4"/>
  <c r="V33" i="4"/>
  <c r="U256" i="2"/>
  <c r="U65" i="2"/>
  <c r="U257" i="2"/>
  <c r="U72" i="2"/>
  <c r="V34" i="4"/>
  <c r="V36" i="4"/>
  <c r="V37" i="4"/>
  <c r="V39" i="4"/>
  <c r="U39" i="2"/>
  <c r="U83" i="2"/>
  <c r="U11" i="4"/>
  <c r="T67" i="2"/>
  <c r="U23" i="4"/>
  <c r="T258" i="2"/>
  <c r="T34" i="2"/>
  <c r="T35" i="2"/>
  <c r="T37" i="2"/>
  <c r="T38" i="2"/>
  <c r="T68" i="2"/>
  <c r="U24" i="4"/>
  <c r="T247" i="2"/>
  <c r="T47" i="2"/>
  <c r="U18" i="4"/>
  <c r="T248" i="2"/>
  <c r="T48" i="2"/>
  <c r="U19" i="4"/>
  <c r="T249" i="2"/>
  <c r="T66" i="2"/>
  <c r="U22" i="4"/>
  <c r="T240" i="2"/>
  <c r="T58" i="2"/>
  <c r="U21" i="4"/>
  <c r="U20" i="4"/>
  <c r="U25" i="4"/>
  <c r="U13" i="4"/>
  <c r="U16" i="4"/>
  <c r="U26" i="4"/>
  <c r="T54" i="2"/>
  <c r="U29" i="4"/>
  <c r="U31" i="4"/>
  <c r="T78" i="2"/>
  <c r="U35" i="4"/>
  <c r="U33" i="4"/>
  <c r="T256" i="2"/>
  <c r="T65" i="2"/>
  <c r="T257" i="2"/>
  <c r="T72" i="2"/>
  <c r="U34" i="4"/>
  <c r="U36" i="4"/>
  <c r="U37" i="4"/>
  <c r="U39" i="4"/>
  <c r="T39" i="2"/>
  <c r="T83" i="2"/>
  <c r="T11" i="4"/>
  <c r="S67" i="2"/>
  <c r="T23" i="4"/>
  <c r="S258" i="2"/>
  <c r="S34" i="2"/>
  <c r="S35" i="2"/>
  <c r="S37" i="2"/>
  <c r="S38" i="2"/>
  <c r="S68" i="2"/>
  <c r="T24" i="4"/>
  <c r="S247" i="2"/>
  <c r="S47" i="2"/>
  <c r="T18" i="4"/>
  <c r="S248" i="2"/>
  <c r="S48" i="2"/>
  <c r="T19" i="4"/>
  <c r="S249" i="2"/>
  <c r="S66" i="2"/>
  <c r="T22" i="4"/>
  <c r="S240" i="2"/>
  <c r="S58" i="2"/>
  <c r="T21" i="4"/>
  <c r="T20" i="4"/>
  <c r="T25" i="4"/>
  <c r="T13" i="4"/>
  <c r="T16" i="4"/>
  <c r="T26" i="4"/>
  <c r="S54" i="2"/>
  <c r="T29" i="4"/>
  <c r="T31" i="4"/>
  <c r="S78" i="2"/>
  <c r="T35" i="4"/>
  <c r="T33" i="4"/>
  <c r="S256" i="2"/>
  <c r="S65" i="2"/>
  <c r="S257" i="2"/>
  <c r="S72" i="2"/>
  <c r="T34" i="4"/>
  <c r="T36" i="4"/>
  <c r="T37" i="4"/>
  <c r="T39" i="4"/>
  <c r="S39" i="2"/>
  <c r="S83" i="2"/>
  <c r="S11" i="4"/>
  <c r="R67" i="2"/>
  <c r="S23" i="4"/>
  <c r="R258" i="2"/>
  <c r="R34" i="2"/>
  <c r="R35" i="2"/>
  <c r="R37" i="2"/>
  <c r="R38" i="2"/>
  <c r="R68" i="2"/>
  <c r="S24" i="4"/>
  <c r="R247" i="2"/>
  <c r="R47" i="2"/>
  <c r="S18" i="4"/>
  <c r="R248" i="2"/>
  <c r="R48" i="2"/>
  <c r="S19" i="4"/>
  <c r="R249" i="2"/>
  <c r="R66" i="2"/>
  <c r="S22" i="4"/>
  <c r="R240" i="2"/>
  <c r="R58" i="2"/>
  <c r="S21" i="4"/>
  <c r="S20" i="4"/>
  <c r="S25" i="4"/>
  <c r="S13" i="4"/>
  <c r="S16" i="4"/>
  <c r="S26" i="4"/>
  <c r="R54" i="2"/>
  <c r="S29" i="4"/>
  <c r="S31" i="4"/>
  <c r="R78" i="2"/>
  <c r="S35" i="4"/>
  <c r="S33" i="4"/>
  <c r="R256" i="2"/>
  <c r="R65" i="2"/>
  <c r="R257" i="2"/>
  <c r="R72" i="2"/>
  <c r="S34" i="4"/>
  <c r="S36" i="4"/>
  <c r="S37" i="4"/>
  <c r="S39" i="4"/>
  <c r="R39" i="2"/>
  <c r="R83" i="2"/>
  <c r="R11" i="4"/>
  <c r="Q67" i="2"/>
  <c r="R23" i="4"/>
  <c r="Q258" i="2"/>
  <c r="Q34" i="2"/>
  <c r="Q35" i="2"/>
  <c r="Q37" i="2"/>
  <c r="Q38" i="2"/>
  <c r="Q68" i="2"/>
  <c r="R24" i="4"/>
  <c r="Q247" i="2"/>
  <c r="Q47" i="2"/>
  <c r="R18" i="4"/>
  <c r="Q248" i="2"/>
  <c r="Q48" i="2"/>
  <c r="R19" i="4"/>
  <c r="Q249" i="2"/>
  <c r="Q66" i="2"/>
  <c r="R22" i="4"/>
  <c r="Q240" i="2"/>
  <c r="Q58" i="2"/>
  <c r="R21" i="4"/>
  <c r="R20" i="4"/>
  <c r="R25" i="4"/>
  <c r="R13" i="4"/>
  <c r="R16" i="4"/>
  <c r="R26" i="4"/>
  <c r="Q54" i="2"/>
  <c r="R29" i="4"/>
  <c r="R31" i="4"/>
  <c r="Q78" i="2"/>
  <c r="R35" i="4"/>
  <c r="R33" i="4"/>
  <c r="Q256" i="2"/>
  <c r="Q65" i="2"/>
  <c r="Q257" i="2"/>
  <c r="Q72" i="2"/>
  <c r="R34" i="4"/>
  <c r="R36" i="4"/>
  <c r="R37" i="4"/>
  <c r="R39" i="4"/>
  <c r="Q39" i="2"/>
  <c r="Q83" i="2"/>
  <c r="Q11" i="4"/>
  <c r="P67" i="2"/>
  <c r="Q23" i="4"/>
  <c r="P258" i="2"/>
  <c r="P34" i="2"/>
  <c r="P35" i="2"/>
  <c r="P37" i="2"/>
  <c r="P38" i="2"/>
  <c r="P68" i="2"/>
  <c r="Q24" i="4"/>
  <c r="P247" i="2"/>
  <c r="P47" i="2"/>
  <c r="Q18" i="4"/>
  <c r="P248" i="2"/>
  <c r="P48" i="2"/>
  <c r="Q19" i="4"/>
  <c r="P249" i="2"/>
  <c r="P66" i="2"/>
  <c r="Q22" i="4"/>
  <c r="P240" i="2"/>
  <c r="P58" i="2"/>
  <c r="Q21" i="4"/>
  <c r="Q20" i="4"/>
  <c r="Q25" i="4"/>
  <c r="Q13" i="4"/>
  <c r="Q16" i="4"/>
  <c r="Q26" i="4"/>
  <c r="P54" i="2"/>
  <c r="Q29" i="4"/>
  <c r="Q31" i="4"/>
  <c r="P78" i="2"/>
  <c r="Q35" i="4"/>
  <c r="Q33" i="4"/>
  <c r="P256" i="2"/>
  <c r="P65" i="2"/>
  <c r="P257" i="2"/>
  <c r="P72" i="2"/>
  <c r="Q34" i="4"/>
  <c r="Q36" i="4"/>
  <c r="Q37" i="4"/>
  <c r="Q39" i="4"/>
  <c r="P39" i="2"/>
  <c r="P83" i="2"/>
  <c r="P11" i="4"/>
  <c r="O67" i="2"/>
  <c r="P23" i="4"/>
  <c r="O258" i="2"/>
  <c r="O34" i="2"/>
  <c r="O35" i="2"/>
  <c r="O37" i="2"/>
  <c r="O38" i="2"/>
  <c r="O68" i="2"/>
  <c r="P24" i="4"/>
  <c r="O247" i="2"/>
  <c r="O47" i="2"/>
  <c r="P18" i="4"/>
  <c r="O248" i="2"/>
  <c r="O48" i="2"/>
  <c r="P19" i="4"/>
  <c r="O249" i="2"/>
  <c r="O66" i="2"/>
  <c r="P22" i="4"/>
  <c r="O240" i="2"/>
  <c r="O58" i="2"/>
  <c r="P21" i="4"/>
  <c r="P20" i="4"/>
  <c r="P25" i="4"/>
  <c r="P13" i="4"/>
  <c r="P16" i="4"/>
  <c r="P26" i="4"/>
  <c r="O54" i="2"/>
  <c r="P29" i="4"/>
  <c r="P31" i="4"/>
  <c r="O78" i="2"/>
  <c r="P35" i="4"/>
  <c r="P33" i="4"/>
  <c r="O256" i="2"/>
  <c r="O65" i="2"/>
  <c r="O257" i="2"/>
  <c r="O72" i="2"/>
  <c r="P34" i="4"/>
  <c r="P36" i="4"/>
  <c r="P37" i="4"/>
  <c r="P39" i="4"/>
  <c r="O39" i="2"/>
  <c r="O83" i="2"/>
  <c r="O11" i="4"/>
  <c r="N67" i="2"/>
  <c r="O23" i="4"/>
  <c r="N34" i="2"/>
  <c r="N35" i="2"/>
  <c r="N37" i="2"/>
  <c r="N38" i="2"/>
  <c r="N68" i="2"/>
  <c r="O24" i="4"/>
  <c r="N247" i="2"/>
  <c r="N47" i="2"/>
  <c r="O18" i="4"/>
  <c r="N248" i="2"/>
  <c r="N48" i="2"/>
  <c r="O19" i="4"/>
  <c r="N249" i="2"/>
  <c r="N66" i="2"/>
  <c r="O22" i="4"/>
  <c r="N240" i="2"/>
  <c r="N58" i="2"/>
  <c r="O21" i="4"/>
  <c r="O20" i="4"/>
  <c r="O25" i="4"/>
  <c r="O13" i="4"/>
  <c r="O16" i="4"/>
  <c r="O26" i="4"/>
  <c r="O29" i="4"/>
  <c r="O31" i="4"/>
  <c r="N78" i="2"/>
  <c r="O35" i="4"/>
  <c r="O33" i="4"/>
  <c r="O34" i="4"/>
  <c r="O36" i="4"/>
  <c r="O37" i="4"/>
  <c r="O39" i="4"/>
  <c r="N39" i="2"/>
  <c r="N83" i="2"/>
  <c r="N11" i="4"/>
  <c r="M67" i="2"/>
  <c r="N23" i="4"/>
  <c r="M34" i="2"/>
  <c r="M35" i="2"/>
  <c r="M37" i="2"/>
  <c r="M38" i="2"/>
  <c r="M68" i="2"/>
  <c r="N24" i="4"/>
  <c r="M247" i="2"/>
  <c r="M47" i="2"/>
  <c r="N18" i="4"/>
  <c r="M248" i="2"/>
  <c r="M48" i="2"/>
  <c r="N19" i="4"/>
  <c r="M249" i="2"/>
  <c r="M66" i="2"/>
  <c r="N22" i="4"/>
  <c r="M240" i="2"/>
  <c r="M58" i="2"/>
  <c r="N21" i="4"/>
  <c r="N20" i="4"/>
  <c r="N25" i="4"/>
  <c r="N13" i="4"/>
  <c r="N16" i="4"/>
  <c r="N26" i="4"/>
  <c r="M54" i="2"/>
  <c r="N29" i="4"/>
  <c r="N31" i="4"/>
  <c r="M78" i="2"/>
  <c r="N35" i="4"/>
  <c r="N33" i="4"/>
  <c r="M65" i="2"/>
  <c r="M72" i="2"/>
  <c r="N34" i="4"/>
  <c r="N36" i="4"/>
  <c r="N37" i="4"/>
  <c r="N39" i="4"/>
  <c r="M39" i="2"/>
  <c r="M83" i="2"/>
  <c r="M11" i="4"/>
  <c r="L67" i="2"/>
  <c r="M23" i="4"/>
  <c r="L34" i="2"/>
  <c r="L35" i="2"/>
  <c r="L37" i="2"/>
  <c r="L38" i="2"/>
  <c r="L68" i="2"/>
  <c r="M24" i="4"/>
  <c r="L247" i="2"/>
  <c r="L47" i="2"/>
  <c r="M18" i="4"/>
  <c r="L248" i="2"/>
  <c r="L48" i="2"/>
  <c r="M19" i="4"/>
  <c r="L249" i="2"/>
  <c r="L66" i="2"/>
  <c r="M22" i="4"/>
  <c r="L240" i="2"/>
  <c r="L58" i="2"/>
  <c r="M21" i="4"/>
  <c r="M20" i="4"/>
  <c r="M25" i="4"/>
  <c r="M13" i="4"/>
  <c r="M16" i="4"/>
  <c r="M26" i="4"/>
  <c r="L54" i="2"/>
  <c r="M29" i="4"/>
  <c r="M31" i="4"/>
  <c r="L78" i="2"/>
  <c r="M35" i="4"/>
  <c r="M33" i="4"/>
  <c r="L65" i="2"/>
  <c r="L72" i="2"/>
  <c r="M34" i="4"/>
  <c r="M36" i="4"/>
  <c r="M37" i="4"/>
  <c r="M39" i="4"/>
  <c r="L39" i="2"/>
  <c r="L83" i="2"/>
  <c r="L11" i="4"/>
  <c r="K67" i="2"/>
  <c r="L23" i="4"/>
  <c r="K34" i="2"/>
  <c r="K35" i="2"/>
  <c r="K37" i="2"/>
  <c r="K38" i="2"/>
  <c r="K68" i="2"/>
  <c r="L24" i="4"/>
  <c r="K247" i="2"/>
  <c r="K47" i="2"/>
  <c r="L18" i="4"/>
  <c r="K248" i="2"/>
  <c r="K48" i="2"/>
  <c r="L19" i="4"/>
  <c r="K249" i="2"/>
  <c r="K66" i="2"/>
  <c r="L22" i="4"/>
  <c r="K240" i="2"/>
  <c r="K58" i="2"/>
  <c r="L21" i="4"/>
  <c r="L20" i="4"/>
  <c r="L25" i="4"/>
  <c r="L13" i="4"/>
  <c r="L16" i="4"/>
  <c r="L26" i="4"/>
  <c r="K54" i="2"/>
  <c r="L29" i="4"/>
  <c r="L31" i="4"/>
  <c r="K78" i="2"/>
  <c r="L35" i="4"/>
  <c r="L33" i="4"/>
  <c r="K65" i="2"/>
  <c r="K72" i="2"/>
  <c r="L34" i="4"/>
  <c r="L36" i="4"/>
  <c r="L37" i="4"/>
  <c r="L39" i="4"/>
  <c r="K39" i="2"/>
  <c r="K83" i="2"/>
  <c r="K11" i="4"/>
  <c r="J67" i="2"/>
  <c r="K23" i="4"/>
  <c r="J34" i="2"/>
  <c r="J35" i="2"/>
  <c r="J37" i="2"/>
  <c r="J38" i="2"/>
  <c r="J68" i="2"/>
  <c r="K24" i="4"/>
  <c r="J247" i="2"/>
  <c r="J47" i="2"/>
  <c r="K18" i="4"/>
  <c r="J248" i="2"/>
  <c r="J48" i="2"/>
  <c r="K19" i="4"/>
  <c r="J249" i="2"/>
  <c r="J66" i="2"/>
  <c r="K22" i="4"/>
  <c r="J240" i="2"/>
  <c r="J58" i="2"/>
  <c r="K21" i="4"/>
  <c r="K20" i="4"/>
  <c r="K25" i="4"/>
  <c r="K13" i="4"/>
  <c r="K16" i="4"/>
  <c r="K26" i="4"/>
  <c r="J54" i="2"/>
  <c r="K29" i="4"/>
  <c r="K31" i="4"/>
  <c r="J78" i="2"/>
  <c r="K35" i="4"/>
  <c r="K33" i="4"/>
  <c r="J65" i="2"/>
  <c r="J72" i="2"/>
  <c r="K34" i="4"/>
  <c r="K36" i="4"/>
  <c r="K37" i="4"/>
  <c r="K39" i="4"/>
  <c r="J39" i="2"/>
  <c r="J83" i="2"/>
  <c r="J11" i="4"/>
  <c r="I67" i="2"/>
  <c r="J23" i="4"/>
  <c r="I34" i="2"/>
  <c r="I35" i="2"/>
  <c r="I37" i="2"/>
  <c r="I38" i="2"/>
  <c r="I68" i="2"/>
  <c r="J24" i="4"/>
  <c r="I247" i="2"/>
  <c r="I47" i="2"/>
  <c r="J18" i="4"/>
  <c r="I248" i="2"/>
  <c r="I48" i="2"/>
  <c r="J19" i="4"/>
  <c r="I249" i="2"/>
  <c r="I66" i="2"/>
  <c r="J22" i="4"/>
  <c r="I240" i="2"/>
  <c r="I58" i="2"/>
  <c r="J21" i="4"/>
  <c r="J20" i="4"/>
  <c r="J25" i="4"/>
  <c r="J13" i="4"/>
  <c r="J16" i="4"/>
  <c r="J26" i="4"/>
  <c r="I54" i="2"/>
  <c r="J29" i="4"/>
  <c r="J31" i="4"/>
  <c r="I78" i="2"/>
  <c r="J35" i="4"/>
  <c r="J33" i="4"/>
  <c r="I65" i="2"/>
  <c r="I72" i="2"/>
  <c r="J34" i="4"/>
  <c r="J36" i="4"/>
  <c r="J37" i="4"/>
  <c r="J39" i="4"/>
  <c r="I39" i="2"/>
  <c r="I83" i="2"/>
  <c r="I11" i="4"/>
  <c r="H67" i="2"/>
  <c r="I23" i="4"/>
  <c r="H34" i="2"/>
  <c r="H35" i="2"/>
  <c r="H37" i="2"/>
  <c r="H38" i="2"/>
  <c r="H68" i="2"/>
  <c r="I24" i="4"/>
  <c r="H247" i="2"/>
  <c r="H47" i="2"/>
  <c r="I18" i="4"/>
  <c r="H248" i="2"/>
  <c r="H48" i="2"/>
  <c r="I19" i="4"/>
  <c r="H249" i="2"/>
  <c r="H66" i="2"/>
  <c r="I22" i="4"/>
  <c r="H240" i="2"/>
  <c r="H58" i="2"/>
  <c r="I21" i="4"/>
  <c r="I20" i="4"/>
  <c r="I25" i="4"/>
  <c r="I13" i="4"/>
  <c r="I16" i="4"/>
  <c r="I26" i="4"/>
  <c r="H54" i="2"/>
  <c r="I29" i="4"/>
  <c r="I31" i="4"/>
  <c r="H78" i="2"/>
  <c r="I35" i="4"/>
  <c r="I33" i="4"/>
  <c r="H65" i="2"/>
  <c r="H72" i="2"/>
  <c r="I34" i="4"/>
  <c r="I36" i="4"/>
  <c r="I37" i="4"/>
  <c r="I39" i="4"/>
  <c r="H39" i="2"/>
  <c r="H83" i="2"/>
  <c r="H11" i="4"/>
  <c r="G67" i="2"/>
  <c r="H23" i="4"/>
  <c r="G34" i="2"/>
  <c r="G35" i="2"/>
  <c r="G37" i="2"/>
  <c r="G38" i="2"/>
  <c r="G68" i="2"/>
  <c r="H24" i="4"/>
  <c r="G247" i="2"/>
  <c r="G47" i="2"/>
  <c r="H18" i="4"/>
  <c r="G248" i="2"/>
  <c r="G48" i="2"/>
  <c r="H19" i="4"/>
  <c r="G249" i="2"/>
  <c r="G66" i="2"/>
  <c r="H22" i="4"/>
  <c r="G240" i="2"/>
  <c r="G58" i="2"/>
  <c r="H21" i="4"/>
  <c r="H20" i="4"/>
  <c r="H25" i="4"/>
  <c r="H13" i="4"/>
  <c r="H16" i="4"/>
  <c r="H26" i="4"/>
  <c r="G54" i="2"/>
  <c r="H29" i="4"/>
  <c r="H31" i="4"/>
  <c r="G78" i="2"/>
  <c r="H35" i="4"/>
  <c r="H33" i="4"/>
  <c r="G65" i="2"/>
  <c r="G72" i="2"/>
  <c r="H34" i="4"/>
  <c r="H36" i="4"/>
  <c r="H37" i="4"/>
  <c r="H39" i="4"/>
  <c r="G39" i="2"/>
  <c r="G83" i="2"/>
  <c r="G11" i="4"/>
  <c r="F67" i="2"/>
  <c r="G23" i="4"/>
  <c r="F34" i="2"/>
  <c r="F35" i="2"/>
  <c r="F37" i="2"/>
  <c r="F38" i="2"/>
  <c r="F68" i="2"/>
  <c r="G24" i="4"/>
  <c r="F247" i="2"/>
  <c r="F47" i="2"/>
  <c r="G18" i="4"/>
  <c r="F248" i="2"/>
  <c r="F48" i="2"/>
  <c r="G19" i="4"/>
  <c r="F249" i="2"/>
  <c r="F66" i="2"/>
  <c r="G22" i="4"/>
  <c r="F240" i="2"/>
  <c r="F58" i="2"/>
  <c r="G21" i="4"/>
  <c r="G20" i="4"/>
  <c r="G25" i="4"/>
  <c r="G13" i="4"/>
  <c r="G16" i="4"/>
  <c r="G26" i="4"/>
  <c r="F54" i="2"/>
  <c r="G29" i="4"/>
  <c r="G31" i="4"/>
  <c r="F78" i="2"/>
  <c r="G35" i="4"/>
  <c r="G33" i="4"/>
  <c r="F65" i="2"/>
  <c r="F72" i="2"/>
  <c r="G34" i="4"/>
  <c r="G36" i="4"/>
  <c r="G37" i="4"/>
  <c r="G39" i="4"/>
  <c r="F39" i="2"/>
  <c r="F83" i="2"/>
  <c r="F11" i="4"/>
  <c r="E67" i="2"/>
  <c r="F23" i="4"/>
  <c r="E34" i="2"/>
  <c r="E35" i="2"/>
  <c r="E37" i="2"/>
  <c r="E38" i="2"/>
  <c r="E68" i="2"/>
  <c r="F24" i="4"/>
  <c r="E247" i="2"/>
  <c r="E47" i="2"/>
  <c r="F18" i="4"/>
  <c r="E248" i="2"/>
  <c r="E48" i="2"/>
  <c r="F19" i="4"/>
  <c r="E249" i="2"/>
  <c r="E66" i="2"/>
  <c r="F22" i="4"/>
  <c r="E240" i="2"/>
  <c r="E58" i="2"/>
  <c r="F21" i="4"/>
  <c r="F20" i="4"/>
  <c r="F25" i="4"/>
  <c r="F13" i="4"/>
  <c r="F16" i="4"/>
  <c r="F26" i="4"/>
  <c r="E54" i="2"/>
  <c r="F29" i="4"/>
  <c r="F31" i="4"/>
  <c r="E78" i="2"/>
  <c r="F35" i="4"/>
  <c r="F33" i="4"/>
  <c r="E65" i="2"/>
  <c r="E72" i="2"/>
  <c r="F34" i="4"/>
  <c r="F36" i="4"/>
  <c r="F37" i="4"/>
  <c r="F39" i="4"/>
  <c r="E39" i="2"/>
  <c r="E83" i="2"/>
  <c r="E11" i="4"/>
  <c r="D67" i="2"/>
  <c r="E23" i="4"/>
  <c r="D34" i="2"/>
  <c r="D35" i="2"/>
  <c r="D37" i="2"/>
  <c r="D38" i="2"/>
  <c r="D68" i="2"/>
  <c r="E24" i="4"/>
  <c r="D247" i="2"/>
  <c r="D47" i="2"/>
  <c r="E18" i="4"/>
  <c r="D248" i="2"/>
  <c r="D48" i="2"/>
  <c r="E19" i="4"/>
  <c r="D249" i="2"/>
  <c r="D66" i="2"/>
  <c r="E22" i="4"/>
  <c r="D240" i="2"/>
  <c r="D58" i="2"/>
  <c r="E21" i="4"/>
  <c r="E20" i="4"/>
  <c r="E25" i="4"/>
  <c r="E13" i="4"/>
  <c r="E16" i="4"/>
  <c r="E26" i="4"/>
  <c r="D54" i="2"/>
  <c r="E29" i="4"/>
  <c r="E31" i="4"/>
  <c r="D78" i="2"/>
  <c r="E35" i="4"/>
  <c r="E33" i="4"/>
  <c r="D65" i="2"/>
  <c r="D72" i="2"/>
  <c r="E34" i="4"/>
  <c r="E36" i="4"/>
  <c r="E37" i="4"/>
  <c r="E39" i="4"/>
  <c r="D39" i="2"/>
  <c r="D83" i="2"/>
  <c r="D11" i="4"/>
  <c r="C67" i="2"/>
  <c r="D23" i="4"/>
  <c r="C34" i="2"/>
  <c r="C35" i="2"/>
  <c r="C37" i="2"/>
  <c r="C38" i="2"/>
  <c r="C68" i="2"/>
  <c r="D24" i="4"/>
  <c r="C247" i="2"/>
  <c r="C47" i="2"/>
  <c r="D18" i="4"/>
  <c r="C248" i="2"/>
  <c r="C48" i="2"/>
  <c r="D19" i="4"/>
  <c r="C249" i="2"/>
  <c r="C66" i="2"/>
  <c r="D22" i="4"/>
  <c r="C240" i="2"/>
  <c r="C58" i="2"/>
  <c r="D21" i="4"/>
  <c r="D20" i="4"/>
  <c r="D25" i="4"/>
  <c r="D13" i="4"/>
  <c r="D16" i="4"/>
  <c r="D26" i="4"/>
  <c r="C54" i="2"/>
  <c r="D29" i="4"/>
  <c r="D31" i="4"/>
  <c r="C78" i="2"/>
  <c r="D35" i="4"/>
  <c r="D33" i="4"/>
  <c r="C65" i="2"/>
  <c r="C72" i="2"/>
  <c r="D34" i="4"/>
  <c r="D36" i="4"/>
  <c r="D37" i="4"/>
  <c r="D39" i="4"/>
  <c r="C39" i="2"/>
  <c r="C83" i="2"/>
  <c r="C11" i="4"/>
  <c r="C23" i="4"/>
  <c r="C24" i="4"/>
  <c r="C18" i="4"/>
  <c r="C19" i="4"/>
  <c r="C22" i="4"/>
  <c r="C21" i="4"/>
  <c r="C20" i="4"/>
  <c r="C25" i="4"/>
  <c r="C13" i="4"/>
  <c r="C16" i="4"/>
  <c r="C26" i="4"/>
  <c r="C29" i="4"/>
  <c r="C31" i="4"/>
  <c r="C35" i="4"/>
  <c r="C33" i="4"/>
  <c r="C34" i="4"/>
  <c r="C36" i="4"/>
  <c r="C37" i="4"/>
  <c r="C39" i="4"/>
  <c r="C41" i="4"/>
  <c r="D40" i="4"/>
  <c r="D41" i="4"/>
  <c r="E40" i="4"/>
  <c r="E41" i="4"/>
  <c r="F40" i="4"/>
  <c r="F41" i="4"/>
  <c r="G40" i="4"/>
  <c r="G41" i="4"/>
  <c r="H40" i="4"/>
  <c r="H41" i="4"/>
  <c r="I40" i="4"/>
  <c r="I41" i="4"/>
  <c r="J40" i="4"/>
  <c r="J41" i="4"/>
  <c r="K40" i="4"/>
  <c r="K41" i="4"/>
  <c r="L40" i="4"/>
  <c r="L41" i="4"/>
  <c r="M40" i="4"/>
  <c r="M41" i="4"/>
  <c r="N40" i="4"/>
  <c r="N41" i="4"/>
  <c r="O40" i="4"/>
  <c r="O41" i="4"/>
  <c r="P40" i="4"/>
  <c r="P41" i="4"/>
  <c r="Q40" i="4"/>
  <c r="Q41" i="4"/>
  <c r="R40" i="4"/>
  <c r="R41" i="4"/>
  <c r="S40" i="4"/>
  <c r="S41" i="4"/>
  <c r="T40" i="4"/>
  <c r="T41" i="4"/>
  <c r="U40" i="4"/>
  <c r="U41" i="4"/>
  <c r="V40" i="4"/>
  <c r="V41" i="4"/>
  <c r="W40" i="4"/>
  <c r="W41" i="4"/>
  <c r="X40" i="4"/>
  <c r="X41" i="4"/>
  <c r="Y40" i="4"/>
  <c r="Y41" i="4"/>
  <c r="Z40" i="4"/>
  <c r="Z41" i="4"/>
  <c r="AA40" i="4"/>
  <c r="AA41" i="4"/>
  <c r="AB40" i="4"/>
  <c r="AB41" i="4"/>
  <c r="AC40" i="4"/>
  <c r="AC41" i="4"/>
  <c r="AD40" i="4"/>
  <c r="AD41" i="4"/>
  <c r="AE40" i="4"/>
  <c r="AE41" i="4"/>
  <c r="AF40" i="4"/>
  <c r="AF41" i="4"/>
  <c r="AG40" i="4"/>
  <c r="AG41" i="4"/>
  <c r="AH40" i="4"/>
  <c r="AH41" i="4"/>
  <c r="AI40" i="4"/>
  <c r="AI41" i="4"/>
  <c r="AJ40" i="4"/>
  <c r="AJ41" i="4"/>
  <c r="AK40" i="4"/>
  <c r="AK41" i="4"/>
  <c r="AL40" i="4"/>
  <c r="AL41" i="4"/>
  <c r="AM40" i="4"/>
  <c r="AM41" i="4"/>
  <c r="AN40" i="4"/>
  <c r="AN41" i="4"/>
  <c r="AO40" i="4"/>
  <c r="AO41" i="4"/>
  <c r="AP40" i="4"/>
  <c r="AP41" i="4"/>
  <c r="AQ40" i="4"/>
  <c r="AQ41" i="4"/>
  <c r="AR40" i="4"/>
  <c r="AR41" i="4"/>
  <c r="AS40" i="4"/>
  <c r="AS41" i="4"/>
  <c r="AT40" i="4"/>
  <c r="AT41" i="4"/>
  <c r="AU40" i="4"/>
  <c r="AU41" i="4"/>
  <c r="AV40" i="4"/>
  <c r="AV41" i="4"/>
  <c r="AW40" i="4"/>
  <c r="AW41" i="4"/>
  <c r="AX40" i="4"/>
  <c r="AX41" i="4"/>
  <c r="AX46" i="2"/>
  <c r="AX50" i="2"/>
  <c r="AX69" i="2"/>
  <c r="AX89" i="2"/>
  <c r="K36" i="1"/>
  <c r="BJ258" i="2"/>
  <c r="BJ34" i="2"/>
  <c r="BJ35" i="2"/>
  <c r="BJ37" i="2"/>
  <c r="BJ38" i="2"/>
  <c r="BJ39" i="2"/>
  <c r="BJ83" i="2"/>
  <c r="BJ11" i="4"/>
  <c r="BJ67" i="2"/>
  <c r="BI67" i="2"/>
  <c r="BJ23" i="4"/>
  <c r="BJ68" i="2"/>
  <c r="BI258" i="2"/>
  <c r="BI34" i="2"/>
  <c r="BI35" i="2"/>
  <c r="BI37" i="2"/>
  <c r="BI38" i="2"/>
  <c r="BI68" i="2"/>
  <c r="BJ24" i="4"/>
  <c r="BI247" i="2"/>
  <c r="BI47" i="2"/>
  <c r="BJ247" i="2"/>
  <c r="BJ47" i="2"/>
  <c r="BJ18" i="4"/>
  <c r="BE248" i="2"/>
  <c r="BF248" i="2"/>
  <c r="BG248" i="2"/>
  <c r="BH248" i="2"/>
  <c r="BI248" i="2"/>
  <c r="BI48" i="2"/>
  <c r="BJ248" i="2"/>
  <c r="BJ48" i="2"/>
  <c r="BJ19" i="4"/>
  <c r="BJ249" i="2"/>
  <c r="BJ66" i="2"/>
  <c r="BI249" i="2"/>
  <c r="BI66" i="2"/>
  <c r="BJ22" i="4"/>
  <c r="AY232" i="2"/>
  <c r="AZ232" i="2"/>
  <c r="BA232" i="2"/>
  <c r="BB232" i="2"/>
  <c r="BC232" i="2"/>
  <c r="BD232" i="2"/>
  <c r="BE232" i="2"/>
  <c r="BF232" i="2"/>
  <c r="BG232" i="2"/>
  <c r="BH232" i="2"/>
  <c r="BI232" i="2"/>
  <c r="L7" i="1"/>
  <c r="AY238" i="2"/>
  <c r="AY239" i="2"/>
  <c r="AZ238" i="2"/>
  <c r="AZ239" i="2"/>
  <c r="BA238" i="2"/>
  <c r="BA239" i="2"/>
  <c r="BB238" i="2"/>
  <c r="BB239" i="2"/>
  <c r="BC238" i="2"/>
  <c r="BC239" i="2"/>
  <c r="BD238" i="2"/>
  <c r="BD239" i="2"/>
  <c r="BE238" i="2"/>
  <c r="BE239" i="2"/>
  <c r="BF238" i="2"/>
  <c r="BF239" i="2"/>
  <c r="BG238" i="2"/>
  <c r="BG239" i="2"/>
  <c r="BH238" i="2"/>
  <c r="BH239" i="2"/>
  <c r="BI238" i="2"/>
  <c r="BI239" i="2"/>
  <c r="BI240" i="2"/>
  <c r="BI58" i="2"/>
  <c r="BJ232" i="2"/>
  <c r="BJ238" i="2"/>
  <c r="BJ239" i="2"/>
  <c r="BJ240" i="2"/>
  <c r="BJ58" i="2"/>
  <c r="BJ21" i="4"/>
  <c r="BJ20" i="4"/>
  <c r="BJ25" i="4"/>
  <c r="BJ13" i="4"/>
  <c r="BJ16" i="4"/>
  <c r="BJ26" i="4"/>
  <c r="BI54" i="2"/>
  <c r="BJ29" i="4"/>
  <c r="BJ31" i="4"/>
  <c r="AY241" i="2"/>
  <c r="AZ241" i="2"/>
  <c r="BA241" i="2"/>
  <c r="BB241" i="2"/>
  <c r="BC241" i="2"/>
  <c r="BD241" i="2"/>
  <c r="BE241" i="2"/>
  <c r="BF241" i="2"/>
  <c r="BG241" i="2"/>
  <c r="BH241" i="2"/>
  <c r="BI241" i="2"/>
  <c r="BJ241" i="2"/>
  <c r="BJ78" i="2"/>
  <c r="BI78" i="2"/>
  <c r="BJ35" i="4"/>
  <c r="BJ33" i="4"/>
  <c r="BI256" i="2"/>
  <c r="BI65" i="2"/>
  <c r="BI257" i="2"/>
  <c r="BI72" i="2"/>
  <c r="BJ34" i="4"/>
  <c r="BJ36" i="4"/>
  <c r="BJ37" i="4"/>
  <c r="BJ39" i="4"/>
  <c r="BI39" i="2"/>
  <c r="BI83" i="2"/>
  <c r="BI11" i="4"/>
  <c r="BH67" i="2"/>
  <c r="BI23" i="4"/>
  <c r="BH258" i="2"/>
  <c r="BH34" i="2"/>
  <c r="BH35" i="2"/>
  <c r="BH37" i="2"/>
  <c r="BH38" i="2"/>
  <c r="BH68" i="2"/>
  <c r="BI24" i="4"/>
  <c r="BH247" i="2"/>
  <c r="BH47" i="2"/>
  <c r="BI18" i="4"/>
  <c r="BH48" i="2"/>
  <c r="BI19" i="4"/>
  <c r="BH249" i="2"/>
  <c r="BH66" i="2"/>
  <c r="BI22" i="4"/>
  <c r="BH240" i="2"/>
  <c r="BH58" i="2"/>
  <c r="BI21" i="4"/>
  <c r="BI20" i="4"/>
  <c r="BI25" i="4"/>
  <c r="BI13" i="4"/>
  <c r="BI16" i="4"/>
  <c r="BI26" i="4"/>
  <c r="BH54" i="2"/>
  <c r="BI29" i="4"/>
  <c r="BI31" i="4"/>
  <c r="BH78" i="2"/>
  <c r="BI35" i="4"/>
  <c r="BI33" i="4"/>
  <c r="BH256" i="2"/>
  <c r="BH65" i="2"/>
  <c r="BH257" i="2"/>
  <c r="BH72" i="2"/>
  <c r="BI34" i="4"/>
  <c r="BI36" i="4"/>
  <c r="BI37" i="4"/>
  <c r="BI39" i="4"/>
  <c r="BH39" i="2"/>
  <c r="BH83" i="2"/>
  <c r="BH11" i="4"/>
  <c r="BG67" i="2"/>
  <c r="BH23" i="4"/>
  <c r="BG258" i="2"/>
  <c r="BG34" i="2"/>
  <c r="BG35" i="2"/>
  <c r="BG37" i="2"/>
  <c r="BG38" i="2"/>
  <c r="BG68" i="2"/>
  <c r="BH24" i="4"/>
  <c r="BG247" i="2"/>
  <c r="BG47" i="2"/>
  <c r="BH18" i="4"/>
  <c r="BG48" i="2"/>
  <c r="BH19" i="4"/>
  <c r="BG249" i="2"/>
  <c r="BG66" i="2"/>
  <c r="BH22" i="4"/>
  <c r="BG240" i="2"/>
  <c r="BG58" i="2"/>
  <c r="BH21" i="4"/>
  <c r="BH20" i="4"/>
  <c r="BH25" i="4"/>
  <c r="BH13" i="4"/>
  <c r="BH16" i="4"/>
  <c r="BH26" i="4"/>
  <c r="BG54" i="2"/>
  <c r="BH29" i="4"/>
  <c r="BH31" i="4"/>
  <c r="BG78" i="2"/>
  <c r="BH35" i="4"/>
  <c r="BH33" i="4"/>
  <c r="BG256" i="2"/>
  <c r="BG65" i="2"/>
  <c r="BG257" i="2"/>
  <c r="BG72" i="2"/>
  <c r="BH34" i="4"/>
  <c r="BH36" i="4"/>
  <c r="BH37" i="4"/>
  <c r="BH39" i="4"/>
  <c r="BG39" i="2"/>
  <c r="BG83" i="2"/>
  <c r="BG11" i="4"/>
  <c r="BF67" i="2"/>
  <c r="BG23" i="4"/>
  <c r="BF258" i="2"/>
  <c r="BF34" i="2"/>
  <c r="BF35" i="2"/>
  <c r="BF37" i="2"/>
  <c r="BF38" i="2"/>
  <c r="BF68" i="2"/>
  <c r="BG24" i="4"/>
  <c r="BF247" i="2"/>
  <c r="BF47" i="2"/>
  <c r="BG18" i="4"/>
  <c r="BF48" i="2"/>
  <c r="BG19" i="4"/>
  <c r="BF249" i="2"/>
  <c r="BF66" i="2"/>
  <c r="BG22" i="4"/>
  <c r="BF240" i="2"/>
  <c r="BF58" i="2"/>
  <c r="BG21" i="4"/>
  <c r="BG20" i="4"/>
  <c r="BG25" i="4"/>
  <c r="BG13" i="4"/>
  <c r="BG16" i="4"/>
  <c r="BG26" i="4"/>
  <c r="BF54" i="2"/>
  <c r="BG29" i="4"/>
  <c r="BG31" i="4"/>
  <c r="BF78" i="2"/>
  <c r="BG35" i="4"/>
  <c r="BG33" i="4"/>
  <c r="BF256" i="2"/>
  <c r="BF65" i="2"/>
  <c r="BF257" i="2"/>
  <c r="BF72" i="2"/>
  <c r="BG34" i="4"/>
  <c r="BG36" i="4"/>
  <c r="BG37" i="4"/>
  <c r="BG39" i="4"/>
  <c r="BF39" i="2"/>
  <c r="BF83" i="2"/>
  <c r="BF11" i="4"/>
  <c r="BE67" i="2"/>
  <c r="BF23" i="4"/>
  <c r="BE258" i="2"/>
  <c r="BE34" i="2"/>
  <c r="BE35" i="2"/>
  <c r="BE37" i="2"/>
  <c r="BE38" i="2"/>
  <c r="BE68" i="2"/>
  <c r="BF24" i="4"/>
  <c r="BE247" i="2"/>
  <c r="BE47" i="2"/>
  <c r="BF18" i="4"/>
  <c r="BE48" i="2"/>
  <c r="BF19" i="4"/>
  <c r="BE249" i="2"/>
  <c r="BE66" i="2"/>
  <c r="BF22" i="4"/>
  <c r="BE240" i="2"/>
  <c r="BE58" i="2"/>
  <c r="BF21" i="4"/>
  <c r="BF20" i="4"/>
  <c r="BF25" i="4"/>
  <c r="BF13" i="4"/>
  <c r="BF16" i="4"/>
  <c r="BF26" i="4"/>
  <c r="BE54" i="2"/>
  <c r="BF29" i="4"/>
  <c r="BF31" i="4"/>
  <c r="BE78" i="2"/>
  <c r="BF35" i="4"/>
  <c r="BF33" i="4"/>
  <c r="BE256" i="2"/>
  <c r="BE65" i="2"/>
  <c r="BE257" i="2"/>
  <c r="BE72" i="2"/>
  <c r="BF34" i="4"/>
  <c r="BF36" i="4"/>
  <c r="BF37" i="4"/>
  <c r="BF39" i="4"/>
  <c r="BE39" i="2"/>
  <c r="BE83" i="2"/>
  <c r="BE11" i="4"/>
  <c r="BD67" i="2"/>
  <c r="BE23" i="4"/>
  <c r="BD258" i="2"/>
  <c r="BD34" i="2"/>
  <c r="BD35" i="2"/>
  <c r="BD37" i="2"/>
  <c r="BD38" i="2"/>
  <c r="BD68" i="2"/>
  <c r="BE24" i="4"/>
  <c r="BD247" i="2"/>
  <c r="BD47" i="2"/>
  <c r="BE18" i="4"/>
  <c r="BD248" i="2"/>
  <c r="BD48" i="2"/>
  <c r="BE19" i="4"/>
  <c r="BD249" i="2"/>
  <c r="BD66" i="2"/>
  <c r="BE22" i="4"/>
  <c r="BD240" i="2"/>
  <c r="BD58" i="2"/>
  <c r="BE21" i="4"/>
  <c r="BE20" i="4"/>
  <c r="BE25" i="4"/>
  <c r="BE13" i="4"/>
  <c r="BE16" i="4"/>
  <c r="BE26" i="4"/>
  <c r="BD54" i="2"/>
  <c r="BE29" i="4"/>
  <c r="BE31" i="4"/>
  <c r="BD78" i="2"/>
  <c r="BE35" i="4"/>
  <c r="BE33" i="4"/>
  <c r="BD256" i="2"/>
  <c r="BD65" i="2"/>
  <c r="BD257" i="2"/>
  <c r="BD72" i="2"/>
  <c r="BE34" i="4"/>
  <c r="BE36" i="4"/>
  <c r="BE37" i="4"/>
  <c r="BE39" i="4"/>
  <c r="BD39" i="2"/>
  <c r="BD83" i="2"/>
  <c r="BD11" i="4"/>
  <c r="BC67" i="2"/>
  <c r="BD23" i="4"/>
  <c r="BC258" i="2"/>
  <c r="BC34" i="2"/>
  <c r="BC35" i="2"/>
  <c r="BC37" i="2"/>
  <c r="BC38" i="2"/>
  <c r="BC68" i="2"/>
  <c r="BD24" i="4"/>
  <c r="BC247" i="2"/>
  <c r="BC47" i="2"/>
  <c r="BD18" i="4"/>
  <c r="BC248" i="2"/>
  <c r="BC48" i="2"/>
  <c r="BD19" i="4"/>
  <c r="BC249" i="2"/>
  <c r="BC66" i="2"/>
  <c r="BD22" i="4"/>
  <c r="BC240" i="2"/>
  <c r="BC58" i="2"/>
  <c r="BD21" i="4"/>
  <c r="BD20" i="4"/>
  <c r="BD25" i="4"/>
  <c r="BD13" i="4"/>
  <c r="BD16" i="4"/>
  <c r="BD26" i="4"/>
  <c r="BC54" i="2"/>
  <c r="BD29" i="4"/>
  <c r="BD31" i="4"/>
  <c r="BC78" i="2"/>
  <c r="BD35" i="4"/>
  <c r="BD33" i="4"/>
  <c r="BC256" i="2"/>
  <c r="BC65" i="2"/>
  <c r="BC257" i="2"/>
  <c r="BC72" i="2"/>
  <c r="BD34" i="4"/>
  <c r="BD36" i="4"/>
  <c r="BD37" i="4"/>
  <c r="BD39" i="4"/>
  <c r="BC39" i="2"/>
  <c r="BC83" i="2"/>
  <c r="BC11" i="4"/>
  <c r="BB67" i="2"/>
  <c r="BC23" i="4"/>
  <c r="BB258" i="2"/>
  <c r="BB34" i="2"/>
  <c r="BB35" i="2"/>
  <c r="BB37" i="2"/>
  <c r="BB38" i="2"/>
  <c r="BB68" i="2"/>
  <c r="BC24" i="4"/>
  <c r="BB247" i="2"/>
  <c r="BB47" i="2"/>
  <c r="BC18" i="4"/>
  <c r="BB248" i="2"/>
  <c r="BB48" i="2"/>
  <c r="BC19" i="4"/>
  <c r="BB249" i="2"/>
  <c r="BB66" i="2"/>
  <c r="BC22" i="4"/>
  <c r="BB240" i="2"/>
  <c r="BB58" i="2"/>
  <c r="BC21" i="4"/>
  <c r="BC20" i="4"/>
  <c r="BC25" i="4"/>
  <c r="BC13" i="4"/>
  <c r="BC16" i="4"/>
  <c r="BC26" i="4"/>
  <c r="BB54" i="2"/>
  <c r="BC29" i="4"/>
  <c r="BC31" i="4"/>
  <c r="BB78" i="2"/>
  <c r="BC35" i="4"/>
  <c r="BC33" i="4"/>
  <c r="BB256" i="2"/>
  <c r="BB65" i="2"/>
  <c r="BB257" i="2"/>
  <c r="BB72" i="2"/>
  <c r="BC34" i="4"/>
  <c r="BC36" i="4"/>
  <c r="BC37" i="4"/>
  <c r="BC39" i="4"/>
  <c r="BB39" i="2"/>
  <c r="BB83" i="2"/>
  <c r="BB11" i="4"/>
  <c r="BA67" i="2"/>
  <c r="BB23" i="4"/>
  <c r="BA258" i="2"/>
  <c r="BA34" i="2"/>
  <c r="BA35" i="2"/>
  <c r="BA37" i="2"/>
  <c r="BA38" i="2"/>
  <c r="BA68" i="2"/>
  <c r="BB24" i="4"/>
  <c r="BA247" i="2"/>
  <c r="BA47" i="2"/>
  <c r="BB18" i="4"/>
  <c r="BA248" i="2"/>
  <c r="BA48" i="2"/>
  <c r="BB19" i="4"/>
  <c r="BA249" i="2"/>
  <c r="BA66" i="2"/>
  <c r="BB22" i="4"/>
  <c r="BA240" i="2"/>
  <c r="BA58" i="2"/>
  <c r="BB21" i="4"/>
  <c r="BB20" i="4"/>
  <c r="BB25" i="4"/>
  <c r="BB13" i="4"/>
  <c r="BB16" i="4"/>
  <c r="BB26" i="4"/>
  <c r="BA54" i="2"/>
  <c r="BB29" i="4"/>
  <c r="BB31" i="4"/>
  <c r="BA78" i="2"/>
  <c r="BB35" i="4"/>
  <c r="BB33" i="4"/>
  <c r="BA256" i="2"/>
  <c r="BA65" i="2"/>
  <c r="BA257" i="2"/>
  <c r="BA72" i="2"/>
  <c r="BB34" i="4"/>
  <c r="BB36" i="4"/>
  <c r="BB37" i="4"/>
  <c r="BB39" i="4"/>
  <c r="BA39" i="2"/>
  <c r="BA83" i="2"/>
  <c r="BA11" i="4"/>
  <c r="AZ67" i="2"/>
  <c r="BA23" i="4"/>
  <c r="AZ258" i="2"/>
  <c r="AZ34" i="2"/>
  <c r="AZ35" i="2"/>
  <c r="AZ37" i="2"/>
  <c r="AZ38" i="2"/>
  <c r="AZ68" i="2"/>
  <c r="BA24" i="4"/>
  <c r="AZ247" i="2"/>
  <c r="AZ47" i="2"/>
  <c r="BA18" i="4"/>
  <c r="AZ248" i="2"/>
  <c r="AZ48" i="2"/>
  <c r="BA19" i="4"/>
  <c r="AZ249" i="2"/>
  <c r="AZ66" i="2"/>
  <c r="BA22" i="4"/>
  <c r="AZ240" i="2"/>
  <c r="AZ58" i="2"/>
  <c r="BA21" i="4"/>
  <c r="BA20" i="4"/>
  <c r="BA25" i="4"/>
  <c r="BA13" i="4"/>
  <c r="BA16" i="4"/>
  <c r="BA26" i="4"/>
  <c r="AZ54" i="2"/>
  <c r="BA29" i="4"/>
  <c r="BA31" i="4"/>
  <c r="AZ78" i="2"/>
  <c r="BA35" i="4"/>
  <c r="BA33" i="4"/>
  <c r="AZ256" i="2"/>
  <c r="AZ65" i="2"/>
  <c r="AZ257" i="2"/>
  <c r="AZ72" i="2"/>
  <c r="BA34" i="4"/>
  <c r="BA36" i="4"/>
  <c r="BA37" i="4"/>
  <c r="BA39" i="4"/>
  <c r="AZ39" i="2"/>
  <c r="AZ83" i="2"/>
  <c r="AZ11" i="4"/>
  <c r="AY67" i="2"/>
  <c r="AZ23" i="4"/>
  <c r="AY258" i="2"/>
  <c r="AY34" i="2"/>
  <c r="AY35" i="2"/>
  <c r="AY37" i="2"/>
  <c r="AY38" i="2"/>
  <c r="AY68" i="2"/>
  <c r="AZ24" i="4"/>
  <c r="AY247" i="2"/>
  <c r="AY47" i="2"/>
  <c r="AZ18" i="4"/>
  <c r="AY248" i="2"/>
  <c r="AY48" i="2"/>
  <c r="AZ19" i="4"/>
  <c r="AY249" i="2"/>
  <c r="AY66" i="2"/>
  <c r="AZ22" i="4"/>
  <c r="AY240" i="2"/>
  <c r="AY58" i="2"/>
  <c r="AZ21" i="4"/>
  <c r="AZ20" i="4"/>
  <c r="AZ25" i="4"/>
  <c r="AZ13" i="4"/>
  <c r="AZ16" i="4"/>
  <c r="AZ26" i="4"/>
  <c r="AY54" i="2"/>
  <c r="AZ29" i="4"/>
  <c r="AZ31" i="4"/>
  <c r="AY78" i="2"/>
  <c r="AZ35" i="4"/>
  <c r="AZ33" i="4"/>
  <c r="AY256" i="2"/>
  <c r="AY65" i="2"/>
  <c r="AY257" i="2"/>
  <c r="AY72" i="2"/>
  <c r="AZ34" i="4"/>
  <c r="AZ36" i="4"/>
  <c r="AZ37" i="4"/>
  <c r="AZ39" i="4"/>
  <c r="AY39" i="2"/>
  <c r="AY83" i="2"/>
  <c r="AY11" i="4"/>
  <c r="AY23" i="4"/>
  <c r="AY24" i="4"/>
  <c r="AY18" i="4"/>
  <c r="AY19" i="4"/>
  <c r="AY22" i="4"/>
  <c r="AY21" i="4"/>
  <c r="AY20" i="4"/>
  <c r="AY25" i="4"/>
  <c r="AY13" i="4"/>
  <c r="AY16" i="4"/>
  <c r="AY26" i="4"/>
  <c r="AY29" i="4"/>
  <c r="AY31" i="4"/>
  <c r="AY35" i="4"/>
  <c r="AY33" i="4"/>
  <c r="AY34" i="4"/>
  <c r="AY36" i="4"/>
  <c r="AY37" i="4"/>
  <c r="AY39" i="4"/>
  <c r="AY40" i="4"/>
  <c r="AY41" i="4"/>
  <c r="AZ40" i="4"/>
  <c r="AZ41" i="4"/>
  <c r="BA40" i="4"/>
  <c r="BA41" i="4"/>
  <c r="BB40" i="4"/>
  <c r="BB41" i="4"/>
  <c r="BC40" i="4"/>
  <c r="BC41" i="4"/>
  <c r="BD40" i="4"/>
  <c r="BD41" i="4"/>
  <c r="BE40" i="4"/>
  <c r="BE41" i="4"/>
  <c r="BF40" i="4"/>
  <c r="BF41" i="4"/>
  <c r="BG40" i="4"/>
  <c r="BG41" i="4"/>
  <c r="BH40" i="4"/>
  <c r="BH41" i="4"/>
  <c r="BI40" i="4"/>
  <c r="BI41" i="4"/>
  <c r="BJ40" i="4"/>
  <c r="BJ41" i="4"/>
  <c r="BJ46" i="2"/>
  <c r="BJ50" i="2"/>
  <c r="BJ69" i="2"/>
  <c r="BJ89" i="2"/>
  <c r="L36" i="1"/>
  <c r="AL46" i="2"/>
  <c r="AL50" i="2"/>
  <c r="AL69" i="2"/>
  <c r="AL89" i="2"/>
  <c r="J36" i="1"/>
  <c r="Z46" i="2"/>
  <c r="Z50" i="2"/>
  <c r="Z69" i="2"/>
  <c r="Z89" i="2"/>
  <c r="I36" i="1"/>
  <c r="N46" i="2"/>
  <c r="N50" i="2"/>
  <c r="N69" i="2"/>
  <c r="N89" i="2"/>
  <c r="H36" i="1"/>
  <c r="L39" i="1"/>
  <c r="L41" i="1"/>
  <c r="L42" i="1"/>
  <c r="L47" i="1"/>
  <c r="K39" i="1"/>
  <c r="K41" i="1"/>
  <c r="K42" i="1"/>
  <c r="K47" i="1"/>
  <c r="J39" i="1"/>
  <c r="J41" i="1"/>
  <c r="J42" i="1"/>
  <c r="J47" i="1"/>
  <c r="I39" i="1"/>
  <c r="I41" i="1"/>
  <c r="I42" i="1"/>
  <c r="I47" i="1"/>
  <c r="H39" i="1"/>
  <c r="H41" i="1"/>
  <c r="H42" i="1"/>
  <c r="H47" i="1"/>
  <c r="L26" i="1"/>
  <c r="L48" i="1"/>
  <c r="K26" i="1"/>
  <c r="K48" i="1"/>
  <c r="J26" i="1"/>
  <c r="J48" i="1"/>
  <c r="I26" i="1"/>
  <c r="I48" i="1"/>
  <c r="H26" i="1"/>
  <c r="H48" i="1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J84" i="2"/>
  <c r="BJ92" i="2"/>
  <c r="L46" i="1"/>
  <c r="AX84" i="2"/>
  <c r="AX92" i="2"/>
  <c r="K46" i="1"/>
  <c r="AL84" i="2"/>
  <c r="AL92" i="2"/>
  <c r="J46" i="1"/>
  <c r="Z84" i="2"/>
  <c r="Z92" i="2"/>
  <c r="I46" i="1"/>
  <c r="N84" i="2"/>
  <c r="N92" i="2"/>
  <c r="H46" i="1"/>
  <c r="BJ90" i="2"/>
  <c r="L45" i="1"/>
  <c r="AX90" i="2"/>
  <c r="K45" i="1"/>
  <c r="AL90" i="2"/>
  <c r="J45" i="1"/>
  <c r="Z90" i="2"/>
  <c r="I45" i="1"/>
  <c r="N90" i="2"/>
  <c r="H45" i="1"/>
  <c r="L43" i="1"/>
  <c r="K43" i="1"/>
  <c r="J43" i="1"/>
  <c r="I43" i="1"/>
  <c r="H43" i="1"/>
  <c r="BJ93" i="2"/>
  <c r="BI91" i="2"/>
  <c r="BI93" i="2"/>
  <c r="BH91" i="2"/>
  <c r="BH93" i="2"/>
  <c r="BG91" i="2"/>
  <c r="BG93" i="2"/>
  <c r="BF91" i="2"/>
  <c r="BF93" i="2"/>
  <c r="BE91" i="2"/>
  <c r="BE93" i="2"/>
  <c r="BD91" i="2"/>
  <c r="BD93" i="2"/>
  <c r="BC91" i="2"/>
  <c r="BC93" i="2"/>
  <c r="BB91" i="2"/>
  <c r="BB93" i="2"/>
  <c r="BA91" i="2"/>
  <c r="BA93" i="2"/>
  <c r="AZ91" i="2"/>
  <c r="AZ93" i="2"/>
  <c r="AY91" i="2"/>
  <c r="AY93" i="2"/>
  <c r="AX93" i="2"/>
  <c r="AW91" i="2"/>
  <c r="AW93" i="2"/>
  <c r="AV91" i="2"/>
  <c r="AV93" i="2"/>
  <c r="AU91" i="2"/>
  <c r="AU93" i="2"/>
  <c r="AT91" i="2"/>
  <c r="AT93" i="2"/>
  <c r="AS91" i="2"/>
  <c r="AS93" i="2"/>
  <c r="AR91" i="2"/>
  <c r="AR93" i="2"/>
  <c r="AQ91" i="2"/>
  <c r="AQ93" i="2"/>
  <c r="AP91" i="2"/>
  <c r="AP93" i="2"/>
  <c r="AO91" i="2"/>
  <c r="AO93" i="2"/>
  <c r="AN91" i="2"/>
  <c r="AN93" i="2"/>
  <c r="AM91" i="2"/>
  <c r="AM93" i="2"/>
  <c r="AL93" i="2"/>
  <c r="AK91" i="2"/>
  <c r="AK93" i="2"/>
  <c r="AJ91" i="2"/>
  <c r="AJ93" i="2"/>
  <c r="AI91" i="2"/>
  <c r="AI93" i="2"/>
  <c r="AH91" i="2"/>
  <c r="AH93" i="2"/>
  <c r="AG91" i="2"/>
  <c r="AG93" i="2"/>
  <c r="AF91" i="2"/>
  <c r="AF93" i="2"/>
  <c r="AE91" i="2"/>
  <c r="AE93" i="2"/>
  <c r="AD91" i="2"/>
  <c r="AD93" i="2"/>
  <c r="AC91" i="2"/>
  <c r="AC93" i="2"/>
  <c r="AB91" i="2"/>
  <c r="AB93" i="2"/>
  <c r="AA91" i="2"/>
  <c r="AA93" i="2"/>
  <c r="Z93" i="2"/>
  <c r="Y91" i="2"/>
  <c r="Y93" i="2"/>
  <c r="X91" i="2"/>
  <c r="X93" i="2"/>
  <c r="W91" i="2"/>
  <c r="W93" i="2"/>
  <c r="V91" i="2"/>
  <c r="V93" i="2"/>
  <c r="U91" i="2"/>
  <c r="U93" i="2"/>
  <c r="T91" i="2"/>
  <c r="T93" i="2"/>
  <c r="S91" i="2"/>
  <c r="S93" i="2"/>
  <c r="R91" i="2"/>
  <c r="R93" i="2"/>
  <c r="Q91" i="2"/>
  <c r="Q93" i="2"/>
  <c r="P91" i="2"/>
  <c r="P93" i="2"/>
  <c r="O91" i="2"/>
  <c r="O93" i="2"/>
  <c r="N93" i="2"/>
  <c r="M91" i="2"/>
  <c r="M93" i="2"/>
  <c r="L91" i="2"/>
  <c r="L93" i="2"/>
  <c r="K91" i="2"/>
  <c r="K93" i="2"/>
  <c r="J91" i="2"/>
  <c r="J93" i="2"/>
  <c r="I91" i="2"/>
  <c r="I93" i="2"/>
  <c r="H91" i="2"/>
  <c r="H93" i="2"/>
  <c r="G91" i="2"/>
  <c r="G93" i="2"/>
  <c r="F91" i="2"/>
  <c r="F93" i="2"/>
  <c r="E91" i="2"/>
  <c r="E93" i="2"/>
  <c r="D91" i="2"/>
  <c r="D93" i="2"/>
  <c r="C91" i="2"/>
  <c r="C93" i="2"/>
  <c r="BI84" i="2"/>
  <c r="BI92" i="2"/>
  <c r="BH84" i="2"/>
  <c r="BH92" i="2"/>
  <c r="BG84" i="2"/>
  <c r="BG92" i="2"/>
  <c r="BF84" i="2"/>
  <c r="BF92" i="2"/>
  <c r="BE84" i="2"/>
  <c r="BE92" i="2"/>
  <c r="BD84" i="2"/>
  <c r="BD92" i="2"/>
  <c r="BC84" i="2"/>
  <c r="BC92" i="2"/>
  <c r="BB84" i="2"/>
  <c r="BB92" i="2"/>
  <c r="BA84" i="2"/>
  <c r="BA92" i="2"/>
  <c r="AZ84" i="2"/>
  <c r="AZ92" i="2"/>
  <c r="AY84" i="2"/>
  <c r="AY92" i="2"/>
  <c r="AW84" i="2"/>
  <c r="AW92" i="2"/>
  <c r="AV84" i="2"/>
  <c r="AV92" i="2"/>
  <c r="AU84" i="2"/>
  <c r="AU92" i="2"/>
  <c r="AT84" i="2"/>
  <c r="AT92" i="2"/>
  <c r="AS84" i="2"/>
  <c r="AS92" i="2"/>
  <c r="AR84" i="2"/>
  <c r="AR92" i="2"/>
  <c r="AQ84" i="2"/>
  <c r="AQ92" i="2"/>
  <c r="AP84" i="2"/>
  <c r="AP92" i="2"/>
  <c r="AO84" i="2"/>
  <c r="AO92" i="2"/>
  <c r="AN84" i="2"/>
  <c r="AN92" i="2"/>
  <c r="AM84" i="2"/>
  <c r="AM92" i="2"/>
  <c r="AK84" i="2"/>
  <c r="AK92" i="2"/>
  <c r="AJ84" i="2"/>
  <c r="AJ92" i="2"/>
  <c r="AI84" i="2"/>
  <c r="AI92" i="2"/>
  <c r="AH84" i="2"/>
  <c r="AH92" i="2"/>
  <c r="AG84" i="2"/>
  <c r="AG92" i="2"/>
  <c r="AF84" i="2"/>
  <c r="AF92" i="2"/>
  <c r="AE84" i="2"/>
  <c r="AE92" i="2"/>
  <c r="AD84" i="2"/>
  <c r="AD92" i="2"/>
  <c r="AC84" i="2"/>
  <c r="AC92" i="2"/>
  <c r="AB84" i="2"/>
  <c r="AB92" i="2"/>
  <c r="AA84" i="2"/>
  <c r="AA92" i="2"/>
  <c r="Y84" i="2"/>
  <c r="Y92" i="2"/>
  <c r="X84" i="2"/>
  <c r="X92" i="2"/>
  <c r="W84" i="2"/>
  <c r="W92" i="2"/>
  <c r="V84" i="2"/>
  <c r="V92" i="2"/>
  <c r="U84" i="2"/>
  <c r="U92" i="2"/>
  <c r="T84" i="2"/>
  <c r="T92" i="2"/>
  <c r="S84" i="2"/>
  <c r="S92" i="2"/>
  <c r="R84" i="2"/>
  <c r="R92" i="2"/>
  <c r="Q84" i="2"/>
  <c r="Q92" i="2"/>
  <c r="P84" i="2"/>
  <c r="P92" i="2"/>
  <c r="O84" i="2"/>
  <c r="O92" i="2"/>
  <c r="M84" i="2"/>
  <c r="M92" i="2"/>
  <c r="L84" i="2"/>
  <c r="L92" i="2"/>
  <c r="K84" i="2"/>
  <c r="K92" i="2"/>
  <c r="J84" i="2"/>
  <c r="J92" i="2"/>
  <c r="I84" i="2"/>
  <c r="I92" i="2"/>
  <c r="H84" i="2"/>
  <c r="H92" i="2"/>
  <c r="G84" i="2"/>
  <c r="G92" i="2"/>
  <c r="F84" i="2"/>
  <c r="F92" i="2"/>
  <c r="E84" i="2"/>
  <c r="E92" i="2"/>
  <c r="D84" i="2"/>
  <c r="D92" i="2"/>
  <c r="BI46" i="2"/>
  <c r="BI50" i="2"/>
  <c r="BI69" i="2"/>
  <c r="BI90" i="2"/>
  <c r="BH46" i="2"/>
  <c r="BH50" i="2"/>
  <c r="BH69" i="2"/>
  <c r="BH90" i="2"/>
  <c r="BG46" i="2"/>
  <c r="BG50" i="2"/>
  <c r="BG69" i="2"/>
  <c r="BG90" i="2"/>
  <c r="BF46" i="2"/>
  <c r="BF50" i="2"/>
  <c r="BF69" i="2"/>
  <c r="BF90" i="2"/>
  <c r="BE46" i="2"/>
  <c r="BE50" i="2"/>
  <c r="BE69" i="2"/>
  <c r="BE90" i="2"/>
  <c r="BD46" i="2"/>
  <c r="BD50" i="2"/>
  <c r="BD69" i="2"/>
  <c r="BD90" i="2"/>
  <c r="BC46" i="2"/>
  <c r="BC50" i="2"/>
  <c r="BC69" i="2"/>
  <c r="BC90" i="2"/>
  <c r="BB46" i="2"/>
  <c r="BB50" i="2"/>
  <c r="BB69" i="2"/>
  <c r="BB90" i="2"/>
  <c r="BA46" i="2"/>
  <c r="BA50" i="2"/>
  <c r="BA69" i="2"/>
  <c r="BA90" i="2"/>
  <c r="AZ46" i="2"/>
  <c r="AZ50" i="2"/>
  <c r="AZ69" i="2"/>
  <c r="AZ90" i="2"/>
  <c r="AY46" i="2"/>
  <c r="AY50" i="2"/>
  <c r="AY69" i="2"/>
  <c r="AY90" i="2"/>
  <c r="AW46" i="2"/>
  <c r="AW50" i="2"/>
  <c r="AW69" i="2"/>
  <c r="AW90" i="2"/>
  <c r="AV46" i="2"/>
  <c r="AV50" i="2"/>
  <c r="AV69" i="2"/>
  <c r="AV90" i="2"/>
  <c r="AU46" i="2"/>
  <c r="AU50" i="2"/>
  <c r="AU69" i="2"/>
  <c r="AU90" i="2"/>
  <c r="AT46" i="2"/>
  <c r="AT50" i="2"/>
  <c r="AT69" i="2"/>
  <c r="AT90" i="2"/>
  <c r="AS46" i="2"/>
  <c r="AS50" i="2"/>
  <c r="AS69" i="2"/>
  <c r="AS90" i="2"/>
  <c r="AR46" i="2"/>
  <c r="AR50" i="2"/>
  <c r="AR69" i="2"/>
  <c r="AR90" i="2"/>
  <c r="AQ46" i="2"/>
  <c r="AQ50" i="2"/>
  <c r="AQ69" i="2"/>
  <c r="AQ90" i="2"/>
  <c r="AP46" i="2"/>
  <c r="AP50" i="2"/>
  <c r="AP69" i="2"/>
  <c r="AP90" i="2"/>
  <c r="AO46" i="2"/>
  <c r="AO50" i="2"/>
  <c r="AO69" i="2"/>
  <c r="AO90" i="2"/>
  <c r="AN46" i="2"/>
  <c r="AN50" i="2"/>
  <c r="AN69" i="2"/>
  <c r="AN90" i="2"/>
  <c r="AM46" i="2"/>
  <c r="AM50" i="2"/>
  <c r="AM69" i="2"/>
  <c r="AM90" i="2"/>
  <c r="AK46" i="2"/>
  <c r="AK50" i="2"/>
  <c r="AK69" i="2"/>
  <c r="AK90" i="2"/>
  <c r="AJ46" i="2"/>
  <c r="AJ50" i="2"/>
  <c r="AJ69" i="2"/>
  <c r="AJ90" i="2"/>
  <c r="AI46" i="2"/>
  <c r="AI50" i="2"/>
  <c r="AI69" i="2"/>
  <c r="AI90" i="2"/>
  <c r="AH46" i="2"/>
  <c r="AH50" i="2"/>
  <c r="AH69" i="2"/>
  <c r="AH90" i="2"/>
  <c r="AG46" i="2"/>
  <c r="AG50" i="2"/>
  <c r="AG69" i="2"/>
  <c r="AG90" i="2"/>
  <c r="AF46" i="2"/>
  <c r="AF50" i="2"/>
  <c r="AF69" i="2"/>
  <c r="AF90" i="2"/>
  <c r="AE46" i="2"/>
  <c r="AE50" i="2"/>
  <c r="AE69" i="2"/>
  <c r="AE90" i="2"/>
  <c r="AD46" i="2"/>
  <c r="AD50" i="2"/>
  <c r="AD69" i="2"/>
  <c r="AD90" i="2"/>
  <c r="AC46" i="2"/>
  <c r="AC50" i="2"/>
  <c r="AC69" i="2"/>
  <c r="AC90" i="2"/>
  <c r="AB46" i="2"/>
  <c r="AB50" i="2"/>
  <c r="AB69" i="2"/>
  <c r="AB90" i="2"/>
  <c r="AA46" i="2"/>
  <c r="AA50" i="2"/>
  <c r="AA69" i="2"/>
  <c r="AA90" i="2"/>
  <c r="Y46" i="2"/>
  <c r="Y50" i="2"/>
  <c r="Y69" i="2"/>
  <c r="Y90" i="2"/>
  <c r="X46" i="2"/>
  <c r="X50" i="2"/>
  <c r="X69" i="2"/>
  <c r="X90" i="2"/>
  <c r="W46" i="2"/>
  <c r="W50" i="2"/>
  <c r="W69" i="2"/>
  <c r="W90" i="2"/>
  <c r="V46" i="2"/>
  <c r="V50" i="2"/>
  <c r="V69" i="2"/>
  <c r="V90" i="2"/>
  <c r="U46" i="2"/>
  <c r="U50" i="2"/>
  <c r="U69" i="2"/>
  <c r="U90" i="2"/>
  <c r="T46" i="2"/>
  <c r="T50" i="2"/>
  <c r="T69" i="2"/>
  <c r="T90" i="2"/>
  <c r="S46" i="2"/>
  <c r="S50" i="2"/>
  <c r="S69" i="2"/>
  <c r="S90" i="2"/>
  <c r="R46" i="2"/>
  <c r="R50" i="2"/>
  <c r="R69" i="2"/>
  <c r="R90" i="2"/>
  <c r="Q46" i="2"/>
  <c r="Q50" i="2"/>
  <c r="Q69" i="2"/>
  <c r="Q90" i="2"/>
  <c r="P46" i="2"/>
  <c r="P50" i="2"/>
  <c r="P69" i="2"/>
  <c r="P90" i="2"/>
  <c r="O46" i="2"/>
  <c r="O50" i="2"/>
  <c r="O69" i="2"/>
  <c r="O90" i="2"/>
  <c r="M46" i="2"/>
  <c r="M50" i="2"/>
  <c r="M69" i="2"/>
  <c r="M90" i="2"/>
  <c r="L46" i="2"/>
  <c r="L50" i="2"/>
  <c r="L69" i="2"/>
  <c r="L90" i="2"/>
  <c r="K46" i="2"/>
  <c r="K50" i="2"/>
  <c r="K69" i="2"/>
  <c r="K90" i="2"/>
  <c r="J46" i="2"/>
  <c r="J50" i="2"/>
  <c r="J69" i="2"/>
  <c r="J90" i="2"/>
  <c r="I46" i="2"/>
  <c r="I50" i="2"/>
  <c r="I69" i="2"/>
  <c r="I90" i="2"/>
  <c r="H46" i="2"/>
  <c r="H50" i="2"/>
  <c r="H69" i="2"/>
  <c r="H90" i="2"/>
  <c r="G46" i="2"/>
  <c r="G50" i="2"/>
  <c r="G69" i="2"/>
  <c r="G90" i="2"/>
  <c r="F46" i="2"/>
  <c r="F50" i="2"/>
  <c r="F69" i="2"/>
  <c r="F90" i="2"/>
  <c r="E46" i="2"/>
  <c r="E50" i="2"/>
  <c r="E69" i="2"/>
  <c r="E90" i="2"/>
  <c r="D46" i="2"/>
  <c r="D50" i="2"/>
  <c r="D69" i="2"/>
  <c r="D90" i="2"/>
  <c r="BI89" i="2"/>
  <c r="BH89" i="2"/>
  <c r="BG89" i="2"/>
  <c r="BF89" i="2"/>
  <c r="BE89" i="2"/>
  <c r="BD89" i="2"/>
  <c r="BC89" i="2"/>
  <c r="BB89" i="2"/>
  <c r="BA89" i="2"/>
  <c r="AZ89" i="2"/>
  <c r="AY89" i="2"/>
  <c r="AW89" i="2"/>
  <c r="AV89" i="2"/>
  <c r="AU89" i="2"/>
  <c r="AT89" i="2"/>
  <c r="AS89" i="2"/>
  <c r="AR89" i="2"/>
  <c r="AQ89" i="2"/>
  <c r="AP89" i="2"/>
  <c r="AO89" i="2"/>
  <c r="AN89" i="2"/>
  <c r="AM89" i="2"/>
  <c r="AK89" i="2"/>
  <c r="AJ89" i="2"/>
  <c r="AI89" i="2"/>
  <c r="AH89" i="2"/>
  <c r="AG89" i="2"/>
  <c r="AF89" i="2"/>
  <c r="AE89" i="2"/>
  <c r="AD89" i="2"/>
  <c r="AC89" i="2"/>
  <c r="AB89" i="2"/>
  <c r="AA89" i="2"/>
  <c r="Y89" i="2"/>
  <c r="X89" i="2"/>
  <c r="W89" i="2"/>
  <c r="V89" i="2"/>
  <c r="U89" i="2"/>
  <c r="T89" i="2"/>
  <c r="S89" i="2"/>
  <c r="R89" i="2"/>
  <c r="Q89" i="2"/>
  <c r="P89" i="2"/>
  <c r="O89" i="2"/>
  <c r="M89" i="2"/>
  <c r="L89" i="2"/>
  <c r="K89" i="2"/>
  <c r="J89" i="2"/>
  <c r="I89" i="2"/>
  <c r="H89" i="2"/>
  <c r="G89" i="2"/>
  <c r="F89" i="2"/>
  <c r="E89" i="2"/>
  <c r="D89" i="2"/>
  <c r="C84" i="2"/>
  <c r="C92" i="2"/>
  <c r="C46" i="2"/>
  <c r="C50" i="2"/>
  <c r="C69" i="2"/>
  <c r="C90" i="2"/>
  <c r="C89" i="2"/>
  <c r="L35" i="1"/>
  <c r="K35" i="1"/>
  <c r="J35" i="1"/>
  <c r="I35" i="1"/>
  <c r="H35" i="1"/>
  <c r="L34" i="1"/>
  <c r="K34" i="1"/>
  <c r="J34" i="1"/>
  <c r="I34" i="1"/>
  <c r="H34" i="1"/>
  <c r="L22" i="1"/>
  <c r="K22" i="1"/>
  <c r="L30" i="1"/>
  <c r="J22" i="1"/>
  <c r="K30" i="1"/>
  <c r="I22" i="1"/>
  <c r="J30" i="1"/>
  <c r="H22" i="1"/>
  <c r="I30" i="1"/>
  <c r="L32" i="1"/>
  <c r="K32" i="1"/>
  <c r="J32" i="1"/>
  <c r="I32" i="1"/>
  <c r="L23" i="1"/>
  <c r="L31" i="1"/>
  <c r="K23" i="1"/>
  <c r="K31" i="1"/>
  <c r="J23" i="1"/>
  <c r="J31" i="1"/>
  <c r="I23" i="1"/>
  <c r="I31" i="1"/>
  <c r="H32" i="1"/>
  <c r="H23" i="1"/>
  <c r="H31" i="1"/>
  <c r="L27" i="1"/>
  <c r="K27" i="1"/>
  <c r="J27" i="1"/>
  <c r="I27" i="1"/>
  <c r="H27" i="1"/>
  <c r="L25" i="1"/>
  <c r="K25" i="1"/>
  <c r="J25" i="1"/>
  <c r="I25" i="1"/>
  <c r="H25" i="1"/>
  <c r="I24" i="1"/>
  <c r="H24" i="1"/>
  <c r="BJ260" i="2"/>
  <c r="BI260" i="2"/>
  <c r="BH260" i="2"/>
  <c r="BG260" i="2"/>
  <c r="BF260" i="2"/>
  <c r="BE260" i="2"/>
  <c r="BD260" i="2"/>
  <c r="BC260" i="2"/>
  <c r="BB260" i="2"/>
  <c r="BA260" i="2"/>
  <c r="AZ260" i="2"/>
  <c r="AY260" i="2"/>
  <c r="AX260" i="2"/>
  <c r="AW260" i="2"/>
  <c r="AV260" i="2"/>
  <c r="AU260" i="2"/>
  <c r="AT260" i="2"/>
  <c r="AS260" i="2"/>
  <c r="AR260" i="2"/>
  <c r="AQ260" i="2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K31" i="4"/>
  <c r="BK26" i="4"/>
  <c r="BJ60" i="2"/>
  <c r="BJ74" i="2"/>
  <c r="BJ75" i="2"/>
  <c r="BJ86" i="2"/>
  <c r="BJ88" i="2"/>
  <c r="BI245" i="2"/>
  <c r="BI55" i="2"/>
  <c r="BI56" i="2"/>
  <c r="BI60" i="2"/>
  <c r="BI74" i="2"/>
  <c r="BI75" i="2"/>
  <c r="BI86" i="2"/>
  <c r="BI88" i="2"/>
  <c r="BH245" i="2"/>
  <c r="BH55" i="2"/>
  <c r="BH56" i="2"/>
  <c r="BH60" i="2"/>
  <c r="BH74" i="2"/>
  <c r="BH75" i="2"/>
  <c r="BH86" i="2"/>
  <c r="BH88" i="2"/>
  <c r="BG245" i="2"/>
  <c r="BG55" i="2"/>
  <c r="BG56" i="2"/>
  <c r="BG60" i="2"/>
  <c r="BG74" i="2"/>
  <c r="BG75" i="2"/>
  <c r="BG86" i="2"/>
  <c r="BG88" i="2"/>
  <c r="BF245" i="2"/>
  <c r="BF55" i="2"/>
  <c r="BF56" i="2"/>
  <c r="BF60" i="2"/>
  <c r="BF74" i="2"/>
  <c r="BF75" i="2"/>
  <c r="BF86" i="2"/>
  <c r="BF88" i="2"/>
  <c r="BE245" i="2"/>
  <c r="BE55" i="2"/>
  <c r="BE56" i="2"/>
  <c r="BE60" i="2"/>
  <c r="BE74" i="2"/>
  <c r="BE75" i="2"/>
  <c r="BE86" i="2"/>
  <c r="BE88" i="2"/>
  <c r="BD245" i="2"/>
  <c r="BD55" i="2"/>
  <c r="BD56" i="2"/>
  <c r="BD60" i="2"/>
  <c r="BD74" i="2"/>
  <c r="BD75" i="2"/>
  <c r="BD86" i="2"/>
  <c r="BD88" i="2"/>
  <c r="BC245" i="2"/>
  <c r="BC55" i="2"/>
  <c r="BC56" i="2"/>
  <c r="BC60" i="2"/>
  <c r="BC74" i="2"/>
  <c r="BC75" i="2"/>
  <c r="BC86" i="2"/>
  <c r="BC88" i="2"/>
  <c r="BB245" i="2"/>
  <c r="BB55" i="2"/>
  <c r="BB56" i="2"/>
  <c r="BB60" i="2"/>
  <c r="BB74" i="2"/>
  <c r="BB75" i="2"/>
  <c r="BB86" i="2"/>
  <c r="BB88" i="2"/>
  <c r="BA245" i="2"/>
  <c r="BA55" i="2"/>
  <c r="BA56" i="2"/>
  <c r="BA60" i="2"/>
  <c r="BA74" i="2"/>
  <c r="BA75" i="2"/>
  <c r="BA86" i="2"/>
  <c r="BA88" i="2"/>
  <c r="AZ245" i="2"/>
  <c r="AZ55" i="2"/>
  <c r="AZ56" i="2"/>
  <c r="AZ60" i="2"/>
  <c r="AZ74" i="2"/>
  <c r="AZ75" i="2"/>
  <c r="AZ86" i="2"/>
  <c r="AZ88" i="2"/>
  <c r="AY245" i="2"/>
  <c r="AY55" i="2"/>
  <c r="AY56" i="2"/>
  <c r="AY60" i="2"/>
  <c r="AY74" i="2"/>
  <c r="AY75" i="2"/>
  <c r="AY86" i="2"/>
  <c r="AY88" i="2"/>
  <c r="AX60" i="2"/>
  <c r="AX74" i="2"/>
  <c r="AX75" i="2"/>
  <c r="AX86" i="2"/>
  <c r="AX88" i="2"/>
  <c r="AW245" i="2"/>
  <c r="AW55" i="2"/>
  <c r="AW56" i="2"/>
  <c r="AW60" i="2"/>
  <c r="AW74" i="2"/>
  <c r="AW75" i="2"/>
  <c r="AW86" i="2"/>
  <c r="AW88" i="2"/>
  <c r="AV245" i="2"/>
  <c r="AV55" i="2"/>
  <c r="AV56" i="2"/>
  <c r="AV60" i="2"/>
  <c r="AV74" i="2"/>
  <c r="AV75" i="2"/>
  <c r="AV86" i="2"/>
  <c r="AV88" i="2"/>
  <c r="AU245" i="2"/>
  <c r="AU55" i="2"/>
  <c r="AU56" i="2"/>
  <c r="AU60" i="2"/>
  <c r="AU74" i="2"/>
  <c r="AU75" i="2"/>
  <c r="AU86" i="2"/>
  <c r="AU88" i="2"/>
  <c r="AT245" i="2"/>
  <c r="AT55" i="2"/>
  <c r="AT56" i="2"/>
  <c r="AT60" i="2"/>
  <c r="AT74" i="2"/>
  <c r="AT75" i="2"/>
  <c r="AT86" i="2"/>
  <c r="AT88" i="2"/>
  <c r="AS245" i="2"/>
  <c r="AS55" i="2"/>
  <c r="AS56" i="2"/>
  <c r="AS60" i="2"/>
  <c r="AS74" i="2"/>
  <c r="AS75" i="2"/>
  <c r="AS86" i="2"/>
  <c r="AS88" i="2"/>
  <c r="AR245" i="2"/>
  <c r="AR55" i="2"/>
  <c r="AR56" i="2"/>
  <c r="AR60" i="2"/>
  <c r="AR74" i="2"/>
  <c r="AR75" i="2"/>
  <c r="AR86" i="2"/>
  <c r="AR88" i="2"/>
  <c r="AQ245" i="2"/>
  <c r="AQ55" i="2"/>
  <c r="AQ56" i="2"/>
  <c r="AQ60" i="2"/>
  <c r="AQ74" i="2"/>
  <c r="AQ75" i="2"/>
  <c r="AQ86" i="2"/>
  <c r="AQ88" i="2"/>
  <c r="AP245" i="2"/>
  <c r="AP55" i="2"/>
  <c r="AP56" i="2"/>
  <c r="AP60" i="2"/>
  <c r="AP74" i="2"/>
  <c r="AP75" i="2"/>
  <c r="AP86" i="2"/>
  <c r="AP88" i="2"/>
  <c r="AO245" i="2"/>
  <c r="AO55" i="2"/>
  <c r="AO56" i="2"/>
  <c r="AO60" i="2"/>
  <c r="AO74" i="2"/>
  <c r="AO75" i="2"/>
  <c r="AO86" i="2"/>
  <c r="AO88" i="2"/>
  <c r="AN245" i="2"/>
  <c r="AN55" i="2"/>
  <c r="AN56" i="2"/>
  <c r="AN60" i="2"/>
  <c r="AN74" i="2"/>
  <c r="AN75" i="2"/>
  <c r="AN86" i="2"/>
  <c r="AN88" i="2"/>
  <c r="AM245" i="2"/>
  <c r="AM55" i="2"/>
  <c r="AM56" i="2"/>
  <c r="AM60" i="2"/>
  <c r="AM74" i="2"/>
  <c r="AM75" i="2"/>
  <c r="AM86" i="2"/>
  <c r="AM88" i="2"/>
  <c r="AL60" i="2"/>
  <c r="AL74" i="2"/>
  <c r="AL75" i="2"/>
  <c r="AL86" i="2"/>
  <c r="AL88" i="2"/>
  <c r="AK245" i="2"/>
  <c r="AK55" i="2"/>
  <c r="AK56" i="2"/>
  <c r="AK60" i="2"/>
  <c r="AK74" i="2"/>
  <c r="AK75" i="2"/>
  <c r="AK86" i="2"/>
  <c r="AK88" i="2"/>
  <c r="AJ245" i="2"/>
  <c r="AJ55" i="2"/>
  <c r="AJ56" i="2"/>
  <c r="AJ60" i="2"/>
  <c r="AJ74" i="2"/>
  <c r="AJ75" i="2"/>
  <c r="AJ86" i="2"/>
  <c r="AJ88" i="2"/>
  <c r="AI245" i="2"/>
  <c r="AI55" i="2"/>
  <c r="AI56" i="2"/>
  <c r="AI60" i="2"/>
  <c r="AI74" i="2"/>
  <c r="AI75" i="2"/>
  <c r="AI86" i="2"/>
  <c r="AI88" i="2"/>
  <c r="AH245" i="2"/>
  <c r="AH55" i="2"/>
  <c r="AH56" i="2"/>
  <c r="AH60" i="2"/>
  <c r="AH74" i="2"/>
  <c r="AH75" i="2"/>
  <c r="AH86" i="2"/>
  <c r="AH88" i="2"/>
  <c r="AG245" i="2"/>
  <c r="AG55" i="2"/>
  <c r="AG56" i="2"/>
  <c r="AG60" i="2"/>
  <c r="AG74" i="2"/>
  <c r="AG75" i="2"/>
  <c r="AG86" i="2"/>
  <c r="AG88" i="2"/>
  <c r="AF245" i="2"/>
  <c r="AF55" i="2"/>
  <c r="AF56" i="2"/>
  <c r="AF60" i="2"/>
  <c r="AF74" i="2"/>
  <c r="AF75" i="2"/>
  <c r="AF86" i="2"/>
  <c r="AF88" i="2"/>
  <c r="AE245" i="2"/>
  <c r="AE55" i="2"/>
  <c r="AE56" i="2"/>
  <c r="AE60" i="2"/>
  <c r="AE74" i="2"/>
  <c r="AE75" i="2"/>
  <c r="AE86" i="2"/>
  <c r="AE88" i="2"/>
  <c r="AD245" i="2"/>
  <c r="AD55" i="2"/>
  <c r="AD56" i="2"/>
  <c r="AD60" i="2"/>
  <c r="AD74" i="2"/>
  <c r="AD75" i="2"/>
  <c r="AD86" i="2"/>
  <c r="AD88" i="2"/>
  <c r="AC245" i="2"/>
  <c r="AC55" i="2"/>
  <c r="AC56" i="2"/>
  <c r="AC60" i="2"/>
  <c r="AC74" i="2"/>
  <c r="AC75" i="2"/>
  <c r="AC86" i="2"/>
  <c r="AC88" i="2"/>
  <c r="AB245" i="2"/>
  <c r="AB55" i="2"/>
  <c r="AB56" i="2"/>
  <c r="AB60" i="2"/>
  <c r="AB74" i="2"/>
  <c r="AB75" i="2"/>
  <c r="AB86" i="2"/>
  <c r="AB88" i="2"/>
  <c r="AA245" i="2"/>
  <c r="AA55" i="2"/>
  <c r="AA56" i="2"/>
  <c r="AA60" i="2"/>
  <c r="AA74" i="2"/>
  <c r="AA75" i="2"/>
  <c r="AA86" i="2"/>
  <c r="AA88" i="2"/>
  <c r="Z60" i="2"/>
  <c r="Z74" i="2"/>
  <c r="Z75" i="2"/>
  <c r="Z86" i="2"/>
  <c r="Z88" i="2"/>
  <c r="Y245" i="2"/>
  <c r="Y55" i="2"/>
  <c r="Y56" i="2"/>
  <c r="Y60" i="2"/>
  <c r="Y74" i="2"/>
  <c r="Y75" i="2"/>
  <c r="Y86" i="2"/>
  <c r="Y88" i="2"/>
  <c r="X245" i="2"/>
  <c r="X55" i="2"/>
  <c r="X56" i="2"/>
  <c r="X60" i="2"/>
  <c r="X74" i="2"/>
  <c r="X75" i="2"/>
  <c r="X86" i="2"/>
  <c r="X88" i="2"/>
  <c r="W245" i="2"/>
  <c r="W55" i="2"/>
  <c r="W56" i="2"/>
  <c r="W60" i="2"/>
  <c r="W74" i="2"/>
  <c r="W75" i="2"/>
  <c r="W86" i="2"/>
  <c r="W88" i="2"/>
  <c r="V245" i="2"/>
  <c r="V55" i="2"/>
  <c r="V56" i="2"/>
  <c r="V60" i="2"/>
  <c r="V74" i="2"/>
  <c r="V75" i="2"/>
  <c r="V86" i="2"/>
  <c r="V88" i="2"/>
  <c r="U245" i="2"/>
  <c r="U55" i="2"/>
  <c r="U56" i="2"/>
  <c r="U60" i="2"/>
  <c r="U74" i="2"/>
  <c r="U75" i="2"/>
  <c r="U86" i="2"/>
  <c r="U88" i="2"/>
  <c r="T245" i="2"/>
  <c r="T55" i="2"/>
  <c r="T56" i="2"/>
  <c r="T60" i="2"/>
  <c r="T74" i="2"/>
  <c r="T75" i="2"/>
  <c r="T86" i="2"/>
  <c r="T88" i="2"/>
  <c r="S245" i="2"/>
  <c r="S55" i="2"/>
  <c r="S56" i="2"/>
  <c r="S60" i="2"/>
  <c r="S74" i="2"/>
  <c r="S75" i="2"/>
  <c r="S86" i="2"/>
  <c r="S88" i="2"/>
  <c r="R245" i="2"/>
  <c r="R55" i="2"/>
  <c r="R56" i="2"/>
  <c r="R60" i="2"/>
  <c r="R74" i="2"/>
  <c r="R75" i="2"/>
  <c r="R86" i="2"/>
  <c r="R88" i="2"/>
  <c r="Q245" i="2"/>
  <c r="Q55" i="2"/>
  <c r="Q56" i="2"/>
  <c r="Q60" i="2"/>
  <c r="Q74" i="2"/>
  <c r="Q75" i="2"/>
  <c r="Q86" i="2"/>
  <c r="Q88" i="2"/>
  <c r="P245" i="2"/>
  <c r="P55" i="2"/>
  <c r="P56" i="2"/>
  <c r="P60" i="2"/>
  <c r="P74" i="2"/>
  <c r="P75" i="2"/>
  <c r="P86" i="2"/>
  <c r="P88" i="2"/>
  <c r="O245" i="2"/>
  <c r="O55" i="2"/>
  <c r="O56" i="2"/>
  <c r="O60" i="2"/>
  <c r="O74" i="2"/>
  <c r="O75" i="2"/>
  <c r="O86" i="2"/>
  <c r="O88" i="2"/>
  <c r="N60" i="2"/>
  <c r="N74" i="2"/>
  <c r="N75" i="2"/>
  <c r="N86" i="2"/>
  <c r="N88" i="2"/>
  <c r="M245" i="2"/>
  <c r="M55" i="2"/>
  <c r="M56" i="2"/>
  <c r="M60" i="2"/>
  <c r="M74" i="2"/>
  <c r="M75" i="2"/>
  <c r="M86" i="2"/>
  <c r="M88" i="2"/>
  <c r="L245" i="2"/>
  <c r="L55" i="2"/>
  <c r="L56" i="2"/>
  <c r="L60" i="2"/>
  <c r="L74" i="2"/>
  <c r="L75" i="2"/>
  <c r="L86" i="2"/>
  <c r="L88" i="2"/>
  <c r="K245" i="2"/>
  <c r="K55" i="2"/>
  <c r="K56" i="2"/>
  <c r="K60" i="2"/>
  <c r="K74" i="2"/>
  <c r="K75" i="2"/>
  <c r="K86" i="2"/>
  <c r="K88" i="2"/>
  <c r="J245" i="2"/>
  <c r="J55" i="2"/>
  <c r="J56" i="2"/>
  <c r="J60" i="2"/>
  <c r="J74" i="2"/>
  <c r="J75" i="2"/>
  <c r="J86" i="2"/>
  <c r="J88" i="2"/>
  <c r="I245" i="2"/>
  <c r="I55" i="2"/>
  <c r="I56" i="2"/>
  <c r="I60" i="2"/>
  <c r="I74" i="2"/>
  <c r="I75" i="2"/>
  <c r="I86" i="2"/>
  <c r="I88" i="2"/>
  <c r="H245" i="2"/>
  <c r="H55" i="2"/>
  <c r="H56" i="2"/>
  <c r="H60" i="2"/>
  <c r="H74" i="2"/>
  <c r="H75" i="2"/>
  <c r="H86" i="2"/>
  <c r="H88" i="2"/>
  <c r="G245" i="2"/>
  <c r="G55" i="2"/>
  <c r="G56" i="2"/>
  <c r="G60" i="2"/>
  <c r="G74" i="2"/>
  <c r="G75" i="2"/>
  <c r="G86" i="2"/>
  <c r="G88" i="2"/>
  <c r="F245" i="2"/>
  <c r="F55" i="2"/>
  <c r="F56" i="2"/>
  <c r="F60" i="2"/>
  <c r="F74" i="2"/>
  <c r="F75" i="2"/>
  <c r="F86" i="2"/>
  <c r="F88" i="2"/>
  <c r="E245" i="2"/>
  <c r="E55" i="2"/>
  <c r="E56" i="2"/>
  <c r="E60" i="2"/>
  <c r="E74" i="2"/>
  <c r="E75" i="2"/>
  <c r="E86" i="2"/>
  <c r="E88" i="2"/>
  <c r="D245" i="2"/>
  <c r="D55" i="2"/>
  <c r="D56" i="2"/>
  <c r="D60" i="2"/>
  <c r="D74" i="2"/>
  <c r="D75" i="2"/>
  <c r="D86" i="2"/>
  <c r="D88" i="2"/>
  <c r="C245" i="2"/>
  <c r="C55" i="2"/>
  <c r="C56" i="2"/>
  <c r="C60" i="2"/>
  <c r="C74" i="2"/>
  <c r="C75" i="2"/>
  <c r="C86" i="2"/>
  <c r="C88" i="2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J106" i="2"/>
  <c r="BJ107" i="2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J85" i="3"/>
  <c r="BI85" i="3"/>
  <c r="BH85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BJ83" i="3"/>
  <c r="BI83" i="3"/>
  <c r="BH83" i="3"/>
  <c r="BG83" i="3"/>
  <c r="BF83" i="3"/>
  <c r="BE83" i="3"/>
  <c r="BD83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C85" i="3"/>
  <c r="BJ81" i="3"/>
  <c r="BI81" i="3"/>
  <c r="BH81" i="3"/>
  <c r="BG81" i="3"/>
  <c r="BF81" i="3"/>
  <c r="BE81" i="3"/>
  <c r="BD81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A87" i="3"/>
  <c r="BB87" i="3"/>
  <c r="BC87" i="3"/>
  <c r="BD87" i="3"/>
  <c r="BE87" i="3"/>
  <c r="BF87" i="3"/>
  <c r="BG87" i="3"/>
  <c r="BH87" i="3"/>
  <c r="BI87" i="3"/>
  <c r="BJ87" i="3"/>
  <c r="B32" i="3"/>
  <c r="A32" i="3"/>
  <c r="BO191" i="2"/>
  <c r="BJ100" i="2"/>
  <c r="BJ101" i="2"/>
  <c r="L11" i="1"/>
  <c r="K11" i="1"/>
  <c r="J11" i="1"/>
  <c r="I11" i="1"/>
  <c r="H11" i="1"/>
</calcChain>
</file>

<file path=xl/comments1.xml><?xml version="1.0" encoding="utf-8"?>
<comments xmlns="http://schemas.openxmlformats.org/spreadsheetml/2006/main">
  <authors>
    <author>Robert H. Hacker</author>
  </authors>
  <commentList>
    <comment ref="A8" authorId="0">
      <text>
        <r>
          <rPr>
            <b/>
            <sz val="8"/>
            <color indexed="81"/>
            <rFont val="Tahoma"/>
          </rPr>
          <t>Robert H. Hacker:</t>
        </r>
        <r>
          <rPr>
            <sz val="8"/>
            <color indexed="81"/>
            <rFont val="Tahoma"/>
          </rPr>
          <t xml:space="preserve">
affects all services</t>
        </r>
      </text>
    </comment>
    <comment ref="A15" authorId="0">
      <text>
        <r>
          <rPr>
            <b/>
            <sz val="8"/>
            <color indexed="81"/>
            <rFont val="Tahoma"/>
          </rPr>
          <t>Robert H. Hacker:</t>
        </r>
        <r>
          <rPr>
            <sz val="8"/>
            <color indexed="81"/>
            <rFont val="Tahoma"/>
          </rPr>
          <t xml:space="preserve">
affects all services</t>
        </r>
      </text>
    </comment>
    <comment ref="B43" authorId="0">
      <text>
        <r>
          <rPr>
            <b/>
            <sz val="8"/>
            <color indexed="81"/>
            <rFont val="Tahoma"/>
          </rPr>
          <t>Robert H. Hacker:</t>
        </r>
        <r>
          <rPr>
            <sz val="8"/>
            <color indexed="81"/>
            <rFont val="Tahoma"/>
          </rPr>
          <t xml:space="preserve">
should be 0 if we own network</t>
        </r>
      </text>
    </comment>
    <comment ref="A54" authorId="0">
      <text>
        <r>
          <rPr>
            <b/>
            <sz val="8"/>
            <color indexed="81"/>
            <rFont val="Tahoma"/>
          </rPr>
          <t>Robert H. Hacker:</t>
        </r>
        <r>
          <rPr>
            <sz val="8"/>
            <color indexed="81"/>
            <rFont val="Tahoma"/>
          </rPr>
          <t xml:space="preserve">
Need Regional Center to Headend
</t>
        </r>
      </text>
    </comment>
    <comment ref="B68" authorId="0">
      <text>
        <r>
          <rPr>
            <b/>
            <sz val="8"/>
            <color indexed="81"/>
            <rFont val="Tahoma"/>
          </rPr>
          <t>Robert H. Hacker:</t>
        </r>
        <r>
          <rPr>
            <sz val="8"/>
            <color indexed="81"/>
            <rFont val="Tahoma"/>
          </rPr>
          <t xml:space="preserve">
includes CMTS Maintenace</t>
        </r>
      </text>
    </comment>
    <comment ref="B71" authorId="0">
      <text>
        <r>
          <rPr>
            <b/>
            <sz val="8"/>
            <color indexed="81"/>
            <rFont val="Tahoma"/>
          </rPr>
          <t>Robert H. Hacker:</t>
        </r>
        <r>
          <rPr>
            <sz val="8"/>
            <color indexed="81"/>
            <rFont val="Tahoma"/>
          </rPr>
          <t xml:space="preserve">
</t>
        </r>
      </text>
    </comment>
    <comment ref="B75" authorId="0">
      <text>
        <r>
          <rPr>
            <b/>
            <sz val="8"/>
            <color indexed="81"/>
            <rFont val="Tahoma"/>
          </rPr>
          <t>Robert H. Hacker:</t>
        </r>
        <r>
          <rPr>
            <sz val="8"/>
            <color indexed="81"/>
            <rFont val="Tahoma"/>
          </rPr>
          <t xml:space="preserve">
assumes 1 per acquisition</t>
        </r>
      </text>
    </comment>
    <comment ref="B87" authorId="0">
      <text>
        <r>
          <rPr>
            <b/>
            <sz val="8"/>
            <color indexed="81"/>
            <rFont val="Tahoma"/>
          </rPr>
          <t>Robert H. Hacker:</t>
        </r>
        <r>
          <rPr>
            <sz val="8"/>
            <color indexed="81"/>
            <rFont val="Tahoma"/>
          </rPr>
          <t xml:space="preserve">
Maintenance in COS OPEX</t>
        </r>
      </text>
    </comment>
    <comment ref="B93" authorId="0">
      <text>
        <r>
          <rPr>
            <b/>
            <sz val="8"/>
            <color indexed="81"/>
            <rFont val="Tahoma"/>
          </rPr>
          <t>Robert H. Hacker:</t>
        </r>
        <r>
          <rPr>
            <sz val="8"/>
            <color indexed="81"/>
            <rFont val="Tahoma"/>
          </rPr>
          <t xml:space="preserve">
includes fiber past home and cost to each house</t>
        </r>
      </text>
    </comment>
    <comment ref="B107" authorId="0">
      <text>
        <r>
          <rPr>
            <b/>
            <sz val="8"/>
            <color indexed="81"/>
            <rFont val="Tahoma"/>
          </rPr>
          <t>Robert H. Hacker:</t>
        </r>
        <r>
          <rPr>
            <sz val="8"/>
            <color indexed="81"/>
            <rFont val="Tahoma"/>
          </rPr>
          <t xml:space="preserve">
La Vega said $10/sub/month</t>
        </r>
      </text>
    </comment>
  </commentList>
</comments>
</file>

<file path=xl/comments2.xml><?xml version="1.0" encoding="utf-8"?>
<comments xmlns="http://schemas.openxmlformats.org/spreadsheetml/2006/main">
  <authors>
    <author>Robert H. Hacker</author>
  </authors>
  <commentList>
    <comment ref="A41" authorId="0">
      <text>
        <r>
          <rPr>
            <b/>
            <sz val="8"/>
            <color indexed="81"/>
            <rFont val="Tahoma"/>
          </rPr>
          <t>Robert H. Hacker:</t>
        </r>
        <r>
          <rPr>
            <sz val="8"/>
            <color indexed="81"/>
            <rFont val="Tahoma"/>
          </rPr>
          <t xml:space="preserve">
depreciation in COS</t>
        </r>
      </text>
    </comment>
    <comment ref="A169" authorId="0">
      <text>
        <r>
          <rPr>
            <b/>
            <sz val="8"/>
            <color indexed="81"/>
            <rFont val="Tahoma"/>
          </rPr>
          <t>Robert H. Hacker:</t>
        </r>
        <r>
          <rPr>
            <sz val="8"/>
            <color indexed="81"/>
            <rFont val="Tahoma"/>
          </rPr>
          <t xml:space="preserve">
need to fillin people</t>
        </r>
      </text>
    </comment>
    <comment ref="A232" authorId="0">
      <text>
        <r>
          <rPr>
            <b/>
            <sz val="8"/>
            <color indexed="81"/>
            <rFont val="Tahoma"/>
          </rPr>
          <t>Robert H. Hacker:</t>
        </r>
        <r>
          <rPr>
            <sz val="8"/>
            <color indexed="81"/>
            <rFont val="Tahoma"/>
          </rPr>
          <t xml:space="preserve">
other assetd
</t>
        </r>
      </text>
    </comment>
    <comment ref="A240" authorId="0">
      <text>
        <r>
          <rPr>
            <b/>
            <sz val="8"/>
            <color indexed="81"/>
            <rFont val="Tahoma"/>
          </rPr>
          <t>Robert H. Hacker:</t>
        </r>
        <r>
          <rPr>
            <sz val="8"/>
            <color indexed="81"/>
            <rFont val="Tahoma"/>
          </rPr>
          <t xml:space="preserve">
Other assets
</t>
        </r>
      </text>
    </comment>
  </commentList>
</comments>
</file>

<file path=xl/comments3.xml><?xml version="1.0" encoding="utf-8"?>
<comments xmlns="http://schemas.openxmlformats.org/spreadsheetml/2006/main">
  <authors>
    <author>Robert H. Hacker</author>
  </authors>
  <commentList>
    <comment ref="A14" authorId="0">
      <text>
        <r>
          <rPr>
            <b/>
            <sz val="8"/>
            <color indexed="81"/>
            <rFont val="Tahoma"/>
          </rPr>
          <t>Robert H. Hacker:</t>
        </r>
        <r>
          <rPr>
            <sz val="8"/>
            <color indexed="81"/>
            <rFont val="Tahoma"/>
          </rPr>
          <t xml:space="preserve">
captured in attrition</t>
        </r>
      </text>
    </comment>
    <comment ref="A20" authorId="0">
      <text>
        <r>
          <rPr>
            <b/>
            <sz val="8"/>
            <color indexed="81"/>
            <rFont val="Tahoma"/>
          </rPr>
          <t>Robert H. Hacker:</t>
        </r>
        <r>
          <rPr>
            <sz val="8"/>
            <color indexed="81"/>
            <rFont val="Tahoma"/>
          </rPr>
          <t xml:space="preserve">
included in professional fees
</t>
        </r>
      </text>
    </comment>
    <comment ref="A26" authorId="0">
      <text>
        <r>
          <rPr>
            <b/>
            <sz val="8"/>
            <color indexed="81"/>
            <rFont val="Tahoma"/>
          </rPr>
          <t>Robert H. Hacker:</t>
        </r>
        <r>
          <rPr>
            <sz val="8"/>
            <color indexed="81"/>
            <rFont val="Tahoma"/>
          </rPr>
          <t xml:space="preserve">
included in utilities COS</t>
        </r>
      </text>
    </comment>
    <comment ref="B97" authorId="0">
      <text>
        <r>
          <rPr>
            <b/>
            <sz val="8"/>
            <color indexed="81"/>
            <rFont val="Tahoma"/>
          </rPr>
          <t>Robert H. Hacker:</t>
        </r>
        <r>
          <rPr>
            <sz val="8"/>
            <color indexed="81"/>
            <rFont val="Tahoma"/>
          </rPr>
          <t xml:space="preserve">
voice/data customers intentionally double counted</t>
        </r>
      </text>
    </comment>
    <comment ref="A104" authorId="0">
      <text>
        <r>
          <rPr>
            <b/>
            <sz val="8"/>
            <color indexed="81"/>
            <rFont val="Tahoma"/>
          </rPr>
          <t>Robert H. Hacker:</t>
        </r>
        <r>
          <rPr>
            <sz val="8"/>
            <color indexed="81"/>
            <rFont val="Tahoma"/>
          </rPr>
          <t xml:space="preserve">
may include 2 offices-La Vega and SD</t>
        </r>
      </text>
    </comment>
  </commentList>
</comments>
</file>

<file path=xl/sharedStrings.xml><?xml version="1.0" encoding="utf-8"?>
<sst xmlns="http://schemas.openxmlformats.org/spreadsheetml/2006/main" count="503" uniqueCount="362">
  <si>
    <t>US$</t>
  </si>
  <si>
    <t>Cable Service</t>
  </si>
  <si>
    <t>ARPU</t>
  </si>
  <si>
    <t>Attrition</t>
  </si>
  <si>
    <t>Customer Acquisition cost</t>
  </si>
  <si>
    <t>Data Service</t>
  </si>
  <si>
    <t>% with Data</t>
  </si>
  <si>
    <t>Existing Subscribers</t>
  </si>
  <si>
    <t>Voice Service</t>
  </si>
  <si>
    <t>% with Voice</t>
  </si>
  <si>
    <t>Customer Acquisition Cost</t>
  </si>
  <si>
    <t>Subs_Roaming Other Networks</t>
  </si>
  <si>
    <t>Subs-International Minutes</t>
  </si>
  <si>
    <t>Voice Minute Costs</t>
  </si>
  <si>
    <t>Local Termination-Off Net</t>
  </si>
  <si>
    <t>International Calls</t>
  </si>
  <si>
    <t>Voice Revenue/Minute</t>
  </si>
  <si>
    <t>Subs-International Calls</t>
  </si>
  <si>
    <t>Voice Minutes Subscriber/Month</t>
  </si>
  <si>
    <t>Roaming</t>
  </si>
  <si>
    <t>Increase per Year</t>
  </si>
  <si>
    <t>Cable</t>
  </si>
  <si>
    <t>Data</t>
  </si>
  <si>
    <t>Voice</t>
  </si>
  <si>
    <t>Cost per Data Trunk</t>
  </si>
  <si>
    <t>Cost per Voice Trunk</t>
  </si>
  <si>
    <t>AR DOH</t>
  </si>
  <si>
    <t>AP DOH</t>
  </si>
  <si>
    <t>Voice CMTS Initial Cost</t>
  </si>
  <si>
    <t>CMTS Cost Per Subscriber</t>
  </si>
  <si>
    <t>CMTS Initial Capacity Subs</t>
  </si>
  <si>
    <t>CMTS Max Capacity Subs</t>
  </si>
  <si>
    <t>CPE-Cable Modem</t>
  </si>
  <si>
    <t>CPE-Router</t>
  </si>
  <si>
    <t>Customer Premise Equipment</t>
  </si>
  <si>
    <t>Edge Router/Subs</t>
  </si>
  <si>
    <t>Edge Router Cost</t>
  </si>
  <si>
    <t>CPE-Voice Adaptor</t>
  </si>
  <si>
    <t>CAPEX Headend</t>
  </si>
  <si>
    <t>Voicemail</t>
  </si>
  <si>
    <t>Provisioning</t>
  </si>
  <si>
    <t>Miscellaneous Equipment</t>
  </si>
  <si>
    <t>% with Voice &amp; Data</t>
  </si>
  <si>
    <t>Cable Content</t>
  </si>
  <si>
    <t>Cost per Subscriber</t>
  </si>
  <si>
    <t>Revenue</t>
  </si>
  <si>
    <t>Cost of Sales</t>
  </si>
  <si>
    <t>Gross Margin</t>
  </si>
  <si>
    <t>Operating Expenses</t>
  </si>
  <si>
    <t>Advertising &amp; Promotion</t>
  </si>
  <si>
    <t>Auto</t>
  </si>
  <si>
    <t>Bad Debts</t>
  </si>
  <si>
    <t>Bank Service Charges</t>
  </si>
  <si>
    <t>Consultants</t>
  </si>
  <si>
    <t>Employee Benefits</t>
  </si>
  <si>
    <t>Equipment Leases</t>
  </si>
  <si>
    <t>Insurance</t>
  </si>
  <si>
    <t>Legal</t>
  </si>
  <si>
    <t>Office Rent</t>
  </si>
  <si>
    <t>Office Supplies</t>
  </si>
  <si>
    <t>Professional Fees</t>
  </si>
  <si>
    <t>Salaries</t>
  </si>
  <si>
    <t>Subscription/Membership</t>
  </si>
  <si>
    <t>Telephone</t>
  </si>
  <si>
    <t>Travel &amp; Entertainmnet</t>
  </si>
  <si>
    <t>Other</t>
  </si>
  <si>
    <t>Total</t>
  </si>
  <si>
    <t>Operating Income</t>
  </si>
  <si>
    <t>Interest Expense</t>
  </si>
  <si>
    <t>Income Before Taxes</t>
  </si>
  <si>
    <t>Income Taxes</t>
  </si>
  <si>
    <t>Net Income</t>
  </si>
  <si>
    <t>EBITDA</t>
  </si>
  <si>
    <t>Balance Sheet</t>
  </si>
  <si>
    <t>Assets</t>
  </si>
  <si>
    <t>Current Assets</t>
  </si>
  <si>
    <t>Cash</t>
  </si>
  <si>
    <t>Accounts Receivable</t>
  </si>
  <si>
    <t>Inventory</t>
  </si>
  <si>
    <t>Prepaid Expenses</t>
  </si>
  <si>
    <t>Total Current Assets</t>
  </si>
  <si>
    <t>Property, Plant &amp; Equipment</t>
  </si>
  <si>
    <t>Property</t>
  </si>
  <si>
    <t>Plant &amp; Equipment</t>
  </si>
  <si>
    <t>Accumulated Depreciation</t>
  </si>
  <si>
    <t>Net PP&amp;E</t>
  </si>
  <si>
    <t>Other Assets</t>
  </si>
  <si>
    <t>Total Assets</t>
  </si>
  <si>
    <t>Liabilities &amp; Shareholders Equity</t>
  </si>
  <si>
    <t>Current Liabilities</t>
  </si>
  <si>
    <t>Line of Credit</t>
  </si>
  <si>
    <t>CPLTD</t>
  </si>
  <si>
    <t>Accounts Payable</t>
  </si>
  <si>
    <t>Accrued Expenses</t>
  </si>
  <si>
    <t>Income Taxes Payable</t>
  </si>
  <si>
    <t>Total Current Liabilities</t>
  </si>
  <si>
    <t>Long Term Liabilities</t>
  </si>
  <si>
    <t>Long Term Debt</t>
  </si>
  <si>
    <t>Due to Shareholders</t>
  </si>
  <si>
    <t>Total Long Term Liabilities</t>
  </si>
  <si>
    <t>Total Liabilities</t>
  </si>
  <si>
    <t>Stockholders' Equity / (Deficit):</t>
  </si>
  <si>
    <t>Common Stock</t>
  </si>
  <si>
    <t>Preferred Series A</t>
  </si>
  <si>
    <t>Preferred Series B &amp; D</t>
  </si>
  <si>
    <t>Additional Paid in Capital</t>
  </si>
  <si>
    <t>Retained Earnings/(Deficit)</t>
  </si>
  <si>
    <t>Net Income / (Loss)</t>
  </si>
  <si>
    <t>Total Stockholders' Equity / (Deficit)</t>
  </si>
  <si>
    <t>Total Liabilities and Stockholders' Equity / (Deficit)</t>
  </si>
  <si>
    <t>Check Total</t>
  </si>
  <si>
    <t>Working Capital</t>
  </si>
  <si>
    <t>Current Ratio</t>
  </si>
  <si>
    <t>Funded Debt</t>
  </si>
  <si>
    <t>Funded Debt/Equity</t>
  </si>
  <si>
    <t>Additions</t>
  </si>
  <si>
    <t>Ending</t>
  </si>
  <si>
    <t>Voice/Data</t>
  </si>
  <si>
    <t>Subscribers Other-Net of Attrition</t>
  </si>
  <si>
    <t>ARPU Voice</t>
  </si>
  <si>
    <t>ARPU Voice/Data</t>
  </si>
  <si>
    <t>Total Voice</t>
  </si>
  <si>
    <t>Revenue Subscription Fee</t>
  </si>
  <si>
    <t>Revenue Minutes</t>
  </si>
  <si>
    <t>Grand Total Revenue</t>
  </si>
  <si>
    <t xml:space="preserve">Opening Subscribers </t>
  </si>
  <si>
    <t>Detail</t>
  </si>
  <si>
    <t>Voice Variable</t>
  </si>
  <si>
    <t>Termination Off Net</t>
  </si>
  <si>
    <t>Termination Roaming</t>
  </si>
  <si>
    <t>Termination International</t>
  </si>
  <si>
    <t>Roaming Other Net</t>
  </si>
  <si>
    <t>Minutes/Subscriber</t>
  </si>
  <si>
    <t>Revenue/Minute</t>
  </si>
  <si>
    <t>Termination on our Network</t>
  </si>
  <si>
    <t>Cable Variable</t>
  </si>
  <si>
    <t>Content</t>
  </si>
  <si>
    <t>Data Variable</t>
  </si>
  <si>
    <t>Cost</t>
  </si>
  <si>
    <t>Total Variable Cost</t>
  </si>
  <si>
    <t>Trunks</t>
  </si>
  <si>
    <t>Data Fixed Cost</t>
  </si>
  <si>
    <t>Voice Fixed Cost</t>
  </si>
  <si>
    <t>OPEX Cost of Sales</t>
  </si>
  <si>
    <t>Depreciation Cost of Sales</t>
  </si>
  <si>
    <t>Grand Total Cost of Sales</t>
  </si>
  <si>
    <t>Capex</t>
  </si>
  <si>
    <t>CMTS Units</t>
  </si>
  <si>
    <t>CMTS Cards</t>
  </si>
  <si>
    <t>CMTS Unit Cost</t>
  </si>
  <si>
    <t>CMTS Card Cost</t>
  </si>
  <si>
    <t>Subscriber Construction Cost</t>
  </si>
  <si>
    <t>Penetration per Households</t>
  </si>
  <si>
    <t>Cost per Household</t>
  </si>
  <si>
    <t>Acquired Subscribers</t>
  </si>
  <si>
    <t>Year</t>
  </si>
  <si>
    <t>Organic Growth %</t>
  </si>
  <si>
    <t>Organic Sub Adds</t>
  </si>
  <si>
    <t>New Households Passed</t>
  </si>
  <si>
    <t>Acq. Subscribers Cable</t>
  </si>
  <si>
    <t>Total Opening Subscribers-Cable</t>
  </si>
  <si>
    <t>Annual Reduction Starting Year 2</t>
  </si>
  <si>
    <t>Premium Services</t>
  </si>
  <si>
    <t>Local Termination-On Net</t>
  </si>
  <si>
    <t>Termination on Net</t>
  </si>
  <si>
    <t>Termination Revenue Non-subscribers</t>
  </si>
  <si>
    <t>Trunks Interconnection</t>
  </si>
  <si>
    <t xml:space="preserve">Trunks </t>
  </si>
  <si>
    <t>Voice subscribers/Trunk E-1</t>
  </si>
  <si>
    <t>Data Subscribers/Trunk E-1</t>
  </si>
  <si>
    <t>Carrier Interconnections Voice</t>
  </si>
  <si>
    <t>Organic Adds Subscribers Cable</t>
  </si>
  <si>
    <t>Total Data</t>
  </si>
  <si>
    <t>Edge Routers</t>
  </si>
  <si>
    <t>Core Routers</t>
  </si>
  <si>
    <t>Core Router Cost</t>
  </si>
  <si>
    <t>CAPEX</t>
  </si>
  <si>
    <t>Subs-Terminating Off Net Minutes</t>
  </si>
  <si>
    <t>Subs-Terminating On Net Minutes</t>
  </si>
  <si>
    <t>Subs_Roaming Other Networks Minutes</t>
  </si>
  <si>
    <t>Total Call Minutes per Month</t>
  </si>
  <si>
    <t>Session Border Controller</t>
  </si>
  <si>
    <t>Session Border Controller Cost</t>
  </si>
  <si>
    <t>Softswitch</t>
  </si>
  <si>
    <t>Voice Mail Server</t>
  </si>
  <si>
    <t>Voice Provisioning System</t>
  </si>
  <si>
    <t>Softswitch cost</t>
  </si>
  <si>
    <t>Voice Provisioning System Cost</t>
  </si>
  <si>
    <t>Voice Mail Server Cost</t>
  </si>
  <si>
    <t>Soft Switch Initial Payment</t>
  </si>
  <si>
    <t>Soft Switch Cost Per Subscriber</t>
  </si>
  <si>
    <t>CPE Equipment</t>
  </si>
  <si>
    <t>Cable Modems</t>
  </si>
  <si>
    <t>Cable Modem Cost</t>
  </si>
  <si>
    <t>Voice Adaptors</t>
  </si>
  <si>
    <t>Voice Adaptor Cost</t>
  </si>
  <si>
    <t>Small Routers</t>
  </si>
  <si>
    <t>Small Routers Cost</t>
  </si>
  <si>
    <t>New Cable</t>
  </si>
  <si>
    <t>Households Passed</t>
  </si>
  <si>
    <t>Additional Subscribers</t>
  </si>
  <si>
    <t>New Fiber</t>
  </si>
  <si>
    <t>Ethernet Radios</t>
  </si>
  <si>
    <t>Soft Switch Maintenance</t>
  </si>
  <si>
    <t>Soft Switch Maintenance per Year</t>
  </si>
  <si>
    <t>Units</t>
  </si>
  <si>
    <t>Startup Costs</t>
  </si>
  <si>
    <t>Billing system</t>
  </si>
  <si>
    <t xml:space="preserve">Telecom License </t>
  </si>
  <si>
    <t>Miscellaneous Costs</t>
  </si>
  <si>
    <t>Billing System Maintenance</t>
  </si>
  <si>
    <t>Depreciation Life Months</t>
  </si>
  <si>
    <t>Asset</t>
  </si>
  <si>
    <t>Acquired Assets</t>
  </si>
  <si>
    <t>PPE/Acquisition</t>
  </si>
  <si>
    <t>Cumulative Value</t>
  </si>
  <si>
    <t>Purchase Price</t>
  </si>
  <si>
    <t>Goodwill</t>
  </si>
  <si>
    <t>Cumulative Goodwill</t>
  </si>
  <si>
    <t>Depreciation</t>
  </si>
  <si>
    <t>Cumulative Depreciation</t>
  </si>
  <si>
    <t>Total Assets for PPE</t>
  </si>
  <si>
    <t>Advertising Revenue per Sub</t>
  </si>
  <si>
    <t>Advertising Revenue</t>
  </si>
  <si>
    <t>Cable Subscribers</t>
  </si>
  <si>
    <t>OPEX</t>
  </si>
  <si>
    <t>Revenue and COS Detail</t>
  </si>
  <si>
    <t>Detail OPEX</t>
  </si>
  <si>
    <t>Staffing</t>
  </si>
  <si>
    <t>Engineers Headend</t>
  </si>
  <si>
    <t>Salary per Month</t>
  </si>
  <si>
    <t>Field Techs</t>
  </si>
  <si>
    <t>Customer Service</t>
  </si>
  <si>
    <t>Lab Testing</t>
  </si>
  <si>
    <t>Accounting/Collections</t>
  </si>
  <si>
    <t>Management</t>
  </si>
  <si>
    <t>CEO</t>
  </si>
  <si>
    <t>CTO</t>
  </si>
  <si>
    <t>Controller</t>
  </si>
  <si>
    <t>Marketing</t>
  </si>
  <si>
    <t>General Manager</t>
  </si>
  <si>
    <t>Govt. Relations</t>
  </si>
  <si>
    <t>Annual</t>
  </si>
  <si>
    <t>Miscellaneous</t>
  </si>
  <si>
    <t>Benefits</t>
  </si>
  <si>
    <t>Fuel, Auto, Repairs</t>
  </si>
  <si>
    <t>Fuel, Trucks, Repairs</t>
  </si>
  <si>
    <t>Trucks</t>
  </si>
  <si>
    <t>Purchased Units</t>
  </si>
  <si>
    <t>Commissions Sales and Collections</t>
  </si>
  <si>
    <t>Staff Headcount Total</t>
  </si>
  <si>
    <t>Uniforms</t>
  </si>
  <si>
    <t>Grand Total Salaries</t>
  </si>
  <si>
    <t>Sales</t>
  </si>
  <si>
    <t>Sales Manager</t>
  </si>
  <si>
    <t>Collections Manager</t>
  </si>
  <si>
    <t>Customer Service Manager</t>
  </si>
  <si>
    <t>Total Management</t>
  </si>
  <si>
    <t>New subs</t>
  </si>
  <si>
    <t>Total Acquisition Cost</t>
  </si>
  <si>
    <t>Purchase Price Paid in New Stock</t>
  </si>
  <si>
    <t>Equipment Maintenance</t>
  </si>
  <si>
    <t>Installacion Fees</t>
  </si>
  <si>
    <t>Installation Fee</t>
  </si>
  <si>
    <t>New Subs</t>
  </si>
  <si>
    <t>Utilities</t>
  </si>
  <si>
    <t>Travel</t>
  </si>
  <si>
    <t>Insurance Property-??</t>
  </si>
  <si>
    <t>AR</t>
  </si>
  <si>
    <t>AP</t>
  </si>
  <si>
    <t>Miscellaneous Equipment/Software, etc.</t>
  </si>
  <si>
    <t>Other Expenses</t>
  </si>
  <si>
    <t>Cash provided by (used in)</t>
  </si>
  <si>
    <t>Operating activities</t>
  </si>
  <si>
    <t>Net income (loss) for the period</t>
  </si>
  <si>
    <t>Non-cash transactions</t>
  </si>
  <si>
    <t>Amortization</t>
  </si>
  <si>
    <t>Non-cash interest accrued</t>
  </si>
  <si>
    <t>Sub-total</t>
  </si>
  <si>
    <t>Changes in assets and liabilities</t>
  </si>
  <si>
    <t>Accounts receivable</t>
  </si>
  <si>
    <t>Inventories</t>
  </si>
  <si>
    <t>Prepaid expenses</t>
  </si>
  <si>
    <t>Accounts payable</t>
  </si>
  <si>
    <t>Accrued expenses</t>
  </si>
  <si>
    <t>Income taxes payable</t>
  </si>
  <si>
    <t>Total Operating Activities</t>
  </si>
  <si>
    <t>Investing Activities</t>
  </si>
  <si>
    <t>Purchase of PPE</t>
  </si>
  <si>
    <t>Leasehold improvements</t>
  </si>
  <si>
    <t>Financing activities</t>
  </si>
  <si>
    <t>Line of credit</t>
  </si>
  <si>
    <t>Proceeds from stock</t>
  </si>
  <si>
    <t>Due to shareholders</t>
  </si>
  <si>
    <t>Increase (decrease) in cash during period</t>
  </si>
  <si>
    <t>Cash beginning of period</t>
  </si>
  <si>
    <t>Cash end of period</t>
  </si>
  <si>
    <t>Cash Flow Statement</t>
  </si>
  <si>
    <t>Sources and Uses</t>
  </si>
  <si>
    <t xml:space="preserve">Sources </t>
  </si>
  <si>
    <t>Uses</t>
  </si>
  <si>
    <t>Shares for Company Acquired</t>
  </si>
  <si>
    <t>Startup Equipment</t>
  </si>
  <si>
    <t>Closing Costs</t>
  </si>
  <si>
    <t>Telecom License</t>
  </si>
  <si>
    <t>Term Loan</t>
  </si>
  <si>
    <t>Mezzanine Debt</t>
  </si>
  <si>
    <t>Debt Schedule</t>
  </si>
  <si>
    <t>Opening Balance</t>
  </si>
  <si>
    <t>Drawdowns</t>
  </si>
  <si>
    <t>Repayments</t>
  </si>
  <si>
    <t>Closing Balance</t>
  </si>
  <si>
    <t>Book Balance</t>
  </si>
  <si>
    <t>P&amp;L, Balance Sheet, Debt Schedule</t>
  </si>
  <si>
    <t>Debt Schedule Row 246</t>
  </si>
  <si>
    <t>Debt financing for subsequent years is on "Financial Statements" tab Row 246</t>
  </si>
  <si>
    <t>Values in Black are Hacker's assumptions and flow through the model</t>
  </si>
  <si>
    <t>Assumptions throughout the model are in blue and are included in the Assumptions and OPEX tabs;</t>
  </si>
  <si>
    <t>Debt drawdowns row 248 needs to be manually adjusted to change cash position</t>
  </si>
  <si>
    <t>Values in Blue are from assumptions elsewhere in model; changes on this page to blue values have no affect on model</t>
  </si>
  <si>
    <t>a few assumptions are on the Financial Statements tab</t>
  </si>
  <si>
    <t>Cost per Subscriber Acquired</t>
  </si>
  <si>
    <t>Net Asset Value Acquired per Acquisition</t>
  </si>
  <si>
    <t>Net Sales Revenue</t>
  </si>
  <si>
    <t xml:space="preserve">Gross Profit </t>
  </si>
  <si>
    <t>Pre-Tax Income</t>
  </si>
  <si>
    <t xml:space="preserve">EBITDA </t>
  </si>
  <si>
    <t>% Growth Revenue</t>
  </si>
  <si>
    <t>na</t>
  </si>
  <si>
    <t>% Gross Profit/Revenue</t>
  </si>
  <si>
    <t>% EBITDA/Revenue</t>
  </si>
  <si>
    <t>PP&amp;E</t>
  </si>
  <si>
    <t>AR &amp; Inventory Financing</t>
  </si>
  <si>
    <t>Total Funded Debt</t>
  </si>
  <si>
    <t>Related Party Debt</t>
  </si>
  <si>
    <t xml:space="preserve">Total Debt </t>
  </si>
  <si>
    <t xml:space="preserve">Equity </t>
  </si>
  <si>
    <t xml:space="preserve">Debt/Equity Ratio </t>
  </si>
  <si>
    <t>EBITDA/Interest Expense</t>
  </si>
  <si>
    <t>12 Mos.</t>
  </si>
  <si>
    <t>Forecast</t>
  </si>
  <si>
    <t>Financial Summary</t>
  </si>
  <si>
    <t>Funded Debt/EBITDA Annualized</t>
  </si>
  <si>
    <t>Total Debt/EBITDA Annualized</t>
  </si>
  <si>
    <t>Assumptions, Summary Financials, Return Calculations</t>
  </si>
  <si>
    <t>Summary Financials and Return Calculations are on the Assumptions Tab</t>
  </si>
  <si>
    <t>Model is not formatted for printing</t>
  </si>
  <si>
    <t>% Attrition</t>
  </si>
  <si>
    <t>Cost to individual Home</t>
  </si>
  <si>
    <t>To house cost</t>
  </si>
  <si>
    <t>Fiber cost</t>
  </si>
  <si>
    <t>Long fiber</t>
  </si>
  <si>
    <t>Miles</t>
  </si>
  <si>
    <t>Long Run Fiber</t>
  </si>
  <si>
    <t>Start date</t>
  </si>
  <si>
    <t>2 Way FIBER/RF Upgrade Cost Per Mile</t>
  </si>
  <si>
    <t>2 Way Miles per Subscriber</t>
  </si>
  <si>
    <t>2 Way Fiber/RF Cost</t>
  </si>
  <si>
    <t>2 Way Fiber</t>
  </si>
  <si>
    <t>Cumulative New subs</t>
  </si>
  <si>
    <t>Purchase of XXX</t>
  </si>
  <si>
    <t>New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</si>
</sst>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* #,##0.0_);_(* \(#,##0.0\);_(* &quot;-&quot;??_);_(@_)"/>
    <numFmt numFmtId="173" formatCode="_(* #,##0_);_(* \(#,##0\);_(* &quot;-&quot;??_);_(@_)"/>
    <numFmt numFmtId="177" formatCode="[$-409]mmm\-yy;@"/>
    <numFmt numFmtId="179" formatCode="_(&quot;$&quot;* #,##0_);_(&quot;$&quot;* \(#,##0\);_(&quot;$&quot;* &quot;-&quot;??_);_(@_)"/>
    <numFmt numFmtId="182" formatCode="0.0%"/>
  </numFmts>
  <fonts count="24" x14ac:knownFonts="1">
    <font>
      <sz val="10"/>
      <name val="Arial Narrow"/>
    </font>
    <font>
      <sz val="10"/>
      <name val="Arial Narrow"/>
    </font>
    <font>
      <sz val="8"/>
      <name val="Arial Narrow"/>
    </font>
    <font>
      <b/>
      <sz val="10"/>
      <name val="Arial Narrow"/>
      <family val="2"/>
    </font>
    <font>
      <sz val="8"/>
      <color indexed="81"/>
      <name val="Tahoma"/>
    </font>
    <font>
      <b/>
      <sz val="8"/>
      <color indexed="81"/>
      <name val="Tahoma"/>
    </font>
    <font>
      <sz val="9.75"/>
      <name val="Helvetica"/>
    </font>
    <font>
      <b/>
      <sz val="10"/>
      <color indexed="12"/>
      <name val="Arial Narrow"/>
      <family val="2"/>
    </font>
    <font>
      <b/>
      <sz val="10"/>
      <color indexed="52"/>
      <name val="Arial Narrow"/>
      <family val="2"/>
    </font>
    <font>
      <b/>
      <sz val="16"/>
      <name val="Arial Narrow"/>
      <family val="2"/>
    </font>
    <font>
      <b/>
      <sz val="16"/>
      <color indexed="12"/>
      <name val="Arial Narrow"/>
      <family val="2"/>
    </font>
    <font>
      <sz val="16"/>
      <name val="Arial Narrow"/>
    </font>
    <font>
      <sz val="16"/>
      <name val="Arial Narrow"/>
      <family val="2"/>
    </font>
    <font>
      <sz val="16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6"/>
      <color indexed="8"/>
      <name val="Arial Narrow"/>
      <family val="2"/>
    </font>
    <font>
      <i/>
      <sz val="16"/>
      <color indexed="8"/>
      <name val="Times New Roman"/>
      <family val="1"/>
    </font>
    <font>
      <b/>
      <sz val="16"/>
      <name val="Arial"/>
      <family val="2"/>
    </font>
    <font>
      <sz val="16"/>
      <name val="Arial"/>
    </font>
    <font>
      <b/>
      <sz val="16"/>
      <color indexed="10"/>
      <name val="Arial Narrow"/>
      <family val="2"/>
    </font>
    <font>
      <b/>
      <u/>
      <sz val="16"/>
      <name val="Arial Narrow"/>
      <family val="2"/>
    </font>
    <font>
      <u/>
      <sz val="16"/>
      <name val="Arial Narrow"/>
      <family val="2"/>
    </font>
    <font>
      <sz val="16"/>
      <name val="Arial"/>
      <family val="2"/>
    </font>
    <font>
      <u/>
      <sz val="16"/>
      <name val="Arial Narrow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</cellStyleXfs>
  <cellXfs count="165">
    <xf numFmtId="0" fontId="0" fillId="0" borderId="0" xfId="0"/>
    <xf numFmtId="0" fontId="3" fillId="0" borderId="0" xfId="0" applyFont="1"/>
    <xf numFmtId="0" fontId="7" fillId="0" borderId="0" xfId="0" applyFont="1"/>
    <xf numFmtId="171" fontId="3" fillId="0" borderId="0" xfId="1" applyNumberFormat="1" applyFont="1" applyFill="1" applyBorder="1"/>
    <xf numFmtId="171" fontId="7" fillId="0" borderId="0" xfId="1" applyNumberFormat="1" applyFont="1" applyFill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71" fontId="11" fillId="0" borderId="0" xfId="1" applyNumberFormat="1" applyFont="1"/>
    <xf numFmtId="171" fontId="10" fillId="0" borderId="0" xfId="1" applyNumberFormat="1" applyFont="1"/>
    <xf numFmtId="171" fontId="9" fillId="0" borderId="1" xfId="1" applyNumberFormat="1" applyFont="1" applyBorder="1" applyAlignment="1">
      <alignment horizontal="right"/>
    </xf>
    <xf numFmtId="1" fontId="9" fillId="0" borderId="2" xfId="1" applyNumberFormat="1" applyFont="1" applyBorder="1" applyAlignment="1">
      <alignment horizontal="center"/>
    </xf>
    <xf numFmtId="1" fontId="9" fillId="0" borderId="3" xfId="1" applyNumberFormat="1" applyFont="1" applyBorder="1" applyAlignment="1">
      <alignment horizontal="center"/>
    </xf>
    <xf numFmtId="171" fontId="9" fillId="0" borderId="0" xfId="1" applyNumberFormat="1" applyFont="1"/>
    <xf numFmtId="171" fontId="9" fillId="0" borderId="4" xfId="1" applyNumberFormat="1" applyFont="1" applyBorder="1"/>
    <xf numFmtId="173" fontId="10" fillId="0" borderId="0" xfId="1" applyNumberFormat="1" applyFont="1" applyBorder="1"/>
    <xf numFmtId="173" fontId="10" fillId="0" borderId="5" xfId="1" applyNumberFormat="1" applyFont="1" applyBorder="1"/>
    <xf numFmtId="171" fontId="11" fillId="0" borderId="0" xfId="1" applyNumberFormat="1" applyFont="1" applyAlignment="1">
      <alignment horizontal="left" indent="1"/>
    </xf>
    <xf numFmtId="170" fontId="10" fillId="0" borderId="0" xfId="2" applyFont="1"/>
    <xf numFmtId="9" fontId="10" fillId="0" borderId="0" xfId="4" applyFont="1"/>
    <xf numFmtId="171" fontId="11" fillId="0" borderId="4" xfId="1" applyNumberFormat="1" applyFont="1" applyBorder="1"/>
    <xf numFmtId="171" fontId="11" fillId="0" borderId="0" xfId="1" applyNumberFormat="1" applyFont="1" applyBorder="1"/>
    <xf numFmtId="171" fontId="11" fillId="0" borderId="5" xfId="1" applyNumberFormat="1" applyFont="1" applyBorder="1"/>
    <xf numFmtId="9" fontId="10" fillId="0" borderId="0" xfId="4" applyFont="1" applyBorder="1"/>
    <xf numFmtId="9" fontId="10" fillId="0" borderId="5" xfId="4" applyFont="1" applyBorder="1"/>
    <xf numFmtId="171" fontId="12" fillId="0" borderId="0" xfId="1" applyNumberFormat="1" applyFont="1"/>
    <xf numFmtId="171" fontId="9" fillId="0" borderId="6" xfId="1" applyNumberFormat="1" applyFont="1" applyBorder="1"/>
    <xf numFmtId="173" fontId="10" fillId="0" borderId="7" xfId="1" applyNumberFormat="1" applyFont="1" applyBorder="1"/>
    <xf numFmtId="173" fontId="10" fillId="0" borderId="8" xfId="1" applyNumberFormat="1" applyFont="1" applyBorder="1"/>
    <xf numFmtId="171" fontId="9" fillId="0" borderId="0" xfId="1" applyNumberFormat="1" applyFont="1" applyBorder="1"/>
    <xf numFmtId="179" fontId="10" fillId="0" borderId="0" xfId="2" applyNumberFormat="1" applyFont="1" applyBorder="1"/>
    <xf numFmtId="0" fontId="9" fillId="0" borderId="0" xfId="0" applyFont="1" applyFill="1" applyAlignment="1"/>
    <xf numFmtId="171" fontId="9" fillId="0" borderId="0" xfId="1" applyNumberFormat="1" applyFont="1" applyBorder="1" applyAlignment="1">
      <alignment horizontal="left"/>
    </xf>
    <xf numFmtId="0" fontId="13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171" fontId="12" fillId="0" borderId="0" xfId="1" applyNumberFormat="1" applyFont="1" applyAlignment="1">
      <alignment horizontal="left" indent="1"/>
    </xf>
    <xf numFmtId="0" fontId="13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3" fillId="0" borderId="13" xfId="0" applyFont="1" applyBorder="1"/>
    <xf numFmtId="173" fontId="13" fillId="0" borderId="14" xfId="1" applyNumberFormat="1" applyFont="1" applyBorder="1" applyAlignment="1"/>
    <xf numFmtId="173" fontId="13" fillId="0" borderId="14" xfId="1" applyNumberFormat="1" applyFont="1" applyBorder="1" applyAlignment="1">
      <alignment horizontal="center"/>
    </xf>
    <xf numFmtId="173" fontId="11" fillId="0" borderId="15" xfId="1" applyNumberFormat="1" applyFont="1" applyBorder="1"/>
    <xf numFmtId="0" fontId="13" fillId="0" borderId="16" xfId="0" applyFont="1" applyBorder="1"/>
    <xf numFmtId="173" fontId="13" fillId="0" borderId="0" xfId="1" applyNumberFormat="1" applyFont="1" applyBorder="1" applyAlignment="1"/>
    <xf numFmtId="173" fontId="13" fillId="0" borderId="0" xfId="1" applyNumberFormat="1" applyFont="1" applyBorder="1" applyAlignment="1">
      <alignment horizontal="center"/>
    </xf>
    <xf numFmtId="173" fontId="11" fillId="0" borderId="17" xfId="1" applyNumberFormat="1" applyFont="1" applyBorder="1"/>
    <xf numFmtId="171" fontId="11" fillId="0" borderId="0" xfId="1" applyNumberFormat="1" applyFont="1" applyFill="1" applyAlignment="1">
      <alignment horizontal="left" indent="1"/>
    </xf>
    <xf numFmtId="0" fontId="13" fillId="2" borderId="16" xfId="0" applyFont="1" applyFill="1" applyBorder="1"/>
    <xf numFmtId="0" fontId="13" fillId="2" borderId="0" xfId="0" applyFont="1" applyFill="1" applyBorder="1"/>
    <xf numFmtId="171" fontId="11" fillId="2" borderId="0" xfId="1" applyNumberFormat="1" applyFont="1" applyFill="1" applyBorder="1"/>
    <xf numFmtId="171" fontId="11" fillId="2" borderId="17" xfId="1" applyNumberFormat="1" applyFont="1" applyFill="1" applyBorder="1"/>
    <xf numFmtId="0" fontId="16" fillId="0" borderId="0" xfId="0" applyFont="1" applyFill="1" applyBorder="1" applyAlignment="1">
      <alignment horizontal="right"/>
    </xf>
    <xf numFmtId="9" fontId="11" fillId="0" borderId="0" xfId="4" applyFont="1" applyBorder="1"/>
    <xf numFmtId="9" fontId="11" fillId="0" borderId="17" xfId="4" applyFont="1" applyBorder="1"/>
    <xf numFmtId="182" fontId="13" fillId="0" borderId="0" xfId="4" applyNumberFormat="1" applyFont="1" applyFill="1" applyBorder="1" applyAlignment="1">
      <alignment horizontal="right"/>
    </xf>
    <xf numFmtId="182" fontId="13" fillId="0" borderId="17" xfId="4" applyNumberFormat="1" applyFont="1" applyFill="1" applyBorder="1" applyAlignment="1">
      <alignment horizontal="right"/>
    </xf>
    <xf numFmtId="182" fontId="13" fillId="0" borderId="0" xfId="0" applyNumberFormat="1" applyFont="1" applyFill="1" applyBorder="1" applyAlignment="1">
      <alignment horizontal="right"/>
    </xf>
    <xf numFmtId="182" fontId="13" fillId="0" borderId="17" xfId="0" applyNumberFormat="1" applyFont="1" applyFill="1" applyBorder="1" applyAlignment="1">
      <alignment horizontal="right"/>
    </xf>
    <xf numFmtId="173" fontId="13" fillId="0" borderId="0" xfId="1" applyNumberFormat="1" applyFont="1" applyFill="1" applyBorder="1" applyAlignment="1">
      <alignment horizontal="right"/>
    </xf>
    <xf numFmtId="173" fontId="11" fillId="0" borderId="0" xfId="1" applyNumberFormat="1" applyFont="1" applyBorder="1"/>
    <xf numFmtId="173" fontId="13" fillId="0" borderId="17" xfId="1" applyNumberFormat="1" applyFont="1" applyFill="1" applyBorder="1" applyAlignment="1">
      <alignment horizontal="right"/>
    </xf>
    <xf numFmtId="172" fontId="13" fillId="0" borderId="0" xfId="1" applyNumberFormat="1" applyFont="1" applyFill="1" applyBorder="1" applyAlignment="1">
      <alignment horizontal="right"/>
    </xf>
    <xf numFmtId="172" fontId="11" fillId="0" borderId="0" xfId="1" applyNumberFormat="1" applyFont="1" applyBorder="1"/>
    <xf numFmtId="172" fontId="11" fillId="0" borderId="17" xfId="1" applyNumberFormat="1" applyFont="1" applyBorder="1"/>
    <xf numFmtId="173" fontId="10" fillId="0" borderId="0" xfId="1" applyNumberFormat="1" applyFont="1"/>
    <xf numFmtId="9" fontId="10" fillId="0" borderId="0" xfId="4" applyFont="1" applyFill="1"/>
    <xf numFmtId="172" fontId="13" fillId="0" borderId="17" xfId="1" applyNumberFormat="1" applyFont="1" applyFill="1" applyBorder="1" applyAlignment="1">
      <alignment horizontal="right"/>
    </xf>
    <xf numFmtId="0" fontId="13" fillId="0" borderId="18" xfId="0" applyFont="1" applyBorder="1"/>
    <xf numFmtId="171" fontId="13" fillId="0" borderId="19" xfId="1" applyFont="1" applyFill="1" applyBorder="1" applyAlignment="1">
      <alignment horizontal="right"/>
    </xf>
    <xf numFmtId="171" fontId="13" fillId="0" borderId="20" xfId="1" applyFont="1" applyFill="1" applyBorder="1" applyAlignment="1">
      <alignment horizontal="right"/>
    </xf>
    <xf numFmtId="0" fontId="13" fillId="0" borderId="0" xfId="0" applyFont="1" applyBorder="1"/>
    <xf numFmtId="9" fontId="13" fillId="0" borderId="0" xfId="4" applyFont="1" applyFill="1" applyBorder="1" applyAlignment="1">
      <alignment horizontal="right"/>
    </xf>
    <xf numFmtId="171" fontId="9" fillId="0" borderId="0" xfId="1" applyNumberFormat="1" applyFont="1" applyAlignment="1">
      <alignment horizontal="left"/>
    </xf>
    <xf numFmtId="0" fontId="13" fillId="0" borderId="0" xfId="0" applyFont="1" applyFill="1" applyBorder="1"/>
    <xf numFmtId="173" fontId="11" fillId="0" borderId="0" xfId="1" applyNumberFormat="1" applyFont="1" applyFill="1"/>
    <xf numFmtId="179" fontId="10" fillId="0" borderId="0" xfId="2" applyNumberFormat="1" applyFont="1"/>
    <xf numFmtId="0" fontId="14" fillId="0" borderId="0" xfId="0" applyFont="1" applyBorder="1" applyAlignment="1">
      <alignment horizontal="center"/>
    </xf>
    <xf numFmtId="9" fontId="9" fillId="0" borderId="0" xfId="1" applyNumberFormat="1" applyFont="1" applyBorder="1"/>
    <xf numFmtId="171" fontId="10" fillId="0" borderId="0" xfId="1" applyNumberFormat="1" applyFont="1" applyBorder="1"/>
    <xf numFmtId="173" fontId="9" fillId="0" borderId="0" xfId="1" applyNumberFormat="1" applyFont="1" applyBorder="1"/>
    <xf numFmtId="173" fontId="11" fillId="0" borderId="0" xfId="1" applyNumberFormat="1" applyFont="1"/>
    <xf numFmtId="0" fontId="11" fillId="0" borderId="0" xfId="0" applyFont="1" applyAlignment="1">
      <alignment horizontal="left" indent="1"/>
    </xf>
    <xf numFmtId="179" fontId="10" fillId="0" borderId="10" xfId="2" applyNumberFormat="1" applyFont="1" applyBorder="1"/>
    <xf numFmtId="171" fontId="10" fillId="0" borderId="0" xfId="1" applyNumberFormat="1" applyFont="1" applyAlignment="1">
      <alignment horizontal="left"/>
    </xf>
    <xf numFmtId="171" fontId="11" fillId="0" borderId="0" xfId="1" applyNumberFormat="1" applyFont="1" applyAlignment="1">
      <alignment horizontal="left"/>
    </xf>
    <xf numFmtId="171" fontId="10" fillId="0" borderId="0" xfId="1" applyNumberFormat="1" applyFont="1" applyFill="1"/>
    <xf numFmtId="171" fontId="9" fillId="0" borderId="0" xfId="1" applyNumberFormat="1" applyFont="1" applyAlignment="1">
      <alignment horizontal="left" indent="1"/>
    </xf>
    <xf numFmtId="171" fontId="11" fillId="0" borderId="0" xfId="1" applyNumberFormat="1" applyFont="1" applyAlignment="1">
      <alignment horizontal="left" indent="2"/>
    </xf>
    <xf numFmtId="14" fontId="10" fillId="0" borderId="0" xfId="1" applyNumberFormat="1" applyFont="1"/>
    <xf numFmtId="2" fontId="10" fillId="0" borderId="0" xfId="1" applyNumberFormat="1" applyFont="1"/>
    <xf numFmtId="177" fontId="9" fillId="0" borderId="0" xfId="0" applyNumberFormat="1" applyFont="1"/>
    <xf numFmtId="0" fontId="17" fillId="0" borderId="0" xfId="0" applyFont="1"/>
    <xf numFmtId="173" fontId="12" fillId="0" borderId="0" xfId="1" applyNumberFormat="1" applyFont="1"/>
    <xf numFmtId="0" fontId="18" fillId="0" borderId="0" xfId="0" applyFont="1" applyAlignment="1">
      <alignment horizontal="left" indent="1"/>
    </xf>
    <xf numFmtId="0" fontId="12" fillId="0" borderId="0" xfId="0" applyFont="1"/>
    <xf numFmtId="0" fontId="18" fillId="0" borderId="0" xfId="0" applyFont="1" applyAlignment="1">
      <alignment horizontal="left" indent="2"/>
    </xf>
    <xf numFmtId="0" fontId="17" fillId="0" borderId="0" xfId="0" applyFont="1" applyAlignment="1">
      <alignment horizontal="left"/>
    </xf>
    <xf numFmtId="0" fontId="18" fillId="0" borderId="0" xfId="0" applyFont="1"/>
    <xf numFmtId="173" fontId="11" fillId="0" borderId="0" xfId="0" applyNumberFormat="1" applyFont="1"/>
    <xf numFmtId="171" fontId="11" fillId="0" borderId="0" xfId="0" applyNumberFormat="1" applyFont="1"/>
    <xf numFmtId="0" fontId="11" fillId="0" borderId="7" xfId="0" applyFont="1" applyFill="1" applyBorder="1"/>
    <xf numFmtId="0" fontId="9" fillId="0" borderId="0" xfId="0" applyFont="1" applyAlignment="1">
      <alignment horizontal="left" indent="1"/>
    </xf>
    <xf numFmtId="0" fontId="12" fillId="0" borderId="0" xfId="0" applyFont="1" applyAlignment="1">
      <alignment horizontal="left" indent="2"/>
    </xf>
    <xf numFmtId="0" fontId="12" fillId="0" borderId="0" xfId="0" applyFont="1" applyAlignment="1">
      <alignment horizontal="left" indent="3"/>
    </xf>
    <xf numFmtId="0" fontId="12" fillId="0" borderId="0" xfId="0" applyFont="1" applyAlignment="1">
      <alignment horizontal="left" indent="1"/>
    </xf>
    <xf numFmtId="0" fontId="9" fillId="0" borderId="0" xfId="0" applyFont="1" applyAlignment="1">
      <alignment horizontal="left"/>
    </xf>
    <xf numFmtId="0" fontId="9" fillId="0" borderId="0" xfId="3" applyFont="1" applyBorder="1"/>
    <xf numFmtId="0" fontId="12" fillId="0" borderId="0" xfId="3" applyFont="1" applyBorder="1" applyAlignment="1">
      <alignment horizontal="left" indent="1"/>
    </xf>
    <xf numFmtId="0" fontId="12" fillId="0" borderId="0" xfId="3" applyFont="1" applyFill="1" applyBorder="1" applyAlignment="1">
      <alignment horizontal="left" indent="2"/>
    </xf>
    <xf numFmtId="0" fontId="9" fillId="0" borderId="0" xfId="3" applyFont="1" applyFill="1" applyBorder="1" applyAlignment="1">
      <alignment horizontal="left"/>
    </xf>
    <xf numFmtId="0" fontId="19" fillId="0" borderId="0" xfId="0" applyFont="1"/>
    <xf numFmtId="0" fontId="9" fillId="0" borderId="7" xfId="0" applyFont="1" applyBorder="1"/>
    <xf numFmtId="0" fontId="11" fillId="0" borderId="7" xfId="0" applyFont="1" applyBorder="1"/>
    <xf numFmtId="171" fontId="11" fillId="0" borderId="7" xfId="1" applyNumberFormat="1" applyFont="1" applyBorder="1"/>
    <xf numFmtId="0" fontId="20" fillId="0" borderId="0" xfId="0" applyFont="1" applyFill="1" applyBorder="1"/>
    <xf numFmtId="0" fontId="21" fillId="0" borderId="0" xfId="0" applyFont="1"/>
    <xf numFmtId="0" fontId="9" fillId="0" borderId="0" xfId="0" applyFont="1" applyFill="1" applyBorder="1" applyAlignment="1">
      <alignment horizontal="left" indent="1"/>
    </xf>
    <xf numFmtId="0" fontId="11" fillId="0" borderId="0" xfId="0" applyFont="1" applyAlignment="1">
      <alignment horizontal="left" indent="2"/>
    </xf>
    <xf numFmtId="0" fontId="10" fillId="0" borderId="0" xfId="0" applyFont="1" applyAlignment="1">
      <alignment horizontal="left" indent="2"/>
    </xf>
    <xf numFmtId="0" fontId="9" fillId="0" borderId="0" xfId="0" applyFont="1" applyAlignment="1">
      <alignment horizontal="left" indent="2"/>
    </xf>
    <xf numFmtId="0" fontId="11" fillId="0" borderId="0" xfId="0" applyFont="1" applyAlignment="1">
      <alignment horizontal="left" indent="3"/>
    </xf>
    <xf numFmtId="0" fontId="20" fillId="0" borderId="0" xfId="0" applyFont="1" applyAlignment="1">
      <alignment horizontal="left"/>
    </xf>
    <xf numFmtId="171" fontId="11" fillId="3" borderId="0" xfId="1" applyFont="1" applyFill="1"/>
    <xf numFmtId="2" fontId="10" fillId="0" borderId="0" xfId="0" applyNumberFormat="1" applyFont="1"/>
    <xf numFmtId="173" fontId="11" fillId="0" borderId="0" xfId="0" applyNumberFormat="1" applyFont="1" applyFill="1"/>
    <xf numFmtId="0" fontId="20" fillId="0" borderId="0" xfId="0" applyFont="1"/>
    <xf numFmtId="0" fontId="11" fillId="0" borderId="0" xfId="0" applyFont="1" applyFill="1" applyAlignment="1">
      <alignment horizontal="left" indent="2"/>
    </xf>
    <xf numFmtId="0" fontId="11" fillId="0" borderId="0" xfId="0" applyFont="1" applyFill="1"/>
    <xf numFmtId="173" fontId="11" fillId="0" borderId="0" xfId="0" applyNumberFormat="1" applyFont="1" applyFill="1" applyAlignment="1">
      <alignment wrapText="1"/>
    </xf>
    <xf numFmtId="0" fontId="11" fillId="0" borderId="0" xfId="0" applyFont="1" applyFill="1" applyAlignment="1">
      <alignment wrapText="1"/>
    </xf>
    <xf numFmtId="0" fontId="11" fillId="0" borderId="0" xfId="0" applyFont="1" applyAlignment="1">
      <alignment horizontal="left" wrapText="1" indent="2"/>
    </xf>
    <xf numFmtId="0" fontId="11" fillId="3" borderId="0" xfId="0" applyFont="1" applyFill="1" applyAlignment="1">
      <alignment horizontal="left" indent="2"/>
    </xf>
    <xf numFmtId="9" fontId="11" fillId="0" borderId="0" xfId="0" applyNumberFormat="1" applyFont="1" applyFill="1"/>
    <xf numFmtId="0" fontId="9" fillId="0" borderId="0" xfId="0" applyFont="1" applyFill="1" applyAlignment="1">
      <alignment horizontal="left"/>
    </xf>
    <xf numFmtId="173" fontId="11" fillId="3" borderId="0" xfId="0" applyNumberFormat="1" applyFont="1" applyFill="1"/>
    <xf numFmtId="173" fontId="9" fillId="0" borderId="0" xfId="0" applyNumberFormat="1" applyFont="1"/>
    <xf numFmtId="173" fontId="12" fillId="0" borderId="0" xfId="0" applyNumberFormat="1" applyFont="1"/>
    <xf numFmtId="173" fontId="22" fillId="0" borderId="0" xfId="1" applyNumberFormat="1" applyFont="1" applyAlignment="1">
      <alignment horizontal="left"/>
    </xf>
    <xf numFmtId="173" fontId="22" fillId="0" borderId="0" xfId="1" applyNumberFormat="1" applyFont="1" applyAlignment="1">
      <alignment horizontal="left" indent="1"/>
    </xf>
    <xf numFmtId="173" fontId="10" fillId="0" borderId="0" xfId="0" applyNumberFormat="1" applyFont="1"/>
    <xf numFmtId="0" fontId="23" fillId="0" borderId="0" xfId="0" applyFont="1" applyAlignment="1">
      <alignment horizontal="center"/>
    </xf>
    <xf numFmtId="0" fontId="17" fillId="0" borderId="0" xfId="0" applyFont="1" applyAlignment="1">
      <alignment horizontal="left" indent="1"/>
    </xf>
    <xf numFmtId="0" fontId="10" fillId="0" borderId="0" xfId="0" applyFont="1" applyAlignment="1">
      <alignment horizontal="right" indent="1"/>
    </xf>
    <xf numFmtId="171" fontId="9" fillId="0" borderId="21" xfId="1" applyNumberFormat="1" applyFont="1" applyBorder="1"/>
    <xf numFmtId="0" fontId="12" fillId="0" borderId="22" xfId="0" applyFont="1" applyBorder="1"/>
    <xf numFmtId="173" fontId="12" fillId="0" borderId="22" xfId="1" applyNumberFormat="1" applyFont="1" applyBorder="1"/>
    <xf numFmtId="173" fontId="10" fillId="0" borderId="22" xfId="1" applyNumberFormat="1" applyFont="1" applyBorder="1"/>
    <xf numFmtId="0" fontId="12" fillId="0" borderId="23" xfId="0" applyFont="1" applyBorder="1"/>
    <xf numFmtId="173" fontId="12" fillId="0" borderId="23" xfId="1" applyNumberFormat="1" applyFont="1" applyBorder="1"/>
    <xf numFmtId="173" fontId="10" fillId="0" borderId="23" xfId="1" applyNumberFormat="1" applyFont="1" applyBorder="1"/>
    <xf numFmtId="171" fontId="12" fillId="0" borderId="23" xfId="1" applyNumberFormat="1" applyFont="1" applyBorder="1"/>
    <xf numFmtId="173" fontId="9" fillId="0" borderId="23" xfId="1" applyNumberFormat="1" applyFont="1" applyBorder="1"/>
    <xf numFmtId="171" fontId="12" fillId="0" borderId="24" xfId="1" applyNumberFormat="1" applyFont="1" applyFill="1" applyBorder="1"/>
    <xf numFmtId="173" fontId="9" fillId="0" borderId="24" xfId="1" applyNumberFormat="1" applyFont="1" applyBorder="1"/>
    <xf numFmtId="173" fontId="12" fillId="0" borderId="24" xfId="1" applyNumberFormat="1" applyFont="1" applyBorder="1"/>
    <xf numFmtId="173" fontId="12" fillId="0" borderId="24" xfId="1" applyNumberFormat="1" applyFont="1" applyFill="1" applyBorder="1"/>
    <xf numFmtId="171" fontId="9" fillId="0" borderId="25" xfId="1" applyNumberFormat="1" applyFont="1" applyBorder="1" applyAlignment="1">
      <alignment horizontal="center"/>
    </xf>
    <xf numFmtId="171" fontId="9" fillId="0" borderId="26" xfId="1" applyNumberFormat="1" applyFont="1" applyBorder="1" applyAlignment="1">
      <alignment horizontal="center"/>
    </xf>
    <xf numFmtId="171" fontId="9" fillId="0" borderId="27" xfId="1" applyNumberFormat="1" applyFont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171" fontId="9" fillId="0" borderId="0" xfId="1" applyNumberFormat="1" applyFont="1" applyBorder="1" applyAlignment="1">
      <alignment horizontal="center"/>
    </xf>
    <xf numFmtId="171" fontId="9" fillId="0" borderId="28" xfId="1" applyNumberFormat="1" applyFont="1" applyBorder="1" applyAlignment="1">
      <alignment horizontal="center"/>
    </xf>
    <xf numFmtId="171" fontId="9" fillId="0" borderId="29" xfId="1" applyNumberFormat="1" applyFont="1" applyBorder="1" applyAlignment="1">
      <alignment horizontal="center"/>
    </xf>
    <xf numFmtId="171" fontId="9" fillId="0" borderId="30" xfId="1" applyNumberFormat="1" applyFont="1" applyBorder="1" applyAlignment="1">
      <alignment horizontal="center"/>
    </xf>
  </cellXfs>
  <cellStyles count="5">
    <cellStyle name="Milliers" xfId="1" builtinId="3"/>
    <cellStyle name="Monétaire" xfId="2" builtinId="4"/>
    <cellStyle name="Normal" xfId="0" builtinId="0"/>
    <cellStyle name="Normal_2003 March" xfId="3"/>
    <cellStyle name="Pourcentage" xfId="4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haredStrings" Target="sharedStrings.xml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25"/>
  <sheetViews>
    <sheetView tabSelected="1" zoomScale="75" workbookViewId="0">
      <selection activeCell="B15" sqref="B15"/>
    </sheetView>
  </sheetViews>
  <sheetFormatPr baseColWidth="10" defaultColWidth="9" defaultRowHeight="12" x14ac:dyDescent="0"/>
  <cols>
    <col min="2" max="2" width="42.19921875" customWidth="1"/>
    <col min="3" max="3" width="18.796875" bestFit="1" customWidth="1"/>
    <col min="4" max="4" width="3" customWidth="1"/>
    <col min="5" max="5" width="28.3984375" bestFit="1" customWidth="1"/>
    <col min="6" max="6" width="18.796875" bestFit="1" customWidth="1"/>
  </cols>
  <sheetData>
    <row r="4" spans="2:6" ht="19">
      <c r="B4" s="157" t="s">
        <v>298</v>
      </c>
      <c r="C4" s="158"/>
      <c r="D4" s="158"/>
      <c r="E4" s="158"/>
      <c r="F4" s="159"/>
    </row>
    <row r="5" spans="2:6" ht="19">
      <c r="B5" s="144" t="s">
        <v>299</v>
      </c>
      <c r="C5" s="144" t="s">
        <v>0</v>
      </c>
      <c r="D5" s="144"/>
      <c r="E5" s="144" t="s">
        <v>300</v>
      </c>
      <c r="F5" s="144" t="s">
        <v>0</v>
      </c>
    </row>
    <row r="6" spans="2:6" ht="19">
      <c r="B6" s="145" t="s">
        <v>90</v>
      </c>
      <c r="C6" s="146">
        <v>0</v>
      </c>
      <c r="D6" s="146"/>
      <c r="E6" s="146" t="s">
        <v>360</v>
      </c>
      <c r="F6" s="147">
        <f>'Financial Statements &amp; Detail'!C238</f>
        <v>5500000</v>
      </c>
    </row>
    <row r="7" spans="2:6" ht="19">
      <c r="B7" s="148" t="s">
        <v>305</v>
      </c>
      <c r="C7" s="149">
        <v>0</v>
      </c>
      <c r="D7" s="149"/>
      <c r="E7" s="149" t="s">
        <v>302</v>
      </c>
      <c r="F7" s="150">
        <f>'Financial Statements &amp; Detail'!C243-'Financial Statements &amp; Detail'!C236</f>
        <v>3310158.0357142854</v>
      </c>
    </row>
    <row r="8" spans="2:6" ht="19">
      <c r="B8" s="148" t="s">
        <v>306</v>
      </c>
      <c r="C8" s="149">
        <v>0</v>
      </c>
      <c r="D8" s="149"/>
      <c r="E8" s="149" t="s">
        <v>304</v>
      </c>
      <c r="F8" s="150">
        <f>Assumptions!B88</f>
        <v>2000000</v>
      </c>
    </row>
    <row r="9" spans="2:6" ht="19">
      <c r="B9" s="151" t="s">
        <v>301</v>
      </c>
      <c r="C9" s="150">
        <f>'Financial Statements &amp; Detail'!C241</f>
        <v>2750000</v>
      </c>
      <c r="D9" s="149"/>
      <c r="E9" s="149" t="s">
        <v>111</v>
      </c>
      <c r="F9" s="152">
        <v>4000000</v>
      </c>
    </row>
    <row r="10" spans="2:6" ht="19">
      <c r="B10" s="151" t="s">
        <v>361</v>
      </c>
      <c r="C10" s="152">
        <f>F11-SUM(C6:C9)</f>
        <v>12560158.035714285</v>
      </c>
      <c r="D10" s="149"/>
      <c r="E10" s="149" t="s">
        <v>303</v>
      </c>
      <c r="F10" s="152">
        <v>500000</v>
      </c>
    </row>
    <row r="11" spans="2:6" ht="19">
      <c r="B11" s="153" t="s">
        <v>66</v>
      </c>
      <c r="C11" s="154">
        <f>SUM(C6:C10)</f>
        <v>15310158.035714285</v>
      </c>
      <c r="D11" s="155"/>
      <c r="E11" s="156" t="s">
        <v>66</v>
      </c>
      <c r="F11" s="154">
        <f>SUM(F6:F10)</f>
        <v>15310158.035714285</v>
      </c>
    </row>
    <row r="13" spans="2:6">
      <c r="B13" s="4" t="s">
        <v>319</v>
      </c>
    </row>
    <row r="14" spans="2:6">
      <c r="B14" s="3" t="s">
        <v>316</v>
      </c>
    </row>
    <row r="15" spans="2:6">
      <c r="B15" s="1"/>
    </row>
    <row r="16" spans="2:6">
      <c r="B16" s="5"/>
    </row>
    <row r="17" spans="2:2">
      <c r="B17" s="3" t="s">
        <v>315</v>
      </c>
    </row>
    <row r="18" spans="2:2">
      <c r="B18" s="1" t="s">
        <v>318</v>
      </c>
    </row>
    <row r="19" spans="2:2">
      <c r="B19" s="1"/>
    </row>
    <row r="20" spans="2:2">
      <c r="B20" s="2" t="s">
        <v>317</v>
      </c>
    </row>
    <row r="21" spans="2:2">
      <c r="B21" s="2" t="s">
        <v>320</v>
      </c>
    </row>
    <row r="23" spans="2:2">
      <c r="B23" s="1" t="s">
        <v>345</v>
      </c>
    </row>
    <row r="25" spans="2:2">
      <c r="B25" s="1" t="s">
        <v>346</v>
      </c>
    </row>
  </sheetData>
  <mergeCells count="1">
    <mergeCell ref="B4:F4"/>
  </mergeCells>
  <phoneticPr fontId="2" type="noConversion"/>
  <pageMargins left="0.75" right="0.75" top="1" bottom="1" header="0.5" footer="0.5"/>
  <headerFooter>
    <oddFooter>&amp;L&amp;"Arial Narrow,Bold"GH Capital Partners_x000D_Robert H. Hacker_x000D_rhhfla@mindspring.com&amp;C&amp;"Arial Narrow,Bold"CONFIDENTIAL&amp;R&amp;"Arial Narrow,Bold"&amp;D  &amp;T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85"/>
  <sheetViews>
    <sheetView zoomScale="75" workbookViewId="0">
      <selection activeCell="G30" sqref="G30"/>
    </sheetView>
  </sheetViews>
  <sheetFormatPr baseColWidth="10" defaultColWidth="9.3984375" defaultRowHeight="19" x14ac:dyDescent="0"/>
  <cols>
    <col min="1" max="1" width="83.59765625" style="8" bestFit="1" customWidth="1"/>
    <col min="2" max="2" width="19" style="7" bestFit="1" customWidth="1"/>
    <col min="3" max="3" width="2.19921875" style="8" customWidth="1"/>
    <col min="4" max="4" width="14.59765625" style="8" bestFit="1" customWidth="1"/>
    <col min="5" max="5" width="11" style="8" bestFit="1" customWidth="1"/>
    <col min="6" max="6" width="2" style="8" customWidth="1"/>
    <col min="7" max="7" width="64.3984375" style="8" bestFit="1" customWidth="1"/>
    <col min="8" max="12" width="20.59765625" style="8" bestFit="1" customWidth="1"/>
    <col min="13" max="16384" width="9.3984375" style="8"/>
  </cols>
  <sheetData>
    <row r="1" spans="1:12">
      <c r="A1" s="6"/>
    </row>
    <row r="2" spans="1:12">
      <c r="A2" s="6" t="s">
        <v>344</v>
      </c>
    </row>
    <row r="3" spans="1:12">
      <c r="A3" s="6" t="s">
        <v>0</v>
      </c>
    </row>
    <row r="5" spans="1:12" s="9" customFormat="1">
      <c r="B5" s="10"/>
      <c r="G5" s="11" t="s">
        <v>155</v>
      </c>
      <c r="H5" s="12">
        <v>1</v>
      </c>
      <c r="I5" s="12">
        <v>2</v>
      </c>
      <c r="J5" s="12">
        <v>3</v>
      </c>
      <c r="K5" s="12">
        <v>4</v>
      </c>
      <c r="L5" s="13">
        <v>5</v>
      </c>
    </row>
    <row r="6" spans="1:12" s="9" customFormat="1">
      <c r="A6" s="14" t="s">
        <v>1</v>
      </c>
      <c r="B6" s="10"/>
      <c r="D6" s="14"/>
      <c r="G6" s="15" t="s">
        <v>154</v>
      </c>
      <c r="H6" s="16">
        <v>11000</v>
      </c>
      <c r="I6" s="16">
        <v>25000</v>
      </c>
      <c r="J6" s="16">
        <v>25000</v>
      </c>
      <c r="K6" s="16">
        <f>J6</f>
        <v>25000</v>
      </c>
      <c r="L6" s="17">
        <f>K6</f>
        <v>25000</v>
      </c>
    </row>
    <row r="7" spans="1:12" s="9" customFormat="1">
      <c r="A7" s="18" t="s">
        <v>2</v>
      </c>
      <c r="B7" s="19">
        <v>14.5</v>
      </c>
      <c r="D7" s="18"/>
      <c r="G7" s="15" t="s">
        <v>321</v>
      </c>
      <c r="H7" s="16">
        <v>500</v>
      </c>
      <c r="I7" s="16">
        <f>H7</f>
        <v>500</v>
      </c>
      <c r="J7" s="16">
        <f>I7</f>
        <v>500</v>
      </c>
      <c r="K7" s="16">
        <f>J7</f>
        <v>500</v>
      </c>
      <c r="L7" s="17">
        <f>K7</f>
        <v>500</v>
      </c>
    </row>
    <row r="8" spans="1:12" s="9" customFormat="1">
      <c r="A8" s="18" t="s">
        <v>347</v>
      </c>
      <c r="B8" s="20">
        <v>0.03</v>
      </c>
      <c r="D8" s="18"/>
      <c r="G8" s="21"/>
      <c r="H8" s="22"/>
      <c r="I8" s="22"/>
      <c r="J8" s="22"/>
      <c r="K8" s="22"/>
      <c r="L8" s="23"/>
    </row>
    <row r="9" spans="1:12" s="9" customFormat="1">
      <c r="A9" s="18" t="s">
        <v>10</v>
      </c>
      <c r="B9" s="19">
        <v>5</v>
      </c>
      <c r="D9" s="18"/>
      <c r="G9" s="15" t="s">
        <v>156</v>
      </c>
      <c r="H9" s="24">
        <v>0.3</v>
      </c>
      <c r="I9" s="24">
        <v>0.3</v>
      </c>
      <c r="J9" s="24">
        <v>0.2</v>
      </c>
      <c r="K9" s="24">
        <f>J9</f>
        <v>0.2</v>
      </c>
      <c r="L9" s="25">
        <f>K9</f>
        <v>0.2</v>
      </c>
    </row>
    <row r="10" spans="1:12" s="9" customFormat="1">
      <c r="A10" s="18" t="s">
        <v>263</v>
      </c>
      <c r="B10" s="19">
        <v>0</v>
      </c>
      <c r="D10" s="14" t="s">
        <v>26</v>
      </c>
      <c r="E10" s="9">
        <v>45</v>
      </c>
      <c r="G10" s="15" t="s">
        <v>157</v>
      </c>
      <c r="H10" s="16">
        <f>H9*SUM(G$6:$H6)</f>
        <v>3300</v>
      </c>
      <c r="I10" s="16">
        <f>I9*SUM($H$6:H6)</f>
        <v>3300</v>
      </c>
      <c r="J10" s="16">
        <f>J9*SUM($H$6:I6)</f>
        <v>7200</v>
      </c>
      <c r="K10" s="16">
        <f>K9*SUM($H$6:J6)</f>
        <v>12200</v>
      </c>
      <c r="L10" s="17">
        <f>L9*SUM($H$6:K6)</f>
        <v>17200</v>
      </c>
    </row>
    <row r="11" spans="1:12" s="9" customFormat="1">
      <c r="B11" s="10"/>
      <c r="C11" s="26"/>
      <c r="D11" s="14" t="s">
        <v>27</v>
      </c>
      <c r="E11" s="9">
        <v>30</v>
      </c>
      <c r="F11" s="26"/>
      <c r="G11" s="27" t="s">
        <v>158</v>
      </c>
      <c r="H11" s="28">
        <f>H10/$B$92</f>
        <v>9428.5714285714294</v>
      </c>
      <c r="I11" s="28">
        <f>I10/$B$92</f>
        <v>9428.5714285714294</v>
      </c>
      <c r="J11" s="28">
        <f>J10/$B$92</f>
        <v>20571.428571428572</v>
      </c>
      <c r="K11" s="28">
        <f>K10/$B$92</f>
        <v>34857.142857142862</v>
      </c>
      <c r="L11" s="29">
        <f>L10/$B$92</f>
        <v>49142.857142857145</v>
      </c>
    </row>
    <row r="12" spans="1:12" s="9" customFormat="1">
      <c r="A12" s="14" t="s">
        <v>5</v>
      </c>
      <c r="B12" s="10"/>
      <c r="D12" s="22"/>
      <c r="E12" s="22"/>
      <c r="F12" s="161"/>
      <c r="G12" s="161"/>
      <c r="H12" s="161"/>
      <c r="I12" s="161"/>
      <c r="J12" s="161"/>
      <c r="K12" s="22"/>
      <c r="L12" s="22"/>
    </row>
    <row r="13" spans="1:12" s="9" customFormat="1">
      <c r="A13" s="18" t="s">
        <v>6</v>
      </c>
      <c r="B13" s="20">
        <v>0.35</v>
      </c>
      <c r="D13" s="161"/>
      <c r="E13" s="30"/>
      <c r="F13" s="30"/>
      <c r="G13" s="30" t="s">
        <v>322</v>
      </c>
      <c r="H13" s="31">
        <v>1500000</v>
      </c>
      <c r="I13" s="30"/>
      <c r="J13" s="30"/>
      <c r="K13" s="22"/>
      <c r="L13" s="22"/>
    </row>
    <row r="14" spans="1:12" s="9" customFormat="1">
      <c r="A14" s="18" t="s">
        <v>2</v>
      </c>
      <c r="B14" s="19">
        <v>40</v>
      </c>
      <c r="D14" s="161"/>
      <c r="E14" s="22"/>
      <c r="F14" s="22"/>
      <c r="G14" s="32" t="s">
        <v>260</v>
      </c>
      <c r="H14" s="24">
        <v>0.5</v>
      </c>
      <c r="I14" s="22"/>
      <c r="J14" s="22"/>
      <c r="K14" s="22"/>
      <c r="L14" s="22"/>
    </row>
    <row r="15" spans="1:12" s="9" customFormat="1">
      <c r="A15" s="18" t="s">
        <v>347</v>
      </c>
      <c r="B15" s="20">
        <v>0.01</v>
      </c>
      <c r="D15" s="161"/>
      <c r="E15" s="22"/>
      <c r="F15" s="22"/>
      <c r="G15" s="33"/>
      <c r="H15" s="22"/>
      <c r="I15" s="22"/>
      <c r="J15" s="22"/>
      <c r="K15" s="22"/>
      <c r="L15" s="22"/>
    </row>
    <row r="16" spans="1:12" s="9" customFormat="1">
      <c r="A16" s="18" t="s">
        <v>4</v>
      </c>
      <c r="B16" s="10">
        <v>5</v>
      </c>
      <c r="D16" s="161"/>
      <c r="E16" s="22"/>
      <c r="F16" s="22"/>
      <c r="G16" s="22"/>
      <c r="H16" s="22"/>
      <c r="I16" s="22"/>
      <c r="J16" s="22"/>
      <c r="K16" s="22"/>
      <c r="L16" s="22"/>
    </row>
    <row r="17" spans="1:12" s="9" customFormat="1" ht="20" thickBot="1">
      <c r="A17" s="18"/>
      <c r="B17" s="10"/>
      <c r="D17" s="161"/>
      <c r="E17" s="22"/>
      <c r="F17" s="22"/>
      <c r="G17" s="22"/>
      <c r="H17" s="22"/>
      <c r="I17" s="22"/>
      <c r="J17" s="22"/>
      <c r="K17" s="22"/>
      <c r="L17" s="22"/>
    </row>
    <row r="18" spans="1:12" s="9" customFormat="1" ht="20" thickBot="1">
      <c r="B18" s="10"/>
      <c r="D18" s="161"/>
      <c r="E18" s="22"/>
      <c r="F18" s="22"/>
      <c r="G18" s="162" t="s">
        <v>341</v>
      </c>
      <c r="H18" s="163"/>
      <c r="I18" s="163"/>
      <c r="J18" s="163"/>
      <c r="K18" s="163"/>
      <c r="L18" s="164"/>
    </row>
    <row r="19" spans="1:12" s="9" customFormat="1" ht="20" thickBot="1">
      <c r="A19" s="14" t="s">
        <v>8</v>
      </c>
      <c r="B19" s="10"/>
      <c r="D19" s="161"/>
      <c r="E19" s="22"/>
      <c r="F19" s="22"/>
      <c r="G19" s="34"/>
      <c r="H19" s="35">
        <v>2008</v>
      </c>
      <c r="I19" s="35">
        <v>2009</v>
      </c>
      <c r="J19" s="35">
        <v>2010</v>
      </c>
      <c r="K19" s="35">
        <v>2011</v>
      </c>
      <c r="L19" s="35">
        <v>2012</v>
      </c>
    </row>
    <row r="20" spans="1:12" s="9" customFormat="1" ht="20" thickBot="1">
      <c r="A20" s="36" t="s">
        <v>42</v>
      </c>
      <c r="B20" s="20">
        <v>0.2</v>
      </c>
      <c r="D20" s="161"/>
      <c r="E20" s="22"/>
      <c r="F20" s="22"/>
      <c r="G20" s="37"/>
      <c r="H20" s="35" t="s">
        <v>339</v>
      </c>
      <c r="I20" s="35" t="s">
        <v>339</v>
      </c>
      <c r="J20" s="35" t="s">
        <v>339</v>
      </c>
      <c r="K20" s="35" t="s">
        <v>339</v>
      </c>
      <c r="L20" s="35" t="s">
        <v>339</v>
      </c>
    </row>
    <row r="21" spans="1:12" s="9" customFormat="1" ht="20" thickBot="1">
      <c r="A21" s="18" t="s">
        <v>9</v>
      </c>
      <c r="B21" s="20">
        <v>0.25</v>
      </c>
      <c r="D21" s="161"/>
      <c r="E21" s="22"/>
      <c r="F21" s="22"/>
      <c r="G21" s="38" t="s">
        <v>0</v>
      </c>
      <c r="H21" s="35" t="s">
        <v>340</v>
      </c>
      <c r="I21" s="35" t="s">
        <v>340</v>
      </c>
      <c r="J21" s="35" t="s">
        <v>340</v>
      </c>
      <c r="K21" s="35" t="s">
        <v>340</v>
      </c>
      <c r="L21" s="35" t="s">
        <v>340</v>
      </c>
    </row>
    <row r="22" spans="1:12" s="9" customFormat="1">
      <c r="A22" s="18" t="s">
        <v>119</v>
      </c>
      <c r="B22" s="19">
        <v>20</v>
      </c>
      <c r="D22" s="161"/>
      <c r="E22" s="22"/>
      <c r="F22" s="22"/>
      <c r="G22" s="39" t="s">
        <v>323</v>
      </c>
      <c r="H22" s="40">
        <f>SUM('Financial Statements &amp; Detail'!C7:N7)</f>
        <v>6646054.4151271768</v>
      </c>
      <c r="I22" s="41">
        <f>SUM('Financial Statements &amp; Detail'!O7:Z7)</f>
        <v>15112343.972794853</v>
      </c>
      <c r="J22" s="41">
        <f>SUM('Financial Statements &amp; Detail'!AA7:AL7)</f>
        <v>24606907.385176063</v>
      </c>
      <c r="K22" s="41">
        <f>SUM('Financial Statements &amp; Detail'!AM7:AX7)</f>
        <v>33275575.156771965</v>
      </c>
      <c r="L22" s="42">
        <f>SUM('Financial Statements &amp; Detail'!AY7:BJ7)</f>
        <v>41637139.960630164</v>
      </c>
    </row>
    <row r="23" spans="1:12" s="9" customFormat="1">
      <c r="A23" s="18" t="s">
        <v>120</v>
      </c>
      <c r="B23" s="19">
        <f>ARPU_Data+ARPU_Voice-10</f>
        <v>50</v>
      </c>
      <c r="D23" s="161"/>
      <c r="E23" s="22"/>
      <c r="F23" s="22"/>
      <c r="G23" s="43" t="s">
        <v>324</v>
      </c>
      <c r="H23" s="44">
        <f>SUM('Financial Statements &amp; Detail'!C9:N9)</f>
        <v>1455661.706430061</v>
      </c>
      <c r="I23" s="45">
        <f>SUM('Financial Statements &amp; Detail'!O9:Z9)</f>
        <v>3714097.3361223303</v>
      </c>
      <c r="J23" s="45">
        <f>SUM('Financial Statements &amp; Detail'!AA9:AL9)</f>
        <v>7988762.221872123</v>
      </c>
      <c r="K23" s="45">
        <f>SUM('Financial Statements &amp; Detail'!AM9:AX9)</f>
        <v>12167563.371775933</v>
      </c>
      <c r="L23" s="46">
        <f>SUM('Financial Statements &amp; Detail'!AY9:BJ9)</f>
        <v>16200253.763697028</v>
      </c>
    </row>
    <row r="24" spans="1:12" s="9" customFormat="1">
      <c r="A24" s="18" t="s">
        <v>3</v>
      </c>
      <c r="B24" s="10">
        <v>2.5000000000000001E-2</v>
      </c>
      <c r="D24" s="161"/>
      <c r="E24" s="22"/>
      <c r="F24" s="22"/>
      <c r="G24" s="43" t="s">
        <v>48</v>
      </c>
      <c r="H24" s="44">
        <f>SUM('Financial Statements &amp; Detail'!C29:N29)</f>
        <v>1751202.8679973271</v>
      </c>
      <c r="I24" s="45">
        <f>SUM('Financial Statements &amp; Detail'!O29:Z29)</f>
        <v>2190930.312903191</v>
      </c>
      <c r="J24" s="45">
        <f>SUM('Financial Statements &amp; Detail'!AA29:AL29)</f>
        <v>2671888.7204651576</v>
      </c>
      <c r="K24" s="45">
        <f>SUM('Financial Statements &amp; Detail'!AM29:AX29)</f>
        <v>3264436.4252443751</v>
      </c>
      <c r="L24" s="46">
        <f>SUM('Financial Statements &amp; Detail'!AY29:BJ29)</f>
        <v>4201056.7145008948</v>
      </c>
    </row>
    <row r="25" spans="1:12" s="9" customFormat="1">
      <c r="A25" s="18" t="s">
        <v>4</v>
      </c>
      <c r="B25" s="10">
        <v>10</v>
      </c>
      <c r="D25" s="161"/>
      <c r="E25" s="22"/>
      <c r="F25" s="22"/>
      <c r="G25" s="43" t="s">
        <v>67</v>
      </c>
      <c r="H25" s="44">
        <f>SUM('Financial Statements &amp; Detail'!C31:N31)</f>
        <v>-295541.16156726639</v>
      </c>
      <c r="I25" s="45">
        <f>SUM('Financial Statements &amp; Detail'!O31:Z31)</f>
        <v>1523167.0232191391</v>
      </c>
      <c r="J25" s="45">
        <f>SUM('Financial Statements &amp; Detail'!AA31:AL31)</f>
        <v>5316873.5014069648</v>
      </c>
      <c r="K25" s="45">
        <f>SUM('Financial Statements &amp; Detail'!AM31:AX31)</f>
        <v>8903126.9465315603</v>
      </c>
      <c r="L25" s="46">
        <f>SUM('Financial Statements &amp; Detail'!AY31:BJ31)</f>
        <v>11999197.049196133</v>
      </c>
    </row>
    <row r="26" spans="1:12" s="9" customFormat="1">
      <c r="A26" s="18" t="s">
        <v>7</v>
      </c>
      <c r="B26" s="10">
        <v>0</v>
      </c>
      <c r="D26" s="161"/>
      <c r="E26" s="22"/>
      <c r="F26" s="22"/>
      <c r="G26" s="43" t="s">
        <v>68</v>
      </c>
      <c r="H26" s="44">
        <f>SUM('Financial Statements &amp; Detail'!C34:N34)</f>
        <v>0</v>
      </c>
      <c r="I26" s="45">
        <f>SUM('Financial Statements &amp; Detail'!O34:Z34)</f>
        <v>1411666.6666666665</v>
      </c>
      <c r="J26" s="45">
        <f>SUM('Financial Statements &amp; Detail'!AA34:AL34)</f>
        <v>2371874.9999999995</v>
      </c>
      <c r="K26" s="45">
        <f>SUM('Financial Statements &amp; Detail'!AM34:AX34)</f>
        <v>2497105.0347222215</v>
      </c>
      <c r="L26" s="46">
        <f>SUM('Financial Statements &amp; Detail'!AY34:BJ34)</f>
        <v>2476045.3739872691</v>
      </c>
    </row>
    <row r="27" spans="1:12" s="9" customFormat="1">
      <c r="B27" s="10"/>
      <c r="D27" s="161"/>
      <c r="E27" s="22"/>
      <c r="F27" s="22"/>
      <c r="G27" s="43" t="s">
        <v>325</v>
      </c>
      <c r="H27" s="44">
        <f>SUM('Financial Statements &amp; Detail'!C37:N37)</f>
        <v>-295541.16156726639</v>
      </c>
      <c r="I27" s="45">
        <f>SUM('Financial Statements &amp; Detail'!O37:Z37)</f>
        <v>111500.35655247264</v>
      </c>
      <c r="J27" s="45">
        <f>SUM('Financial Statements &amp; Detail'!AA37:AL37)</f>
        <v>2944998.5014069653</v>
      </c>
      <c r="K27" s="45">
        <f>SUM('Financial Statements &amp; Detail'!AM37:AX37)</f>
        <v>6406021.9118093383</v>
      </c>
      <c r="L27" s="46">
        <f>SUM('Financial Statements &amp; Detail'!AY37:BJ37)</f>
        <v>9523151.6752088647</v>
      </c>
    </row>
    <row r="28" spans="1:12" s="9" customFormat="1">
      <c r="A28" s="14" t="s">
        <v>18</v>
      </c>
      <c r="B28" s="10"/>
      <c r="D28" s="161"/>
      <c r="E28" s="22"/>
      <c r="F28" s="22"/>
      <c r="G28" s="43" t="s">
        <v>326</v>
      </c>
      <c r="H28" s="44">
        <f>SUM('Financial Statements &amp; Detail'!C41:N41)</f>
        <v>766227.76424063381</v>
      </c>
      <c r="I28" s="45">
        <f>SUM('Financial Statements &amp; Detail'!O41:Z41)</f>
        <v>4802456.5800965168</v>
      </c>
      <c r="J28" s="45">
        <f>SUM('Financial Statements &amp; Detail'!AA41:AL41)</f>
        <v>10303491.475640297</v>
      </c>
      <c r="K28" s="45">
        <f>SUM('Financial Statements &amp; Detail'!AM41:AX41)</f>
        <v>15776083.454626692</v>
      </c>
      <c r="L28" s="46">
        <f>SUM('Financial Statements &amp; Detail'!AY41:BJ41)</f>
        <v>20995276.343059175</v>
      </c>
    </row>
    <row r="29" spans="1:12" s="9" customFormat="1">
      <c r="A29" s="47" t="s">
        <v>180</v>
      </c>
      <c r="B29" s="10">
        <v>400</v>
      </c>
      <c r="D29" s="161"/>
      <c r="E29" s="22"/>
      <c r="F29" s="22"/>
      <c r="G29" s="48"/>
      <c r="H29" s="49"/>
      <c r="I29" s="50"/>
      <c r="J29" s="50"/>
      <c r="K29" s="50"/>
      <c r="L29" s="51"/>
    </row>
    <row r="30" spans="1:12" s="9" customFormat="1">
      <c r="A30" s="18" t="s">
        <v>179</v>
      </c>
      <c r="B30" s="10">
        <v>9.9999999999999995E-7</v>
      </c>
      <c r="D30" s="161"/>
      <c r="E30" s="22"/>
      <c r="F30" s="22"/>
      <c r="G30" s="43" t="s">
        <v>327</v>
      </c>
      <c r="H30" s="52" t="s">
        <v>328</v>
      </c>
      <c r="I30" s="53">
        <f>I22/H22-1</f>
        <v>1.2738820702998512</v>
      </c>
      <c r="J30" s="53">
        <f>J22/I22-1</f>
        <v>0.62826543847025085</v>
      </c>
      <c r="K30" s="53">
        <f>K22/J22-1</f>
        <v>0.35228595109104077</v>
      </c>
      <c r="L30" s="54">
        <f>L22/K22-1</f>
        <v>0.25128235243009844</v>
      </c>
    </row>
    <row r="31" spans="1:12" s="9" customFormat="1">
      <c r="A31" s="18" t="s">
        <v>12</v>
      </c>
      <c r="B31" s="10">
        <v>40</v>
      </c>
      <c r="F31" s="22"/>
      <c r="G31" s="43" t="s">
        <v>329</v>
      </c>
      <c r="H31" s="55">
        <f>H23/H22</f>
        <v>0.21902645020733041</v>
      </c>
      <c r="I31" s="55">
        <f>I23/I22</f>
        <v>0.24576580197012621</v>
      </c>
      <c r="J31" s="55">
        <f>J23/J22</f>
        <v>0.32465527247380921</v>
      </c>
      <c r="K31" s="55">
        <f>K23/K22</f>
        <v>0.36566049766084036</v>
      </c>
      <c r="L31" s="56">
        <f>L23/L22</f>
        <v>0.38908180962993894</v>
      </c>
    </row>
    <row r="32" spans="1:12" s="9" customFormat="1">
      <c r="A32" s="18" t="s">
        <v>177</v>
      </c>
      <c r="B32" s="10">
        <f>B29*0.8</f>
        <v>320</v>
      </c>
      <c r="F32" s="22"/>
      <c r="G32" s="43" t="s">
        <v>330</v>
      </c>
      <c r="H32" s="57">
        <f>H28/H22</f>
        <v>0.11529062453906669</v>
      </c>
      <c r="I32" s="57">
        <f>I28/I22</f>
        <v>0.31778369978488241</v>
      </c>
      <c r="J32" s="57">
        <f>J28/J22</f>
        <v>0.41872354434297698</v>
      </c>
      <c r="K32" s="57">
        <f>K28/K22</f>
        <v>0.47410400512389272</v>
      </c>
      <c r="L32" s="58">
        <f>L28/L22</f>
        <v>0.50424396014978878</v>
      </c>
    </row>
    <row r="33" spans="1:12" s="9" customFormat="1">
      <c r="A33" s="18" t="s">
        <v>178</v>
      </c>
      <c r="B33" s="10">
        <f>B29-Minutes_International_Minutes-Minutes_Terminating_Off_Net</f>
        <v>40</v>
      </c>
      <c r="F33" s="22"/>
      <c r="G33" s="48"/>
      <c r="H33" s="49"/>
      <c r="I33" s="50"/>
      <c r="J33" s="50"/>
      <c r="K33" s="50"/>
      <c r="L33" s="51"/>
    </row>
    <row r="34" spans="1:12" s="9" customFormat="1">
      <c r="A34" s="18"/>
      <c r="B34" s="10"/>
      <c r="F34" s="22"/>
      <c r="G34" s="43" t="s">
        <v>77</v>
      </c>
      <c r="H34" s="59">
        <f>'Financial Statements &amp; Detail'!N47</f>
        <v>898814.59221060644</v>
      </c>
      <c r="I34" s="60">
        <f>'Financial Statements &amp; Detail'!Z47</f>
        <v>2221390.9652419006</v>
      </c>
      <c r="J34" s="60">
        <f>'Financial Statements &amp; Detail'!AL47</f>
        <v>3338039.6199523415</v>
      </c>
      <c r="K34" s="60">
        <f>'Financial Statements &amp; Detail'!AX47</f>
        <v>4401317.9955691053</v>
      </c>
      <c r="L34" s="46">
        <f>'Financial Statements &amp; Detail'!BJ47</f>
        <v>5432450.2463936675</v>
      </c>
    </row>
    <row r="35" spans="1:12" s="9" customFormat="1">
      <c r="A35" s="14" t="s">
        <v>16</v>
      </c>
      <c r="B35" s="10"/>
      <c r="F35" s="22"/>
      <c r="G35" s="43" t="s">
        <v>78</v>
      </c>
      <c r="H35" s="59">
        <f>'Financial Statements &amp; Detail'!N48</f>
        <v>456008.98074764916</v>
      </c>
      <c r="I35" s="60">
        <f>'Financial Statements &amp; Detail'!Z48</f>
        <v>352651.90942406538</v>
      </c>
      <c r="J35" s="60">
        <f>'Financial Statements &amp; Detail'!AL48</f>
        <v>363385.96687186381</v>
      </c>
      <c r="K35" s="60">
        <f>'Financial Statements &amp; Detail'!AX48</f>
        <v>395197.53385300573</v>
      </c>
      <c r="L35" s="46">
        <f>'Financial Statements &amp; Detail'!BJ48</f>
        <v>484828.90017876378</v>
      </c>
    </row>
    <row r="36" spans="1:12" s="9" customFormat="1">
      <c r="A36" s="18" t="s">
        <v>11</v>
      </c>
      <c r="B36" s="19">
        <f>Minutes_Roaming</f>
        <v>9.9999999999999995E-7</v>
      </c>
      <c r="F36" s="22"/>
      <c r="G36" s="43" t="s">
        <v>111</v>
      </c>
      <c r="H36" s="59">
        <f>'Financial Statements &amp; Detail'!N89</f>
        <v>3779935.3253863677</v>
      </c>
      <c r="I36" s="60">
        <f>'Financial Statements &amp; Detail'!Z89</f>
        <v>2938564.2867764342</v>
      </c>
      <c r="J36" s="60">
        <f>'Financial Statements &amp; Detail'!AL89</f>
        <v>3863780.1159658339</v>
      </c>
      <c r="K36" s="60">
        <f>'Financial Statements &amp; Detail'!AX89</f>
        <v>2865333.1299811928</v>
      </c>
      <c r="L36" s="46">
        <f>'Financial Statements &amp; Detail'!BJ89</f>
        <v>4940948.4277995136</v>
      </c>
    </row>
    <row r="37" spans="1:12" s="9" customFormat="1">
      <c r="A37" s="18" t="s">
        <v>17</v>
      </c>
      <c r="B37" s="19">
        <v>0.1</v>
      </c>
      <c r="F37" s="22"/>
      <c r="G37" s="43" t="s">
        <v>331</v>
      </c>
      <c r="H37" s="59">
        <f>'Financial Statements &amp; Detail'!N56</f>
        <v>4734681.5487606516</v>
      </c>
      <c r="I37" s="60">
        <f>'Financial Statements &amp; Detail'!Z56</f>
        <v>14545444.167340934</v>
      </c>
      <c r="J37" s="60">
        <f>'Financial Statements &amp; Detail'!AL56</f>
        <v>18436387.086288266</v>
      </c>
      <c r="K37" s="60">
        <f>'Financial Statements &amp; Detail'!AX56</f>
        <v>21522269.003606394</v>
      </c>
      <c r="L37" s="46">
        <f>'Financial Statements &amp; Detail'!BJ56</f>
        <v>23704067.022683091</v>
      </c>
    </row>
    <row r="38" spans="1:12" s="9" customFormat="1">
      <c r="B38" s="10"/>
      <c r="F38" s="22"/>
      <c r="G38" s="48"/>
      <c r="H38" s="49"/>
      <c r="I38" s="50"/>
      <c r="J38" s="50"/>
      <c r="K38" s="50"/>
      <c r="L38" s="51"/>
    </row>
    <row r="39" spans="1:12" s="9" customFormat="1">
      <c r="A39" s="14" t="s">
        <v>13</v>
      </c>
      <c r="B39" s="10"/>
      <c r="F39" s="22"/>
      <c r="G39" s="43" t="s">
        <v>332</v>
      </c>
      <c r="H39" s="59">
        <f>'Financial Statements &amp; Detail'!N64</f>
        <v>0</v>
      </c>
      <c r="I39" s="60">
        <f>'Financial Statements &amp; Detail'!Z64</f>
        <v>0</v>
      </c>
      <c r="J39" s="60">
        <f>'Financial Statements &amp; Detail'!AL64</f>
        <v>0</v>
      </c>
      <c r="K39" s="60">
        <f>'Financial Statements &amp; Detail'!AX64</f>
        <v>0</v>
      </c>
      <c r="L39" s="46">
        <f>'Financial Statements &amp; Detail'!BJ64</f>
        <v>0</v>
      </c>
    </row>
    <row r="40" spans="1:12" s="9" customFormat="1">
      <c r="A40" s="18" t="s">
        <v>14</v>
      </c>
      <c r="B40" s="19">
        <v>0.02</v>
      </c>
      <c r="F40" s="22"/>
      <c r="G40" s="43" t="s">
        <v>333</v>
      </c>
      <c r="H40" s="59">
        <f>'Financial Statements &amp; Detail'!N91</f>
        <v>0</v>
      </c>
      <c r="I40" s="60">
        <f>'Financial Statements &amp; Detail'!Z91</f>
        <v>14000000</v>
      </c>
      <c r="J40" s="60">
        <f>'Financial Statements &amp; Detail'!AL91</f>
        <v>20499999.999999985</v>
      </c>
      <c r="K40" s="60">
        <f>'Financial Statements &amp; Detail'!AX91</f>
        <v>20302083.333333343</v>
      </c>
      <c r="L40" s="46">
        <f>'Financial Statements &amp; Detail'!BJ91</f>
        <v>20118272.569444448</v>
      </c>
    </row>
    <row r="41" spans="1:12" s="9" customFormat="1">
      <c r="A41" s="18" t="s">
        <v>15</v>
      </c>
      <c r="B41" s="19">
        <v>8.0000000000000002E-3</v>
      </c>
      <c r="F41" s="22"/>
      <c r="G41" s="43" t="s">
        <v>334</v>
      </c>
      <c r="H41" s="59">
        <f>'Financial Statements &amp; Detail'!N73</f>
        <v>0</v>
      </c>
      <c r="I41" s="60">
        <f>'Financial Statements &amp; Detail'!Z73</f>
        <v>0</v>
      </c>
      <c r="J41" s="60">
        <f>'Financial Statements &amp; Detail'!AL73</f>
        <v>0</v>
      </c>
      <c r="K41" s="60">
        <f>'Financial Statements &amp; Detail'!AX73</f>
        <v>0</v>
      </c>
      <c r="L41" s="46">
        <f>'Financial Statements &amp; Detail'!BJ73</f>
        <v>0</v>
      </c>
    </row>
    <row r="42" spans="1:12" s="9" customFormat="1">
      <c r="A42" s="18" t="s">
        <v>131</v>
      </c>
      <c r="B42" s="19">
        <v>1.4999999999999999E-2</v>
      </c>
      <c r="F42" s="22"/>
      <c r="G42" s="43" t="s">
        <v>335</v>
      </c>
      <c r="H42" s="59">
        <f>SUM(H39:H41)</f>
        <v>0</v>
      </c>
      <c r="I42" s="59">
        <f>SUM(I39:I41)</f>
        <v>14000000</v>
      </c>
      <c r="J42" s="59">
        <f>SUM(J39:J41)</f>
        <v>20499999.999999985</v>
      </c>
      <c r="K42" s="59">
        <f>SUM(K39:K41)</f>
        <v>20302083.333333343</v>
      </c>
      <c r="L42" s="61">
        <f>SUM(L39:L41)</f>
        <v>20118272.569444448</v>
      </c>
    </row>
    <row r="43" spans="1:12" s="9" customFormat="1">
      <c r="A43" s="18" t="s">
        <v>163</v>
      </c>
      <c r="B43" s="19">
        <f>IF(B88&gt;0,0,0.009)</f>
        <v>0</v>
      </c>
      <c r="F43" s="22"/>
      <c r="G43" s="43" t="s">
        <v>336</v>
      </c>
      <c r="H43" s="59">
        <f>'Financial Statements &amp; Detail'!N84</f>
        <v>15014616.87414702</v>
      </c>
      <c r="I43" s="60">
        <f>'Financial Statements &amp; Detail'!Z84</f>
        <v>21192341.787450697</v>
      </c>
      <c r="J43" s="60">
        <f>'Financial Statements &amp; Detail'!AL84</f>
        <v>29356590.813365232</v>
      </c>
      <c r="K43" s="60">
        <f>'Financial Statements &amp; Detail'!AX84</f>
        <v>39770505.056041285</v>
      </c>
      <c r="L43" s="46">
        <f>'Financial Statements &amp; Detail'!BJ84</f>
        <v>52210553.644927055</v>
      </c>
    </row>
    <row r="44" spans="1:12" s="9" customFormat="1">
      <c r="B44" s="10"/>
      <c r="F44" s="22"/>
      <c r="G44" s="48"/>
      <c r="H44" s="49"/>
      <c r="I44" s="50"/>
      <c r="J44" s="50"/>
      <c r="K44" s="50"/>
      <c r="L44" s="51"/>
    </row>
    <row r="45" spans="1:12" s="9" customFormat="1">
      <c r="A45" s="14" t="s">
        <v>165</v>
      </c>
      <c r="B45" s="10"/>
      <c r="F45" s="22"/>
      <c r="G45" s="43" t="s">
        <v>112</v>
      </c>
      <c r="H45" s="62">
        <f>'Financial Statements &amp; Detail'!N90</f>
        <v>11.04870659871859</v>
      </c>
      <c r="I45" s="63">
        <f>'Financial Statements &amp; Detail'!Z90</f>
        <v>1.8336239511008039</v>
      </c>
      <c r="J45" s="63">
        <f>'Financial Statements &amp; Detail'!AL90</f>
        <v>1.7046557421009689</v>
      </c>
      <c r="K45" s="63">
        <f>'Financial Statements &amp; Detail'!AX90</f>
        <v>1.4966765700592533</v>
      </c>
      <c r="L45" s="64">
        <f>'Financial Statements &amp; Detail'!BJ90</f>
        <v>1.8256521861168311</v>
      </c>
    </row>
    <row r="46" spans="1:12" s="9" customFormat="1">
      <c r="A46" s="18" t="s">
        <v>132</v>
      </c>
      <c r="B46" s="65">
        <v>5</v>
      </c>
      <c r="F46" s="22"/>
      <c r="G46" s="43" t="s">
        <v>337</v>
      </c>
      <c r="H46" s="62">
        <f>'Financial Statements &amp; Detail'!N92</f>
        <v>0</v>
      </c>
      <c r="I46" s="63">
        <f>'Financial Statements &amp; Detail'!Z92</f>
        <v>0.66061599706221563</v>
      </c>
      <c r="J46" s="63">
        <f>'Financial Statements &amp; Detail'!AL92</f>
        <v>0.6983099682905588</v>
      </c>
      <c r="K46" s="63">
        <f>'Financial Statements &amp; Detail'!AX92</f>
        <v>0.51048090298891946</v>
      </c>
      <c r="L46" s="64">
        <f>'Financial Statements &amp; Detail'!BJ92</f>
        <v>0.38532961566093649</v>
      </c>
    </row>
    <row r="47" spans="1:12" s="9" customFormat="1">
      <c r="A47" s="18" t="s">
        <v>20</v>
      </c>
      <c r="B47" s="66">
        <v>0.2</v>
      </c>
      <c r="F47" s="22"/>
      <c r="G47" s="43" t="s">
        <v>343</v>
      </c>
      <c r="H47" s="62">
        <f>H42/H28</f>
        <v>0</v>
      </c>
      <c r="I47" s="62">
        <f>I42/I28</f>
        <v>2.9151747166277633</v>
      </c>
      <c r="J47" s="62">
        <f>J42/J28</f>
        <v>1.9896168253709396</v>
      </c>
      <c r="K47" s="62">
        <f>K42/K28</f>
        <v>1.2868899554014022</v>
      </c>
      <c r="L47" s="67">
        <f>L42/L28</f>
        <v>0.95822851963057609</v>
      </c>
    </row>
    <row r="48" spans="1:12" s="9" customFormat="1" ht="20" thickBot="1">
      <c r="A48" s="18" t="s">
        <v>133</v>
      </c>
      <c r="B48" s="19">
        <v>0.02</v>
      </c>
      <c r="F48" s="22"/>
      <c r="G48" s="68" t="s">
        <v>338</v>
      </c>
      <c r="H48" s="69" t="e">
        <f>H28/H26</f>
        <v>#DIV/0!</v>
      </c>
      <c r="I48" s="69">
        <f>I28/I26</f>
        <v>3.4019763259243332</v>
      </c>
      <c r="J48" s="69">
        <f>J28/J26</f>
        <v>4.3440280266204159</v>
      </c>
      <c r="K48" s="69">
        <f>K28/K26</f>
        <v>6.3177492477330359</v>
      </c>
      <c r="L48" s="70">
        <f>L28/L26</f>
        <v>8.4793584817267256</v>
      </c>
    </row>
    <row r="49" spans="1:12" s="9" customFormat="1">
      <c r="A49" s="18"/>
      <c r="B49" s="10"/>
      <c r="F49" s="22"/>
      <c r="G49" s="71"/>
      <c r="H49" s="72"/>
      <c r="I49" s="72"/>
      <c r="J49" s="72"/>
      <c r="K49" s="72"/>
      <c r="L49" s="72"/>
    </row>
    <row r="50" spans="1:12" s="9" customFormat="1">
      <c r="A50" s="73" t="s">
        <v>43</v>
      </c>
      <c r="B50" s="10"/>
      <c r="F50" s="22"/>
      <c r="G50" s="74"/>
      <c r="H50" s="75"/>
    </row>
    <row r="51" spans="1:12" s="9" customFormat="1">
      <c r="A51" s="18" t="s">
        <v>44</v>
      </c>
      <c r="B51" s="76">
        <v>15</v>
      </c>
      <c r="F51" s="22"/>
      <c r="G51" s="160"/>
      <c r="H51" s="160"/>
      <c r="I51" s="160"/>
      <c r="J51" s="160"/>
      <c r="K51" s="160"/>
      <c r="L51" s="160"/>
    </row>
    <row r="52" spans="1:12" s="9" customFormat="1">
      <c r="A52" s="18" t="s">
        <v>161</v>
      </c>
      <c r="B52" s="20">
        <v>0.2</v>
      </c>
      <c r="F52" s="22"/>
      <c r="G52" s="22"/>
      <c r="H52" s="77"/>
      <c r="I52" s="77"/>
      <c r="J52" s="77"/>
      <c r="K52" s="77"/>
      <c r="L52" s="77"/>
    </row>
    <row r="53" spans="1:12" s="9" customFormat="1">
      <c r="A53" s="18"/>
      <c r="B53" s="20"/>
      <c r="G53" s="22"/>
      <c r="H53" s="60"/>
      <c r="I53" s="60"/>
      <c r="J53" s="60"/>
      <c r="K53" s="60"/>
      <c r="L53" s="60"/>
    </row>
    <row r="54" spans="1:12" s="9" customFormat="1">
      <c r="A54" s="14" t="s">
        <v>167</v>
      </c>
      <c r="B54" s="10"/>
      <c r="G54" s="22"/>
      <c r="H54" s="60"/>
      <c r="I54" s="60"/>
      <c r="J54" s="60"/>
      <c r="K54" s="60"/>
      <c r="L54" s="60"/>
    </row>
    <row r="55" spans="1:12" s="9" customFormat="1">
      <c r="A55" s="18" t="s">
        <v>169</v>
      </c>
      <c r="B55" s="65">
        <v>10000</v>
      </c>
      <c r="G55" s="22"/>
      <c r="H55" s="60"/>
      <c r="I55" s="60"/>
      <c r="J55" s="60"/>
      <c r="K55" s="60"/>
      <c r="L55" s="60"/>
    </row>
    <row r="56" spans="1:12" s="9" customFormat="1">
      <c r="A56" s="18" t="s">
        <v>168</v>
      </c>
      <c r="B56" s="65">
        <v>5000</v>
      </c>
      <c r="G56" s="22"/>
      <c r="H56" s="60"/>
      <c r="I56" s="60"/>
      <c r="J56" s="60"/>
      <c r="K56" s="60"/>
      <c r="L56" s="60"/>
    </row>
    <row r="57" spans="1:12" s="9" customFormat="1">
      <c r="A57" s="18" t="s">
        <v>170</v>
      </c>
      <c r="B57" s="65">
        <v>4</v>
      </c>
      <c r="G57" s="22"/>
      <c r="H57" s="60"/>
      <c r="I57" s="22"/>
      <c r="J57" s="22"/>
      <c r="K57" s="22"/>
      <c r="L57" s="22"/>
    </row>
    <row r="58" spans="1:12" s="9" customFormat="1">
      <c r="A58" s="18" t="s">
        <v>24</v>
      </c>
      <c r="B58" s="76">
        <v>1500</v>
      </c>
      <c r="G58" s="22"/>
      <c r="H58" s="78"/>
      <c r="I58" s="22"/>
      <c r="J58" s="22"/>
      <c r="K58" s="22"/>
      <c r="L58" s="22"/>
    </row>
    <row r="59" spans="1:12" s="9" customFormat="1">
      <c r="A59" s="18" t="s">
        <v>25</v>
      </c>
      <c r="B59" s="76">
        <v>1500</v>
      </c>
      <c r="G59" s="22"/>
      <c r="H59" s="22"/>
      <c r="I59" s="22"/>
      <c r="J59" s="22"/>
      <c r="K59" s="22"/>
      <c r="L59" s="22"/>
    </row>
    <row r="60" spans="1:12" s="9" customFormat="1">
      <c r="B60" s="10"/>
      <c r="G60" s="22"/>
      <c r="H60" s="22"/>
      <c r="I60" s="22"/>
      <c r="J60" s="22"/>
      <c r="K60" s="22"/>
      <c r="L60" s="22"/>
    </row>
    <row r="61" spans="1:12" s="9" customFormat="1">
      <c r="A61" s="14" t="s">
        <v>176</v>
      </c>
      <c r="B61" s="10"/>
      <c r="G61" s="22"/>
      <c r="H61" s="22"/>
      <c r="I61" s="22"/>
      <c r="J61" s="22"/>
      <c r="K61" s="22"/>
      <c r="L61" s="22"/>
    </row>
    <row r="62" spans="1:12" s="9" customFormat="1">
      <c r="A62" s="18" t="s">
        <v>28</v>
      </c>
      <c r="B62" s="76">
        <v>250000</v>
      </c>
      <c r="G62" s="161"/>
      <c r="H62" s="161"/>
      <c r="I62" s="161"/>
      <c r="J62" s="161"/>
      <c r="K62" s="161"/>
      <c r="L62" s="161"/>
    </row>
    <row r="63" spans="1:12" s="9" customFormat="1">
      <c r="A63" s="18" t="s">
        <v>29</v>
      </c>
      <c r="B63" s="19">
        <v>20</v>
      </c>
      <c r="G63" s="22"/>
      <c r="H63" s="77"/>
      <c r="I63" s="77"/>
      <c r="J63" s="77"/>
      <c r="K63" s="77"/>
      <c r="L63" s="77"/>
    </row>
    <row r="64" spans="1:12" s="9" customFormat="1">
      <c r="A64" s="18" t="s">
        <v>30</v>
      </c>
      <c r="B64" s="65">
        <v>4000</v>
      </c>
      <c r="G64" s="22"/>
      <c r="H64" s="60"/>
      <c r="I64" s="60"/>
      <c r="J64" s="60"/>
      <c r="K64" s="60"/>
      <c r="L64" s="60"/>
    </row>
    <row r="65" spans="1:12" s="9" customFormat="1">
      <c r="A65" s="18" t="s">
        <v>31</v>
      </c>
      <c r="B65" s="65">
        <v>40000</v>
      </c>
      <c r="G65" s="22"/>
      <c r="H65" s="79"/>
      <c r="I65" s="79"/>
      <c r="J65" s="79"/>
      <c r="K65" s="79"/>
      <c r="L65" s="79"/>
    </row>
    <row r="66" spans="1:12" s="9" customFormat="1">
      <c r="A66" s="18" t="s">
        <v>189</v>
      </c>
      <c r="B66" s="76">
        <v>75000</v>
      </c>
      <c r="G66" s="22"/>
      <c r="H66" s="60"/>
      <c r="I66" s="60"/>
      <c r="J66" s="60"/>
      <c r="K66" s="60"/>
      <c r="L66" s="60"/>
    </row>
    <row r="67" spans="1:12" s="9" customFormat="1">
      <c r="A67" s="18" t="s">
        <v>190</v>
      </c>
      <c r="B67" s="76">
        <v>80</v>
      </c>
      <c r="G67" s="22"/>
      <c r="H67" s="60"/>
      <c r="I67" s="60"/>
      <c r="J67" s="60"/>
      <c r="K67" s="60"/>
      <c r="L67" s="60"/>
    </row>
    <row r="68" spans="1:12" s="9" customFormat="1">
      <c r="A68" s="18" t="s">
        <v>204</v>
      </c>
      <c r="B68" s="76">
        <v>200000</v>
      </c>
      <c r="G68" s="22"/>
      <c r="H68" s="22"/>
      <c r="I68" s="22"/>
      <c r="J68" s="22"/>
      <c r="K68" s="22"/>
      <c r="L68" s="22"/>
    </row>
    <row r="69" spans="1:12" s="9" customFormat="1">
      <c r="A69" s="18" t="s">
        <v>184</v>
      </c>
      <c r="B69" s="76">
        <v>200000</v>
      </c>
      <c r="G69" s="22"/>
      <c r="H69" s="60"/>
      <c r="I69" s="60"/>
      <c r="J69" s="60"/>
      <c r="K69" s="60"/>
      <c r="L69" s="60"/>
    </row>
    <row r="70" spans="1:12" s="9" customFormat="1">
      <c r="A70" s="18" t="s">
        <v>185</v>
      </c>
      <c r="B70" s="76">
        <v>200000</v>
      </c>
      <c r="G70" s="22"/>
      <c r="H70" s="24"/>
      <c r="I70" s="24"/>
      <c r="J70" s="24"/>
      <c r="K70" s="24"/>
      <c r="L70" s="24"/>
    </row>
    <row r="71" spans="1:12" s="9" customFormat="1">
      <c r="A71" s="18"/>
      <c r="B71" s="76"/>
      <c r="G71" s="22"/>
      <c r="H71" s="60"/>
      <c r="I71" s="60"/>
      <c r="J71" s="60"/>
      <c r="K71" s="60"/>
      <c r="L71" s="60"/>
    </row>
    <row r="72" spans="1:12" s="9" customFormat="1">
      <c r="A72" s="18" t="s">
        <v>35</v>
      </c>
      <c r="B72" s="65">
        <v>1000</v>
      </c>
      <c r="G72" s="22"/>
      <c r="H72" s="78"/>
      <c r="I72" s="22"/>
      <c r="J72" s="22"/>
      <c r="K72" s="22"/>
      <c r="L72" s="22"/>
    </row>
    <row r="73" spans="1:12" s="9" customFormat="1">
      <c r="A73" s="18" t="s">
        <v>36</v>
      </c>
      <c r="B73" s="76">
        <v>10000</v>
      </c>
      <c r="G73" s="22"/>
      <c r="H73" s="60"/>
      <c r="I73" s="60"/>
      <c r="J73" s="60"/>
      <c r="K73" s="60"/>
      <c r="L73" s="60"/>
    </row>
    <row r="74" spans="1:12" s="9" customFormat="1">
      <c r="A74" s="18" t="s">
        <v>174</v>
      </c>
      <c r="B74" s="65">
        <v>2</v>
      </c>
      <c r="G74" s="22"/>
      <c r="H74" s="80"/>
      <c r="I74" s="80"/>
      <c r="J74" s="80"/>
      <c r="K74" s="80"/>
      <c r="L74" s="80"/>
    </row>
    <row r="75" spans="1:12" s="9" customFormat="1">
      <c r="A75" s="18" t="s">
        <v>175</v>
      </c>
      <c r="B75" s="76">
        <v>25000</v>
      </c>
      <c r="G75" s="81"/>
      <c r="H75" s="81"/>
      <c r="I75" s="81"/>
      <c r="J75" s="81"/>
      <c r="K75" s="81"/>
      <c r="L75" s="81"/>
    </row>
    <row r="76" spans="1:12" s="9" customFormat="1">
      <c r="A76" s="18"/>
      <c r="B76" s="10"/>
    </row>
    <row r="77" spans="1:12" s="9" customFormat="1">
      <c r="A77" s="73" t="s">
        <v>34</v>
      </c>
      <c r="B77" s="10"/>
    </row>
    <row r="78" spans="1:12" s="9" customFormat="1">
      <c r="A78" s="18" t="s">
        <v>32</v>
      </c>
      <c r="B78" s="10">
        <v>50</v>
      </c>
    </row>
    <row r="79" spans="1:12" s="9" customFormat="1">
      <c r="A79" s="18" t="s">
        <v>37</v>
      </c>
      <c r="B79" s="10">
        <v>25</v>
      </c>
    </row>
    <row r="80" spans="1:12" s="9" customFormat="1">
      <c r="A80" s="18" t="s">
        <v>33</v>
      </c>
      <c r="B80" s="10">
        <v>25</v>
      </c>
    </row>
    <row r="81" spans="1:2" s="9" customFormat="1">
      <c r="A81" s="18"/>
      <c r="B81" s="10"/>
    </row>
    <row r="82" spans="1:2" s="9" customFormat="1">
      <c r="A82" s="73" t="s">
        <v>38</v>
      </c>
      <c r="B82" s="10"/>
    </row>
    <row r="83" spans="1:2" s="9" customFormat="1">
      <c r="A83" s="18" t="s">
        <v>39</v>
      </c>
      <c r="B83" s="76">
        <v>200000</v>
      </c>
    </row>
    <row r="84" spans="1:2" s="9" customFormat="1">
      <c r="A84" s="18" t="s">
        <v>40</v>
      </c>
      <c r="B84" s="76">
        <v>200000</v>
      </c>
    </row>
    <row r="85" spans="1:2" s="9" customFormat="1">
      <c r="A85" s="18" t="s">
        <v>41</v>
      </c>
      <c r="B85" s="76">
        <v>200000</v>
      </c>
    </row>
    <row r="86" spans="1:2" s="9" customFormat="1">
      <c r="A86" s="36" t="s">
        <v>202</v>
      </c>
      <c r="B86" s="76">
        <v>0</v>
      </c>
    </row>
    <row r="87" spans="1:2" s="9" customFormat="1" ht="20" thickBot="1">
      <c r="A87" s="82" t="s">
        <v>207</v>
      </c>
      <c r="B87" s="76">
        <v>300000</v>
      </c>
    </row>
    <row r="88" spans="1:2" s="9" customFormat="1" ht="20" thickBot="1">
      <c r="A88" s="82" t="s">
        <v>208</v>
      </c>
      <c r="B88" s="83">
        <v>2000000</v>
      </c>
    </row>
    <row r="89" spans="1:2" s="9" customFormat="1">
      <c r="A89" s="82" t="s">
        <v>209</v>
      </c>
      <c r="B89" s="76">
        <v>1000000</v>
      </c>
    </row>
    <row r="90" spans="1:2" s="9" customFormat="1">
      <c r="A90" s="82"/>
      <c r="B90" s="10"/>
    </row>
    <row r="91" spans="1:2" s="85" customFormat="1">
      <c r="A91" s="73" t="s">
        <v>151</v>
      </c>
      <c r="B91" s="84"/>
    </row>
    <row r="92" spans="1:2" s="9" customFormat="1">
      <c r="A92" s="18" t="s">
        <v>152</v>
      </c>
      <c r="B92" s="20">
        <v>0.35</v>
      </c>
    </row>
    <row r="93" spans="1:2" s="9" customFormat="1">
      <c r="A93" s="18" t="s">
        <v>153</v>
      </c>
      <c r="B93" s="86">
        <v>55</v>
      </c>
    </row>
    <row r="94" spans="1:2" s="9" customFormat="1">
      <c r="A94" s="18" t="s">
        <v>348</v>
      </c>
      <c r="B94" s="10">
        <v>40</v>
      </c>
    </row>
    <row r="95" spans="1:2" s="9" customFormat="1">
      <c r="A95" s="18"/>
      <c r="B95" s="10"/>
    </row>
    <row r="96" spans="1:2" s="14" customFormat="1">
      <c r="A96" s="87" t="s">
        <v>353</v>
      </c>
      <c r="B96" s="10"/>
    </row>
    <row r="97" spans="1:2" s="9" customFormat="1">
      <c r="A97" s="88" t="s">
        <v>351</v>
      </c>
      <c r="B97" s="76">
        <v>92000</v>
      </c>
    </row>
    <row r="98" spans="1:2" s="9" customFormat="1">
      <c r="A98" s="88" t="s">
        <v>352</v>
      </c>
      <c r="B98" s="10">
        <v>50</v>
      </c>
    </row>
    <row r="99" spans="1:2" s="9" customFormat="1">
      <c r="A99" s="88" t="s">
        <v>354</v>
      </c>
      <c r="B99" s="89">
        <v>39814</v>
      </c>
    </row>
    <row r="100" spans="1:2" s="9" customFormat="1">
      <c r="A100" s="88"/>
      <c r="B100" s="89"/>
    </row>
    <row r="101" spans="1:2" s="9" customFormat="1">
      <c r="A101" s="87" t="s">
        <v>357</v>
      </c>
      <c r="B101" s="89"/>
    </row>
    <row r="102" spans="1:2" s="9" customFormat="1">
      <c r="A102" s="88" t="s">
        <v>355</v>
      </c>
      <c r="B102" s="76">
        <v>4000</v>
      </c>
    </row>
    <row r="103" spans="1:2" s="9" customFormat="1">
      <c r="A103" s="88" t="s">
        <v>356</v>
      </c>
      <c r="B103" s="90">
        <f>100/11000</f>
        <v>9.0909090909090905E-3</v>
      </c>
    </row>
    <row r="104" spans="1:2" s="9" customFormat="1">
      <c r="A104" s="88"/>
      <c r="B104" s="89"/>
    </row>
    <row r="105" spans="1:2" s="9" customFormat="1">
      <c r="A105" s="14" t="s">
        <v>211</v>
      </c>
      <c r="B105" s="65">
        <v>60</v>
      </c>
    </row>
    <row r="106" spans="1:2" s="9" customFormat="1">
      <c r="B106" s="10"/>
    </row>
    <row r="107" spans="1:2" s="9" customFormat="1">
      <c r="A107" s="14" t="s">
        <v>222</v>
      </c>
      <c r="B107" s="10">
        <v>1</v>
      </c>
    </row>
    <row r="108" spans="1:2" s="9" customFormat="1">
      <c r="B108" s="10"/>
    </row>
    <row r="109" spans="1:2" s="9" customFormat="1">
      <c r="B109" s="10"/>
    </row>
    <row r="110" spans="1:2" s="9" customFormat="1">
      <c r="B110" s="10"/>
    </row>
    <row r="111" spans="1:2" s="9" customFormat="1">
      <c r="B111" s="10"/>
    </row>
    <row r="112" spans="1:2" s="9" customFormat="1">
      <c r="B112" s="10"/>
    </row>
    <row r="113" spans="2:2" s="9" customFormat="1">
      <c r="B113" s="10"/>
    </row>
    <row r="114" spans="2:2" s="9" customFormat="1">
      <c r="B114" s="10"/>
    </row>
    <row r="115" spans="2:2" s="9" customFormat="1">
      <c r="B115" s="10"/>
    </row>
    <row r="116" spans="2:2" s="9" customFormat="1">
      <c r="B116" s="10"/>
    </row>
    <row r="117" spans="2:2" s="9" customFormat="1">
      <c r="B117" s="10"/>
    </row>
    <row r="118" spans="2:2" s="9" customFormat="1">
      <c r="B118" s="10"/>
    </row>
    <row r="119" spans="2:2" s="9" customFormat="1">
      <c r="B119" s="10"/>
    </row>
    <row r="120" spans="2:2" s="9" customFormat="1">
      <c r="B120" s="10"/>
    </row>
    <row r="121" spans="2:2" s="9" customFormat="1">
      <c r="B121" s="10"/>
    </row>
    <row r="122" spans="2:2" s="9" customFormat="1">
      <c r="B122" s="10"/>
    </row>
    <row r="123" spans="2:2" s="9" customFormat="1">
      <c r="B123" s="10"/>
    </row>
    <row r="124" spans="2:2" s="9" customFormat="1">
      <c r="B124" s="10"/>
    </row>
    <row r="125" spans="2:2" s="9" customFormat="1">
      <c r="B125" s="10"/>
    </row>
    <row r="126" spans="2:2" s="9" customFormat="1">
      <c r="B126" s="10"/>
    </row>
    <row r="127" spans="2:2" s="9" customFormat="1">
      <c r="B127" s="10"/>
    </row>
    <row r="128" spans="2:2" s="9" customFormat="1">
      <c r="B128" s="10"/>
    </row>
    <row r="129" spans="2:2" s="9" customFormat="1">
      <c r="B129" s="10"/>
    </row>
    <row r="130" spans="2:2" s="9" customFormat="1">
      <c r="B130" s="10"/>
    </row>
    <row r="131" spans="2:2" s="9" customFormat="1">
      <c r="B131" s="10"/>
    </row>
    <row r="132" spans="2:2" s="9" customFormat="1">
      <c r="B132" s="10"/>
    </row>
    <row r="133" spans="2:2" s="9" customFormat="1">
      <c r="B133" s="10"/>
    </row>
    <row r="134" spans="2:2" s="9" customFormat="1">
      <c r="B134" s="10"/>
    </row>
    <row r="135" spans="2:2" s="9" customFormat="1">
      <c r="B135" s="10"/>
    </row>
    <row r="136" spans="2:2" s="9" customFormat="1">
      <c r="B136" s="10"/>
    </row>
    <row r="137" spans="2:2" s="9" customFormat="1">
      <c r="B137" s="10"/>
    </row>
    <row r="138" spans="2:2" s="9" customFormat="1">
      <c r="B138" s="10"/>
    </row>
    <row r="139" spans="2:2" s="9" customFormat="1">
      <c r="B139" s="10"/>
    </row>
    <row r="140" spans="2:2" s="9" customFormat="1">
      <c r="B140" s="10"/>
    </row>
    <row r="141" spans="2:2" s="9" customFormat="1">
      <c r="B141" s="10"/>
    </row>
    <row r="142" spans="2:2" s="9" customFormat="1">
      <c r="B142" s="10"/>
    </row>
    <row r="143" spans="2:2" s="9" customFormat="1">
      <c r="B143" s="10"/>
    </row>
    <row r="144" spans="2:2" s="9" customFormat="1">
      <c r="B144" s="10"/>
    </row>
    <row r="145" spans="2:2" s="9" customFormat="1">
      <c r="B145" s="10"/>
    </row>
    <row r="146" spans="2:2" s="9" customFormat="1">
      <c r="B146" s="10"/>
    </row>
    <row r="147" spans="2:2" s="9" customFormat="1">
      <c r="B147" s="10"/>
    </row>
    <row r="148" spans="2:2" s="9" customFormat="1">
      <c r="B148" s="10"/>
    </row>
    <row r="149" spans="2:2" s="9" customFormat="1">
      <c r="B149" s="10"/>
    </row>
    <row r="150" spans="2:2" s="9" customFormat="1">
      <c r="B150" s="10"/>
    </row>
    <row r="151" spans="2:2" s="9" customFormat="1">
      <c r="B151" s="10"/>
    </row>
    <row r="152" spans="2:2" s="9" customFormat="1">
      <c r="B152" s="10"/>
    </row>
    <row r="153" spans="2:2" s="9" customFormat="1">
      <c r="B153" s="10"/>
    </row>
    <row r="154" spans="2:2" s="9" customFormat="1">
      <c r="B154" s="10"/>
    </row>
    <row r="155" spans="2:2" s="9" customFormat="1">
      <c r="B155" s="10"/>
    </row>
    <row r="156" spans="2:2" s="9" customFormat="1">
      <c r="B156" s="10"/>
    </row>
    <row r="157" spans="2:2" s="9" customFormat="1">
      <c r="B157" s="10"/>
    </row>
    <row r="158" spans="2:2" s="9" customFormat="1">
      <c r="B158" s="10"/>
    </row>
    <row r="159" spans="2:2" s="9" customFormat="1">
      <c r="B159" s="10"/>
    </row>
    <row r="160" spans="2:2" s="9" customFormat="1">
      <c r="B160" s="10"/>
    </row>
    <row r="161" spans="2:2" s="9" customFormat="1">
      <c r="B161" s="10"/>
    </row>
    <row r="162" spans="2:2" s="9" customFormat="1">
      <c r="B162" s="10"/>
    </row>
    <row r="163" spans="2:2" s="9" customFormat="1">
      <c r="B163" s="10"/>
    </row>
    <row r="164" spans="2:2" s="9" customFormat="1">
      <c r="B164" s="10"/>
    </row>
    <row r="165" spans="2:2" s="9" customFormat="1">
      <c r="B165" s="10"/>
    </row>
    <row r="166" spans="2:2" s="9" customFormat="1">
      <c r="B166" s="10"/>
    </row>
    <row r="167" spans="2:2" s="9" customFormat="1">
      <c r="B167" s="10"/>
    </row>
    <row r="168" spans="2:2" s="9" customFormat="1">
      <c r="B168" s="10"/>
    </row>
    <row r="169" spans="2:2" s="9" customFormat="1">
      <c r="B169" s="10"/>
    </row>
    <row r="170" spans="2:2" s="9" customFormat="1">
      <c r="B170" s="10"/>
    </row>
    <row r="171" spans="2:2" s="9" customFormat="1">
      <c r="B171" s="10"/>
    </row>
    <row r="172" spans="2:2" s="9" customFormat="1">
      <c r="B172" s="10"/>
    </row>
    <row r="173" spans="2:2" s="9" customFormat="1">
      <c r="B173" s="10"/>
    </row>
    <row r="174" spans="2:2" s="9" customFormat="1">
      <c r="B174" s="10"/>
    </row>
    <row r="175" spans="2:2" s="9" customFormat="1">
      <c r="B175" s="10"/>
    </row>
    <row r="176" spans="2:2" s="9" customFormat="1">
      <c r="B176" s="10"/>
    </row>
    <row r="177" spans="2:2" s="9" customFormat="1">
      <c r="B177" s="10"/>
    </row>
    <row r="178" spans="2:2" s="9" customFormat="1">
      <c r="B178" s="10"/>
    </row>
    <row r="179" spans="2:2" s="9" customFormat="1">
      <c r="B179" s="10"/>
    </row>
    <row r="180" spans="2:2" s="9" customFormat="1">
      <c r="B180" s="10"/>
    </row>
    <row r="181" spans="2:2" s="9" customFormat="1">
      <c r="B181" s="10"/>
    </row>
    <row r="182" spans="2:2" s="9" customFormat="1">
      <c r="B182" s="10"/>
    </row>
    <row r="183" spans="2:2" s="9" customFormat="1">
      <c r="B183" s="10"/>
    </row>
    <row r="184" spans="2:2" s="9" customFormat="1">
      <c r="B184" s="10"/>
    </row>
    <row r="185" spans="2:2" s="9" customFormat="1">
      <c r="B185" s="10"/>
    </row>
    <row r="186" spans="2:2" s="9" customFormat="1">
      <c r="B186" s="10"/>
    </row>
    <row r="187" spans="2:2" s="9" customFormat="1">
      <c r="B187" s="10"/>
    </row>
    <row r="188" spans="2:2" s="9" customFormat="1">
      <c r="B188" s="10"/>
    </row>
    <row r="189" spans="2:2" s="9" customFormat="1">
      <c r="B189" s="10"/>
    </row>
    <row r="190" spans="2:2" s="9" customFormat="1">
      <c r="B190" s="10"/>
    </row>
    <row r="191" spans="2:2" s="9" customFormat="1">
      <c r="B191" s="10"/>
    </row>
    <row r="192" spans="2:2" s="9" customFormat="1">
      <c r="B192" s="10"/>
    </row>
    <row r="193" spans="2:2" s="9" customFormat="1">
      <c r="B193" s="10"/>
    </row>
    <row r="194" spans="2:2" s="9" customFormat="1">
      <c r="B194" s="10"/>
    </row>
    <row r="195" spans="2:2" s="9" customFormat="1">
      <c r="B195" s="10"/>
    </row>
    <row r="196" spans="2:2" s="9" customFormat="1">
      <c r="B196" s="10"/>
    </row>
    <row r="197" spans="2:2" s="9" customFormat="1">
      <c r="B197" s="10"/>
    </row>
    <row r="198" spans="2:2" s="9" customFormat="1">
      <c r="B198" s="10"/>
    </row>
    <row r="199" spans="2:2" s="9" customFormat="1">
      <c r="B199" s="10"/>
    </row>
    <row r="200" spans="2:2" s="9" customFormat="1">
      <c r="B200" s="10"/>
    </row>
    <row r="201" spans="2:2" s="9" customFormat="1">
      <c r="B201" s="10"/>
    </row>
    <row r="202" spans="2:2" s="9" customFormat="1">
      <c r="B202" s="10"/>
    </row>
    <row r="203" spans="2:2" s="9" customFormat="1">
      <c r="B203" s="10"/>
    </row>
    <row r="204" spans="2:2" s="9" customFormat="1">
      <c r="B204" s="10"/>
    </row>
    <row r="205" spans="2:2" s="9" customFormat="1">
      <c r="B205" s="10"/>
    </row>
    <row r="206" spans="2:2" s="9" customFormat="1">
      <c r="B206" s="10"/>
    </row>
    <row r="207" spans="2:2" s="9" customFormat="1">
      <c r="B207" s="10"/>
    </row>
    <row r="208" spans="2:2" s="9" customFormat="1">
      <c r="B208" s="10"/>
    </row>
    <row r="209" spans="2:2" s="9" customFormat="1">
      <c r="B209" s="10"/>
    </row>
    <row r="210" spans="2:2" s="9" customFormat="1">
      <c r="B210" s="10"/>
    </row>
    <row r="211" spans="2:2" s="9" customFormat="1">
      <c r="B211" s="10"/>
    </row>
    <row r="212" spans="2:2" s="9" customFormat="1">
      <c r="B212" s="10"/>
    </row>
    <row r="213" spans="2:2" s="9" customFormat="1">
      <c r="B213" s="10"/>
    </row>
    <row r="214" spans="2:2" s="9" customFormat="1">
      <c r="B214" s="10"/>
    </row>
    <row r="215" spans="2:2" s="9" customFormat="1">
      <c r="B215" s="10"/>
    </row>
    <row r="216" spans="2:2" s="9" customFormat="1">
      <c r="B216" s="10"/>
    </row>
    <row r="217" spans="2:2" s="9" customFormat="1">
      <c r="B217" s="10"/>
    </row>
    <row r="218" spans="2:2" s="9" customFormat="1">
      <c r="B218" s="10"/>
    </row>
    <row r="219" spans="2:2" s="9" customFormat="1">
      <c r="B219" s="10"/>
    </row>
    <row r="220" spans="2:2" s="9" customFormat="1">
      <c r="B220" s="10"/>
    </row>
    <row r="221" spans="2:2" s="9" customFormat="1">
      <c r="B221" s="10"/>
    </row>
    <row r="222" spans="2:2" s="9" customFormat="1">
      <c r="B222" s="10"/>
    </row>
    <row r="223" spans="2:2" s="9" customFormat="1">
      <c r="B223" s="10"/>
    </row>
    <row r="224" spans="2:2" s="9" customFormat="1">
      <c r="B224" s="10"/>
    </row>
    <row r="225" spans="2:2" s="9" customFormat="1">
      <c r="B225" s="10"/>
    </row>
    <row r="226" spans="2:2" s="9" customFormat="1">
      <c r="B226" s="10"/>
    </row>
    <row r="227" spans="2:2" s="9" customFormat="1">
      <c r="B227" s="10"/>
    </row>
    <row r="228" spans="2:2" s="9" customFormat="1">
      <c r="B228" s="10"/>
    </row>
    <row r="229" spans="2:2" s="9" customFormat="1">
      <c r="B229" s="10"/>
    </row>
    <row r="230" spans="2:2" s="9" customFormat="1">
      <c r="B230" s="10"/>
    </row>
    <row r="231" spans="2:2" s="9" customFormat="1">
      <c r="B231" s="10"/>
    </row>
    <row r="232" spans="2:2" s="9" customFormat="1">
      <c r="B232" s="10"/>
    </row>
    <row r="233" spans="2:2" s="9" customFormat="1">
      <c r="B233" s="10"/>
    </row>
    <row r="234" spans="2:2" s="9" customFormat="1">
      <c r="B234" s="10"/>
    </row>
    <row r="235" spans="2:2" s="9" customFormat="1">
      <c r="B235" s="10"/>
    </row>
    <row r="236" spans="2:2" s="9" customFormat="1">
      <c r="B236" s="10"/>
    </row>
    <row r="237" spans="2:2" s="9" customFormat="1">
      <c r="B237" s="10"/>
    </row>
    <row r="238" spans="2:2" s="9" customFormat="1">
      <c r="B238" s="10"/>
    </row>
    <row r="239" spans="2:2" s="9" customFormat="1">
      <c r="B239" s="10"/>
    </row>
    <row r="240" spans="2:2" s="9" customFormat="1">
      <c r="B240" s="10"/>
    </row>
    <row r="241" spans="2:2" s="9" customFormat="1">
      <c r="B241" s="10"/>
    </row>
    <row r="242" spans="2:2" s="9" customFormat="1">
      <c r="B242" s="10"/>
    </row>
    <row r="243" spans="2:2" s="9" customFormat="1">
      <c r="B243" s="10"/>
    </row>
    <row r="244" spans="2:2" s="9" customFormat="1">
      <c r="B244" s="10"/>
    </row>
    <row r="245" spans="2:2" s="9" customFormat="1">
      <c r="B245" s="10"/>
    </row>
    <row r="246" spans="2:2" s="9" customFormat="1">
      <c r="B246" s="10"/>
    </row>
    <row r="247" spans="2:2" s="9" customFormat="1">
      <c r="B247" s="10"/>
    </row>
    <row r="248" spans="2:2" s="9" customFormat="1">
      <c r="B248" s="10"/>
    </row>
    <row r="249" spans="2:2" s="9" customFormat="1">
      <c r="B249" s="10"/>
    </row>
    <row r="250" spans="2:2" s="9" customFormat="1">
      <c r="B250" s="10"/>
    </row>
    <row r="251" spans="2:2" s="9" customFormat="1">
      <c r="B251" s="10"/>
    </row>
    <row r="252" spans="2:2" s="9" customFormat="1">
      <c r="B252" s="10"/>
    </row>
    <row r="253" spans="2:2" s="9" customFormat="1">
      <c r="B253" s="10"/>
    </row>
    <row r="254" spans="2:2" s="9" customFormat="1">
      <c r="B254" s="10"/>
    </row>
    <row r="255" spans="2:2" s="9" customFormat="1">
      <c r="B255" s="10"/>
    </row>
    <row r="256" spans="2:2" s="9" customFormat="1">
      <c r="B256" s="10"/>
    </row>
    <row r="257" spans="2:2" s="9" customFormat="1">
      <c r="B257" s="10"/>
    </row>
    <row r="258" spans="2:2" s="9" customFormat="1">
      <c r="B258" s="10"/>
    </row>
    <row r="259" spans="2:2" s="9" customFormat="1">
      <c r="B259" s="10"/>
    </row>
    <row r="260" spans="2:2" s="9" customFormat="1">
      <c r="B260" s="10"/>
    </row>
    <row r="261" spans="2:2" s="9" customFormat="1">
      <c r="B261" s="10"/>
    </row>
    <row r="262" spans="2:2" s="9" customFormat="1">
      <c r="B262" s="10"/>
    </row>
    <row r="263" spans="2:2" s="9" customFormat="1">
      <c r="B263" s="10"/>
    </row>
    <row r="264" spans="2:2" s="9" customFormat="1">
      <c r="B264" s="10"/>
    </row>
    <row r="265" spans="2:2" s="9" customFormat="1">
      <c r="B265" s="10"/>
    </row>
    <row r="266" spans="2:2" s="9" customFormat="1">
      <c r="B266" s="10"/>
    </row>
    <row r="267" spans="2:2" s="9" customFormat="1">
      <c r="B267" s="10"/>
    </row>
    <row r="268" spans="2:2" s="9" customFormat="1">
      <c r="B268" s="10"/>
    </row>
    <row r="269" spans="2:2" s="9" customFormat="1">
      <c r="B269" s="10"/>
    </row>
    <row r="270" spans="2:2" s="9" customFormat="1">
      <c r="B270" s="10"/>
    </row>
    <row r="271" spans="2:2" s="9" customFormat="1">
      <c r="B271" s="10"/>
    </row>
    <row r="272" spans="2:2" s="9" customFormat="1">
      <c r="B272" s="10"/>
    </row>
    <row r="273" spans="2:2" s="9" customFormat="1">
      <c r="B273" s="10"/>
    </row>
    <row r="274" spans="2:2" s="9" customFormat="1">
      <c r="B274" s="10"/>
    </row>
    <row r="275" spans="2:2" s="9" customFormat="1">
      <c r="B275" s="10"/>
    </row>
    <row r="276" spans="2:2" s="9" customFormat="1">
      <c r="B276" s="10"/>
    </row>
    <row r="277" spans="2:2" s="9" customFormat="1">
      <c r="B277" s="10"/>
    </row>
    <row r="278" spans="2:2" s="9" customFormat="1">
      <c r="B278" s="10"/>
    </row>
    <row r="279" spans="2:2" s="9" customFormat="1">
      <c r="B279" s="10"/>
    </row>
    <row r="280" spans="2:2" s="9" customFormat="1">
      <c r="B280" s="10"/>
    </row>
    <row r="281" spans="2:2" s="9" customFormat="1">
      <c r="B281" s="10"/>
    </row>
    <row r="282" spans="2:2" s="9" customFormat="1">
      <c r="B282" s="10"/>
    </row>
    <row r="283" spans="2:2" s="9" customFormat="1">
      <c r="B283" s="10"/>
    </row>
    <row r="284" spans="2:2" s="9" customFormat="1">
      <c r="B284" s="10"/>
    </row>
    <row r="285" spans="2:2" s="9" customFormat="1">
      <c r="B285" s="10"/>
    </row>
    <row r="286" spans="2:2" s="9" customFormat="1">
      <c r="B286" s="10"/>
    </row>
    <row r="287" spans="2:2" s="9" customFormat="1">
      <c r="B287" s="10"/>
    </row>
    <row r="288" spans="2:2" s="9" customFormat="1">
      <c r="B288" s="10"/>
    </row>
    <row r="289" spans="2:2" s="9" customFormat="1">
      <c r="B289" s="10"/>
    </row>
    <row r="290" spans="2:2" s="9" customFormat="1">
      <c r="B290" s="10"/>
    </row>
    <row r="291" spans="2:2" s="9" customFormat="1">
      <c r="B291" s="10"/>
    </row>
    <row r="292" spans="2:2" s="9" customFormat="1">
      <c r="B292" s="10"/>
    </row>
    <row r="293" spans="2:2" s="9" customFormat="1">
      <c r="B293" s="10"/>
    </row>
    <row r="294" spans="2:2" s="9" customFormat="1">
      <c r="B294" s="10"/>
    </row>
    <row r="295" spans="2:2" s="9" customFormat="1">
      <c r="B295" s="10"/>
    </row>
    <row r="296" spans="2:2" s="9" customFormat="1">
      <c r="B296" s="10"/>
    </row>
    <row r="297" spans="2:2" s="9" customFormat="1">
      <c r="B297" s="10"/>
    </row>
    <row r="298" spans="2:2" s="9" customFormat="1">
      <c r="B298" s="10"/>
    </row>
    <row r="299" spans="2:2" s="9" customFormat="1">
      <c r="B299" s="10"/>
    </row>
    <row r="300" spans="2:2" s="9" customFormat="1">
      <c r="B300" s="10"/>
    </row>
    <row r="301" spans="2:2" s="9" customFormat="1">
      <c r="B301" s="10"/>
    </row>
    <row r="302" spans="2:2" s="9" customFormat="1">
      <c r="B302" s="10"/>
    </row>
    <row r="303" spans="2:2" s="9" customFormat="1">
      <c r="B303" s="10"/>
    </row>
    <row r="304" spans="2:2" s="9" customFormat="1">
      <c r="B304" s="10"/>
    </row>
    <row r="305" spans="2:2" s="9" customFormat="1">
      <c r="B305" s="10"/>
    </row>
    <row r="306" spans="2:2" s="9" customFormat="1">
      <c r="B306" s="10"/>
    </row>
    <row r="307" spans="2:2" s="9" customFormat="1">
      <c r="B307" s="10"/>
    </row>
    <row r="308" spans="2:2" s="9" customFormat="1">
      <c r="B308" s="10"/>
    </row>
    <row r="309" spans="2:2" s="9" customFormat="1">
      <c r="B309" s="10"/>
    </row>
    <row r="310" spans="2:2" s="9" customFormat="1">
      <c r="B310" s="10"/>
    </row>
    <row r="311" spans="2:2" s="9" customFormat="1">
      <c r="B311" s="10"/>
    </row>
    <row r="312" spans="2:2" s="9" customFormat="1">
      <c r="B312" s="10"/>
    </row>
    <row r="313" spans="2:2" s="9" customFormat="1">
      <c r="B313" s="10"/>
    </row>
    <row r="314" spans="2:2" s="9" customFormat="1">
      <c r="B314" s="10"/>
    </row>
    <row r="315" spans="2:2" s="9" customFormat="1">
      <c r="B315" s="10"/>
    </row>
    <row r="316" spans="2:2" s="9" customFormat="1">
      <c r="B316" s="10"/>
    </row>
    <row r="317" spans="2:2" s="9" customFormat="1">
      <c r="B317" s="10"/>
    </row>
    <row r="318" spans="2:2" s="9" customFormat="1">
      <c r="B318" s="10"/>
    </row>
    <row r="319" spans="2:2" s="9" customFormat="1">
      <c r="B319" s="10"/>
    </row>
    <row r="320" spans="2:2" s="9" customFormat="1">
      <c r="B320" s="10"/>
    </row>
    <row r="321" spans="2:2" s="9" customFormat="1">
      <c r="B321" s="10"/>
    </row>
    <row r="322" spans="2:2" s="9" customFormat="1">
      <c r="B322" s="10"/>
    </row>
    <row r="323" spans="2:2" s="9" customFormat="1">
      <c r="B323" s="10"/>
    </row>
    <row r="324" spans="2:2" s="9" customFormat="1">
      <c r="B324" s="10"/>
    </row>
    <row r="325" spans="2:2" s="9" customFormat="1">
      <c r="B325" s="10"/>
    </row>
    <row r="326" spans="2:2" s="9" customFormat="1">
      <c r="B326" s="10"/>
    </row>
    <row r="327" spans="2:2" s="9" customFormat="1">
      <c r="B327" s="10"/>
    </row>
    <row r="328" spans="2:2" s="9" customFormat="1">
      <c r="B328" s="10"/>
    </row>
    <row r="329" spans="2:2" s="9" customFormat="1">
      <c r="B329" s="10"/>
    </row>
    <row r="330" spans="2:2" s="9" customFormat="1">
      <c r="B330" s="10"/>
    </row>
    <row r="331" spans="2:2" s="9" customFormat="1">
      <c r="B331" s="10"/>
    </row>
    <row r="332" spans="2:2" s="9" customFormat="1">
      <c r="B332" s="10"/>
    </row>
    <row r="333" spans="2:2" s="9" customFormat="1">
      <c r="B333" s="10"/>
    </row>
    <row r="334" spans="2:2" s="9" customFormat="1">
      <c r="B334" s="10"/>
    </row>
    <row r="335" spans="2:2" s="9" customFormat="1">
      <c r="B335" s="10"/>
    </row>
    <row r="336" spans="2:2" s="9" customFormat="1">
      <c r="B336" s="10"/>
    </row>
    <row r="337" spans="2:2" s="9" customFormat="1">
      <c r="B337" s="10"/>
    </row>
    <row r="338" spans="2:2" s="9" customFormat="1">
      <c r="B338" s="10"/>
    </row>
    <row r="339" spans="2:2" s="9" customFormat="1">
      <c r="B339" s="10"/>
    </row>
    <row r="340" spans="2:2" s="9" customFormat="1">
      <c r="B340" s="10"/>
    </row>
    <row r="341" spans="2:2" s="9" customFormat="1">
      <c r="B341" s="10"/>
    </row>
    <row r="342" spans="2:2" s="9" customFormat="1">
      <c r="B342" s="10"/>
    </row>
    <row r="343" spans="2:2" s="9" customFormat="1">
      <c r="B343" s="10"/>
    </row>
    <row r="344" spans="2:2" s="9" customFormat="1">
      <c r="B344" s="10"/>
    </row>
    <row r="345" spans="2:2" s="9" customFormat="1">
      <c r="B345" s="10"/>
    </row>
    <row r="346" spans="2:2" s="9" customFormat="1">
      <c r="B346" s="10"/>
    </row>
    <row r="347" spans="2:2" s="9" customFormat="1">
      <c r="B347" s="10"/>
    </row>
    <row r="348" spans="2:2" s="9" customFormat="1">
      <c r="B348" s="10"/>
    </row>
    <row r="349" spans="2:2" s="9" customFormat="1">
      <c r="B349" s="10"/>
    </row>
    <row r="350" spans="2:2" s="9" customFormat="1">
      <c r="B350" s="10"/>
    </row>
    <row r="351" spans="2:2" s="9" customFormat="1">
      <c r="B351" s="10"/>
    </row>
    <row r="352" spans="2:2" s="9" customFormat="1">
      <c r="B352" s="10"/>
    </row>
    <row r="353" spans="2:2" s="9" customFormat="1">
      <c r="B353" s="10"/>
    </row>
    <row r="354" spans="2:2" s="9" customFormat="1">
      <c r="B354" s="10"/>
    </row>
    <row r="355" spans="2:2" s="9" customFormat="1">
      <c r="B355" s="10"/>
    </row>
    <row r="356" spans="2:2" s="9" customFormat="1">
      <c r="B356" s="10"/>
    </row>
    <row r="357" spans="2:2" s="9" customFormat="1">
      <c r="B357" s="10"/>
    </row>
    <row r="358" spans="2:2" s="9" customFormat="1">
      <c r="B358" s="10"/>
    </row>
    <row r="359" spans="2:2" s="9" customFormat="1">
      <c r="B359" s="10"/>
    </row>
    <row r="360" spans="2:2" s="9" customFormat="1">
      <c r="B360" s="10"/>
    </row>
    <row r="361" spans="2:2" s="9" customFormat="1">
      <c r="B361" s="10"/>
    </row>
    <row r="362" spans="2:2" s="9" customFormat="1">
      <c r="B362" s="10"/>
    </row>
    <row r="363" spans="2:2" s="9" customFormat="1">
      <c r="B363" s="10"/>
    </row>
    <row r="364" spans="2:2" s="9" customFormat="1">
      <c r="B364" s="10"/>
    </row>
    <row r="365" spans="2:2" s="9" customFormat="1">
      <c r="B365" s="10"/>
    </row>
    <row r="366" spans="2:2" s="9" customFormat="1">
      <c r="B366" s="10"/>
    </row>
    <row r="367" spans="2:2" s="9" customFormat="1">
      <c r="B367" s="10"/>
    </row>
    <row r="368" spans="2:2" s="9" customFormat="1">
      <c r="B368" s="10"/>
    </row>
    <row r="369" spans="2:2" s="9" customFormat="1">
      <c r="B369" s="10"/>
    </row>
    <row r="370" spans="2:2" s="9" customFormat="1">
      <c r="B370" s="10"/>
    </row>
    <row r="371" spans="2:2" s="9" customFormat="1">
      <c r="B371" s="10"/>
    </row>
    <row r="372" spans="2:2" s="9" customFormat="1">
      <c r="B372" s="10"/>
    </row>
    <row r="373" spans="2:2" s="9" customFormat="1">
      <c r="B373" s="10"/>
    </row>
    <row r="374" spans="2:2" s="9" customFormat="1">
      <c r="B374" s="10"/>
    </row>
    <row r="375" spans="2:2" s="9" customFormat="1">
      <c r="B375" s="10"/>
    </row>
    <row r="376" spans="2:2" s="9" customFormat="1">
      <c r="B376" s="10"/>
    </row>
    <row r="377" spans="2:2" s="9" customFormat="1">
      <c r="B377" s="10"/>
    </row>
    <row r="378" spans="2:2" s="9" customFormat="1">
      <c r="B378" s="10"/>
    </row>
    <row r="379" spans="2:2" s="9" customFormat="1">
      <c r="B379" s="10"/>
    </row>
    <row r="380" spans="2:2" s="9" customFormat="1">
      <c r="B380" s="10"/>
    </row>
    <row r="381" spans="2:2" s="9" customFormat="1">
      <c r="B381" s="10"/>
    </row>
    <row r="382" spans="2:2" s="9" customFormat="1">
      <c r="B382" s="10"/>
    </row>
    <row r="383" spans="2:2" s="9" customFormat="1">
      <c r="B383" s="10"/>
    </row>
    <row r="384" spans="2:2" s="9" customFormat="1">
      <c r="B384" s="10"/>
    </row>
    <row r="385" spans="2:2" s="9" customFormat="1">
      <c r="B385" s="10"/>
    </row>
  </sheetData>
  <mergeCells count="6">
    <mergeCell ref="G51:L51"/>
    <mergeCell ref="G62:L62"/>
    <mergeCell ref="D13:D20"/>
    <mergeCell ref="D21:D30"/>
    <mergeCell ref="F12:J12"/>
    <mergeCell ref="G18:L18"/>
  </mergeCells>
  <phoneticPr fontId="2" type="noConversion"/>
  <pageMargins left="0.75" right="0.75" top="1" bottom="1" header="0.5" footer="0.5"/>
  <headerFooter>
    <oddFooter>&amp;L&amp;"Arial Narrow,Bold"GH Capital Partners_x000D_Robert H. Hacker_x000D_rhhfla@mindspring.com&amp;C&amp;"Arial Narrow,Bold"CONFIDENTIAL&amp;R&amp;"Arial Narrow,Bold"&amp;D  &amp;T</oddFooter>
  </headerFooter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260"/>
  <sheetViews>
    <sheetView zoomScale="75" workbookViewId="0">
      <pane xSplit="1" ySplit="6" topLeftCell="B7" activePane="bottomRight" state="frozen"/>
      <selection activeCell="H22" sqref="H22"/>
      <selection pane="topRight" activeCell="H22" sqref="H22"/>
      <selection pane="bottomLeft" activeCell="H22" sqref="H22"/>
      <selection pane="bottomRight" activeCell="A22" sqref="A22"/>
    </sheetView>
  </sheetViews>
  <sheetFormatPr baseColWidth="10" defaultColWidth="9.3984375" defaultRowHeight="19" x14ac:dyDescent="0"/>
  <cols>
    <col min="1" max="1" width="76.3984375" style="8" bestFit="1" customWidth="1"/>
    <col min="2" max="2" width="12.19921875" style="8" customWidth="1"/>
    <col min="3" max="62" width="19" style="8" bestFit="1" customWidth="1"/>
    <col min="63" max="63" width="9.3984375" style="8"/>
    <col min="64" max="64" width="12.19921875" style="8" bestFit="1" customWidth="1"/>
    <col min="65" max="66" width="9.3984375" style="8"/>
    <col min="67" max="67" width="15.19921875" style="8" bestFit="1" customWidth="1"/>
    <col min="68" max="16384" width="9.3984375" style="8"/>
  </cols>
  <sheetData>
    <row r="1" spans="1:74">
      <c r="A1" s="6"/>
    </row>
    <row r="2" spans="1:74">
      <c r="A2" s="6" t="s">
        <v>313</v>
      </c>
    </row>
    <row r="3" spans="1:74">
      <c r="A3" s="6" t="s">
        <v>226</v>
      </c>
    </row>
    <row r="4" spans="1:74">
      <c r="A4" s="6" t="s">
        <v>0</v>
      </c>
    </row>
    <row r="5" spans="1:74">
      <c r="A5" s="7" t="s">
        <v>314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2</v>
      </c>
      <c r="P5" s="8">
        <v>2</v>
      </c>
      <c r="Q5" s="8">
        <v>2</v>
      </c>
      <c r="R5" s="8">
        <v>2</v>
      </c>
      <c r="S5" s="8">
        <v>2</v>
      </c>
      <c r="T5" s="8">
        <v>2</v>
      </c>
      <c r="U5" s="8">
        <v>2</v>
      </c>
      <c r="V5" s="8">
        <v>2</v>
      </c>
      <c r="W5" s="8">
        <v>2</v>
      </c>
      <c r="X5" s="8">
        <v>2</v>
      </c>
      <c r="Y5" s="8">
        <v>2</v>
      </c>
      <c r="Z5" s="8">
        <v>2</v>
      </c>
      <c r="AA5" s="8">
        <v>3</v>
      </c>
      <c r="AB5" s="8">
        <v>3</v>
      </c>
      <c r="AC5" s="8">
        <v>3</v>
      </c>
      <c r="AD5" s="8">
        <v>3</v>
      </c>
      <c r="AE5" s="8">
        <v>3</v>
      </c>
      <c r="AF5" s="8">
        <v>3</v>
      </c>
      <c r="AG5" s="8">
        <v>3</v>
      </c>
      <c r="AH5" s="8">
        <v>3</v>
      </c>
      <c r="AI5" s="8">
        <v>3</v>
      </c>
      <c r="AJ5" s="8">
        <v>3</v>
      </c>
      <c r="AK5" s="8">
        <v>3</v>
      </c>
      <c r="AL5" s="8">
        <v>3</v>
      </c>
      <c r="AM5" s="8">
        <v>4</v>
      </c>
      <c r="AN5" s="8">
        <v>4</v>
      </c>
      <c r="AO5" s="8">
        <v>4</v>
      </c>
      <c r="AP5" s="8">
        <v>4</v>
      </c>
      <c r="AQ5" s="8">
        <v>4</v>
      </c>
      <c r="AR5" s="8">
        <v>4</v>
      </c>
      <c r="AS5" s="8">
        <v>4</v>
      </c>
      <c r="AT5" s="8">
        <v>4</v>
      </c>
      <c r="AU5" s="8">
        <v>4</v>
      </c>
      <c r="AV5" s="8">
        <v>4</v>
      </c>
      <c r="AW5" s="8">
        <v>4</v>
      </c>
      <c r="AX5" s="8">
        <v>4</v>
      </c>
      <c r="AY5" s="8">
        <v>5</v>
      </c>
      <c r="AZ5" s="8">
        <v>5</v>
      </c>
      <c r="BA5" s="8">
        <v>5</v>
      </c>
      <c r="BB5" s="8">
        <v>5</v>
      </c>
      <c r="BC5" s="8">
        <v>5</v>
      </c>
      <c r="BD5" s="8">
        <v>5</v>
      </c>
      <c r="BE5" s="8">
        <v>5</v>
      </c>
      <c r="BF5" s="8">
        <v>5</v>
      </c>
      <c r="BG5" s="8">
        <v>5</v>
      </c>
      <c r="BH5" s="8">
        <v>5</v>
      </c>
      <c r="BI5" s="8">
        <v>5</v>
      </c>
      <c r="BJ5" s="8">
        <v>5</v>
      </c>
    </row>
    <row r="6" spans="1:74">
      <c r="C6" s="91">
        <v>39455</v>
      </c>
      <c r="D6" s="91">
        <v>39486</v>
      </c>
      <c r="E6" s="91">
        <v>39515</v>
      </c>
      <c r="F6" s="91">
        <v>39546</v>
      </c>
      <c r="G6" s="91">
        <v>39576</v>
      </c>
      <c r="H6" s="91">
        <v>39607</v>
      </c>
      <c r="I6" s="91">
        <v>39637</v>
      </c>
      <c r="J6" s="91">
        <v>39668</v>
      </c>
      <c r="K6" s="91">
        <v>39699</v>
      </c>
      <c r="L6" s="91">
        <v>39729</v>
      </c>
      <c r="M6" s="91">
        <v>39760</v>
      </c>
      <c r="N6" s="91">
        <v>39790</v>
      </c>
      <c r="O6" s="91">
        <v>39821</v>
      </c>
      <c r="P6" s="91">
        <v>39852</v>
      </c>
      <c r="Q6" s="91">
        <v>39880</v>
      </c>
      <c r="R6" s="91">
        <v>39911</v>
      </c>
      <c r="S6" s="91">
        <v>39941</v>
      </c>
      <c r="T6" s="91">
        <v>39972</v>
      </c>
      <c r="U6" s="91">
        <v>40002</v>
      </c>
      <c r="V6" s="91">
        <v>40033</v>
      </c>
      <c r="W6" s="91">
        <v>40064</v>
      </c>
      <c r="X6" s="91">
        <v>40094</v>
      </c>
      <c r="Y6" s="91">
        <v>40125</v>
      </c>
      <c r="Z6" s="91">
        <v>40155</v>
      </c>
      <c r="AA6" s="91">
        <v>40186</v>
      </c>
      <c r="AB6" s="91">
        <v>40217</v>
      </c>
      <c r="AC6" s="91">
        <v>40245</v>
      </c>
      <c r="AD6" s="91">
        <v>40276</v>
      </c>
      <c r="AE6" s="91">
        <v>40306</v>
      </c>
      <c r="AF6" s="91">
        <v>40337</v>
      </c>
      <c r="AG6" s="91">
        <v>40367</v>
      </c>
      <c r="AH6" s="91">
        <v>40398</v>
      </c>
      <c r="AI6" s="91">
        <v>40429</v>
      </c>
      <c r="AJ6" s="91">
        <v>40459</v>
      </c>
      <c r="AK6" s="91">
        <v>40490</v>
      </c>
      <c r="AL6" s="91">
        <v>40520</v>
      </c>
      <c r="AM6" s="91">
        <v>40551</v>
      </c>
      <c r="AN6" s="91">
        <v>40582</v>
      </c>
      <c r="AO6" s="91">
        <v>40610</v>
      </c>
      <c r="AP6" s="91">
        <v>40641</v>
      </c>
      <c r="AQ6" s="91">
        <v>40671</v>
      </c>
      <c r="AR6" s="91">
        <v>40702</v>
      </c>
      <c r="AS6" s="91">
        <v>40732</v>
      </c>
      <c r="AT6" s="91">
        <v>40763</v>
      </c>
      <c r="AU6" s="91">
        <v>40794</v>
      </c>
      <c r="AV6" s="91">
        <v>40824</v>
      </c>
      <c r="AW6" s="91">
        <v>40855</v>
      </c>
      <c r="AX6" s="91">
        <v>40885</v>
      </c>
      <c r="AY6" s="91">
        <v>40916</v>
      </c>
      <c r="AZ6" s="91">
        <v>40947</v>
      </c>
      <c r="BA6" s="91">
        <v>40976</v>
      </c>
      <c r="BB6" s="91">
        <v>41007</v>
      </c>
      <c r="BC6" s="91">
        <v>41037</v>
      </c>
      <c r="BD6" s="91">
        <v>41068</v>
      </c>
      <c r="BE6" s="91">
        <v>41098</v>
      </c>
      <c r="BF6" s="91">
        <v>41129</v>
      </c>
      <c r="BG6" s="91">
        <v>41160</v>
      </c>
      <c r="BH6" s="91">
        <v>41190</v>
      </c>
      <c r="BI6" s="91">
        <v>41221</v>
      </c>
      <c r="BJ6" s="91">
        <v>41251</v>
      </c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</row>
    <row r="7" spans="1:74">
      <c r="A7" s="92" t="s">
        <v>45</v>
      </c>
      <c r="C7" s="81">
        <f>C139</f>
        <v>503622.62500000483</v>
      </c>
      <c r="D7" s="81">
        <f t="shared" ref="D7:BJ7" si="0">D139</f>
        <v>513695.0775000049</v>
      </c>
      <c r="E7" s="81">
        <f t="shared" si="0"/>
        <v>523465.35642500507</v>
      </c>
      <c r="F7" s="81">
        <f t="shared" si="0"/>
        <v>532942.52698225505</v>
      </c>
      <c r="G7" s="81">
        <f t="shared" si="0"/>
        <v>542135.3824227876</v>
      </c>
      <c r="H7" s="81">
        <f t="shared" si="0"/>
        <v>551052.45220010425</v>
      </c>
      <c r="I7" s="81">
        <f t="shared" si="0"/>
        <v>559702.00988410134</v>
      </c>
      <c r="J7" s="81">
        <f t="shared" si="0"/>
        <v>568092.08083757863</v>
      </c>
      <c r="K7" s="81">
        <f t="shared" si="0"/>
        <v>576230.4496624514</v>
      </c>
      <c r="L7" s="81">
        <f t="shared" si="0"/>
        <v>584124.6674225782</v>
      </c>
      <c r="M7" s="81">
        <f t="shared" si="0"/>
        <v>591782.05864990118</v>
      </c>
      <c r="N7" s="81">
        <f t="shared" si="0"/>
        <v>599209.72814040422</v>
      </c>
      <c r="O7" s="81">
        <f t="shared" si="0"/>
        <v>606530.79379026243</v>
      </c>
      <c r="P7" s="81">
        <f t="shared" si="0"/>
        <v>982533.26539322513</v>
      </c>
      <c r="Q7" s="81">
        <f t="shared" si="0"/>
        <v>965650.24618142832</v>
      </c>
      <c r="R7" s="81">
        <f t="shared" si="0"/>
        <v>949273.71754598559</v>
      </c>
      <c r="S7" s="81">
        <f t="shared" si="0"/>
        <v>1314993.9014362765</v>
      </c>
      <c r="T7" s="81">
        <f t="shared" si="0"/>
        <v>1288137.0631431886</v>
      </c>
      <c r="U7" s="81">
        <f t="shared" si="0"/>
        <v>1262085.9299988928</v>
      </c>
      <c r="V7" s="81">
        <f t="shared" si="0"/>
        <v>1618421.7475155967</v>
      </c>
      <c r="W7" s="81">
        <f t="shared" si="0"/>
        <v>1582462.0738401287</v>
      </c>
      <c r="X7" s="81">
        <f t="shared" si="0"/>
        <v>1547581.1903749248</v>
      </c>
      <c r="Y7" s="81">
        <f t="shared" si="0"/>
        <v>1513746.7334136774</v>
      </c>
      <c r="Z7" s="81">
        <f t="shared" si="0"/>
        <v>1480927.3101612669</v>
      </c>
      <c r="AA7" s="81">
        <f t="shared" si="0"/>
        <v>1449425.6877911147</v>
      </c>
      <c r="AB7" s="81">
        <f t="shared" si="0"/>
        <v>1815117.9918240518</v>
      </c>
      <c r="AC7" s="81">
        <f t="shared" si="0"/>
        <v>1788146.360069331</v>
      </c>
      <c r="AD7" s="81">
        <f t="shared" si="0"/>
        <v>1761983.8772672513</v>
      </c>
      <c r="AE7" s="81">
        <f t="shared" si="0"/>
        <v>2118299.4356159046</v>
      </c>
      <c r="AF7" s="81">
        <f t="shared" si="0"/>
        <v>2082232.3605474276</v>
      </c>
      <c r="AG7" s="81">
        <f t="shared" si="0"/>
        <v>2047247.2977310051</v>
      </c>
      <c r="AH7" s="81">
        <f t="shared" si="0"/>
        <v>2395004.9534657458</v>
      </c>
      <c r="AI7" s="81">
        <f t="shared" si="0"/>
        <v>2350636.7128617731</v>
      </c>
      <c r="AJ7" s="81">
        <f t="shared" si="0"/>
        <v>2307599.5194759206</v>
      </c>
      <c r="AK7" s="81">
        <f t="shared" si="0"/>
        <v>2265853.4418916432</v>
      </c>
      <c r="AL7" s="81">
        <f t="shared" si="0"/>
        <v>2225359.7466348945</v>
      </c>
      <c r="AM7" s="81">
        <f t="shared" si="0"/>
        <v>2186683.9495711639</v>
      </c>
      <c r="AN7" s="81">
        <f t="shared" si="0"/>
        <v>2549461.3106840332</v>
      </c>
      <c r="AO7" s="81">
        <f t="shared" si="0"/>
        <v>2519556.8842968456</v>
      </c>
      <c r="AP7" s="81">
        <f t="shared" si="0"/>
        <v>2490549.5907012746</v>
      </c>
      <c r="AQ7" s="81">
        <f t="shared" si="0"/>
        <v>2844210.9825802404</v>
      </c>
      <c r="AR7" s="81">
        <f t="shared" si="0"/>
        <v>2805464.0660361666</v>
      </c>
      <c r="AS7" s="81">
        <f t="shared" si="0"/>
        <v>2767879.5569884158</v>
      </c>
      <c r="AT7" s="81">
        <f t="shared" si="0"/>
        <v>3113221.0498787672</v>
      </c>
      <c r="AU7" s="81">
        <f t="shared" si="0"/>
        <v>3066403.8313157391</v>
      </c>
      <c r="AV7" s="81">
        <f t="shared" si="0"/>
        <v>3020991.1293096002</v>
      </c>
      <c r="AW7" s="81">
        <f t="shared" si="0"/>
        <v>2976940.8083636458</v>
      </c>
      <c r="AX7" s="81">
        <f t="shared" si="0"/>
        <v>2934211.9970460702</v>
      </c>
      <c r="AY7" s="81">
        <f t="shared" si="0"/>
        <v>2893722.4394334578</v>
      </c>
      <c r="AZ7" s="81">
        <f t="shared" si="0"/>
        <v>3254526.6631037924</v>
      </c>
      <c r="BA7" s="81">
        <f t="shared" si="0"/>
        <v>3222581.9333973452</v>
      </c>
      <c r="BB7" s="81">
        <f t="shared" si="0"/>
        <v>3191595.5455820919</v>
      </c>
      <c r="BC7" s="81">
        <f t="shared" si="0"/>
        <v>3543463.5760679669</v>
      </c>
      <c r="BD7" s="81">
        <f t="shared" si="0"/>
        <v>3502850.738972595</v>
      </c>
      <c r="BE7" s="81">
        <f t="shared" si="0"/>
        <v>3463456.2869900856</v>
      </c>
      <c r="BF7" s="81">
        <f t="shared" si="0"/>
        <v>3807168.4952337202</v>
      </c>
      <c r="BG7" s="81">
        <f t="shared" si="0"/>
        <v>3758644.5105633754</v>
      </c>
      <c r="BH7" s="81">
        <f t="shared" si="0"/>
        <v>3711576.2454331419</v>
      </c>
      <c r="BI7" s="81">
        <f t="shared" si="0"/>
        <v>3665920.028256814</v>
      </c>
      <c r="BJ7" s="81">
        <f t="shared" si="0"/>
        <v>3621633.4975957782</v>
      </c>
    </row>
    <row r="8" spans="1:74">
      <c r="A8" s="92" t="s">
        <v>46</v>
      </c>
      <c r="C8" s="81">
        <f>C176</f>
        <v>391354.62574404763</v>
      </c>
      <c r="D8" s="81">
        <f t="shared" ref="D8:BJ8" si="1">D176</f>
        <v>398631.82249943685</v>
      </c>
      <c r="E8" s="81">
        <f t="shared" si="1"/>
        <v>411531.09762718057</v>
      </c>
      <c r="F8" s="81">
        <f t="shared" si="1"/>
        <v>418265.87217966339</v>
      </c>
      <c r="G8" s="81">
        <f t="shared" si="1"/>
        <v>424841.08117414318</v>
      </c>
      <c r="H8" s="81">
        <f t="shared" si="1"/>
        <v>431261.5115773601</v>
      </c>
      <c r="I8" s="81">
        <f t="shared" si="1"/>
        <v>437531.80674705177</v>
      </c>
      <c r="J8" s="81">
        <f t="shared" si="1"/>
        <v>443656.47074022423</v>
      </c>
      <c r="K8" s="81">
        <f t="shared" si="1"/>
        <v>449639.87249217287</v>
      </c>
      <c r="L8" s="81">
        <f t="shared" si="1"/>
        <v>455486.24987013452</v>
      </c>
      <c r="M8" s="81">
        <f t="shared" si="1"/>
        <v>461199.7136053287</v>
      </c>
      <c r="N8" s="81">
        <f t="shared" si="1"/>
        <v>466992.58444037195</v>
      </c>
      <c r="O8" s="81">
        <f t="shared" si="1"/>
        <v>559799.92877083493</v>
      </c>
      <c r="P8" s="81">
        <f t="shared" si="1"/>
        <v>754128.03208776272</v>
      </c>
      <c r="Q8" s="81">
        <f t="shared" si="1"/>
        <v>747981.13898850849</v>
      </c>
      <c r="R8" s="81">
        <f t="shared" si="1"/>
        <v>773831.96369413671</v>
      </c>
      <c r="S8" s="81">
        <f t="shared" si="1"/>
        <v>965946.04923460318</v>
      </c>
      <c r="T8" s="81">
        <f t="shared" si="1"/>
        <v>955331.34414193593</v>
      </c>
      <c r="U8" s="81">
        <f t="shared" si="1"/>
        <v>976640.05788062012</v>
      </c>
      <c r="V8" s="81">
        <f t="shared" si="1"/>
        <v>1165200.2510323285</v>
      </c>
      <c r="W8" s="81">
        <f t="shared" si="1"/>
        <v>1150299.5612308632</v>
      </c>
      <c r="X8" s="81">
        <f t="shared" si="1"/>
        <v>1130090.453135347</v>
      </c>
      <c r="Y8" s="81">
        <f t="shared" si="1"/>
        <v>1116141.7626279341</v>
      </c>
      <c r="Z8" s="81">
        <f t="shared" si="1"/>
        <v>1102856.0938476487</v>
      </c>
      <c r="AA8" s="81">
        <f t="shared" si="1"/>
        <v>1047508.5046371456</v>
      </c>
      <c r="AB8" s="81">
        <f t="shared" si="1"/>
        <v>1216283.2548886891</v>
      </c>
      <c r="AC8" s="81">
        <f t="shared" si="1"/>
        <v>1208706.5308160833</v>
      </c>
      <c r="AD8" s="81">
        <f t="shared" si="1"/>
        <v>1233012.2870370839</v>
      </c>
      <c r="AE8" s="81">
        <f t="shared" si="1"/>
        <v>1403018.2879918399</v>
      </c>
      <c r="AF8" s="81">
        <f t="shared" si="1"/>
        <v>1385636.4112209151</v>
      </c>
      <c r="AG8" s="81">
        <f t="shared" si="1"/>
        <v>1406661.5859912131</v>
      </c>
      <c r="AH8" s="81">
        <f t="shared" si="1"/>
        <v>1571589.1501638452</v>
      </c>
      <c r="AI8" s="81">
        <f t="shared" si="1"/>
        <v>1556924.5534726209</v>
      </c>
      <c r="AJ8" s="81">
        <f t="shared" si="1"/>
        <v>1542994.6565868955</v>
      </c>
      <c r="AK8" s="81">
        <f t="shared" si="1"/>
        <v>1529367.0018458369</v>
      </c>
      <c r="AL8" s="81">
        <f t="shared" si="1"/>
        <v>1516442.938651772</v>
      </c>
      <c r="AM8" s="81">
        <f t="shared" si="1"/>
        <v>1446069.9112791519</v>
      </c>
      <c r="AN8" s="81">
        <f t="shared" si="1"/>
        <v>1592908.3827590896</v>
      </c>
      <c r="AO8" s="81">
        <f t="shared" si="1"/>
        <v>1587365.3446644153</v>
      </c>
      <c r="AP8" s="81">
        <f t="shared" si="1"/>
        <v>1614118.5530697242</v>
      </c>
      <c r="AQ8" s="81">
        <f t="shared" si="1"/>
        <v>1771342.2328688796</v>
      </c>
      <c r="AR8" s="81">
        <f t="shared" si="1"/>
        <v>1762882.2657926939</v>
      </c>
      <c r="AS8" s="81">
        <f t="shared" si="1"/>
        <v>1786395.6364192704</v>
      </c>
      <c r="AT8" s="81">
        <f t="shared" si="1"/>
        <v>1931199.1644413928</v>
      </c>
      <c r="AU8" s="81">
        <f t="shared" si="1"/>
        <v>1919886.8548325312</v>
      </c>
      <c r="AV8" s="81">
        <f t="shared" si="1"/>
        <v>1908862.619869078</v>
      </c>
      <c r="AW8" s="81">
        <f t="shared" si="1"/>
        <v>1898528.2339783381</v>
      </c>
      <c r="AX8" s="81">
        <f t="shared" si="1"/>
        <v>1888452.5850214632</v>
      </c>
      <c r="AY8" s="81">
        <f t="shared" si="1"/>
        <v>1815972.9860237285</v>
      </c>
      <c r="AZ8" s="81">
        <f t="shared" si="1"/>
        <v>1957981.1207115599</v>
      </c>
      <c r="BA8" s="81">
        <f t="shared" si="1"/>
        <v>1955144.9802236152</v>
      </c>
      <c r="BB8" s="81">
        <f t="shared" si="1"/>
        <v>1984177.8227598327</v>
      </c>
      <c r="BC8" s="81">
        <f t="shared" si="1"/>
        <v>2122843.0631999606</v>
      </c>
      <c r="BD8" s="81">
        <f t="shared" si="1"/>
        <v>2117234.8141454044</v>
      </c>
      <c r="BE8" s="81">
        <f t="shared" si="1"/>
        <v>2143578.711372009</v>
      </c>
      <c r="BF8" s="81">
        <f t="shared" si="1"/>
        <v>2284716.5500937123</v>
      </c>
      <c r="BG8" s="81">
        <f t="shared" si="1"/>
        <v>2276578.2723973403</v>
      </c>
      <c r="BH8" s="81">
        <f t="shared" si="1"/>
        <v>2268697.2085080505</v>
      </c>
      <c r="BI8" s="81">
        <f t="shared" si="1"/>
        <v>2261476.0586782964</v>
      </c>
      <c r="BJ8" s="81">
        <f t="shared" si="1"/>
        <v>2248484.6088196258</v>
      </c>
    </row>
    <row r="9" spans="1:74">
      <c r="A9" s="92" t="s">
        <v>47</v>
      </c>
      <c r="C9" s="81">
        <f>C7-C8</f>
        <v>112267.9992559572</v>
      </c>
      <c r="D9" s="81">
        <f t="shared" ref="D9:BJ9" si="2">D7-D8</f>
        <v>115063.25500056805</v>
      </c>
      <c r="E9" s="81">
        <f t="shared" si="2"/>
        <v>111934.2587978245</v>
      </c>
      <c r="F9" s="81">
        <f t="shared" si="2"/>
        <v>114676.65480259166</v>
      </c>
      <c r="G9" s="81">
        <f t="shared" si="2"/>
        <v>117294.30124864442</v>
      </c>
      <c r="H9" s="81">
        <f t="shared" si="2"/>
        <v>119790.94062274415</v>
      </c>
      <c r="I9" s="81">
        <f t="shared" si="2"/>
        <v>122170.20313704957</v>
      </c>
      <c r="J9" s="81">
        <f t="shared" si="2"/>
        <v>124435.61009735439</v>
      </c>
      <c r="K9" s="81">
        <f t="shared" si="2"/>
        <v>126590.57717027853</v>
      </c>
      <c r="L9" s="81">
        <f t="shared" si="2"/>
        <v>128638.41755244369</v>
      </c>
      <c r="M9" s="81">
        <f t="shared" si="2"/>
        <v>130582.34504457249</v>
      </c>
      <c r="N9" s="81">
        <f t="shared" si="2"/>
        <v>132217.14370003226</v>
      </c>
      <c r="O9" s="81">
        <f t="shared" si="2"/>
        <v>46730.865019427496</v>
      </c>
      <c r="P9" s="81">
        <f t="shared" si="2"/>
        <v>228405.2333054624</v>
      </c>
      <c r="Q9" s="81">
        <f t="shared" si="2"/>
        <v>217669.10719291982</v>
      </c>
      <c r="R9" s="81">
        <f t="shared" si="2"/>
        <v>175441.75385184889</v>
      </c>
      <c r="S9" s="81">
        <f t="shared" si="2"/>
        <v>349047.85220167332</v>
      </c>
      <c r="T9" s="81">
        <f t="shared" si="2"/>
        <v>332805.71900125267</v>
      </c>
      <c r="U9" s="81">
        <f t="shared" si="2"/>
        <v>285445.8721182727</v>
      </c>
      <c r="V9" s="81">
        <f t="shared" si="2"/>
        <v>453221.49648326822</v>
      </c>
      <c r="W9" s="81">
        <f t="shared" si="2"/>
        <v>432162.51260926551</v>
      </c>
      <c r="X9" s="81">
        <f t="shared" si="2"/>
        <v>417490.73723957781</v>
      </c>
      <c r="Y9" s="81">
        <f t="shared" si="2"/>
        <v>397604.97078574332</v>
      </c>
      <c r="Z9" s="81">
        <f t="shared" si="2"/>
        <v>378071.21631361824</v>
      </c>
      <c r="AA9" s="81">
        <f t="shared" si="2"/>
        <v>401917.18315396912</v>
      </c>
      <c r="AB9" s="81">
        <f t="shared" si="2"/>
        <v>598834.73693536269</v>
      </c>
      <c r="AC9" s="81">
        <f t="shared" si="2"/>
        <v>579439.82925324771</v>
      </c>
      <c r="AD9" s="81">
        <f t="shared" si="2"/>
        <v>528971.59023016738</v>
      </c>
      <c r="AE9" s="81">
        <f t="shared" si="2"/>
        <v>715281.1476240647</v>
      </c>
      <c r="AF9" s="81">
        <f t="shared" si="2"/>
        <v>696595.9493265124</v>
      </c>
      <c r="AG9" s="81">
        <f t="shared" si="2"/>
        <v>640585.71173979202</v>
      </c>
      <c r="AH9" s="81">
        <f t="shared" si="2"/>
        <v>823415.80330190063</v>
      </c>
      <c r="AI9" s="81">
        <f t="shared" si="2"/>
        <v>793712.15938915219</v>
      </c>
      <c r="AJ9" s="81">
        <f t="shared" si="2"/>
        <v>764604.86288902513</v>
      </c>
      <c r="AK9" s="81">
        <f t="shared" si="2"/>
        <v>736486.44004580635</v>
      </c>
      <c r="AL9" s="81">
        <f t="shared" si="2"/>
        <v>708916.80798312253</v>
      </c>
      <c r="AM9" s="81">
        <f t="shared" si="2"/>
        <v>740614.03829201194</v>
      </c>
      <c r="AN9" s="81">
        <f t="shared" si="2"/>
        <v>956552.92792494362</v>
      </c>
      <c r="AO9" s="81">
        <f t="shared" si="2"/>
        <v>932191.5396324303</v>
      </c>
      <c r="AP9" s="81">
        <f t="shared" si="2"/>
        <v>876431.03763155034</v>
      </c>
      <c r="AQ9" s="81">
        <f t="shared" si="2"/>
        <v>1072868.7497113608</v>
      </c>
      <c r="AR9" s="81">
        <f t="shared" si="2"/>
        <v>1042581.8002434727</v>
      </c>
      <c r="AS9" s="81">
        <f t="shared" si="2"/>
        <v>981483.92056914535</v>
      </c>
      <c r="AT9" s="81">
        <f t="shared" si="2"/>
        <v>1182021.8854373745</v>
      </c>
      <c r="AU9" s="81">
        <f t="shared" si="2"/>
        <v>1146516.9764832079</v>
      </c>
      <c r="AV9" s="81">
        <f t="shared" si="2"/>
        <v>1112128.5094405222</v>
      </c>
      <c r="AW9" s="81">
        <f t="shared" si="2"/>
        <v>1078412.5743853077</v>
      </c>
      <c r="AX9" s="81">
        <f t="shared" si="2"/>
        <v>1045759.412024607</v>
      </c>
      <c r="AY9" s="81">
        <f t="shared" si="2"/>
        <v>1077749.4534097293</v>
      </c>
      <c r="AZ9" s="81">
        <f t="shared" si="2"/>
        <v>1296545.5423922325</v>
      </c>
      <c r="BA9" s="81">
        <f t="shared" si="2"/>
        <v>1267436.9531737301</v>
      </c>
      <c r="BB9" s="81">
        <f t="shared" si="2"/>
        <v>1207417.7228222592</v>
      </c>
      <c r="BC9" s="81">
        <f t="shared" si="2"/>
        <v>1420620.5128680062</v>
      </c>
      <c r="BD9" s="81">
        <f t="shared" si="2"/>
        <v>1385615.9248271906</v>
      </c>
      <c r="BE9" s="81">
        <f t="shared" si="2"/>
        <v>1319877.5756180766</v>
      </c>
      <c r="BF9" s="81">
        <f t="shared" si="2"/>
        <v>1522451.9451400079</v>
      </c>
      <c r="BG9" s="81">
        <f t="shared" si="2"/>
        <v>1482066.2381660352</v>
      </c>
      <c r="BH9" s="81">
        <f t="shared" si="2"/>
        <v>1442879.0369250914</v>
      </c>
      <c r="BI9" s="81">
        <f t="shared" si="2"/>
        <v>1404443.9695785176</v>
      </c>
      <c r="BJ9" s="81">
        <f t="shared" si="2"/>
        <v>1373148.8887761524</v>
      </c>
    </row>
    <row r="10" spans="1:74">
      <c r="A10" s="92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</row>
    <row r="11" spans="1:74">
      <c r="A11" s="92" t="s">
        <v>48</v>
      </c>
      <c r="C11" s="93"/>
      <c r="D11" s="81"/>
      <c r="E11" s="81"/>
      <c r="F11" s="93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</row>
    <row r="12" spans="1:74">
      <c r="A12" s="94" t="s">
        <v>49</v>
      </c>
      <c r="C12" s="81">
        <f>OPEX!C12</f>
        <v>79420</v>
      </c>
      <c r="D12" s="81">
        <f>OPEX!D12</f>
        <v>2935.8999999999924</v>
      </c>
      <c r="E12" s="81">
        <f>OPEX!E12</f>
        <v>2889.0729999999985</v>
      </c>
      <c r="F12" s="81">
        <f>OPEX!F12</f>
        <v>2843.6508100000037</v>
      </c>
      <c r="G12" s="81">
        <f>OPEX!G12</f>
        <v>2799.5912856999939</v>
      </c>
      <c r="H12" s="81">
        <f>OPEX!H12</f>
        <v>2756.8535471290124</v>
      </c>
      <c r="I12" s="81">
        <f>OPEX!I12</f>
        <v>2715.3979407151292</v>
      </c>
      <c r="J12" s="81">
        <f>OPEX!J12</f>
        <v>2675.1860024936832</v>
      </c>
      <c r="K12" s="81">
        <f>OPEX!K12</f>
        <v>2636.1804224188518</v>
      </c>
      <c r="L12" s="81">
        <f>OPEX!L12</f>
        <v>2598.3450097463083</v>
      </c>
      <c r="M12" s="81">
        <f>OPEX!M12</f>
        <v>2561.6446594539093</v>
      </c>
      <c r="N12" s="81">
        <f>OPEX!N12</f>
        <v>2526.045319670302</v>
      </c>
      <c r="O12" s="81">
        <f>OPEX!O12</f>
        <v>2491.5139600801922</v>
      </c>
      <c r="P12" s="81">
        <f>OPEX!P12</f>
        <v>59631.893541277808</v>
      </c>
      <c r="Q12" s="81">
        <f>OPEX!Q12</f>
        <v>1375</v>
      </c>
      <c r="R12" s="81">
        <f>OPEX!R12</f>
        <v>1375</v>
      </c>
      <c r="S12" s="81">
        <f>OPEX!S12</f>
        <v>58038.781298998656</v>
      </c>
      <c r="T12" s="81">
        <f>OPEX!T12</f>
        <v>1375</v>
      </c>
      <c r="U12" s="81">
        <f>OPEX!U12</f>
        <v>1375</v>
      </c>
      <c r="V12" s="81">
        <f>OPEX!V12</f>
        <v>56584.790769500934</v>
      </c>
      <c r="W12" s="81">
        <f>OPEX!W12</f>
        <v>1375</v>
      </c>
      <c r="X12" s="81">
        <f>OPEX!X12</f>
        <v>1375</v>
      </c>
      <c r="Y12" s="81">
        <f>OPEX!Y12</f>
        <v>1375</v>
      </c>
      <c r="Z12" s="81">
        <f>OPEX!Z12</f>
        <v>1375</v>
      </c>
      <c r="AA12" s="81">
        <f>OPEX!AA12</f>
        <v>3000</v>
      </c>
      <c r="AB12" s="81">
        <f>OPEX!AB12</f>
        <v>59646.435839469377</v>
      </c>
      <c r="AC12" s="81">
        <f>OPEX!AC12</f>
        <v>3000</v>
      </c>
      <c r="AD12" s="81">
        <f>OPEX!AD12</f>
        <v>3000</v>
      </c>
      <c r="AE12" s="81">
        <f>OPEX!AE12</f>
        <v>58193.960036915974</v>
      </c>
      <c r="AF12" s="81">
        <f>OPEX!AF12</f>
        <v>3000</v>
      </c>
      <c r="AG12" s="81">
        <f>OPEX!AG12</f>
        <v>3000</v>
      </c>
      <c r="AH12" s="81">
        <f>OPEX!AH12</f>
        <v>56868.324588772288</v>
      </c>
      <c r="AI12" s="81">
        <f>OPEX!AI12</f>
        <v>3000</v>
      </c>
      <c r="AJ12" s="81">
        <f>OPEX!AJ12</f>
        <v>3000</v>
      </c>
      <c r="AK12" s="81">
        <f>OPEX!AK12</f>
        <v>3000</v>
      </c>
      <c r="AL12" s="81">
        <f>OPEX!AL12</f>
        <v>3000</v>
      </c>
      <c r="AM12" s="81">
        <f>OPEX!AM12</f>
        <v>5083.333333333333</v>
      </c>
      <c r="AN12" s="81">
        <f>OPEX!AN12</f>
        <v>61262.740398696566</v>
      </c>
      <c r="AO12" s="81">
        <f>OPEX!AO12</f>
        <v>5083.333333333333</v>
      </c>
      <c r="AP12" s="81">
        <f>OPEX!AP12</f>
        <v>5083.333333333333</v>
      </c>
      <c r="AQ12" s="81">
        <f>OPEX!AQ12</f>
        <v>59851.048817899602</v>
      </c>
      <c r="AR12" s="81">
        <f>OPEX!AR12</f>
        <v>5083.333333333333</v>
      </c>
      <c r="AS12" s="81">
        <f>OPEX!AS12</f>
        <v>5083.333333333333</v>
      </c>
      <c r="AT12" s="81">
        <f>OPEX!AT12</f>
        <v>58562.636027778841</v>
      </c>
      <c r="AU12" s="81">
        <f>OPEX!AU12</f>
        <v>5083.333333333333</v>
      </c>
      <c r="AV12" s="81">
        <f>OPEX!AV12</f>
        <v>5083.333333333333</v>
      </c>
      <c r="AW12" s="81">
        <f>OPEX!AW12</f>
        <v>5083.333333333333</v>
      </c>
      <c r="AX12" s="81">
        <f>OPEX!AX12</f>
        <v>5083.333333333333</v>
      </c>
      <c r="AY12" s="81">
        <f>OPEX!AY12</f>
        <v>7166.6666666666661</v>
      </c>
      <c r="AZ12" s="81">
        <f>OPEX!AZ12</f>
        <v>63022.029384751389</v>
      </c>
      <c r="BA12" s="81">
        <f>OPEX!BA12</f>
        <v>7166.6666666666661</v>
      </c>
      <c r="BB12" s="81">
        <f>OPEX!BB12</f>
        <v>7166.6666666666661</v>
      </c>
      <c r="BC12" s="81">
        <f>OPEX!BC12</f>
        <v>61638.635624669099</v>
      </c>
      <c r="BD12" s="81">
        <f>OPEX!BD12</f>
        <v>7166.6666666666661</v>
      </c>
      <c r="BE12" s="81">
        <f>OPEX!BE12</f>
        <v>7166.6666666666661</v>
      </c>
      <c r="BF12" s="81">
        <f>OPEX!BF12</f>
        <v>60376.049491473663</v>
      </c>
      <c r="BG12" s="81">
        <f>OPEX!BG12</f>
        <v>7166.6666666666661</v>
      </c>
      <c r="BH12" s="81">
        <f>OPEX!BH12</f>
        <v>7166.6666666666661</v>
      </c>
      <c r="BI12" s="81">
        <f>OPEX!BI12</f>
        <v>7166.6666666666661</v>
      </c>
      <c r="BJ12" s="81">
        <f>OPEX!BJ12</f>
        <v>7166.6666666666661</v>
      </c>
    </row>
    <row r="13" spans="1:74">
      <c r="A13" s="94" t="s">
        <v>50</v>
      </c>
      <c r="C13" s="81">
        <f>OPEX!C13</f>
        <v>0</v>
      </c>
      <c r="D13" s="81">
        <f>OPEX!D13</f>
        <v>0</v>
      </c>
      <c r="E13" s="81">
        <f>OPEX!E13</f>
        <v>0</v>
      </c>
      <c r="F13" s="81">
        <f>OPEX!F13</f>
        <v>0</v>
      </c>
      <c r="G13" s="81">
        <f>OPEX!G13</f>
        <v>0</v>
      </c>
      <c r="H13" s="81">
        <f>OPEX!H13</f>
        <v>0</v>
      </c>
      <c r="I13" s="81">
        <f>OPEX!I13</f>
        <v>0</v>
      </c>
      <c r="J13" s="81">
        <f>OPEX!J13</f>
        <v>0</v>
      </c>
      <c r="K13" s="81">
        <f>OPEX!K13</f>
        <v>0</v>
      </c>
      <c r="L13" s="81">
        <f>OPEX!L13</f>
        <v>0</v>
      </c>
      <c r="M13" s="81">
        <f>OPEX!M13</f>
        <v>0</v>
      </c>
      <c r="N13" s="81">
        <f>OPEX!N13</f>
        <v>0</v>
      </c>
      <c r="O13" s="81">
        <f>OPEX!O13</f>
        <v>0</v>
      </c>
      <c r="P13" s="81">
        <f>OPEX!P13</f>
        <v>0</v>
      </c>
      <c r="Q13" s="81">
        <f>OPEX!Q13</f>
        <v>0</v>
      </c>
      <c r="R13" s="81">
        <f>OPEX!R13</f>
        <v>0</v>
      </c>
      <c r="S13" s="81">
        <f>OPEX!S13</f>
        <v>0</v>
      </c>
      <c r="T13" s="81">
        <f>OPEX!T13</f>
        <v>0</v>
      </c>
      <c r="U13" s="81">
        <f>OPEX!U13</f>
        <v>0</v>
      </c>
      <c r="V13" s="81">
        <f>OPEX!V13</f>
        <v>0</v>
      </c>
      <c r="W13" s="81">
        <f>OPEX!W13</f>
        <v>0</v>
      </c>
      <c r="X13" s="81">
        <f>OPEX!X13</f>
        <v>0</v>
      </c>
      <c r="Y13" s="81">
        <f>OPEX!Y13</f>
        <v>0</v>
      </c>
      <c r="Z13" s="81">
        <f>OPEX!Z13</f>
        <v>0</v>
      </c>
      <c r="AA13" s="81">
        <f>OPEX!AA13</f>
        <v>0</v>
      </c>
      <c r="AB13" s="81">
        <f>OPEX!AB13</f>
        <v>0</v>
      </c>
      <c r="AC13" s="81">
        <f>OPEX!AC13</f>
        <v>0</v>
      </c>
      <c r="AD13" s="81">
        <f>OPEX!AD13</f>
        <v>0</v>
      </c>
      <c r="AE13" s="81">
        <f>OPEX!AE13</f>
        <v>0</v>
      </c>
      <c r="AF13" s="81">
        <f>OPEX!AF13</f>
        <v>0</v>
      </c>
      <c r="AG13" s="81">
        <f>OPEX!AG13</f>
        <v>0</v>
      </c>
      <c r="AH13" s="81">
        <f>OPEX!AH13</f>
        <v>0</v>
      </c>
      <c r="AI13" s="81">
        <f>OPEX!AI13</f>
        <v>0</v>
      </c>
      <c r="AJ13" s="81">
        <f>OPEX!AJ13</f>
        <v>0</v>
      </c>
      <c r="AK13" s="81">
        <f>OPEX!AK13</f>
        <v>0</v>
      </c>
      <c r="AL13" s="81">
        <f>OPEX!AL13</f>
        <v>0</v>
      </c>
      <c r="AM13" s="81">
        <f>OPEX!AM13</f>
        <v>0</v>
      </c>
      <c r="AN13" s="81">
        <f>OPEX!AN13</f>
        <v>0</v>
      </c>
      <c r="AO13" s="81">
        <f>OPEX!AO13</f>
        <v>0</v>
      </c>
      <c r="AP13" s="81">
        <f>OPEX!AP13</f>
        <v>0</v>
      </c>
      <c r="AQ13" s="81">
        <f>OPEX!AQ13</f>
        <v>0</v>
      </c>
      <c r="AR13" s="81">
        <f>OPEX!AR13</f>
        <v>0</v>
      </c>
      <c r="AS13" s="81">
        <f>OPEX!AS13</f>
        <v>0</v>
      </c>
      <c r="AT13" s="81">
        <f>OPEX!AT13</f>
        <v>0</v>
      </c>
      <c r="AU13" s="81">
        <f>OPEX!AU13</f>
        <v>0</v>
      </c>
      <c r="AV13" s="81">
        <f>OPEX!AV13</f>
        <v>0</v>
      </c>
      <c r="AW13" s="81">
        <f>OPEX!AW13</f>
        <v>0</v>
      </c>
      <c r="AX13" s="81">
        <f>OPEX!AX13</f>
        <v>0</v>
      </c>
      <c r="AY13" s="81">
        <f>OPEX!AY13</f>
        <v>0</v>
      </c>
      <c r="AZ13" s="81">
        <f>OPEX!AZ13</f>
        <v>0</v>
      </c>
      <c r="BA13" s="81">
        <f>OPEX!BA13</f>
        <v>0</v>
      </c>
      <c r="BB13" s="81">
        <f>OPEX!BB13</f>
        <v>0</v>
      </c>
      <c r="BC13" s="81">
        <f>OPEX!BC13</f>
        <v>0</v>
      </c>
      <c r="BD13" s="81">
        <f>OPEX!BD13</f>
        <v>0</v>
      </c>
      <c r="BE13" s="81">
        <f>OPEX!BE13</f>
        <v>0</v>
      </c>
      <c r="BF13" s="81">
        <f>OPEX!BF13</f>
        <v>0</v>
      </c>
      <c r="BG13" s="81">
        <f>OPEX!BG13</f>
        <v>0</v>
      </c>
      <c r="BH13" s="81">
        <f>OPEX!BH13</f>
        <v>0</v>
      </c>
      <c r="BI13" s="81">
        <f>OPEX!BI13</f>
        <v>0</v>
      </c>
      <c r="BJ13" s="81">
        <f>OPEX!BJ13</f>
        <v>0</v>
      </c>
    </row>
    <row r="14" spans="1:74">
      <c r="A14" s="94" t="s">
        <v>51</v>
      </c>
      <c r="C14" s="81">
        <f>OPEX!C14</f>
        <v>0</v>
      </c>
      <c r="D14" s="81">
        <f>OPEX!D14</f>
        <v>0</v>
      </c>
      <c r="E14" s="81">
        <f>OPEX!E14</f>
        <v>0</v>
      </c>
      <c r="F14" s="81">
        <f>OPEX!F14</f>
        <v>0</v>
      </c>
      <c r="G14" s="81">
        <f>OPEX!G14</f>
        <v>0</v>
      </c>
      <c r="H14" s="81">
        <f>OPEX!H14</f>
        <v>0</v>
      </c>
      <c r="I14" s="81">
        <f>OPEX!I14</f>
        <v>0</v>
      </c>
      <c r="J14" s="81">
        <f>OPEX!J14</f>
        <v>0</v>
      </c>
      <c r="K14" s="81">
        <f>OPEX!K14</f>
        <v>0</v>
      </c>
      <c r="L14" s="81">
        <f>OPEX!L14</f>
        <v>0</v>
      </c>
      <c r="M14" s="81">
        <f>OPEX!M14</f>
        <v>0</v>
      </c>
      <c r="N14" s="81">
        <f>OPEX!N14</f>
        <v>0</v>
      </c>
      <c r="O14" s="81">
        <f>OPEX!O14</f>
        <v>0</v>
      </c>
      <c r="P14" s="81">
        <f>OPEX!P14</f>
        <v>0</v>
      </c>
      <c r="Q14" s="81">
        <f>OPEX!Q14</f>
        <v>0</v>
      </c>
      <c r="R14" s="81">
        <f>OPEX!R14</f>
        <v>0</v>
      </c>
      <c r="S14" s="81">
        <f>OPEX!S14</f>
        <v>0</v>
      </c>
      <c r="T14" s="81">
        <f>OPEX!T14</f>
        <v>0</v>
      </c>
      <c r="U14" s="81">
        <f>OPEX!U14</f>
        <v>0</v>
      </c>
      <c r="V14" s="81">
        <f>OPEX!V14</f>
        <v>0</v>
      </c>
      <c r="W14" s="81">
        <f>OPEX!W14</f>
        <v>0</v>
      </c>
      <c r="X14" s="81">
        <f>OPEX!X14</f>
        <v>0</v>
      </c>
      <c r="Y14" s="81">
        <f>OPEX!Y14</f>
        <v>0</v>
      </c>
      <c r="Z14" s="81">
        <f>OPEX!Z14</f>
        <v>0</v>
      </c>
      <c r="AA14" s="81">
        <f>OPEX!AA14</f>
        <v>0</v>
      </c>
      <c r="AB14" s="81">
        <f>OPEX!AB14</f>
        <v>0</v>
      </c>
      <c r="AC14" s="81">
        <f>OPEX!AC14</f>
        <v>0</v>
      </c>
      <c r="AD14" s="81">
        <f>OPEX!AD14</f>
        <v>0</v>
      </c>
      <c r="AE14" s="81">
        <f>OPEX!AE14</f>
        <v>0</v>
      </c>
      <c r="AF14" s="81">
        <f>OPEX!AF14</f>
        <v>0</v>
      </c>
      <c r="AG14" s="81">
        <f>OPEX!AG14</f>
        <v>0</v>
      </c>
      <c r="AH14" s="81">
        <f>OPEX!AH14</f>
        <v>0</v>
      </c>
      <c r="AI14" s="81">
        <f>OPEX!AI14</f>
        <v>0</v>
      </c>
      <c r="AJ14" s="81">
        <f>OPEX!AJ14</f>
        <v>0</v>
      </c>
      <c r="AK14" s="81">
        <f>OPEX!AK14</f>
        <v>0</v>
      </c>
      <c r="AL14" s="81">
        <f>OPEX!AL14</f>
        <v>0</v>
      </c>
      <c r="AM14" s="81">
        <f>OPEX!AM14</f>
        <v>0</v>
      </c>
      <c r="AN14" s="81">
        <f>OPEX!AN14</f>
        <v>0</v>
      </c>
      <c r="AO14" s="81">
        <f>OPEX!AO14</f>
        <v>0</v>
      </c>
      <c r="AP14" s="81">
        <f>OPEX!AP14</f>
        <v>0</v>
      </c>
      <c r="AQ14" s="81">
        <f>OPEX!AQ14</f>
        <v>0</v>
      </c>
      <c r="AR14" s="81">
        <f>OPEX!AR14</f>
        <v>0</v>
      </c>
      <c r="AS14" s="81">
        <f>OPEX!AS14</f>
        <v>0</v>
      </c>
      <c r="AT14" s="81">
        <f>OPEX!AT14</f>
        <v>0</v>
      </c>
      <c r="AU14" s="81">
        <f>OPEX!AU14</f>
        <v>0</v>
      </c>
      <c r="AV14" s="81">
        <f>OPEX!AV14</f>
        <v>0</v>
      </c>
      <c r="AW14" s="81">
        <f>OPEX!AW14</f>
        <v>0</v>
      </c>
      <c r="AX14" s="81">
        <f>OPEX!AX14</f>
        <v>0</v>
      </c>
      <c r="AY14" s="81">
        <f>OPEX!AY14</f>
        <v>0</v>
      </c>
      <c r="AZ14" s="81">
        <f>OPEX!AZ14</f>
        <v>0</v>
      </c>
      <c r="BA14" s="81">
        <f>OPEX!BA14</f>
        <v>0</v>
      </c>
      <c r="BB14" s="81">
        <f>OPEX!BB14</f>
        <v>0</v>
      </c>
      <c r="BC14" s="81">
        <f>OPEX!BC14</f>
        <v>0</v>
      </c>
      <c r="BD14" s="81">
        <f>OPEX!BD14</f>
        <v>0</v>
      </c>
      <c r="BE14" s="81">
        <f>OPEX!BE14</f>
        <v>0</v>
      </c>
      <c r="BF14" s="81">
        <f>OPEX!BF14</f>
        <v>0</v>
      </c>
      <c r="BG14" s="81">
        <f>OPEX!BG14</f>
        <v>0</v>
      </c>
      <c r="BH14" s="81">
        <f>OPEX!BH14</f>
        <v>0</v>
      </c>
      <c r="BI14" s="81">
        <f>OPEX!BI14</f>
        <v>0</v>
      </c>
      <c r="BJ14" s="81">
        <f>OPEX!BJ14</f>
        <v>0</v>
      </c>
    </row>
    <row r="15" spans="1:74">
      <c r="A15" s="94" t="s">
        <v>52</v>
      </c>
      <c r="B15" s="95"/>
      <c r="C15" s="81">
        <f>OPEX!C15</f>
        <v>0</v>
      </c>
      <c r="D15" s="81">
        <f>OPEX!D15</f>
        <v>0</v>
      </c>
      <c r="E15" s="81">
        <f>OPEX!E15</f>
        <v>0</v>
      </c>
      <c r="F15" s="81">
        <f>OPEX!F15</f>
        <v>0</v>
      </c>
      <c r="G15" s="81">
        <f>OPEX!G15</f>
        <v>0</v>
      </c>
      <c r="H15" s="81">
        <f>OPEX!H15</f>
        <v>0</v>
      </c>
      <c r="I15" s="81">
        <f>OPEX!I15</f>
        <v>0</v>
      </c>
      <c r="J15" s="81">
        <f>OPEX!J15</f>
        <v>0</v>
      </c>
      <c r="K15" s="81">
        <f>OPEX!K15</f>
        <v>0</v>
      </c>
      <c r="L15" s="81">
        <f>OPEX!L15</f>
        <v>0</v>
      </c>
      <c r="M15" s="81">
        <f>OPEX!M15</f>
        <v>0</v>
      </c>
      <c r="N15" s="81">
        <f>OPEX!N15</f>
        <v>0</v>
      </c>
      <c r="O15" s="81">
        <f>OPEX!O15</f>
        <v>0</v>
      </c>
      <c r="P15" s="81">
        <f>OPEX!P15</f>
        <v>0</v>
      </c>
      <c r="Q15" s="81">
        <f>OPEX!Q15</f>
        <v>0</v>
      </c>
      <c r="R15" s="81">
        <f>OPEX!R15</f>
        <v>0</v>
      </c>
      <c r="S15" s="81">
        <f>OPEX!S15</f>
        <v>0</v>
      </c>
      <c r="T15" s="81">
        <f>OPEX!T15</f>
        <v>0</v>
      </c>
      <c r="U15" s="81">
        <f>OPEX!U15</f>
        <v>0</v>
      </c>
      <c r="V15" s="81">
        <f>OPEX!V15</f>
        <v>0</v>
      </c>
      <c r="W15" s="81">
        <f>OPEX!W15</f>
        <v>0</v>
      </c>
      <c r="X15" s="81">
        <f>OPEX!X15</f>
        <v>0</v>
      </c>
      <c r="Y15" s="81">
        <f>OPEX!Y15</f>
        <v>0</v>
      </c>
      <c r="Z15" s="81">
        <f>OPEX!Z15</f>
        <v>0</v>
      </c>
      <c r="AA15" s="81">
        <f>OPEX!AA15</f>
        <v>0</v>
      </c>
      <c r="AB15" s="81">
        <f>OPEX!AB15</f>
        <v>0</v>
      </c>
      <c r="AC15" s="81">
        <f>OPEX!AC15</f>
        <v>0</v>
      </c>
      <c r="AD15" s="81">
        <f>OPEX!AD15</f>
        <v>0</v>
      </c>
      <c r="AE15" s="81">
        <f>OPEX!AE15</f>
        <v>0</v>
      </c>
      <c r="AF15" s="81">
        <f>OPEX!AF15</f>
        <v>0</v>
      </c>
      <c r="AG15" s="81">
        <f>OPEX!AG15</f>
        <v>0</v>
      </c>
      <c r="AH15" s="81">
        <f>OPEX!AH15</f>
        <v>0</v>
      </c>
      <c r="AI15" s="81">
        <f>OPEX!AI15</f>
        <v>0</v>
      </c>
      <c r="AJ15" s="81">
        <f>OPEX!AJ15</f>
        <v>0</v>
      </c>
      <c r="AK15" s="81">
        <f>OPEX!AK15</f>
        <v>0</v>
      </c>
      <c r="AL15" s="81">
        <f>OPEX!AL15</f>
        <v>0</v>
      </c>
      <c r="AM15" s="81">
        <f>OPEX!AM15</f>
        <v>0</v>
      </c>
      <c r="AN15" s="81">
        <f>OPEX!AN15</f>
        <v>0</v>
      </c>
      <c r="AO15" s="81">
        <f>OPEX!AO15</f>
        <v>0</v>
      </c>
      <c r="AP15" s="81">
        <f>OPEX!AP15</f>
        <v>0</v>
      </c>
      <c r="AQ15" s="81">
        <f>OPEX!AQ15</f>
        <v>0</v>
      </c>
      <c r="AR15" s="81">
        <f>OPEX!AR15</f>
        <v>0</v>
      </c>
      <c r="AS15" s="81">
        <f>OPEX!AS15</f>
        <v>0</v>
      </c>
      <c r="AT15" s="81">
        <f>OPEX!AT15</f>
        <v>0</v>
      </c>
      <c r="AU15" s="81">
        <f>OPEX!AU15</f>
        <v>0</v>
      </c>
      <c r="AV15" s="81">
        <f>OPEX!AV15</f>
        <v>0</v>
      </c>
      <c r="AW15" s="81">
        <f>OPEX!AW15</f>
        <v>0</v>
      </c>
      <c r="AX15" s="81">
        <f>OPEX!AX15</f>
        <v>0</v>
      </c>
      <c r="AY15" s="81">
        <f>OPEX!AY15</f>
        <v>0</v>
      </c>
      <c r="AZ15" s="81">
        <f>OPEX!AZ15</f>
        <v>0</v>
      </c>
      <c r="BA15" s="81">
        <f>OPEX!BA15</f>
        <v>0</v>
      </c>
      <c r="BB15" s="81">
        <f>OPEX!BB15</f>
        <v>0</v>
      </c>
      <c r="BC15" s="81">
        <f>OPEX!BC15</f>
        <v>0</v>
      </c>
      <c r="BD15" s="81">
        <f>OPEX!BD15</f>
        <v>0</v>
      </c>
      <c r="BE15" s="81">
        <f>OPEX!BE15</f>
        <v>0</v>
      </c>
      <c r="BF15" s="81">
        <f>OPEX!BF15</f>
        <v>0</v>
      </c>
      <c r="BG15" s="81">
        <f>OPEX!BG15</f>
        <v>0</v>
      </c>
      <c r="BH15" s="81">
        <f>OPEX!BH15</f>
        <v>0</v>
      </c>
      <c r="BI15" s="81">
        <f>OPEX!BI15</f>
        <v>0</v>
      </c>
      <c r="BJ15" s="81">
        <f>OPEX!BJ15</f>
        <v>0</v>
      </c>
    </row>
    <row r="16" spans="1:74">
      <c r="A16" s="94" t="s">
        <v>53</v>
      </c>
      <c r="C16" s="81">
        <f>OPEX!C16</f>
        <v>0</v>
      </c>
      <c r="D16" s="81">
        <f>OPEX!D16</f>
        <v>0</v>
      </c>
      <c r="E16" s="81">
        <f>OPEX!E16</f>
        <v>0</v>
      </c>
      <c r="F16" s="81">
        <f>OPEX!F16</f>
        <v>0</v>
      </c>
      <c r="G16" s="81">
        <f>OPEX!G16</f>
        <v>0</v>
      </c>
      <c r="H16" s="81">
        <f>OPEX!H16</f>
        <v>0</v>
      </c>
      <c r="I16" s="81">
        <f>OPEX!I16</f>
        <v>0</v>
      </c>
      <c r="J16" s="81">
        <f>OPEX!J16</f>
        <v>0</v>
      </c>
      <c r="K16" s="81">
        <f>OPEX!K16</f>
        <v>0</v>
      </c>
      <c r="L16" s="81">
        <f>OPEX!L16</f>
        <v>0</v>
      </c>
      <c r="M16" s="81">
        <f>OPEX!M16</f>
        <v>0</v>
      </c>
      <c r="N16" s="81">
        <f>OPEX!N16</f>
        <v>0</v>
      </c>
      <c r="O16" s="81">
        <f>OPEX!O16</f>
        <v>0</v>
      </c>
      <c r="P16" s="81">
        <f>OPEX!P16</f>
        <v>0</v>
      </c>
      <c r="Q16" s="81">
        <f>OPEX!Q16</f>
        <v>0</v>
      </c>
      <c r="R16" s="81">
        <f>OPEX!R16</f>
        <v>0</v>
      </c>
      <c r="S16" s="81">
        <f>OPEX!S16</f>
        <v>0</v>
      </c>
      <c r="T16" s="81">
        <f>OPEX!T16</f>
        <v>0</v>
      </c>
      <c r="U16" s="81">
        <f>OPEX!U16</f>
        <v>0</v>
      </c>
      <c r="V16" s="81">
        <f>OPEX!V16</f>
        <v>0</v>
      </c>
      <c r="W16" s="81">
        <f>OPEX!W16</f>
        <v>0</v>
      </c>
      <c r="X16" s="81">
        <f>OPEX!X16</f>
        <v>0</v>
      </c>
      <c r="Y16" s="81">
        <f>OPEX!Y16</f>
        <v>0</v>
      </c>
      <c r="Z16" s="81">
        <f>OPEX!Z16</f>
        <v>0</v>
      </c>
      <c r="AA16" s="81">
        <f>OPEX!AA16</f>
        <v>0</v>
      </c>
      <c r="AB16" s="81">
        <f>OPEX!AB16</f>
        <v>0</v>
      </c>
      <c r="AC16" s="81">
        <f>OPEX!AC16</f>
        <v>0</v>
      </c>
      <c r="AD16" s="81">
        <f>OPEX!AD16</f>
        <v>0</v>
      </c>
      <c r="AE16" s="81">
        <f>OPEX!AE16</f>
        <v>0</v>
      </c>
      <c r="AF16" s="81">
        <f>OPEX!AF16</f>
        <v>0</v>
      </c>
      <c r="AG16" s="81">
        <f>OPEX!AG16</f>
        <v>0</v>
      </c>
      <c r="AH16" s="81">
        <f>OPEX!AH16</f>
        <v>0</v>
      </c>
      <c r="AI16" s="81">
        <f>OPEX!AI16</f>
        <v>0</v>
      </c>
      <c r="AJ16" s="81">
        <f>OPEX!AJ16</f>
        <v>0</v>
      </c>
      <c r="AK16" s="81">
        <f>OPEX!AK16</f>
        <v>0</v>
      </c>
      <c r="AL16" s="81">
        <f>OPEX!AL16</f>
        <v>0</v>
      </c>
      <c r="AM16" s="81">
        <f>OPEX!AM16</f>
        <v>0</v>
      </c>
      <c r="AN16" s="81">
        <f>OPEX!AN16</f>
        <v>0</v>
      </c>
      <c r="AO16" s="81">
        <f>OPEX!AO16</f>
        <v>0</v>
      </c>
      <c r="AP16" s="81">
        <f>OPEX!AP16</f>
        <v>0</v>
      </c>
      <c r="AQ16" s="81">
        <f>OPEX!AQ16</f>
        <v>0</v>
      </c>
      <c r="AR16" s="81">
        <f>OPEX!AR16</f>
        <v>0</v>
      </c>
      <c r="AS16" s="81">
        <f>OPEX!AS16</f>
        <v>0</v>
      </c>
      <c r="AT16" s="81">
        <f>OPEX!AT16</f>
        <v>0</v>
      </c>
      <c r="AU16" s="81">
        <f>OPEX!AU16</f>
        <v>0</v>
      </c>
      <c r="AV16" s="81">
        <f>OPEX!AV16</f>
        <v>0</v>
      </c>
      <c r="AW16" s="81">
        <f>OPEX!AW16</f>
        <v>0</v>
      </c>
      <c r="AX16" s="81">
        <f>OPEX!AX16</f>
        <v>0</v>
      </c>
      <c r="AY16" s="81">
        <f>OPEX!AY16</f>
        <v>0</v>
      </c>
      <c r="AZ16" s="81">
        <f>OPEX!AZ16</f>
        <v>0</v>
      </c>
      <c r="BA16" s="81">
        <f>OPEX!BA16</f>
        <v>0</v>
      </c>
      <c r="BB16" s="81">
        <f>OPEX!BB16</f>
        <v>0</v>
      </c>
      <c r="BC16" s="81">
        <f>OPEX!BC16</f>
        <v>0</v>
      </c>
      <c r="BD16" s="81">
        <f>OPEX!BD16</f>
        <v>0</v>
      </c>
      <c r="BE16" s="81">
        <f>OPEX!BE16</f>
        <v>0</v>
      </c>
      <c r="BF16" s="81">
        <f>OPEX!BF16</f>
        <v>0</v>
      </c>
      <c r="BG16" s="81">
        <f>OPEX!BG16</f>
        <v>0</v>
      </c>
      <c r="BH16" s="81">
        <f>OPEX!BH16</f>
        <v>0</v>
      </c>
      <c r="BI16" s="81">
        <f>OPEX!BI16</f>
        <v>0</v>
      </c>
      <c r="BJ16" s="81">
        <f>OPEX!BJ16</f>
        <v>0</v>
      </c>
    </row>
    <row r="17" spans="1:62">
      <c r="A17" s="94" t="s">
        <v>54</v>
      </c>
      <c r="C17" s="81">
        <f>OPEX!C17</f>
        <v>13946.25</v>
      </c>
      <c r="D17" s="81">
        <f>OPEX!D17</f>
        <v>13983.75</v>
      </c>
      <c r="E17" s="81">
        <f>OPEX!E17</f>
        <v>13983.75</v>
      </c>
      <c r="F17" s="81">
        <f>OPEX!F17</f>
        <v>14021.25</v>
      </c>
      <c r="G17" s="81">
        <f>OPEX!G17</f>
        <v>14021.25</v>
      </c>
      <c r="H17" s="81">
        <f>OPEX!H17</f>
        <v>14178.75</v>
      </c>
      <c r="I17" s="81">
        <f>OPEX!I17</f>
        <v>14216.25</v>
      </c>
      <c r="J17" s="81">
        <f>OPEX!J17</f>
        <v>14216.25</v>
      </c>
      <c r="K17" s="81">
        <f>OPEX!K17</f>
        <v>14216.25</v>
      </c>
      <c r="L17" s="81">
        <f>OPEX!L17</f>
        <v>14253.75</v>
      </c>
      <c r="M17" s="81">
        <f>OPEX!M17</f>
        <v>14253.75</v>
      </c>
      <c r="N17" s="81">
        <f>OPEX!N17</f>
        <v>14253.75</v>
      </c>
      <c r="O17" s="81">
        <f>OPEX!O17</f>
        <v>14291.25</v>
      </c>
      <c r="P17" s="81">
        <f>OPEX!P17</f>
        <v>16366.25</v>
      </c>
      <c r="Q17" s="81">
        <f>OPEX!Q17</f>
        <v>16328.75</v>
      </c>
      <c r="R17" s="81">
        <f>OPEX!R17</f>
        <v>16291.25</v>
      </c>
      <c r="S17" s="81">
        <f>OPEX!S17</f>
        <v>17303.75</v>
      </c>
      <c r="T17" s="81">
        <f>OPEX!T17</f>
        <v>17266.25</v>
      </c>
      <c r="U17" s="81">
        <f>OPEX!U17</f>
        <v>17161.25</v>
      </c>
      <c r="V17" s="81">
        <f>OPEX!V17</f>
        <v>18921.25</v>
      </c>
      <c r="W17" s="81">
        <f>OPEX!W17</f>
        <v>18846.25</v>
      </c>
      <c r="X17" s="81">
        <f>OPEX!X17</f>
        <v>18741.25</v>
      </c>
      <c r="Y17" s="81">
        <f>OPEX!Y17</f>
        <v>18703.75</v>
      </c>
      <c r="Z17" s="81">
        <f>OPEX!Z17</f>
        <v>18628.75</v>
      </c>
      <c r="AA17" s="81">
        <f>OPEX!AA17</f>
        <v>18523.75</v>
      </c>
      <c r="AB17" s="81">
        <f>OPEX!AB17</f>
        <v>19446.25</v>
      </c>
      <c r="AC17" s="81">
        <f>OPEX!AC17</f>
        <v>19371.25</v>
      </c>
      <c r="AD17" s="81">
        <f>OPEX!AD17</f>
        <v>19333.75</v>
      </c>
      <c r="AE17" s="81">
        <f>OPEX!AE17</f>
        <v>20346.250000000004</v>
      </c>
      <c r="AF17" s="81">
        <f>OPEX!AF17</f>
        <v>20203.750000000004</v>
      </c>
      <c r="AG17" s="81">
        <f>OPEX!AG17</f>
        <v>20166.250000000004</v>
      </c>
      <c r="AH17" s="81">
        <f>OPEX!AH17</f>
        <v>21141.250000000004</v>
      </c>
      <c r="AI17" s="81">
        <f>OPEX!AI17</f>
        <v>20998.750000000004</v>
      </c>
      <c r="AJ17" s="81">
        <f>OPEX!AJ17</f>
        <v>20923.750000000004</v>
      </c>
      <c r="AK17" s="81">
        <f>OPEX!AK17</f>
        <v>20781.250000000004</v>
      </c>
      <c r="AL17" s="81">
        <f>OPEX!AL17</f>
        <v>20743.750000000004</v>
      </c>
      <c r="AM17" s="81">
        <f>OPEX!AM17</f>
        <v>20601.250000000004</v>
      </c>
      <c r="AN17" s="81">
        <f>OPEX!AN17</f>
        <v>21433.750000000004</v>
      </c>
      <c r="AO17" s="81">
        <f>OPEX!AO17</f>
        <v>21358.750000000004</v>
      </c>
      <c r="AP17" s="81">
        <f>OPEX!AP17</f>
        <v>21321.250000000004</v>
      </c>
      <c r="AQ17" s="81">
        <f>OPEX!AQ17</f>
        <v>22296.250000000004</v>
      </c>
      <c r="AR17" s="81">
        <f>OPEX!AR17</f>
        <v>22191.250000000004</v>
      </c>
      <c r="AS17" s="81">
        <f>OPEX!AS17</f>
        <v>22116.250000000004</v>
      </c>
      <c r="AT17" s="81">
        <f>OPEX!AT17</f>
        <v>22933.750000000004</v>
      </c>
      <c r="AU17" s="81">
        <f>OPEX!AU17</f>
        <v>22858.750000000004</v>
      </c>
      <c r="AV17" s="81">
        <f>OPEX!AV17</f>
        <v>22716.250000000004</v>
      </c>
      <c r="AW17" s="81">
        <f>OPEX!AW17</f>
        <v>22678.750000000004</v>
      </c>
      <c r="AX17" s="81">
        <f>OPEX!AX17</f>
        <v>22603.750000000004</v>
      </c>
      <c r="AY17" s="81">
        <f>OPEX!AY17</f>
        <v>22461.250000000004</v>
      </c>
      <c r="AZ17" s="81">
        <f>OPEX!AZ17</f>
        <v>23383.750000000004</v>
      </c>
      <c r="BA17" s="81">
        <f>OPEX!BA17</f>
        <v>23308.750000000004</v>
      </c>
      <c r="BB17" s="81">
        <f>OPEX!BB17</f>
        <v>23203.750000000004</v>
      </c>
      <c r="BC17" s="81">
        <f>OPEX!BC17</f>
        <v>24178.750000000004</v>
      </c>
      <c r="BD17" s="81">
        <f>OPEX!BD17</f>
        <v>24103.750000000004</v>
      </c>
      <c r="BE17" s="81">
        <f>OPEX!BE17</f>
        <v>23998.750000000004</v>
      </c>
      <c r="BF17" s="81">
        <f>OPEX!BF17</f>
        <v>24883.750000000004</v>
      </c>
      <c r="BG17" s="81">
        <f>OPEX!BG17</f>
        <v>24808.750000000004</v>
      </c>
      <c r="BH17" s="81">
        <f>OPEX!BH17</f>
        <v>24666.250000000004</v>
      </c>
      <c r="BI17" s="81">
        <f>OPEX!BI17</f>
        <v>24523.750000000004</v>
      </c>
      <c r="BJ17" s="81">
        <f>OPEX!BJ17</f>
        <v>24448.750000000004</v>
      </c>
    </row>
    <row r="18" spans="1:62">
      <c r="A18" s="94" t="s">
        <v>55</v>
      </c>
      <c r="C18" s="81">
        <f>OPEX!C18</f>
        <v>0</v>
      </c>
      <c r="D18" s="81">
        <f>OPEX!D18</f>
        <v>0</v>
      </c>
      <c r="E18" s="81">
        <f>OPEX!E18</f>
        <v>0</v>
      </c>
      <c r="F18" s="81">
        <f>OPEX!F18</f>
        <v>0</v>
      </c>
      <c r="G18" s="81">
        <f>OPEX!G18</f>
        <v>0</v>
      </c>
      <c r="H18" s="81">
        <f>OPEX!H18</f>
        <v>0</v>
      </c>
      <c r="I18" s="81">
        <f>OPEX!I18</f>
        <v>0</v>
      </c>
      <c r="J18" s="81">
        <f>OPEX!J18</f>
        <v>0</v>
      </c>
      <c r="K18" s="81">
        <f>OPEX!K18</f>
        <v>0</v>
      </c>
      <c r="L18" s="81">
        <f>OPEX!L18</f>
        <v>0</v>
      </c>
      <c r="M18" s="81">
        <f>OPEX!M18</f>
        <v>0</v>
      </c>
      <c r="N18" s="81">
        <f>OPEX!N18</f>
        <v>0</v>
      </c>
      <c r="O18" s="81">
        <f>OPEX!O18</f>
        <v>0</v>
      </c>
      <c r="P18" s="81">
        <f>OPEX!P18</f>
        <v>0</v>
      </c>
      <c r="Q18" s="81">
        <f>OPEX!Q18</f>
        <v>0</v>
      </c>
      <c r="R18" s="81">
        <f>OPEX!R18</f>
        <v>0</v>
      </c>
      <c r="S18" s="81">
        <f>OPEX!S18</f>
        <v>0</v>
      </c>
      <c r="T18" s="81">
        <f>OPEX!T18</f>
        <v>0</v>
      </c>
      <c r="U18" s="81">
        <f>OPEX!U18</f>
        <v>0</v>
      </c>
      <c r="V18" s="81">
        <f>OPEX!V18</f>
        <v>0</v>
      </c>
      <c r="W18" s="81">
        <f>OPEX!W18</f>
        <v>0</v>
      </c>
      <c r="X18" s="81">
        <f>OPEX!X18</f>
        <v>0</v>
      </c>
      <c r="Y18" s="81">
        <f>OPEX!Y18</f>
        <v>0</v>
      </c>
      <c r="Z18" s="81">
        <f>OPEX!Z18</f>
        <v>0</v>
      </c>
      <c r="AA18" s="81">
        <f>OPEX!AA18</f>
        <v>0</v>
      </c>
      <c r="AB18" s="81">
        <f>OPEX!AB18</f>
        <v>0</v>
      </c>
      <c r="AC18" s="81">
        <f>OPEX!AC18</f>
        <v>0</v>
      </c>
      <c r="AD18" s="81">
        <f>OPEX!AD18</f>
        <v>0</v>
      </c>
      <c r="AE18" s="81">
        <f>OPEX!AE18</f>
        <v>0</v>
      </c>
      <c r="AF18" s="81">
        <f>OPEX!AF18</f>
        <v>0</v>
      </c>
      <c r="AG18" s="81">
        <f>OPEX!AG18</f>
        <v>0</v>
      </c>
      <c r="AH18" s="81">
        <f>OPEX!AH18</f>
        <v>0</v>
      </c>
      <c r="AI18" s="81">
        <f>OPEX!AI18</f>
        <v>0</v>
      </c>
      <c r="AJ18" s="81">
        <f>OPEX!AJ18</f>
        <v>0</v>
      </c>
      <c r="AK18" s="81">
        <f>OPEX!AK18</f>
        <v>0</v>
      </c>
      <c r="AL18" s="81">
        <f>OPEX!AL18</f>
        <v>0</v>
      </c>
      <c r="AM18" s="81">
        <f>OPEX!AM18</f>
        <v>0</v>
      </c>
      <c r="AN18" s="81">
        <f>OPEX!AN18</f>
        <v>0</v>
      </c>
      <c r="AO18" s="81">
        <f>OPEX!AO18</f>
        <v>0</v>
      </c>
      <c r="AP18" s="81">
        <f>OPEX!AP18</f>
        <v>0</v>
      </c>
      <c r="AQ18" s="81">
        <f>OPEX!AQ18</f>
        <v>0</v>
      </c>
      <c r="AR18" s="81">
        <f>OPEX!AR18</f>
        <v>0</v>
      </c>
      <c r="AS18" s="81">
        <f>OPEX!AS18</f>
        <v>0</v>
      </c>
      <c r="AT18" s="81">
        <f>OPEX!AT18</f>
        <v>0</v>
      </c>
      <c r="AU18" s="81">
        <f>OPEX!AU18</f>
        <v>0</v>
      </c>
      <c r="AV18" s="81">
        <f>OPEX!AV18</f>
        <v>0</v>
      </c>
      <c r="AW18" s="81">
        <f>OPEX!AW18</f>
        <v>0</v>
      </c>
      <c r="AX18" s="81">
        <f>OPEX!AX18</f>
        <v>0</v>
      </c>
      <c r="AY18" s="81">
        <f>OPEX!AY18</f>
        <v>0</v>
      </c>
      <c r="AZ18" s="81">
        <f>OPEX!AZ18</f>
        <v>0</v>
      </c>
      <c r="BA18" s="81">
        <f>OPEX!BA18</f>
        <v>0</v>
      </c>
      <c r="BB18" s="81">
        <f>OPEX!BB18</f>
        <v>0</v>
      </c>
      <c r="BC18" s="81">
        <f>OPEX!BC18</f>
        <v>0</v>
      </c>
      <c r="BD18" s="81">
        <f>OPEX!BD18</f>
        <v>0</v>
      </c>
      <c r="BE18" s="81">
        <f>OPEX!BE18</f>
        <v>0</v>
      </c>
      <c r="BF18" s="81">
        <f>OPEX!BF18</f>
        <v>0</v>
      </c>
      <c r="BG18" s="81">
        <f>OPEX!BG18</f>
        <v>0</v>
      </c>
      <c r="BH18" s="81">
        <f>OPEX!BH18</f>
        <v>0</v>
      </c>
      <c r="BI18" s="81">
        <f>OPEX!BI18</f>
        <v>0</v>
      </c>
      <c r="BJ18" s="81">
        <f>OPEX!BJ18</f>
        <v>0</v>
      </c>
    </row>
    <row r="19" spans="1:62">
      <c r="A19" s="94" t="s">
        <v>56</v>
      </c>
      <c r="C19" s="81">
        <f>OPEX!C19</f>
        <v>0</v>
      </c>
      <c r="D19" s="81">
        <f>OPEX!D19</f>
        <v>0</v>
      </c>
      <c r="E19" s="81">
        <f>OPEX!E19</f>
        <v>0</v>
      </c>
      <c r="F19" s="81">
        <f>OPEX!F19</f>
        <v>0</v>
      </c>
      <c r="G19" s="81">
        <f>OPEX!G19</f>
        <v>0</v>
      </c>
      <c r="H19" s="81">
        <f>OPEX!H19</f>
        <v>0</v>
      </c>
      <c r="I19" s="81">
        <f>OPEX!I19</f>
        <v>0</v>
      </c>
      <c r="J19" s="81">
        <f>OPEX!J19</f>
        <v>0</v>
      </c>
      <c r="K19" s="81">
        <f>OPEX!K19</f>
        <v>0</v>
      </c>
      <c r="L19" s="81">
        <f>OPEX!L19</f>
        <v>0</v>
      </c>
      <c r="M19" s="81">
        <f>OPEX!M19</f>
        <v>0</v>
      </c>
      <c r="N19" s="81">
        <f>OPEX!N19</f>
        <v>0</v>
      </c>
      <c r="O19" s="81">
        <f>OPEX!O19</f>
        <v>0</v>
      </c>
      <c r="P19" s="81">
        <f>OPEX!P19</f>
        <v>0</v>
      </c>
      <c r="Q19" s="81">
        <f>OPEX!Q19</f>
        <v>0</v>
      </c>
      <c r="R19" s="81">
        <f>OPEX!R19</f>
        <v>0</v>
      </c>
      <c r="S19" s="81">
        <f>OPEX!S19</f>
        <v>0</v>
      </c>
      <c r="T19" s="81">
        <f>OPEX!T19</f>
        <v>0</v>
      </c>
      <c r="U19" s="81">
        <f>OPEX!U19</f>
        <v>0</v>
      </c>
      <c r="V19" s="81">
        <f>OPEX!V19</f>
        <v>0</v>
      </c>
      <c r="W19" s="81">
        <f>OPEX!W19</f>
        <v>0</v>
      </c>
      <c r="X19" s="81">
        <f>OPEX!X19</f>
        <v>0</v>
      </c>
      <c r="Y19" s="81">
        <f>OPEX!Y19</f>
        <v>0</v>
      </c>
      <c r="Z19" s="81">
        <f>OPEX!Z19</f>
        <v>0</v>
      </c>
      <c r="AA19" s="81">
        <f>OPEX!AA19</f>
        <v>0</v>
      </c>
      <c r="AB19" s="81">
        <f>OPEX!AB19</f>
        <v>0</v>
      </c>
      <c r="AC19" s="81">
        <f>OPEX!AC19</f>
        <v>0</v>
      </c>
      <c r="AD19" s="81">
        <f>OPEX!AD19</f>
        <v>0</v>
      </c>
      <c r="AE19" s="81">
        <f>OPEX!AE19</f>
        <v>0</v>
      </c>
      <c r="AF19" s="81">
        <f>OPEX!AF19</f>
        <v>0</v>
      </c>
      <c r="AG19" s="81">
        <f>OPEX!AG19</f>
        <v>0</v>
      </c>
      <c r="AH19" s="81">
        <f>OPEX!AH19</f>
        <v>0</v>
      </c>
      <c r="AI19" s="81">
        <f>OPEX!AI19</f>
        <v>0</v>
      </c>
      <c r="AJ19" s="81">
        <f>OPEX!AJ19</f>
        <v>0</v>
      </c>
      <c r="AK19" s="81">
        <f>OPEX!AK19</f>
        <v>0</v>
      </c>
      <c r="AL19" s="81">
        <f>OPEX!AL19</f>
        <v>0</v>
      </c>
      <c r="AM19" s="81">
        <f>OPEX!AM19</f>
        <v>0</v>
      </c>
      <c r="AN19" s="81">
        <f>OPEX!AN19</f>
        <v>0</v>
      </c>
      <c r="AO19" s="81">
        <f>OPEX!AO19</f>
        <v>0</v>
      </c>
      <c r="AP19" s="81">
        <f>OPEX!AP19</f>
        <v>0</v>
      </c>
      <c r="AQ19" s="81">
        <f>OPEX!AQ19</f>
        <v>0</v>
      </c>
      <c r="AR19" s="81">
        <f>OPEX!AR19</f>
        <v>0</v>
      </c>
      <c r="AS19" s="81">
        <f>OPEX!AS19</f>
        <v>0</v>
      </c>
      <c r="AT19" s="81">
        <f>OPEX!AT19</f>
        <v>0</v>
      </c>
      <c r="AU19" s="81">
        <f>OPEX!AU19</f>
        <v>0</v>
      </c>
      <c r="AV19" s="81">
        <f>OPEX!AV19</f>
        <v>0</v>
      </c>
      <c r="AW19" s="81">
        <f>OPEX!AW19</f>
        <v>0</v>
      </c>
      <c r="AX19" s="81">
        <f>OPEX!AX19</f>
        <v>0</v>
      </c>
      <c r="AY19" s="81">
        <f>OPEX!AY19</f>
        <v>0</v>
      </c>
      <c r="AZ19" s="81">
        <f>OPEX!AZ19</f>
        <v>0</v>
      </c>
      <c r="BA19" s="81">
        <f>OPEX!BA19</f>
        <v>0</v>
      </c>
      <c r="BB19" s="81">
        <f>OPEX!BB19</f>
        <v>0</v>
      </c>
      <c r="BC19" s="81">
        <f>OPEX!BC19</f>
        <v>0</v>
      </c>
      <c r="BD19" s="81">
        <f>OPEX!BD19</f>
        <v>0</v>
      </c>
      <c r="BE19" s="81">
        <f>OPEX!BE19</f>
        <v>0</v>
      </c>
      <c r="BF19" s="81">
        <f>OPEX!BF19</f>
        <v>0</v>
      </c>
      <c r="BG19" s="81">
        <f>OPEX!BG19</f>
        <v>0</v>
      </c>
      <c r="BH19" s="81">
        <f>OPEX!BH19</f>
        <v>0</v>
      </c>
      <c r="BI19" s="81">
        <f>OPEX!BI19</f>
        <v>0</v>
      </c>
      <c r="BJ19" s="81">
        <f>OPEX!BJ19</f>
        <v>0</v>
      </c>
    </row>
    <row r="20" spans="1:62">
      <c r="A20" s="94" t="s">
        <v>57</v>
      </c>
      <c r="C20" s="81">
        <f>OPEX!C20</f>
        <v>0</v>
      </c>
      <c r="D20" s="81">
        <f>OPEX!D20</f>
        <v>0</v>
      </c>
      <c r="E20" s="81">
        <f>OPEX!E20</f>
        <v>0</v>
      </c>
      <c r="F20" s="81">
        <f>OPEX!F20</f>
        <v>0</v>
      </c>
      <c r="G20" s="81">
        <f>OPEX!G20</f>
        <v>0</v>
      </c>
      <c r="H20" s="81">
        <f>OPEX!H20</f>
        <v>0</v>
      </c>
      <c r="I20" s="81">
        <f>OPEX!I20</f>
        <v>0</v>
      </c>
      <c r="J20" s="81">
        <f>OPEX!J20</f>
        <v>0</v>
      </c>
      <c r="K20" s="81">
        <f>OPEX!K20</f>
        <v>0</v>
      </c>
      <c r="L20" s="81">
        <f>OPEX!L20</f>
        <v>0</v>
      </c>
      <c r="M20" s="81">
        <f>OPEX!M20</f>
        <v>0</v>
      </c>
      <c r="N20" s="81">
        <f>OPEX!N20</f>
        <v>0</v>
      </c>
      <c r="O20" s="81">
        <f>OPEX!O20</f>
        <v>0</v>
      </c>
      <c r="P20" s="81">
        <f>OPEX!P20</f>
        <v>0</v>
      </c>
      <c r="Q20" s="81">
        <f>OPEX!Q20</f>
        <v>0</v>
      </c>
      <c r="R20" s="81">
        <f>OPEX!R20</f>
        <v>0</v>
      </c>
      <c r="S20" s="81">
        <f>OPEX!S20</f>
        <v>0</v>
      </c>
      <c r="T20" s="81">
        <f>OPEX!T20</f>
        <v>0</v>
      </c>
      <c r="U20" s="81">
        <f>OPEX!U20</f>
        <v>0</v>
      </c>
      <c r="V20" s="81">
        <f>OPEX!V20</f>
        <v>0</v>
      </c>
      <c r="W20" s="81">
        <f>OPEX!W20</f>
        <v>0</v>
      </c>
      <c r="X20" s="81">
        <f>OPEX!X20</f>
        <v>0</v>
      </c>
      <c r="Y20" s="81">
        <f>OPEX!Y20</f>
        <v>0</v>
      </c>
      <c r="Z20" s="81">
        <f>OPEX!Z20</f>
        <v>0</v>
      </c>
      <c r="AA20" s="81">
        <f>OPEX!AA20</f>
        <v>0</v>
      </c>
      <c r="AB20" s="81">
        <f>OPEX!AB20</f>
        <v>0</v>
      </c>
      <c r="AC20" s="81">
        <f>OPEX!AC20</f>
        <v>0</v>
      </c>
      <c r="AD20" s="81">
        <f>OPEX!AD20</f>
        <v>0</v>
      </c>
      <c r="AE20" s="81">
        <f>OPEX!AE20</f>
        <v>0</v>
      </c>
      <c r="AF20" s="81">
        <f>OPEX!AF20</f>
        <v>0</v>
      </c>
      <c r="AG20" s="81">
        <f>OPEX!AG20</f>
        <v>0</v>
      </c>
      <c r="AH20" s="81">
        <f>OPEX!AH20</f>
        <v>0</v>
      </c>
      <c r="AI20" s="81">
        <f>OPEX!AI20</f>
        <v>0</v>
      </c>
      <c r="AJ20" s="81">
        <f>OPEX!AJ20</f>
        <v>0</v>
      </c>
      <c r="AK20" s="81">
        <f>OPEX!AK20</f>
        <v>0</v>
      </c>
      <c r="AL20" s="81">
        <f>OPEX!AL20</f>
        <v>0</v>
      </c>
      <c r="AM20" s="81">
        <f>OPEX!AM20</f>
        <v>0</v>
      </c>
      <c r="AN20" s="81">
        <f>OPEX!AN20</f>
        <v>0</v>
      </c>
      <c r="AO20" s="81">
        <f>OPEX!AO20</f>
        <v>0</v>
      </c>
      <c r="AP20" s="81">
        <f>OPEX!AP20</f>
        <v>0</v>
      </c>
      <c r="AQ20" s="81">
        <f>OPEX!AQ20</f>
        <v>0</v>
      </c>
      <c r="AR20" s="81">
        <f>OPEX!AR20</f>
        <v>0</v>
      </c>
      <c r="AS20" s="81">
        <f>OPEX!AS20</f>
        <v>0</v>
      </c>
      <c r="AT20" s="81">
        <f>OPEX!AT20</f>
        <v>0</v>
      </c>
      <c r="AU20" s="81">
        <f>OPEX!AU20</f>
        <v>0</v>
      </c>
      <c r="AV20" s="81">
        <f>OPEX!AV20</f>
        <v>0</v>
      </c>
      <c r="AW20" s="81">
        <f>OPEX!AW20</f>
        <v>0</v>
      </c>
      <c r="AX20" s="81">
        <f>OPEX!AX20</f>
        <v>0</v>
      </c>
      <c r="AY20" s="81">
        <f>OPEX!AY20</f>
        <v>0</v>
      </c>
      <c r="AZ20" s="81">
        <f>OPEX!AZ20</f>
        <v>0</v>
      </c>
      <c r="BA20" s="81">
        <f>OPEX!BA20</f>
        <v>0</v>
      </c>
      <c r="BB20" s="81">
        <f>OPEX!BB20</f>
        <v>0</v>
      </c>
      <c r="BC20" s="81">
        <f>OPEX!BC20</f>
        <v>0</v>
      </c>
      <c r="BD20" s="81">
        <f>OPEX!BD20</f>
        <v>0</v>
      </c>
      <c r="BE20" s="81">
        <f>OPEX!BE20</f>
        <v>0</v>
      </c>
      <c r="BF20" s="81">
        <f>OPEX!BF20</f>
        <v>0</v>
      </c>
      <c r="BG20" s="81">
        <f>OPEX!BG20</f>
        <v>0</v>
      </c>
      <c r="BH20" s="81">
        <f>OPEX!BH20</f>
        <v>0</v>
      </c>
      <c r="BI20" s="81">
        <f>OPEX!BI20</f>
        <v>0</v>
      </c>
      <c r="BJ20" s="81">
        <f>OPEX!BJ20</f>
        <v>0</v>
      </c>
    </row>
    <row r="21" spans="1:62">
      <c r="A21" s="94" t="s">
        <v>58</v>
      </c>
      <c r="C21" s="81">
        <f>OPEX!C21</f>
        <v>10000</v>
      </c>
      <c r="D21" s="81">
        <f>OPEX!D21</f>
        <v>10000</v>
      </c>
      <c r="E21" s="81">
        <f>OPEX!E21</f>
        <v>10000</v>
      </c>
      <c r="F21" s="81">
        <f>OPEX!F21</f>
        <v>10000</v>
      </c>
      <c r="G21" s="81">
        <f>OPEX!G21</f>
        <v>10000</v>
      </c>
      <c r="H21" s="81">
        <f>OPEX!H21</f>
        <v>10000</v>
      </c>
      <c r="I21" s="81">
        <f>OPEX!I21</f>
        <v>10000</v>
      </c>
      <c r="J21" s="81">
        <f>OPEX!J21</f>
        <v>10000</v>
      </c>
      <c r="K21" s="81">
        <f>OPEX!K21</f>
        <v>10000</v>
      </c>
      <c r="L21" s="81">
        <f>OPEX!L21</f>
        <v>10000</v>
      </c>
      <c r="M21" s="81">
        <f>OPEX!M21</f>
        <v>10000</v>
      </c>
      <c r="N21" s="81">
        <f>OPEX!N21</f>
        <v>10000</v>
      </c>
      <c r="O21" s="81">
        <f>OPEX!O21</f>
        <v>10000</v>
      </c>
      <c r="P21" s="81">
        <f>OPEX!P21</f>
        <v>10000</v>
      </c>
      <c r="Q21" s="81">
        <f>OPEX!Q21</f>
        <v>10000</v>
      </c>
      <c r="R21" s="81">
        <f>OPEX!R21</f>
        <v>10000</v>
      </c>
      <c r="S21" s="81">
        <f>OPEX!S21</f>
        <v>10000</v>
      </c>
      <c r="T21" s="81">
        <f>OPEX!T21</f>
        <v>10000</v>
      </c>
      <c r="U21" s="81">
        <f>OPEX!U21</f>
        <v>10000</v>
      </c>
      <c r="V21" s="81">
        <f>OPEX!V21</f>
        <v>10000</v>
      </c>
      <c r="W21" s="81">
        <f>OPEX!W21</f>
        <v>10000</v>
      </c>
      <c r="X21" s="81">
        <f>OPEX!X21</f>
        <v>10000</v>
      </c>
      <c r="Y21" s="81">
        <f>OPEX!Y21</f>
        <v>10000</v>
      </c>
      <c r="Z21" s="81">
        <f>OPEX!Z21</f>
        <v>10000</v>
      </c>
      <c r="AA21" s="81">
        <f>OPEX!AA21</f>
        <v>20000</v>
      </c>
      <c r="AB21" s="81">
        <f>OPEX!AB21</f>
        <v>20000</v>
      </c>
      <c r="AC21" s="81">
        <f>OPEX!AC21</f>
        <v>20000</v>
      </c>
      <c r="AD21" s="81">
        <f>OPEX!AD21</f>
        <v>20000</v>
      </c>
      <c r="AE21" s="81">
        <f>OPEX!AE21</f>
        <v>20000</v>
      </c>
      <c r="AF21" s="81">
        <f>OPEX!AF21</f>
        <v>20000</v>
      </c>
      <c r="AG21" s="81">
        <f>OPEX!AG21</f>
        <v>20000</v>
      </c>
      <c r="AH21" s="81">
        <f>OPEX!AH21</f>
        <v>20000</v>
      </c>
      <c r="AI21" s="81">
        <f>OPEX!AI21</f>
        <v>20000</v>
      </c>
      <c r="AJ21" s="81">
        <f>OPEX!AJ21</f>
        <v>20000</v>
      </c>
      <c r="AK21" s="81">
        <f>OPEX!AK21</f>
        <v>20000</v>
      </c>
      <c r="AL21" s="81">
        <f>OPEX!AL21</f>
        <v>20000</v>
      </c>
      <c r="AM21" s="81">
        <f>OPEX!AM21</f>
        <v>40000</v>
      </c>
      <c r="AN21" s="81">
        <f>OPEX!AN21</f>
        <v>40000</v>
      </c>
      <c r="AO21" s="81">
        <f>OPEX!AO21</f>
        <v>40000</v>
      </c>
      <c r="AP21" s="81">
        <f>OPEX!AP21</f>
        <v>40000</v>
      </c>
      <c r="AQ21" s="81">
        <f>OPEX!AQ21</f>
        <v>40000</v>
      </c>
      <c r="AR21" s="81">
        <f>OPEX!AR21</f>
        <v>40000</v>
      </c>
      <c r="AS21" s="81">
        <f>OPEX!AS21</f>
        <v>40000</v>
      </c>
      <c r="AT21" s="81">
        <f>OPEX!AT21</f>
        <v>40000</v>
      </c>
      <c r="AU21" s="81">
        <f>OPEX!AU21</f>
        <v>40000</v>
      </c>
      <c r="AV21" s="81">
        <f>OPEX!AV21</f>
        <v>40000</v>
      </c>
      <c r="AW21" s="81">
        <f>OPEX!AW21</f>
        <v>40000</v>
      </c>
      <c r="AX21" s="81">
        <f>OPEX!AX21</f>
        <v>40000</v>
      </c>
      <c r="AY21" s="81">
        <f>OPEX!AY21</f>
        <v>80000</v>
      </c>
      <c r="AZ21" s="81">
        <f>OPEX!AZ21</f>
        <v>80000</v>
      </c>
      <c r="BA21" s="81">
        <f>OPEX!BA21</f>
        <v>80000</v>
      </c>
      <c r="BB21" s="81">
        <f>OPEX!BB21</f>
        <v>80000</v>
      </c>
      <c r="BC21" s="81">
        <f>OPEX!BC21</f>
        <v>80000</v>
      </c>
      <c r="BD21" s="81">
        <f>OPEX!BD21</f>
        <v>80000</v>
      </c>
      <c r="BE21" s="81">
        <f>OPEX!BE21</f>
        <v>80000</v>
      </c>
      <c r="BF21" s="81">
        <f>OPEX!BF21</f>
        <v>80000</v>
      </c>
      <c r="BG21" s="81">
        <f>OPEX!BG21</f>
        <v>80000</v>
      </c>
      <c r="BH21" s="81">
        <f>OPEX!BH21</f>
        <v>80000</v>
      </c>
      <c r="BI21" s="81">
        <f>OPEX!BI21</f>
        <v>80000</v>
      </c>
      <c r="BJ21" s="81">
        <f>OPEX!BJ21</f>
        <v>80000</v>
      </c>
    </row>
    <row r="22" spans="1:62">
      <c r="A22" s="94" t="s">
        <v>59</v>
      </c>
      <c r="C22" s="81">
        <f>OPEX!C22</f>
        <v>1500</v>
      </c>
      <c r="D22" s="81">
        <f>OPEX!D22</f>
        <v>1500</v>
      </c>
      <c r="E22" s="81">
        <f>OPEX!E22</f>
        <v>1500</v>
      </c>
      <c r="F22" s="81">
        <f>OPEX!F22</f>
        <v>1500</v>
      </c>
      <c r="G22" s="81">
        <f>OPEX!G22</f>
        <v>1500</v>
      </c>
      <c r="H22" s="81">
        <f>OPEX!H22</f>
        <v>1500</v>
      </c>
      <c r="I22" s="81">
        <f>OPEX!I22</f>
        <v>1500</v>
      </c>
      <c r="J22" s="81">
        <f>OPEX!J22</f>
        <v>1500</v>
      </c>
      <c r="K22" s="81">
        <f>OPEX!K22</f>
        <v>1500</v>
      </c>
      <c r="L22" s="81">
        <f>OPEX!L22</f>
        <v>1500</v>
      </c>
      <c r="M22" s="81">
        <f>OPEX!M22</f>
        <v>1500</v>
      </c>
      <c r="N22" s="81">
        <f>OPEX!N22</f>
        <v>1500</v>
      </c>
      <c r="O22" s="81">
        <f>OPEX!O22</f>
        <v>3000</v>
      </c>
      <c r="P22" s="81">
        <f>OPEX!P22</f>
        <v>3000</v>
      </c>
      <c r="Q22" s="81">
        <f>OPEX!Q22</f>
        <v>3000</v>
      </c>
      <c r="R22" s="81">
        <f>OPEX!R22</f>
        <v>3000</v>
      </c>
      <c r="S22" s="81">
        <f>OPEX!S22</f>
        <v>3000</v>
      </c>
      <c r="T22" s="81">
        <f>OPEX!T22</f>
        <v>3000</v>
      </c>
      <c r="U22" s="81">
        <f>OPEX!U22</f>
        <v>3000</v>
      </c>
      <c r="V22" s="81">
        <f>OPEX!V22</f>
        <v>3000</v>
      </c>
      <c r="W22" s="81">
        <f>OPEX!W22</f>
        <v>3000</v>
      </c>
      <c r="X22" s="81">
        <f>OPEX!X22</f>
        <v>3000</v>
      </c>
      <c r="Y22" s="81">
        <f>OPEX!Y22</f>
        <v>3000</v>
      </c>
      <c r="Z22" s="81">
        <f>OPEX!Z22</f>
        <v>3000</v>
      </c>
      <c r="AA22" s="81">
        <f>OPEX!AA22</f>
        <v>6000</v>
      </c>
      <c r="AB22" s="81">
        <f>OPEX!AB22</f>
        <v>6000</v>
      </c>
      <c r="AC22" s="81">
        <f>OPEX!AC22</f>
        <v>6000</v>
      </c>
      <c r="AD22" s="81">
        <f>OPEX!AD22</f>
        <v>6000</v>
      </c>
      <c r="AE22" s="81">
        <f>OPEX!AE22</f>
        <v>6000</v>
      </c>
      <c r="AF22" s="81">
        <f>OPEX!AF22</f>
        <v>6000</v>
      </c>
      <c r="AG22" s="81">
        <f>OPEX!AG22</f>
        <v>6000</v>
      </c>
      <c r="AH22" s="81">
        <f>OPEX!AH22</f>
        <v>6000</v>
      </c>
      <c r="AI22" s="81">
        <f>OPEX!AI22</f>
        <v>6000</v>
      </c>
      <c r="AJ22" s="81">
        <f>OPEX!AJ22</f>
        <v>6000</v>
      </c>
      <c r="AK22" s="81">
        <f>OPEX!AK22</f>
        <v>6000</v>
      </c>
      <c r="AL22" s="81">
        <f>OPEX!AL22</f>
        <v>6000</v>
      </c>
      <c r="AM22" s="81">
        <f>OPEX!AM22</f>
        <v>12000</v>
      </c>
      <c r="AN22" s="81">
        <f>OPEX!AN22</f>
        <v>12000</v>
      </c>
      <c r="AO22" s="81">
        <f>OPEX!AO22</f>
        <v>12000</v>
      </c>
      <c r="AP22" s="81">
        <f>OPEX!AP22</f>
        <v>12000</v>
      </c>
      <c r="AQ22" s="81">
        <f>OPEX!AQ22</f>
        <v>12000</v>
      </c>
      <c r="AR22" s="81">
        <f>OPEX!AR22</f>
        <v>12000</v>
      </c>
      <c r="AS22" s="81">
        <f>OPEX!AS22</f>
        <v>12000</v>
      </c>
      <c r="AT22" s="81">
        <f>OPEX!AT22</f>
        <v>12000</v>
      </c>
      <c r="AU22" s="81">
        <f>OPEX!AU22</f>
        <v>12000</v>
      </c>
      <c r="AV22" s="81">
        <f>OPEX!AV22</f>
        <v>12000</v>
      </c>
      <c r="AW22" s="81">
        <f>OPEX!AW22</f>
        <v>12000</v>
      </c>
      <c r="AX22" s="81">
        <f>OPEX!AX22</f>
        <v>12000</v>
      </c>
      <c r="AY22" s="81">
        <f>OPEX!AY22</f>
        <v>24000</v>
      </c>
      <c r="AZ22" s="81">
        <f>OPEX!AZ22</f>
        <v>24000</v>
      </c>
      <c r="BA22" s="81">
        <f>OPEX!BA22</f>
        <v>24000</v>
      </c>
      <c r="BB22" s="81">
        <f>OPEX!BB22</f>
        <v>24000</v>
      </c>
      <c r="BC22" s="81">
        <f>OPEX!BC22</f>
        <v>24000</v>
      </c>
      <c r="BD22" s="81">
        <f>OPEX!BD22</f>
        <v>24000</v>
      </c>
      <c r="BE22" s="81">
        <f>OPEX!BE22</f>
        <v>24000</v>
      </c>
      <c r="BF22" s="81">
        <f>OPEX!BF22</f>
        <v>24000</v>
      </c>
      <c r="BG22" s="81">
        <f>OPEX!BG22</f>
        <v>24000</v>
      </c>
      <c r="BH22" s="81">
        <f>OPEX!BH22</f>
        <v>24000</v>
      </c>
      <c r="BI22" s="81">
        <f>OPEX!BI22</f>
        <v>24000</v>
      </c>
      <c r="BJ22" s="81">
        <f>OPEX!BJ22</f>
        <v>24000</v>
      </c>
    </row>
    <row r="23" spans="1:62">
      <c r="A23" s="94" t="s">
        <v>60</v>
      </c>
      <c r="B23" s="6" t="s">
        <v>345</v>
      </c>
      <c r="C23" s="81">
        <f>OPEX!C23</f>
        <v>2000</v>
      </c>
      <c r="D23" s="81">
        <f>OPEX!D23</f>
        <v>2000</v>
      </c>
      <c r="E23" s="81">
        <f>OPEX!E23</f>
        <v>2000</v>
      </c>
      <c r="F23" s="81">
        <f>OPEX!F23</f>
        <v>2000</v>
      </c>
      <c r="G23" s="81">
        <f>OPEX!G23</f>
        <v>2000</v>
      </c>
      <c r="H23" s="81">
        <f>OPEX!H23</f>
        <v>2000</v>
      </c>
      <c r="I23" s="81">
        <f>OPEX!I23</f>
        <v>2000</v>
      </c>
      <c r="J23" s="81">
        <f>OPEX!J23</f>
        <v>2000</v>
      </c>
      <c r="K23" s="81">
        <f>OPEX!K23</f>
        <v>2000</v>
      </c>
      <c r="L23" s="81">
        <f>OPEX!L23</f>
        <v>2000</v>
      </c>
      <c r="M23" s="81">
        <f>OPEX!M23</f>
        <v>2000</v>
      </c>
      <c r="N23" s="81">
        <f>OPEX!N23</f>
        <v>2000</v>
      </c>
      <c r="O23" s="81">
        <f>OPEX!O23</f>
        <v>3000</v>
      </c>
      <c r="P23" s="81">
        <f>OPEX!P23</f>
        <v>3000</v>
      </c>
      <c r="Q23" s="81">
        <f>OPEX!Q23</f>
        <v>3000</v>
      </c>
      <c r="R23" s="81">
        <f>OPEX!R23</f>
        <v>3000</v>
      </c>
      <c r="S23" s="81">
        <f>OPEX!S23</f>
        <v>3000</v>
      </c>
      <c r="T23" s="81">
        <f>OPEX!T23</f>
        <v>3000</v>
      </c>
      <c r="U23" s="81">
        <f>OPEX!U23</f>
        <v>3000</v>
      </c>
      <c r="V23" s="81">
        <f>OPEX!V23</f>
        <v>3000</v>
      </c>
      <c r="W23" s="81">
        <f>OPEX!W23</f>
        <v>3000</v>
      </c>
      <c r="X23" s="81">
        <f>OPEX!X23</f>
        <v>3000</v>
      </c>
      <c r="Y23" s="81">
        <f>OPEX!Y23</f>
        <v>3000</v>
      </c>
      <c r="Z23" s="81">
        <f>OPEX!Z23</f>
        <v>3000</v>
      </c>
      <c r="AA23" s="81">
        <f>OPEX!AA23</f>
        <v>4000</v>
      </c>
      <c r="AB23" s="81">
        <f>OPEX!AB23</f>
        <v>4000</v>
      </c>
      <c r="AC23" s="81">
        <f>OPEX!AC23</f>
        <v>4000</v>
      </c>
      <c r="AD23" s="81">
        <f>OPEX!AD23</f>
        <v>4000</v>
      </c>
      <c r="AE23" s="81">
        <f>OPEX!AE23</f>
        <v>4000</v>
      </c>
      <c r="AF23" s="81">
        <f>OPEX!AF23</f>
        <v>4000</v>
      </c>
      <c r="AG23" s="81">
        <f>OPEX!AG23</f>
        <v>4000</v>
      </c>
      <c r="AH23" s="81">
        <f>OPEX!AH23</f>
        <v>4000</v>
      </c>
      <c r="AI23" s="81">
        <f>OPEX!AI23</f>
        <v>4000</v>
      </c>
      <c r="AJ23" s="81">
        <f>OPEX!AJ23</f>
        <v>4000</v>
      </c>
      <c r="AK23" s="81">
        <f>OPEX!AK23</f>
        <v>4000</v>
      </c>
      <c r="AL23" s="81">
        <f>OPEX!AL23</f>
        <v>4000</v>
      </c>
      <c r="AM23" s="81">
        <f>OPEX!AM23</f>
        <v>5000</v>
      </c>
      <c r="AN23" s="81">
        <f>OPEX!AN23</f>
        <v>5000</v>
      </c>
      <c r="AO23" s="81">
        <f>OPEX!AO23</f>
        <v>5000</v>
      </c>
      <c r="AP23" s="81">
        <f>OPEX!AP23</f>
        <v>5000</v>
      </c>
      <c r="AQ23" s="81">
        <f>OPEX!AQ23</f>
        <v>5000</v>
      </c>
      <c r="AR23" s="81">
        <f>OPEX!AR23</f>
        <v>5000</v>
      </c>
      <c r="AS23" s="81">
        <f>OPEX!AS23</f>
        <v>5000</v>
      </c>
      <c r="AT23" s="81">
        <f>OPEX!AT23</f>
        <v>5000</v>
      </c>
      <c r="AU23" s="81">
        <f>OPEX!AU23</f>
        <v>5000</v>
      </c>
      <c r="AV23" s="81">
        <f>OPEX!AV23</f>
        <v>5000</v>
      </c>
      <c r="AW23" s="81">
        <f>OPEX!AW23</f>
        <v>5000</v>
      </c>
      <c r="AX23" s="81">
        <f>OPEX!AX23</f>
        <v>5000</v>
      </c>
      <c r="AY23" s="81">
        <f>OPEX!AY23</f>
        <v>6000</v>
      </c>
      <c r="AZ23" s="81">
        <f>OPEX!AZ23</f>
        <v>6000</v>
      </c>
      <c r="BA23" s="81">
        <f>OPEX!BA23</f>
        <v>6000</v>
      </c>
      <c r="BB23" s="81">
        <f>OPEX!BB23</f>
        <v>6000</v>
      </c>
      <c r="BC23" s="81">
        <f>OPEX!BC23</f>
        <v>6000</v>
      </c>
      <c r="BD23" s="81">
        <f>OPEX!BD23</f>
        <v>6000</v>
      </c>
      <c r="BE23" s="81">
        <f>OPEX!BE23</f>
        <v>6000</v>
      </c>
      <c r="BF23" s="81">
        <f>OPEX!BF23</f>
        <v>6000</v>
      </c>
      <c r="BG23" s="81">
        <f>OPEX!BG23</f>
        <v>6000</v>
      </c>
      <c r="BH23" s="81">
        <f>OPEX!BH23</f>
        <v>6000</v>
      </c>
      <c r="BI23" s="81">
        <f>OPEX!BI23</f>
        <v>6000</v>
      </c>
      <c r="BJ23" s="81">
        <f>OPEX!BJ23</f>
        <v>6000</v>
      </c>
    </row>
    <row r="24" spans="1:62">
      <c r="A24" s="94" t="s">
        <v>61</v>
      </c>
      <c r="C24" s="81">
        <f>OPEX!C24</f>
        <v>92975</v>
      </c>
      <c r="D24" s="81">
        <f>OPEX!D24</f>
        <v>93225</v>
      </c>
      <c r="E24" s="81">
        <f>OPEX!E24</f>
        <v>93225</v>
      </c>
      <c r="F24" s="81">
        <f>OPEX!F24</f>
        <v>93475</v>
      </c>
      <c r="G24" s="81">
        <f>OPEX!G24</f>
        <v>93475</v>
      </c>
      <c r="H24" s="81">
        <f>OPEX!H24</f>
        <v>94525</v>
      </c>
      <c r="I24" s="81">
        <f>OPEX!I24</f>
        <v>94775</v>
      </c>
      <c r="J24" s="81">
        <f>OPEX!J24</f>
        <v>94775</v>
      </c>
      <c r="K24" s="81">
        <f>OPEX!K24</f>
        <v>94775</v>
      </c>
      <c r="L24" s="81">
        <f>OPEX!L24</f>
        <v>95025</v>
      </c>
      <c r="M24" s="81">
        <f>OPEX!M24</f>
        <v>95025</v>
      </c>
      <c r="N24" s="81">
        <f>OPEX!N24</f>
        <v>95025</v>
      </c>
      <c r="O24" s="81">
        <f>OPEX!O24</f>
        <v>95275</v>
      </c>
      <c r="P24" s="81">
        <f>OPEX!P24</f>
        <v>109108.33333333334</v>
      </c>
      <c r="Q24" s="81">
        <f>OPEX!Q24</f>
        <v>108858.33333333334</v>
      </c>
      <c r="R24" s="81">
        <f>OPEX!R24</f>
        <v>108608.33333333334</v>
      </c>
      <c r="S24" s="81">
        <f>OPEX!S24</f>
        <v>115358.33333333334</v>
      </c>
      <c r="T24" s="81">
        <f>OPEX!T24</f>
        <v>115108.33333333334</v>
      </c>
      <c r="U24" s="81">
        <f>OPEX!U24</f>
        <v>114408.33333333334</v>
      </c>
      <c r="V24" s="81">
        <f>OPEX!V24</f>
        <v>126141.66666666667</v>
      </c>
      <c r="W24" s="81">
        <f>OPEX!W24</f>
        <v>125641.66666666667</v>
      </c>
      <c r="X24" s="81">
        <f>OPEX!X24</f>
        <v>124941.66666666667</v>
      </c>
      <c r="Y24" s="81">
        <f>OPEX!Y24</f>
        <v>124691.66666666667</v>
      </c>
      <c r="Z24" s="81">
        <f>OPEX!Z24</f>
        <v>124191.66666666667</v>
      </c>
      <c r="AA24" s="81">
        <f>OPEX!AA24</f>
        <v>123491.66666666667</v>
      </c>
      <c r="AB24" s="81">
        <f>OPEX!AB24</f>
        <v>129641.66666666667</v>
      </c>
      <c r="AC24" s="81">
        <f>OPEX!AC24</f>
        <v>129141.66666666667</v>
      </c>
      <c r="AD24" s="81">
        <f>OPEX!AD24</f>
        <v>128891.66666666667</v>
      </c>
      <c r="AE24" s="81">
        <f>OPEX!AE24</f>
        <v>135641.66666666669</v>
      </c>
      <c r="AF24" s="81">
        <f>OPEX!AF24</f>
        <v>134691.66666666669</v>
      </c>
      <c r="AG24" s="81">
        <f>OPEX!AG24</f>
        <v>134441.66666666669</v>
      </c>
      <c r="AH24" s="81">
        <f>OPEX!AH24</f>
        <v>140941.66666666669</v>
      </c>
      <c r="AI24" s="81">
        <f>OPEX!AI24</f>
        <v>139991.66666666669</v>
      </c>
      <c r="AJ24" s="81">
        <f>OPEX!AJ24</f>
        <v>139491.66666666669</v>
      </c>
      <c r="AK24" s="81">
        <f>OPEX!AK24</f>
        <v>138541.66666666669</v>
      </c>
      <c r="AL24" s="81">
        <f>OPEX!AL24</f>
        <v>138291.66666666669</v>
      </c>
      <c r="AM24" s="81">
        <f>OPEX!AM24</f>
        <v>137341.66666666669</v>
      </c>
      <c r="AN24" s="81">
        <f>OPEX!AN24</f>
        <v>142891.66666666669</v>
      </c>
      <c r="AO24" s="81">
        <f>OPEX!AO24</f>
        <v>142391.66666666669</v>
      </c>
      <c r="AP24" s="81">
        <f>OPEX!AP24</f>
        <v>142141.66666666669</v>
      </c>
      <c r="AQ24" s="81">
        <f>OPEX!AQ24</f>
        <v>148641.66666666669</v>
      </c>
      <c r="AR24" s="81">
        <f>OPEX!AR24</f>
        <v>147941.66666666669</v>
      </c>
      <c r="AS24" s="81">
        <f>OPEX!AS24</f>
        <v>147441.66666666669</v>
      </c>
      <c r="AT24" s="81">
        <f>OPEX!AT24</f>
        <v>152891.66666666669</v>
      </c>
      <c r="AU24" s="81">
        <f>OPEX!AU24</f>
        <v>152391.66666666669</v>
      </c>
      <c r="AV24" s="81">
        <f>OPEX!AV24</f>
        <v>151441.66666666669</v>
      </c>
      <c r="AW24" s="81">
        <f>OPEX!AW24</f>
        <v>151191.66666666669</v>
      </c>
      <c r="AX24" s="81">
        <f>OPEX!AX24</f>
        <v>150691.66666666669</v>
      </c>
      <c r="AY24" s="81">
        <f>OPEX!AY24</f>
        <v>149741.66666666669</v>
      </c>
      <c r="AZ24" s="81">
        <f>OPEX!AZ24</f>
        <v>155891.66666666669</v>
      </c>
      <c r="BA24" s="81">
        <f>OPEX!BA24</f>
        <v>155391.66666666669</v>
      </c>
      <c r="BB24" s="81">
        <f>OPEX!BB24</f>
        <v>154691.66666666669</v>
      </c>
      <c r="BC24" s="81">
        <f>OPEX!BC24</f>
        <v>161191.66666666669</v>
      </c>
      <c r="BD24" s="81">
        <f>OPEX!BD24</f>
        <v>160691.66666666669</v>
      </c>
      <c r="BE24" s="81">
        <f>OPEX!BE24</f>
        <v>159991.66666666669</v>
      </c>
      <c r="BF24" s="81">
        <f>OPEX!BF24</f>
        <v>165891.66666666669</v>
      </c>
      <c r="BG24" s="81">
        <f>OPEX!BG24</f>
        <v>165391.66666666669</v>
      </c>
      <c r="BH24" s="81">
        <f>OPEX!BH24</f>
        <v>164441.66666666669</v>
      </c>
      <c r="BI24" s="81">
        <f>OPEX!BI24</f>
        <v>163491.66666666669</v>
      </c>
      <c r="BJ24" s="81">
        <f>OPEX!BJ24</f>
        <v>162991.66666666669</v>
      </c>
    </row>
    <row r="25" spans="1:62">
      <c r="A25" s="94" t="s">
        <v>62</v>
      </c>
      <c r="C25" s="81">
        <f>OPEX!C25</f>
        <v>0</v>
      </c>
      <c r="D25" s="81">
        <f>OPEX!D25</f>
        <v>0</v>
      </c>
      <c r="E25" s="81">
        <f>OPEX!E25</f>
        <v>0</v>
      </c>
      <c r="F25" s="81">
        <f>OPEX!F25</f>
        <v>0</v>
      </c>
      <c r="G25" s="81">
        <f>OPEX!G25</f>
        <v>0</v>
      </c>
      <c r="H25" s="81">
        <f>OPEX!H25</f>
        <v>0</v>
      </c>
      <c r="I25" s="81">
        <f>OPEX!I25</f>
        <v>0</v>
      </c>
      <c r="J25" s="81">
        <f>OPEX!J25</f>
        <v>0</v>
      </c>
      <c r="K25" s="81">
        <f>OPEX!K25</f>
        <v>0</v>
      </c>
      <c r="L25" s="81">
        <f>OPEX!L25</f>
        <v>0</v>
      </c>
      <c r="M25" s="81">
        <f>OPEX!M25</f>
        <v>0</v>
      </c>
      <c r="N25" s="81">
        <f>OPEX!N25</f>
        <v>0</v>
      </c>
      <c r="O25" s="81">
        <f>OPEX!O25</f>
        <v>0</v>
      </c>
      <c r="P25" s="81">
        <f>OPEX!P25</f>
        <v>0</v>
      </c>
      <c r="Q25" s="81">
        <f>OPEX!Q25</f>
        <v>0</v>
      </c>
      <c r="R25" s="81">
        <f>OPEX!R25</f>
        <v>0</v>
      </c>
      <c r="S25" s="81">
        <f>OPEX!S25</f>
        <v>0</v>
      </c>
      <c r="T25" s="81">
        <f>OPEX!T25</f>
        <v>0</v>
      </c>
      <c r="U25" s="81">
        <f>OPEX!U25</f>
        <v>0</v>
      </c>
      <c r="V25" s="81">
        <f>OPEX!V25</f>
        <v>0</v>
      </c>
      <c r="W25" s="81">
        <f>OPEX!W25</f>
        <v>0</v>
      </c>
      <c r="X25" s="81">
        <f>OPEX!X25</f>
        <v>0</v>
      </c>
      <c r="Y25" s="81">
        <f>OPEX!Y25</f>
        <v>0</v>
      </c>
      <c r="Z25" s="81">
        <f>OPEX!Z25</f>
        <v>0</v>
      </c>
      <c r="AA25" s="81">
        <f>OPEX!AA25</f>
        <v>0</v>
      </c>
      <c r="AB25" s="81">
        <f>OPEX!AB25</f>
        <v>0</v>
      </c>
      <c r="AC25" s="81">
        <f>OPEX!AC25</f>
        <v>0</v>
      </c>
      <c r="AD25" s="81">
        <f>OPEX!AD25</f>
        <v>0</v>
      </c>
      <c r="AE25" s="81">
        <f>OPEX!AE25</f>
        <v>0</v>
      </c>
      <c r="AF25" s="81">
        <f>OPEX!AF25</f>
        <v>0</v>
      </c>
      <c r="AG25" s="81">
        <f>OPEX!AG25</f>
        <v>0</v>
      </c>
      <c r="AH25" s="81">
        <f>OPEX!AH25</f>
        <v>0</v>
      </c>
      <c r="AI25" s="81">
        <f>OPEX!AI25</f>
        <v>0</v>
      </c>
      <c r="AJ25" s="81">
        <f>OPEX!AJ25</f>
        <v>0</v>
      </c>
      <c r="AK25" s="81">
        <f>OPEX!AK25</f>
        <v>0</v>
      </c>
      <c r="AL25" s="81">
        <f>OPEX!AL25</f>
        <v>0</v>
      </c>
      <c r="AM25" s="81">
        <f>OPEX!AM25</f>
        <v>0</v>
      </c>
      <c r="AN25" s="81">
        <f>OPEX!AN25</f>
        <v>0</v>
      </c>
      <c r="AO25" s="81">
        <f>OPEX!AO25</f>
        <v>0</v>
      </c>
      <c r="AP25" s="81">
        <f>OPEX!AP25</f>
        <v>0</v>
      </c>
      <c r="AQ25" s="81">
        <f>OPEX!AQ25</f>
        <v>0</v>
      </c>
      <c r="AR25" s="81">
        <f>OPEX!AR25</f>
        <v>0</v>
      </c>
      <c r="AS25" s="81">
        <f>OPEX!AS25</f>
        <v>0</v>
      </c>
      <c r="AT25" s="81">
        <f>OPEX!AT25</f>
        <v>0</v>
      </c>
      <c r="AU25" s="81">
        <f>OPEX!AU25</f>
        <v>0</v>
      </c>
      <c r="AV25" s="81">
        <f>OPEX!AV25</f>
        <v>0</v>
      </c>
      <c r="AW25" s="81">
        <f>OPEX!AW25</f>
        <v>0</v>
      </c>
      <c r="AX25" s="81">
        <f>OPEX!AX25</f>
        <v>0</v>
      </c>
      <c r="AY25" s="81">
        <f>OPEX!AY25</f>
        <v>0</v>
      </c>
      <c r="AZ25" s="81">
        <f>OPEX!AZ25</f>
        <v>0</v>
      </c>
      <c r="BA25" s="81">
        <f>OPEX!BA25</f>
        <v>0</v>
      </c>
      <c r="BB25" s="81">
        <f>OPEX!BB25</f>
        <v>0</v>
      </c>
      <c r="BC25" s="81">
        <f>OPEX!BC25</f>
        <v>0</v>
      </c>
      <c r="BD25" s="81">
        <f>OPEX!BD25</f>
        <v>0</v>
      </c>
      <c r="BE25" s="81">
        <f>OPEX!BE25</f>
        <v>0</v>
      </c>
      <c r="BF25" s="81">
        <f>OPEX!BF25</f>
        <v>0</v>
      </c>
      <c r="BG25" s="81">
        <f>OPEX!BG25</f>
        <v>0</v>
      </c>
      <c r="BH25" s="81">
        <f>OPEX!BH25</f>
        <v>0</v>
      </c>
      <c r="BI25" s="81">
        <f>OPEX!BI25</f>
        <v>0</v>
      </c>
      <c r="BJ25" s="81">
        <f>OPEX!BJ25</f>
        <v>0</v>
      </c>
    </row>
    <row r="26" spans="1:62">
      <c r="A26" s="94" t="s">
        <v>63</v>
      </c>
      <c r="C26" s="81">
        <f>OPEX!C26</f>
        <v>0</v>
      </c>
      <c r="D26" s="81">
        <f>OPEX!D26</f>
        <v>0</v>
      </c>
      <c r="E26" s="81">
        <f>OPEX!E26</f>
        <v>0</v>
      </c>
      <c r="F26" s="81">
        <f>OPEX!F26</f>
        <v>0</v>
      </c>
      <c r="G26" s="81">
        <f>OPEX!G26</f>
        <v>0</v>
      </c>
      <c r="H26" s="81">
        <f>OPEX!H26</f>
        <v>0</v>
      </c>
      <c r="I26" s="81">
        <f>OPEX!I26</f>
        <v>0</v>
      </c>
      <c r="J26" s="81">
        <f>OPEX!J26</f>
        <v>0</v>
      </c>
      <c r="K26" s="81">
        <f>OPEX!K26</f>
        <v>0</v>
      </c>
      <c r="L26" s="81">
        <f>OPEX!L26</f>
        <v>0</v>
      </c>
      <c r="M26" s="81">
        <f>OPEX!M26</f>
        <v>0</v>
      </c>
      <c r="N26" s="81">
        <f>OPEX!N26</f>
        <v>0</v>
      </c>
      <c r="O26" s="81">
        <f>OPEX!O26</f>
        <v>0</v>
      </c>
      <c r="P26" s="81">
        <f>OPEX!P26</f>
        <v>0</v>
      </c>
      <c r="Q26" s="81">
        <f>OPEX!Q26</f>
        <v>0</v>
      </c>
      <c r="R26" s="81">
        <f>OPEX!R26</f>
        <v>0</v>
      </c>
      <c r="S26" s="81">
        <f>OPEX!S26</f>
        <v>0</v>
      </c>
      <c r="T26" s="81">
        <f>OPEX!T26</f>
        <v>0</v>
      </c>
      <c r="U26" s="81">
        <f>OPEX!U26</f>
        <v>0</v>
      </c>
      <c r="V26" s="81">
        <f>OPEX!V26</f>
        <v>0</v>
      </c>
      <c r="W26" s="81">
        <f>OPEX!W26</f>
        <v>0</v>
      </c>
      <c r="X26" s="81">
        <f>OPEX!X26</f>
        <v>0</v>
      </c>
      <c r="Y26" s="81">
        <f>OPEX!Y26</f>
        <v>0</v>
      </c>
      <c r="Z26" s="81">
        <f>OPEX!Z26</f>
        <v>0</v>
      </c>
      <c r="AA26" s="81">
        <f>OPEX!AA26</f>
        <v>0</v>
      </c>
      <c r="AB26" s="81">
        <f>OPEX!AB26</f>
        <v>0</v>
      </c>
      <c r="AC26" s="81">
        <f>OPEX!AC26</f>
        <v>0</v>
      </c>
      <c r="AD26" s="81">
        <f>OPEX!AD26</f>
        <v>0</v>
      </c>
      <c r="AE26" s="81">
        <f>OPEX!AE26</f>
        <v>0</v>
      </c>
      <c r="AF26" s="81">
        <f>OPEX!AF26</f>
        <v>0</v>
      </c>
      <c r="AG26" s="81">
        <f>OPEX!AG26</f>
        <v>0</v>
      </c>
      <c r="AH26" s="81">
        <f>OPEX!AH26</f>
        <v>0</v>
      </c>
      <c r="AI26" s="81">
        <f>OPEX!AI26</f>
        <v>0</v>
      </c>
      <c r="AJ26" s="81">
        <f>OPEX!AJ26</f>
        <v>0</v>
      </c>
      <c r="AK26" s="81">
        <f>OPEX!AK26</f>
        <v>0</v>
      </c>
      <c r="AL26" s="81">
        <f>OPEX!AL26</f>
        <v>0</v>
      </c>
      <c r="AM26" s="81">
        <f>OPEX!AM26</f>
        <v>0</v>
      </c>
      <c r="AN26" s="81">
        <f>OPEX!AN26</f>
        <v>0</v>
      </c>
      <c r="AO26" s="81">
        <f>OPEX!AO26</f>
        <v>0</v>
      </c>
      <c r="AP26" s="81">
        <f>OPEX!AP26</f>
        <v>0</v>
      </c>
      <c r="AQ26" s="81">
        <f>OPEX!AQ26</f>
        <v>0</v>
      </c>
      <c r="AR26" s="81">
        <f>OPEX!AR26</f>
        <v>0</v>
      </c>
      <c r="AS26" s="81">
        <f>OPEX!AS26</f>
        <v>0</v>
      </c>
      <c r="AT26" s="81">
        <f>OPEX!AT26</f>
        <v>0</v>
      </c>
      <c r="AU26" s="81">
        <f>OPEX!AU26</f>
        <v>0</v>
      </c>
      <c r="AV26" s="81">
        <f>OPEX!AV26</f>
        <v>0</v>
      </c>
      <c r="AW26" s="81">
        <f>OPEX!AW26</f>
        <v>0</v>
      </c>
      <c r="AX26" s="81">
        <f>OPEX!AX26</f>
        <v>0</v>
      </c>
      <c r="AY26" s="81">
        <f>OPEX!AY26</f>
        <v>0</v>
      </c>
      <c r="AZ26" s="81">
        <f>OPEX!AZ26</f>
        <v>0</v>
      </c>
      <c r="BA26" s="81">
        <f>OPEX!BA26</f>
        <v>0</v>
      </c>
      <c r="BB26" s="81">
        <f>OPEX!BB26</f>
        <v>0</v>
      </c>
      <c r="BC26" s="81">
        <f>OPEX!BC26</f>
        <v>0</v>
      </c>
      <c r="BD26" s="81">
        <f>OPEX!BD26</f>
        <v>0</v>
      </c>
      <c r="BE26" s="81">
        <f>OPEX!BE26</f>
        <v>0</v>
      </c>
      <c r="BF26" s="81">
        <f>OPEX!BF26</f>
        <v>0</v>
      </c>
      <c r="BG26" s="81">
        <f>OPEX!BG26</f>
        <v>0</v>
      </c>
      <c r="BH26" s="81">
        <f>OPEX!BH26</f>
        <v>0</v>
      </c>
      <c r="BI26" s="81">
        <f>OPEX!BI26</f>
        <v>0</v>
      </c>
      <c r="BJ26" s="81">
        <f>OPEX!BJ26</f>
        <v>0</v>
      </c>
    </row>
    <row r="27" spans="1:62">
      <c r="A27" s="94" t="s">
        <v>64</v>
      </c>
      <c r="C27" s="81">
        <f>OPEX!C27</f>
        <v>5000</v>
      </c>
      <c r="D27" s="81">
        <f>OPEX!D27</f>
        <v>5000</v>
      </c>
      <c r="E27" s="81">
        <f>OPEX!E27</f>
        <v>5000</v>
      </c>
      <c r="F27" s="81">
        <f>OPEX!F27</f>
        <v>5000</v>
      </c>
      <c r="G27" s="81">
        <f>OPEX!G27</f>
        <v>5000</v>
      </c>
      <c r="H27" s="81">
        <f>OPEX!H27</f>
        <v>5000</v>
      </c>
      <c r="I27" s="81">
        <f>OPEX!I27</f>
        <v>5000</v>
      </c>
      <c r="J27" s="81">
        <f>OPEX!J27</f>
        <v>5000</v>
      </c>
      <c r="K27" s="81">
        <f>OPEX!K27</f>
        <v>5000</v>
      </c>
      <c r="L27" s="81">
        <f>OPEX!L27</f>
        <v>5000</v>
      </c>
      <c r="M27" s="81">
        <f>OPEX!M27</f>
        <v>5000</v>
      </c>
      <c r="N27" s="81">
        <f>OPEX!N27</f>
        <v>5000</v>
      </c>
      <c r="O27" s="81">
        <f>OPEX!O27</f>
        <v>7500</v>
      </c>
      <c r="P27" s="81">
        <f>OPEX!P27</f>
        <v>7500</v>
      </c>
      <c r="Q27" s="81">
        <f>OPEX!Q27</f>
        <v>7500</v>
      </c>
      <c r="R27" s="81">
        <f>OPEX!R27</f>
        <v>7500</v>
      </c>
      <c r="S27" s="81">
        <f>OPEX!S27</f>
        <v>7500</v>
      </c>
      <c r="T27" s="81">
        <f>OPEX!T27</f>
        <v>7500</v>
      </c>
      <c r="U27" s="81">
        <f>OPEX!U27</f>
        <v>7500</v>
      </c>
      <c r="V27" s="81">
        <f>OPEX!V27</f>
        <v>7500</v>
      </c>
      <c r="W27" s="81">
        <f>OPEX!W27</f>
        <v>7500</v>
      </c>
      <c r="X27" s="81">
        <f>OPEX!X27</f>
        <v>7500</v>
      </c>
      <c r="Y27" s="81">
        <f>OPEX!Y27</f>
        <v>7500</v>
      </c>
      <c r="Z27" s="81">
        <f>OPEX!Z27</f>
        <v>7500</v>
      </c>
      <c r="AA27" s="81">
        <f>OPEX!AA27</f>
        <v>11250</v>
      </c>
      <c r="AB27" s="81">
        <f>OPEX!AB27</f>
        <v>11250</v>
      </c>
      <c r="AC27" s="81">
        <f>OPEX!AC27</f>
        <v>11250</v>
      </c>
      <c r="AD27" s="81">
        <f>OPEX!AD27</f>
        <v>11250</v>
      </c>
      <c r="AE27" s="81">
        <f>OPEX!AE27</f>
        <v>11250</v>
      </c>
      <c r="AF27" s="81">
        <f>OPEX!AF27</f>
        <v>11250</v>
      </c>
      <c r="AG27" s="81">
        <f>OPEX!AG27</f>
        <v>11250</v>
      </c>
      <c r="AH27" s="81">
        <f>OPEX!AH27</f>
        <v>11250</v>
      </c>
      <c r="AI27" s="81">
        <f>OPEX!AI27</f>
        <v>11250</v>
      </c>
      <c r="AJ27" s="81">
        <f>OPEX!AJ27</f>
        <v>11250</v>
      </c>
      <c r="AK27" s="81">
        <f>OPEX!AK27</f>
        <v>11250</v>
      </c>
      <c r="AL27" s="81">
        <f>OPEX!AL27</f>
        <v>11250</v>
      </c>
      <c r="AM27" s="81">
        <f>OPEX!AM27</f>
        <v>16875</v>
      </c>
      <c r="AN27" s="81">
        <f>OPEX!AN27</f>
        <v>16875</v>
      </c>
      <c r="AO27" s="81">
        <f>OPEX!AO27</f>
        <v>16875</v>
      </c>
      <c r="AP27" s="81">
        <f>OPEX!AP27</f>
        <v>16875</v>
      </c>
      <c r="AQ27" s="81">
        <f>OPEX!AQ27</f>
        <v>16875</v>
      </c>
      <c r="AR27" s="81">
        <f>OPEX!AR27</f>
        <v>16875</v>
      </c>
      <c r="AS27" s="81">
        <f>OPEX!AS27</f>
        <v>16875</v>
      </c>
      <c r="AT27" s="81">
        <f>OPEX!AT27</f>
        <v>16875</v>
      </c>
      <c r="AU27" s="81">
        <f>OPEX!AU27</f>
        <v>16875</v>
      </c>
      <c r="AV27" s="81">
        <f>OPEX!AV27</f>
        <v>16875</v>
      </c>
      <c r="AW27" s="81">
        <f>OPEX!AW27</f>
        <v>16875</v>
      </c>
      <c r="AX27" s="81">
        <f>OPEX!AX27</f>
        <v>16875</v>
      </c>
      <c r="AY27" s="81">
        <f>OPEX!AY27</f>
        <v>25312.5</v>
      </c>
      <c r="AZ27" s="81">
        <f>OPEX!AZ27</f>
        <v>25312.5</v>
      </c>
      <c r="BA27" s="81">
        <f>OPEX!BA27</f>
        <v>25312.5</v>
      </c>
      <c r="BB27" s="81">
        <f>OPEX!BB27</f>
        <v>25312.5</v>
      </c>
      <c r="BC27" s="81">
        <f>OPEX!BC27</f>
        <v>25312.5</v>
      </c>
      <c r="BD27" s="81">
        <f>OPEX!BD27</f>
        <v>25312.5</v>
      </c>
      <c r="BE27" s="81">
        <f>OPEX!BE27</f>
        <v>25312.5</v>
      </c>
      <c r="BF27" s="81">
        <f>OPEX!BF27</f>
        <v>25312.5</v>
      </c>
      <c r="BG27" s="81">
        <f>OPEX!BG27</f>
        <v>25312.5</v>
      </c>
      <c r="BH27" s="81">
        <f>OPEX!BH27</f>
        <v>25312.5</v>
      </c>
      <c r="BI27" s="81">
        <f>OPEX!BI27</f>
        <v>25312.5</v>
      </c>
      <c r="BJ27" s="81">
        <f>OPEX!BJ27</f>
        <v>25312.5</v>
      </c>
    </row>
    <row r="28" spans="1:62">
      <c r="A28" s="94" t="s">
        <v>65</v>
      </c>
      <c r="C28" s="81">
        <f>OPEX!C28</f>
        <v>10000</v>
      </c>
      <c r="D28" s="81">
        <f>OPEX!D28</f>
        <v>10000</v>
      </c>
      <c r="E28" s="81">
        <f>OPEX!E28</f>
        <v>10000</v>
      </c>
      <c r="F28" s="81">
        <f>OPEX!F28</f>
        <v>10000</v>
      </c>
      <c r="G28" s="81">
        <f>OPEX!G28</f>
        <v>10000</v>
      </c>
      <c r="H28" s="81">
        <f>OPEX!H28</f>
        <v>10000</v>
      </c>
      <c r="I28" s="81">
        <f>OPEX!I28</f>
        <v>10000</v>
      </c>
      <c r="J28" s="81">
        <f>OPEX!J28</f>
        <v>10000</v>
      </c>
      <c r="K28" s="81">
        <f>OPEX!K28</f>
        <v>10000</v>
      </c>
      <c r="L28" s="81">
        <f>OPEX!L28</f>
        <v>10000</v>
      </c>
      <c r="M28" s="81">
        <f>OPEX!M28</f>
        <v>10000</v>
      </c>
      <c r="N28" s="81">
        <f>OPEX!N28</f>
        <v>10000</v>
      </c>
      <c r="O28" s="81">
        <f>OPEX!O28</f>
        <v>10000</v>
      </c>
      <c r="P28" s="81">
        <f>OPEX!P28</f>
        <v>10000</v>
      </c>
      <c r="Q28" s="81">
        <f>OPEX!Q28</f>
        <v>10000</v>
      </c>
      <c r="R28" s="81">
        <f>OPEX!R28</f>
        <v>10000</v>
      </c>
      <c r="S28" s="81">
        <f>OPEX!S28</f>
        <v>10000</v>
      </c>
      <c r="T28" s="81">
        <f>OPEX!T28</f>
        <v>10000</v>
      </c>
      <c r="U28" s="81">
        <f>OPEX!U28</f>
        <v>10000</v>
      </c>
      <c r="V28" s="81">
        <f>OPEX!V28</f>
        <v>10000</v>
      </c>
      <c r="W28" s="81">
        <f>OPEX!W28</f>
        <v>10000</v>
      </c>
      <c r="X28" s="81">
        <f>OPEX!X28</f>
        <v>10000</v>
      </c>
      <c r="Y28" s="81">
        <f>OPEX!Y28</f>
        <v>10000</v>
      </c>
      <c r="Z28" s="81">
        <f>OPEX!Z28</f>
        <v>10000</v>
      </c>
      <c r="AA28" s="81">
        <f>OPEX!AA28</f>
        <v>10000</v>
      </c>
      <c r="AB28" s="81">
        <f>OPEX!AB28</f>
        <v>10000</v>
      </c>
      <c r="AC28" s="81">
        <f>OPEX!AC28</f>
        <v>10000</v>
      </c>
      <c r="AD28" s="81">
        <f>OPEX!AD28</f>
        <v>10000</v>
      </c>
      <c r="AE28" s="81">
        <f>OPEX!AE28</f>
        <v>10000</v>
      </c>
      <c r="AF28" s="81">
        <f>OPEX!AF28</f>
        <v>10000</v>
      </c>
      <c r="AG28" s="81">
        <f>OPEX!AG28</f>
        <v>10000</v>
      </c>
      <c r="AH28" s="81">
        <f>OPEX!AH28</f>
        <v>10000</v>
      </c>
      <c r="AI28" s="81">
        <f>OPEX!AI28</f>
        <v>10000</v>
      </c>
      <c r="AJ28" s="81">
        <f>OPEX!AJ28</f>
        <v>10000</v>
      </c>
      <c r="AK28" s="81">
        <f>OPEX!AK28</f>
        <v>10000</v>
      </c>
      <c r="AL28" s="81">
        <f>OPEX!AL28</f>
        <v>10000</v>
      </c>
      <c r="AM28" s="81">
        <f>OPEX!AM28</f>
        <v>10000</v>
      </c>
      <c r="AN28" s="81">
        <f>OPEX!AN28</f>
        <v>10000</v>
      </c>
      <c r="AO28" s="81">
        <f>OPEX!AO28</f>
        <v>10000</v>
      </c>
      <c r="AP28" s="81">
        <f>OPEX!AP28</f>
        <v>10000</v>
      </c>
      <c r="AQ28" s="81">
        <f>OPEX!AQ28</f>
        <v>10000</v>
      </c>
      <c r="AR28" s="81">
        <f>OPEX!AR28</f>
        <v>10000</v>
      </c>
      <c r="AS28" s="81">
        <f>OPEX!AS28</f>
        <v>10000</v>
      </c>
      <c r="AT28" s="81">
        <f>OPEX!AT28</f>
        <v>10000</v>
      </c>
      <c r="AU28" s="81">
        <f>OPEX!AU28</f>
        <v>10000</v>
      </c>
      <c r="AV28" s="81">
        <f>OPEX!AV28</f>
        <v>10000</v>
      </c>
      <c r="AW28" s="81">
        <f>OPEX!AW28</f>
        <v>10000</v>
      </c>
      <c r="AX28" s="81">
        <f>OPEX!AX28</f>
        <v>10000</v>
      </c>
      <c r="AY28" s="81">
        <f>OPEX!AY28</f>
        <v>10000</v>
      </c>
      <c r="AZ28" s="81">
        <f>OPEX!AZ28</f>
        <v>10000</v>
      </c>
      <c r="BA28" s="81">
        <f>OPEX!BA28</f>
        <v>10000</v>
      </c>
      <c r="BB28" s="81">
        <f>OPEX!BB28</f>
        <v>10000</v>
      </c>
      <c r="BC28" s="81">
        <f>OPEX!BC28</f>
        <v>10000</v>
      </c>
      <c r="BD28" s="81">
        <f>OPEX!BD28</f>
        <v>10000</v>
      </c>
      <c r="BE28" s="81">
        <f>OPEX!BE28</f>
        <v>10000</v>
      </c>
      <c r="BF28" s="81">
        <f>OPEX!BF28</f>
        <v>10000</v>
      </c>
      <c r="BG28" s="81">
        <f>OPEX!BG28</f>
        <v>10000</v>
      </c>
      <c r="BH28" s="81">
        <f>OPEX!BH28</f>
        <v>10000</v>
      </c>
      <c r="BI28" s="81">
        <f>OPEX!BI28</f>
        <v>10000</v>
      </c>
      <c r="BJ28" s="81">
        <f>OPEX!BJ28</f>
        <v>10000</v>
      </c>
    </row>
    <row r="29" spans="1:62">
      <c r="A29" s="96" t="s">
        <v>66</v>
      </c>
      <c r="C29" s="81">
        <f>SUM(C12:C28)</f>
        <v>214841.25</v>
      </c>
      <c r="D29" s="81">
        <f t="shared" ref="D29:BJ29" si="3">SUM(D12:D28)</f>
        <v>138644.65</v>
      </c>
      <c r="E29" s="81">
        <f t="shared" si="3"/>
        <v>138597.823</v>
      </c>
      <c r="F29" s="81">
        <f t="shared" si="3"/>
        <v>138839.90081000002</v>
      </c>
      <c r="G29" s="81">
        <f t="shared" si="3"/>
        <v>138795.84128569998</v>
      </c>
      <c r="H29" s="81">
        <f t="shared" si="3"/>
        <v>139960.60354712902</v>
      </c>
      <c r="I29" s="81">
        <f t="shared" si="3"/>
        <v>140206.64794071513</v>
      </c>
      <c r="J29" s="81">
        <f t="shared" si="3"/>
        <v>140166.43600249369</v>
      </c>
      <c r="K29" s="81">
        <f t="shared" si="3"/>
        <v>140127.43042241887</v>
      </c>
      <c r="L29" s="81">
        <f t="shared" si="3"/>
        <v>140377.09500974632</v>
      </c>
      <c r="M29" s="81">
        <f t="shared" si="3"/>
        <v>140340.39465945392</v>
      </c>
      <c r="N29" s="81">
        <f t="shared" si="3"/>
        <v>140304.79531967029</v>
      </c>
      <c r="O29" s="81">
        <f t="shared" si="3"/>
        <v>145557.76396008019</v>
      </c>
      <c r="P29" s="81">
        <f t="shared" si="3"/>
        <v>218606.47687461117</v>
      </c>
      <c r="Q29" s="81">
        <f t="shared" si="3"/>
        <v>160062.08333333334</v>
      </c>
      <c r="R29" s="81">
        <f t="shared" si="3"/>
        <v>159774.58333333334</v>
      </c>
      <c r="S29" s="81">
        <f t="shared" si="3"/>
        <v>224200.864632332</v>
      </c>
      <c r="T29" s="81">
        <f t="shared" si="3"/>
        <v>167249.58333333334</v>
      </c>
      <c r="U29" s="81">
        <f t="shared" si="3"/>
        <v>166444.58333333334</v>
      </c>
      <c r="V29" s="81">
        <f t="shared" si="3"/>
        <v>235147.70743616761</v>
      </c>
      <c r="W29" s="81">
        <f t="shared" si="3"/>
        <v>179362.91666666669</v>
      </c>
      <c r="X29" s="81">
        <f t="shared" si="3"/>
        <v>178557.91666666669</v>
      </c>
      <c r="Y29" s="81">
        <f t="shared" si="3"/>
        <v>178270.41666666669</v>
      </c>
      <c r="Z29" s="81">
        <f t="shared" si="3"/>
        <v>177695.41666666669</v>
      </c>
      <c r="AA29" s="81">
        <f t="shared" si="3"/>
        <v>196265.41666666669</v>
      </c>
      <c r="AB29" s="81">
        <f t="shared" si="3"/>
        <v>259984.35250613606</v>
      </c>
      <c r="AC29" s="81">
        <f t="shared" si="3"/>
        <v>202762.91666666669</v>
      </c>
      <c r="AD29" s="81">
        <f t="shared" si="3"/>
        <v>202475.41666666669</v>
      </c>
      <c r="AE29" s="81">
        <f t="shared" si="3"/>
        <v>265431.87670358265</v>
      </c>
      <c r="AF29" s="81">
        <f t="shared" si="3"/>
        <v>209145.41666666669</v>
      </c>
      <c r="AG29" s="81">
        <f t="shared" si="3"/>
        <v>208857.91666666669</v>
      </c>
      <c r="AH29" s="81">
        <f t="shared" si="3"/>
        <v>270201.241255439</v>
      </c>
      <c r="AI29" s="81">
        <f t="shared" si="3"/>
        <v>215240.41666666669</v>
      </c>
      <c r="AJ29" s="81">
        <f t="shared" si="3"/>
        <v>214665.41666666669</v>
      </c>
      <c r="AK29" s="81">
        <f t="shared" si="3"/>
        <v>213572.91666666669</v>
      </c>
      <c r="AL29" s="81">
        <f t="shared" si="3"/>
        <v>213285.41666666669</v>
      </c>
      <c r="AM29" s="81">
        <f t="shared" si="3"/>
        <v>246901.25000000003</v>
      </c>
      <c r="AN29" s="81">
        <f t="shared" si="3"/>
        <v>309463.15706536325</v>
      </c>
      <c r="AO29" s="81">
        <f t="shared" si="3"/>
        <v>252708.75000000003</v>
      </c>
      <c r="AP29" s="81">
        <f t="shared" si="3"/>
        <v>252421.25000000003</v>
      </c>
      <c r="AQ29" s="81">
        <f t="shared" si="3"/>
        <v>314663.96548456629</v>
      </c>
      <c r="AR29" s="81">
        <f t="shared" si="3"/>
        <v>259091.25000000003</v>
      </c>
      <c r="AS29" s="81">
        <f t="shared" si="3"/>
        <v>258516.25000000003</v>
      </c>
      <c r="AT29" s="81">
        <f t="shared" si="3"/>
        <v>318263.05269444553</v>
      </c>
      <c r="AU29" s="81">
        <f t="shared" si="3"/>
        <v>264208.75</v>
      </c>
      <c r="AV29" s="81">
        <f t="shared" si="3"/>
        <v>263116.25</v>
      </c>
      <c r="AW29" s="81">
        <f t="shared" si="3"/>
        <v>262828.75</v>
      </c>
      <c r="AX29" s="81">
        <f t="shared" si="3"/>
        <v>262253.75</v>
      </c>
      <c r="AY29" s="81">
        <f t="shared" si="3"/>
        <v>324682.08333333337</v>
      </c>
      <c r="AZ29" s="81">
        <f t="shared" si="3"/>
        <v>387609.94605141808</v>
      </c>
      <c r="BA29" s="81">
        <f t="shared" si="3"/>
        <v>331179.58333333337</v>
      </c>
      <c r="BB29" s="81">
        <f t="shared" si="3"/>
        <v>330374.58333333337</v>
      </c>
      <c r="BC29" s="81">
        <f t="shared" si="3"/>
        <v>392321.55229133577</v>
      </c>
      <c r="BD29" s="81">
        <f t="shared" si="3"/>
        <v>337274.58333333337</v>
      </c>
      <c r="BE29" s="81">
        <f t="shared" si="3"/>
        <v>336469.58333333337</v>
      </c>
      <c r="BF29" s="81">
        <f t="shared" si="3"/>
        <v>396463.96615814033</v>
      </c>
      <c r="BG29" s="81">
        <f t="shared" si="3"/>
        <v>342679.58333333337</v>
      </c>
      <c r="BH29" s="81">
        <f t="shared" si="3"/>
        <v>341587.08333333337</v>
      </c>
      <c r="BI29" s="81">
        <f t="shared" si="3"/>
        <v>340494.58333333337</v>
      </c>
      <c r="BJ29" s="81">
        <f t="shared" si="3"/>
        <v>339919.58333333337</v>
      </c>
    </row>
    <row r="30" spans="1:62">
      <c r="A30" s="96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</row>
    <row r="31" spans="1:62">
      <c r="A31" s="92" t="s">
        <v>67</v>
      </c>
      <c r="C31" s="81">
        <f>C9-C29</f>
        <v>-102573.2507440428</v>
      </c>
      <c r="D31" s="81">
        <f t="shared" ref="D31:BJ31" si="4">D9-D29</f>
        <v>-23581.394999431941</v>
      </c>
      <c r="E31" s="81">
        <f t="shared" si="4"/>
        <v>-26663.564202175505</v>
      </c>
      <c r="F31" s="81">
        <f t="shared" si="4"/>
        <v>-24163.246007408365</v>
      </c>
      <c r="G31" s="81">
        <f t="shared" si="4"/>
        <v>-21501.540037055558</v>
      </c>
      <c r="H31" s="81">
        <f t="shared" si="4"/>
        <v>-20169.662924384873</v>
      </c>
      <c r="I31" s="81">
        <f t="shared" si="4"/>
        <v>-18036.444803665567</v>
      </c>
      <c r="J31" s="81">
        <f t="shared" si="4"/>
        <v>-15730.825905139296</v>
      </c>
      <c r="K31" s="81">
        <f t="shared" si="4"/>
        <v>-13536.853252140339</v>
      </c>
      <c r="L31" s="81">
        <f t="shared" si="4"/>
        <v>-11738.677457302634</v>
      </c>
      <c r="M31" s="81">
        <f t="shared" si="4"/>
        <v>-9758.0496148814273</v>
      </c>
      <c r="N31" s="81">
        <f t="shared" si="4"/>
        <v>-8087.6516196380253</v>
      </c>
      <c r="O31" s="81">
        <f t="shared" si="4"/>
        <v>-98826.898940652696</v>
      </c>
      <c r="P31" s="81">
        <f t="shared" si="4"/>
        <v>9798.7564308512374</v>
      </c>
      <c r="Q31" s="81">
        <f t="shared" si="4"/>
        <v>57607.023859586479</v>
      </c>
      <c r="R31" s="81">
        <f t="shared" si="4"/>
        <v>15667.170518515544</v>
      </c>
      <c r="S31" s="81">
        <f t="shared" si="4"/>
        <v>124846.98756934132</v>
      </c>
      <c r="T31" s="81">
        <f t="shared" si="4"/>
        <v>165556.13566791933</v>
      </c>
      <c r="U31" s="81">
        <f t="shared" si="4"/>
        <v>119001.28878493936</v>
      </c>
      <c r="V31" s="81">
        <f t="shared" si="4"/>
        <v>218073.78904710061</v>
      </c>
      <c r="W31" s="81">
        <f t="shared" si="4"/>
        <v>252799.59594259883</v>
      </c>
      <c r="X31" s="81">
        <f t="shared" si="4"/>
        <v>238932.82057291112</v>
      </c>
      <c r="Y31" s="81">
        <f t="shared" si="4"/>
        <v>219334.55411907664</v>
      </c>
      <c r="Z31" s="81">
        <f t="shared" si="4"/>
        <v>200375.79964695155</v>
      </c>
      <c r="AA31" s="81">
        <f t="shared" si="4"/>
        <v>205651.76648730243</v>
      </c>
      <c r="AB31" s="81">
        <f t="shared" si="4"/>
        <v>338850.38442922663</v>
      </c>
      <c r="AC31" s="81">
        <f t="shared" si="4"/>
        <v>376676.91258658102</v>
      </c>
      <c r="AD31" s="81">
        <f t="shared" si="4"/>
        <v>326496.17356350069</v>
      </c>
      <c r="AE31" s="81">
        <f t="shared" si="4"/>
        <v>449849.27092048206</v>
      </c>
      <c r="AF31" s="81">
        <f t="shared" si="4"/>
        <v>487450.53265984572</v>
      </c>
      <c r="AG31" s="81">
        <f t="shared" si="4"/>
        <v>431727.79507312534</v>
      </c>
      <c r="AH31" s="81">
        <f t="shared" si="4"/>
        <v>553214.56204646162</v>
      </c>
      <c r="AI31" s="81">
        <f t="shared" si="4"/>
        <v>578471.74272248545</v>
      </c>
      <c r="AJ31" s="81">
        <f t="shared" si="4"/>
        <v>549939.44622235838</v>
      </c>
      <c r="AK31" s="81">
        <f t="shared" si="4"/>
        <v>522913.52337913966</v>
      </c>
      <c r="AL31" s="81">
        <f t="shared" si="4"/>
        <v>495631.39131645585</v>
      </c>
      <c r="AM31" s="81">
        <f t="shared" si="4"/>
        <v>493712.78829201194</v>
      </c>
      <c r="AN31" s="81">
        <f t="shared" si="4"/>
        <v>647089.77085958037</v>
      </c>
      <c r="AO31" s="81">
        <f t="shared" si="4"/>
        <v>679482.7896324303</v>
      </c>
      <c r="AP31" s="81">
        <f t="shared" si="4"/>
        <v>624009.78763155034</v>
      </c>
      <c r="AQ31" s="81">
        <f t="shared" si="4"/>
        <v>758204.78422679449</v>
      </c>
      <c r="AR31" s="81">
        <f t="shared" si="4"/>
        <v>783490.55024347268</v>
      </c>
      <c r="AS31" s="81">
        <f t="shared" si="4"/>
        <v>722967.67056914535</v>
      </c>
      <c r="AT31" s="81">
        <f t="shared" si="4"/>
        <v>863758.83274292899</v>
      </c>
      <c r="AU31" s="81">
        <f t="shared" si="4"/>
        <v>882308.22648320789</v>
      </c>
      <c r="AV31" s="81">
        <f t="shared" si="4"/>
        <v>849012.25944052218</v>
      </c>
      <c r="AW31" s="81">
        <f t="shared" si="4"/>
        <v>815583.82438530773</v>
      </c>
      <c r="AX31" s="81">
        <f t="shared" si="4"/>
        <v>783505.66202460695</v>
      </c>
      <c r="AY31" s="81">
        <f t="shared" si="4"/>
        <v>753067.37007639592</v>
      </c>
      <c r="AZ31" s="81">
        <f t="shared" si="4"/>
        <v>908935.59634081437</v>
      </c>
      <c r="BA31" s="81">
        <f t="shared" si="4"/>
        <v>936257.36984039668</v>
      </c>
      <c r="BB31" s="81">
        <f t="shared" si="4"/>
        <v>877043.13948892581</v>
      </c>
      <c r="BC31" s="81">
        <f t="shared" si="4"/>
        <v>1028298.9605766705</v>
      </c>
      <c r="BD31" s="81">
        <f t="shared" si="4"/>
        <v>1048341.3414938572</v>
      </c>
      <c r="BE31" s="81">
        <f t="shared" si="4"/>
        <v>983407.99228474323</v>
      </c>
      <c r="BF31" s="81">
        <f t="shared" si="4"/>
        <v>1125987.9789818674</v>
      </c>
      <c r="BG31" s="81">
        <f t="shared" si="4"/>
        <v>1139386.6548327017</v>
      </c>
      <c r="BH31" s="81">
        <f t="shared" si="4"/>
        <v>1101291.9535917579</v>
      </c>
      <c r="BI31" s="81">
        <f t="shared" si="4"/>
        <v>1063949.3862451841</v>
      </c>
      <c r="BJ31" s="81">
        <f t="shared" si="4"/>
        <v>1033229.305442819</v>
      </c>
    </row>
    <row r="32" spans="1:62">
      <c r="A32" s="92"/>
    </row>
    <row r="33" spans="1:64">
      <c r="A33" s="97" t="s">
        <v>271</v>
      </c>
    </row>
    <row r="34" spans="1:64">
      <c r="A34" s="94" t="s">
        <v>68</v>
      </c>
      <c r="C34" s="81">
        <f>C258</f>
        <v>0</v>
      </c>
      <c r="D34" s="81">
        <f t="shared" ref="D34:BJ34" si="5">D258</f>
        <v>0</v>
      </c>
      <c r="E34" s="81">
        <f t="shared" si="5"/>
        <v>0</v>
      </c>
      <c r="F34" s="81">
        <f t="shared" si="5"/>
        <v>0</v>
      </c>
      <c r="G34" s="81">
        <f t="shared" si="5"/>
        <v>0</v>
      </c>
      <c r="H34" s="81">
        <f t="shared" si="5"/>
        <v>0</v>
      </c>
      <c r="I34" s="81">
        <f t="shared" si="5"/>
        <v>0</v>
      </c>
      <c r="J34" s="81">
        <f t="shared" si="5"/>
        <v>0</v>
      </c>
      <c r="K34" s="81">
        <f t="shared" si="5"/>
        <v>0</v>
      </c>
      <c r="L34" s="81">
        <f t="shared" si="5"/>
        <v>0</v>
      </c>
      <c r="M34" s="81">
        <f t="shared" si="5"/>
        <v>0</v>
      </c>
      <c r="N34" s="81">
        <f t="shared" si="5"/>
        <v>0</v>
      </c>
      <c r="O34" s="81">
        <f t="shared" si="5"/>
        <v>0</v>
      </c>
      <c r="P34" s="81">
        <f t="shared" si="5"/>
        <v>128333.33333333333</v>
      </c>
      <c r="Q34" s="81">
        <f t="shared" si="5"/>
        <v>128333.33333333333</v>
      </c>
      <c r="R34" s="81">
        <f t="shared" si="5"/>
        <v>128333.33333333333</v>
      </c>
      <c r="S34" s="81">
        <f t="shared" si="5"/>
        <v>128333.33333333333</v>
      </c>
      <c r="T34" s="81">
        <f t="shared" si="5"/>
        <v>128333.33333333333</v>
      </c>
      <c r="U34" s="81">
        <f t="shared" si="5"/>
        <v>128333.33333333333</v>
      </c>
      <c r="V34" s="81">
        <f t="shared" si="5"/>
        <v>128333.33333333333</v>
      </c>
      <c r="W34" s="81">
        <f t="shared" si="5"/>
        <v>128333.33333333333</v>
      </c>
      <c r="X34" s="81">
        <f t="shared" si="5"/>
        <v>128333.33333333333</v>
      </c>
      <c r="Y34" s="81">
        <f t="shared" si="5"/>
        <v>128333.33333333333</v>
      </c>
      <c r="Z34" s="81">
        <f t="shared" si="5"/>
        <v>128333.33333333333</v>
      </c>
      <c r="AA34" s="81">
        <f t="shared" si="5"/>
        <v>128333.33333333333</v>
      </c>
      <c r="AB34" s="81">
        <f t="shared" si="5"/>
        <v>217326.38888888888</v>
      </c>
      <c r="AC34" s="81">
        <f t="shared" si="5"/>
        <v>214652.77777777775</v>
      </c>
      <c r="AD34" s="81">
        <f t="shared" si="5"/>
        <v>211979.16666666663</v>
      </c>
      <c r="AE34" s="81">
        <f t="shared" si="5"/>
        <v>209305.5555555555</v>
      </c>
      <c r="AF34" s="81">
        <f t="shared" si="5"/>
        <v>206631.94444444438</v>
      </c>
      <c r="AG34" s="81">
        <f t="shared" si="5"/>
        <v>203958.33333333326</v>
      </c>
      <c r="AH34" s="81">
        <f t="shared" si="5"/>
        <v>201284.72222222213</v>
      </c>
      <c r="AI34" s="81">
        <f t="shared" si="5"/>
        <v>198611.11111111101</v>
      </c>
      <c r="AJ34" s="81">
        <f t="shared" si="5"/>
        <v>195937.49999999991</v>
      </c>
      <c r="AK34" s="81">
        <f t="shared" si="5"/>
        <v>193263.88888888879</v>
      </c>
      <c r="AL34" s="81">
        <f t="shared" si="5"/>
        <v>190590.27777777766</v>
      </c>
      <c r="AM34" s="81">
        <f t="shared" si="5"/>
        <v>187916.66666666654</v>
      </c>
      <c r="AN34" s="81">
        <f t="shared" si="5"/>
        <v>229779.36921296283</v>
      </c>
      <c r="AO34" s="81">
        <f t="shared" si="5"/>
        <v>225808.73842592584</v>
      </c>
      <c r="AP34" s="81">
        <f t="shared" si="5"/>
        <v>221838.10763888882</v>
      </c>
      <c r="AQ34" s="81">
        <f t="shared" si="5"/>
        <v>217867.4768518518</v>
      </c>
      <c r="AR34" s="81">
        <f t="shared" si="5"/>
        <v>213896.84606481477</v>
      </c>
      <c r="AS34" s="81">
        <f t="shared" si="5"/>
        <v>209926.21527777775</v>
      </c>
      <c r="AT34" s="81">
        <f t="shared" si="5"/>
        <v>205955.58449074073</v>
      </c>
      <c r="AU34" s="81">
        <f t="shared" si="5"/>
        <v>201984.95370370371</v>
      </c>
      <c r="AV34" s="81">
        <f t="shared" si="5"/>
        <v>198014.32291666672</v>
      </c>
      <c r="AW34" s="81">
        <f t="shared" si="5"/>
        <v>194043.69212962969</v>
      </c>
      <c r="AX34" s="81">
        <f t="shared" si="5"/>
        <v>190073.06134259267</v>
      </c>
      <c r="AY34" s="81">
        <f t="shared" si="5"/>
        <v>186102.43055555565</v>
      </c>
      <c r="AZ34" s="81">
        <f t="shared" si="5"/>
        <v>227975.90844425163</v>
      </c>
      <c r="BA34" s="81">
        <f t="shared" si="5"/>
        <v>224016.05299961427</v>
      </c>
      <c r="BB34" s="81">
        <f t="shared" si="5"/>
        <v>220056.19755497694</v>
      </c>
      <c r="BC34" s="81">
        <f t="shared" si="5"/>
        <v>216096.34211033958</v>
      </c>
      <c r="BD34" s="81">
        <f t="shared" si="5"/>
        <v>212136.48666570222</v>
      </c>
      <c r="BE34" s="81">
        <f t="shared" si="5"/>
        <v>208176.63122106489</v>
      </c>
      <c r="BF34" s="81">
        <f t="shared" si="5"/>
        <v>204216.77577642753</v>
      </c>
      <c r="BG34" s="81">
        <f t="shared" si="5"/>
        <v>200256.92033179017</v>
      </c>
      <c r="BH34" s="81">
        <f t="shared" si="5"/>
        <v>196297.06488715281</v>
      </c>
      <c r="BI34" s="81">
        <f t="shared" si="5"/>
        <v>192337.20944251548</v>
      </c>
      <c r="BJ34" s="81">
        <f t="shared" si="5"/>
        <v>188377.35399787812</v>
      </c>
    </row>
    <row r="35" spans="1:64">
      <c r="A35" s="96" t="s">
        <v>66</v>
      </c>
      <c r="C35" s="81">
        <f>C34</f>
        <v>0</v>
      </c>
      <c r="D35" s="81">
        <f t="shared" ref="D35:BJ35" si="6">D34</f>
        <v>0</v>
      </c>
      <c r="E35" s="81">
        <f t="shared" si="6"/>
        <v>0</v>
      </c>
      <c r="F35" s="81">
        <f t="shared" si="6"/>
        <v>0</v>
      </c>
      <c r="G35" s="81">
        <f t="shared" si="6"/>
        <v>0</v>
      </c>
      <c r="H35" s="81">
        <f t="shared" si="6"/>
        <v>0</v>
      </c>
      <c r="I35" s="81">
        <f t="shared" si="6"/>
        <v>0</v>
      </c>
      <c r="J35" s="81">
        <f t="shared" si="6"/>
        <v>0</v>
      </c>
      <c r="K35" s="81">
        <f t="shared" si="6"/>
        <v>0</v>
      </c>
      <c r="L35" s="81">
        <f t="shared" si="6"/>
        <v>0</v>
      </c>
      <c r="M35" s="81">
        <f t="shared" si="6"/>
        <v>0</v>
      </c>
      <c r="N35" s="81">
        <f t="shared" si="6"/>
        <v>0</v>
      </c>
      <c r="O35" s="81">
        <f t="shared" si="6"/>
        <v>0</v>
      </c>
      <c r="P35" s="81">
        <f t="shared" si="6"/>
        <v>128333.33333333333</v>
      </c>
      <c r="Q35" s="81">
        <f t="shared" si="6"/>
        <v>128333.33333333333</v>
      </c>
      <c r="R35" s="81">
        <f t="shared" si="6"/>
        <v>128333.33333333333</v>
      </c>
      <c r="S35" s="81">
        <f t="shared" si="6"/>
        <v>128333.33333333333</v>
      </c>
      <c r="T35" s="81">
        <f t="shared" si="6"/>
        <v>128333.33333333333</v>
      </c>
      <c r="U35" s="81">
        <f t="shared" si="6"/>
        <v>128333.33333333333</v>
      </c>
      <c r="V35" s="81">
        <f t="shared" si="6"/>
        <v>128333.33333333333</v>
      </c>
      <c r="W35" s="81">
        <f t="shared" si="6"/>
        <v>128333.33333333333</v>
      </c>
      <c r="X35" s="81">
        <f t="shared" si="6"/>
        <v>128333.33333333333</v>
      </c>
      <c r="Y35" s="81">
        <f t="shared" si="6"/>
        <v>128333.33333333333</v>
      </c>
      <c r="Z35" s="81">
        <f t="shared" si="6"/>
        <v>128333.33333333333</v>
      </c>
      <c r="AA35" s="81">
        <f t="shared" si="6"/>
        <v>128333.33333333333</v>
      </c>
      <c r="AB35" s="81">
        <f t="shared" si="6"/>
        <v>217326.38888888888</v>
      </c>
      <c r="AC35" s="81">
        <f t="shared" si="6"/>
        <v>214652.77777777775</v>
      </c>
      <c r="AD35" s="81">
        <f t="shared" si="6"/>
        <v>211979.16666666663</v>
      </c>
      <c r="AE35" s="81">
        <f t="shared" si="6"/>
        <v>209305.5555555555</v>
      </c>
      <c r="AF35" s="81">
        <f t="shared" si="6"/>
        <v>206631.94444444438</v>
      </c>
      <c r="AG35" s="81">
        <f t="shared" si="6"/>
        <v>203958.33333333326</v>
      </c>
      <c r="AH35" s="81">
        <f t="shared" si="6"/>
        <v>201284.72222222213</v>
      </c>
      <c r="AI35" s="81">
        <f t="shared" si="6"/>
        <v>198611.11111111101</v>
      </c>
      <c r="AJ35" s="81">
        <f t="shared" si="6"/>
        <v>195937.49999999991</v>
      </c>
      <c r="AK35" s="81">
        <f t="shared" si="6"/>
        <v>193263.88888888879</v>
      </c>
      <c r="AL35" s="81">
        <f t="shared" si="6"/>
        <v>190590.27777777766</v>
      </c>
      <c r="AM35" s="81">
        <f t="shared" si="6"/>
        <v>187916.66666666654</v>
      </c>
      <c r="AN35" s="81">
        <f t="shared" si="6"/>
        <v>229779.36921296283</v>
      </c>
      <c r="AO35" s="81">
        <f t="shared" si="6"/>
        <v>225808.73842592584</v>
      </c>
      <c r="AP35" s="81">
        <f t="shared" si="6"/>
        <v>221838.10763888882</v>
      </c>
      <c r="AQ35" s="81">
        <f t="shared" si="6"/>
        <v>217867.4768518518</v>
      </c>
      <c r="AR35" s="81">
        <f t="shared" si="6"/>
        <v>213896.84606481477</v>
      </c>
      <c r="AS35" s="81">
        <f t="shared" si="6"/>
        <v>209926.21527777775</v>
      </c>
      <c r="AT35" s="81">
        <f t="shared" si="6"/>
        <v>205955.58449074073</v>
      </c>
      <c r="AU35" s="81">
        <f t="shared" si="6"/>
        <v>201984.95370370371</v>
      </c>
      <c r="AV35" s="81">
        <f t="shared" si="6"/>
        <v>198014.32291666672</v>
      </c>
      <c r="AW35" s="81">
        <f t="shared" si="6"/>
        <v>194043.69212962969</v>
      </c>
      <c r="AX35" s="81">
        <f t="shared" si="6"/>
        <v>190073.06134259267</v>
      </c>
      <c r="AY35" s="81">
        <f t="shared" si="6"/>
        <v>186102.43055555565</v>
      </c>
      <c r="AZ35" s="81">
        <f t="shared" si="6"/>
        <v>227975.90844425163</v>
      </c>
      <c r="BA35" s="81">
        <f t="shared" si="6"/>
        <v>224016.05299961427</v>
      </c>
      <c r="BB35" s="81">
        <f t="shared" si="6"/>
        <v>220056.19755497694</v>
      </c>
      <c r="BC35" s="81">
        <f t="shared" si="6"/>
        <v>216096.34211033958</v>
      </c>
      <c r="BD35" s="81">
        <f t="shared" si="6"/>
        <v>212136.48666570222</v>
      </c>
      <c r="BE35" s="81">
        <f t="shared" si="6"/>
        <v>208176.63122106489</v>
      </c>
      <c r="BF35" s="81">
        <f t="shared" si="6"/>
        <v>204216.77577642753</v>
      </c>
      <c r="BG35" s="81">
        <f t="shared" si="6"/>
        <v>200256.92033179017</v>
      </c>
      <c r="BH35" s="81">
        <f t="shared" si="6"/>
        <v>196297.06488715281</v>
      </c>
      <c r="BI35" s="81">
        <f t="shared" si="6"/>
        <v>192337.20944251548</v>
      </c>
      <c r="BJ35" s="81">
        <f t="shared" si="6"/>
        <v>188377.35399787812</v>
      </c>
    </row>
    <row r="36" spans="1:64">
      <c r="A36" s="98"/>
      <c r="C36" s="99"/>
      <c r="D36" s="100"/>
    </row>
    <row r="37" spans="1:64">
      <c r="A37" s="98" t="s">
        <v>69</v>
      </c>
      <c r="C37" s="99">
        <f>C31-C35</f>
        <v>-102573.2507440428</v>
      </c>
      <c r="D37" s="99">
        <f t="shared" ref="D37:BJ37" si="7">D31-D35</f>
        <v>-23581.394999431941</v>
      </c>
      <c r="E37" s="99">
        <f t="shared" si="7"/>
        <v>-26663.564202175505</v>
      </c>
      <c r="F37" s="99">
        <f t="shared" si="7"/>
        <v>-24163.246007408365</v>
      </c>
      <c r="G37" s="99">
        <f t="shared" si="7"/>
        <v>-21501.540037055558</v>
      </c>
      <c r="H37" s="99">
        <f t="shared" si="7"/>
        <v>-20169.662924384873</v>
      </c>
      <c r="I37" s="99">
        <f t="shared" si="7"/>
        <v>-18036.444803665567</v>
      </c>
      <c r="J37" s="99">
        <f t="shared" si="7"/>
        <v>-15730.825905139296</v>
      </c>
      <c r="K37" s="99">
        <f t="shared" si="7"/>
        <v>-13536.853252140339</v>
      </c>
      <c r="L37" s="99">
        <f t="shared" si="7"/>
        <v>-11738.677457302634</v>
      </c>
      <c r="M37" s="99">
        <f t="shared" si="7"/>
        <v>-9758.0496148814273</v>
      </c>
      <c r="N37" s="99">
        <f t="shared" si="7"/>
        <v>-8087.6516196380253</v>
      </c>
      <c r="O37" s="99">
        <f t="shared" si="7"/>
        <v>-98826.898940652696</v>
      </c>
      <c r="P37" s="99">
        <f t="shared" si="7"/>
        <v>-118534.57690248209</v>
      </c>
      <c r="Q37" s="99">
        <f t="shared" si="7"/>
        <v>-70726.309473746849</v>
      </c>
      <c r="R37" s="99">
        <f t="shared" si="7"/>
        <v>-112666.16281481778</v>
      </c>
      <c r="S37" s="99">
        <f t="shared" si="7"/>
        <v>-3486.3457639920089</v>
      </c>
      <c r="T37" s="99">
        <f t="shared" si="7"/>
        <v>37222.802334585998</v>
      </c>
      <c r="U37" s="99">
        <f t="shared" si="7"/>
        <v>-9332.0445483939693</v>
      </c>
      <c r="V37" s="99">
        <f t="shared" si="7"/>
        <v>89740.455713767282</v>
      </c>
      <c r="W37" s="99">
        <f t="shared" si="7"/>
        <v>124466.2626092655</v>
      </c>
      <c r="X37" s="99">
        <f t="shared" si="7"/>
        <v>110599.48723957779</v>
      </c>
      <c r="Y37" s="99">
        <f t="shared" si="7"/>
        <v>91001.22078574331</v>
      </c>
      <c r="Z37" s="99">
        <f t="shared" si="7"/>
        <v>72042.466313618221</v>
      </c>
      <c r="AA37" s="99">
        <f t="shared" si="7"/>
        <v>77318.433153969105</v>
      </c>
      <c r="AB37" s="99">
        <f t="shared" si="7"/>
        <v>121523.99554033775</v>
      </c>
      <c r="AC37" s="99">
        <f t="shared" si="7"/>
        <v>162024.13480880327</v>
      </c>
      <c r="AD37" s="99">
        <f t="shared" si="7"/>
        <v>114517.00689683406</v>
      </c>
      <c r="AE37" s="99">
        <f t="shared" si="7"/>
        <v>240543.71536492655</v>
      </c>
      <c r="AF37" s="99">
        <f t="shared" si="7"/>
        <v>280818.58821540134</v>
      </c>
      <c r="AG37" s="99">
        <f t="shared" si="7"/>
        <v>227769.46173979208</v>
      </c>
      <c r="AH37" s="99">
        <f t="shared" si="7"/>
        <v>351929.83982423949</v>
      </c>
      <c r="AI37" s="99">
        <f t="shared" si="7"/>
        <v>379860.63161137444</v>
      </c>
      <c r="AJ37" s="99">
        <f t="shared" si="7"/>
        <v>354001.9462223585</v>
      </c>
      <c r="AK37" s="99">
        <f t="shared" si="7"/>
        <v>329649.63449025084</v>
      </c>
      <c r="AL37" s="99">
        <f t="shared" si="7"/>
        <v>305041.11353867815</v>
      </c>
      <c r="AM37" s="99">
        <f t="shared" si="7"/>
        <v>305796.12162534543</v>
      </c>
      <c r="AN37" s="99">
        <f t="shared" si="7"/>
        <v>417310.40164661757</v>
      </c>
      <c r="AO37" s="99">
        <f t="shared" si="7"/>
        <v>453674.05120650446</v>
      </c>
      <c r="AP37" s="99">
        <f t="shared" si="7"/>
        <v>402171.67999266152</v>
      </c>
      <c r="AQ37" s="99">
        <f t="shared" si="7"/>
        <v>540337.3073749427</v>
      </c>
      <c r="AR37" s="99">
        <f t="shared" si="7"/>
        <v>569593.70417865785</v>
      </c>
      <c r="AS37" s="99">
        <f t="shared" si="7"/>
        <v>513041.4552913676</v>
      </c>
      <c r="AT37" s="99">
        <f t="shared" si="7"/>
        <v>657803.24825218832</v>
      </c>
      <c r="AU37" s="99">
        <f t="shared" si="7"/>
        <v>680323.27277950419</v>
      </c>
      <c r="AV37" s="99">
        <f t="shared" si="7"/>
        <v>650997.93652385543</v>
      </c>
      <c r="AW37" s="99">
        <f t="shared" si="7"/>
        <v>621540.13225567807</v>
      </c>
      <c r="AX37" s="99">
        <f t="shared" si="7"/>
        <v>593432.60068201425</v>
      </c>
      <c r="AY37" s="99">
        <f t="shared" si="7"/>
        <v>566964.9395208403</v>
      </c>
      <c r="AZ37" s="99">
        <f t="shared" si="7"/>
        <v>680959.68789656274</v>
      </c>
      <c r="BA37" s="99">
        <f t="shared" si="7"/>
        <v>712241.31684078241</v>
      </c>
      <c r="BB37" s="99">
        <f t="shared" si="7"/>
        <v>656986.9419339489</v>
      </c>
      <c r="BC37" s="99">
        <f t="shared" si="7"/>
        <v>812202.61846633093</v>
      </c>
      <c r="BD37" s="99">
        <f t="shared" si="7"/>
        <v>836204.85482815502</v>
      </c>
      <c r="BE37" s="99">
        <f t="shared" si="7"/>
        <v>775231.36106367828</v>
      </c>
      <c r="BF37" s="99">
        <f t="shared" si="7"/>
        <v>921771.20320543996</v>
      </c>
      <c r="BG37" s="99">
        <f t="shared" si="7"/>
        <v>939129.73450091155</v>
      </c>
      <c r="BH37" s="99">
        <f t="shared" si="7"/>
        <v>904994.88870460517</v>
      </c>
      <c r="BI37" s="99">
        <f t="shared" si="7"/>
        <v>871612.1768026686</v>
      </c>
      <c r="BJ37" s="99">
        <f t="shared" si="7"/>
        <v>844851.95144494087</v>
      </c>
    </row>
    <row r="38" spans="1:64">
      <c r="A38" s="98" t="s">
        <v>70</v>
      </c>
      <c r="B38" s="7">
        <v>0.35</v>
      </c>
      <c r="C38" s="81">
        <f>MAX(C37*0.35,0)</f>
        <v>0</v>
      </c>
      <c r="D38" s="81">
        <f t="shared" ref="D38:BJ38" si="8">MAX(D37*0.35,0)</f>
        <v>0</v>
      </c>
      <c r="E38" s="81">
        <f t="shared" si="8"/>
        <v>0</v>
      </c>
      <c r="F38" s="81">
        <f t="shared" si="8"/>
        <v>0</v>
      </c>
      <c r="G38" s="81">
        <f t="shared" si="8"/>
        <v>0</v>
      </c>
      <c r="H38" s="81">
        <f t="shared" si="8"/>
        <v>0</v>
      </c>
      <c r="I38" s="81">
        <f t="shared" si="8"/>
        <v>0</v>
      </c>
      <c r="J38" s="81">
        <f t="shared" si="8"/>
        <v>0</v>
      </c>
      <c r="K38" s="81">
        <f t="shared" si="8"/>
        <v>0</v>
      </c>
      <c r="L38" s="81">
        <f t="shared" si="8"/>
        <v>0</v>
      </c>
      <c r="M38" s="81">
        <f t="shared" si="8"/>
        <v>0</v>
      </c>
      <c r="N38" s="81">
        <f t="shared" si="8"/>
        <v>0</v>
      </c>
      <c r="O38" s="81">
        <f t="shared" si="8"/>
        <v>0</v>
      </c>
      <c r="P38" s="81">
        <f t="shared" si="8"/>
        <v>0</v>
      </c>
      <c r="Q38" s="81">
        <f t="shared" si="8"/>
        <v>0</v>
      </c>
      <c r="R38" s="81">
        <f t="shared" si="8"/>
        <v>0</v>
      </c>
      <c r="S38" s="81">
        <f t="shared" si="8"/>
        <v>0</v>
      </c>
      <c r="T38" s="81">
        <f t="shared" si="8"/>
        <v>13027.980817105099</v>
      </c>
      <c r="U38" s="81">
        <f t="shared" si="8"/>
        <v>0</v>
      </c>
      <c r="V38" s="81">
        <f t="shared" si="8"/>
        <v>31409.159499818546</v>
      </c>
      <c r="W38" s="81">
        <f t="shared" si="8"/>
        <v>43563.191913242925</v>
      </c>
      <c r="X38" s="81">
        <f t="shared" si="8"/>
        <v>38709.820533852224</v>
      </c>
      <c r="Y38" s="81">
        <f t="shared" si="8"/>
        <v>31850.427275010155</v>
      </c>
      <c r="Z38" s="81">
        <f t="shared" si="8"/>
        <v>25214.863209766376</v>
      </c>
      <c r="AA38" s="81">
        <f t="shared" si="8"/>
        <v>27061.451603889185</v>
      </c>
      <c r="AB38" s="81">
        <f t="shared" si="8"/>
        <v>42533.398439118209</v>
      </c>
      <c r="AC38" s="81">
        <f t="shared" si="8"/>
        <v>56708.447183081138</v>
      </c>
      <c r="AD38" s="81">
        <f t="shared" si="8"/>
        <v>40080.952413891922</v>
      </c>
      <c r="AE38" s="81">
        <f t="shared" si="8"/>
        <v>84190.300377724285</v>
      </c>
      <c r="AF38" s="81">
        <f t="shared" si="8"/>
        <v>98286.50587539046</v>
      </c>
      <c r="AG38" s="81">
        <f t="shared" si="8"/>
        <v>79719.311608927223</v>
      </c>
      <c r="AH38" s="81">
        <f t="shared" si="8"/>
        <v>123175.44393848382</v>
      </c>
      <c r="AI38" s="81">
        <f t="shared" si="8"/>
        <v>132951.22106398104</v>
      </c>
      <c r="AJ38" s="81">
        <f t="shared" si="8"/>
        <v>123900.68117782546</v>
      </c>
      <c r="AK38" s="81">
        <f t="shared" si="8"/>
        <v>115377.37207158779</v>
      </c>
      <c r="AL38" s="81">
        <f t="shared" si="8"/>
        <v>106764.38973853734</v>
      </c>
      <c r="AM38" s="81">
        <f t="shared" si="8"/>
        <v>107028.6425688709</v>
      </c>
      <c r="AN38" s="81">
        <f t="shared" si="8"/>
        <v>146058.64057631613</v>
      </c>
      <c r="AO38" s="81">
        <f t="shared" si="8"/>
        <v>158785.91792227654</v>
      </c>
      <c r="AP38" s="81">
        <f t="shared" si="8"/>
        <v>140760.08799743152</v>
      </c>
      <c r="AQ38" s="81">
        <f t="shared" si="8"/>
        <v>189118.05758122992</v>
      </c>
      <c r="AR38" s="81">
        <f t="shared" si="8"/>
        <v>199357.79646253024</v>
      </c>
      <c r="AS38" s="81">
        <f t="shared" si="8"/>
        <v>179564.50935197866</v>
      </c>
      <c r="AT38" s="81">
        <f t="shared" si="8"/>
        <v>230231.1368882659</v>
      </c>
      <c r="AU38" s="81">
        <f t="shared" si="8"/>
        <v>238113.14547282644</v>
      </c>
      <c r="AV38" s="81">
        <f t="shared" si="8"/>
        <v>227849.27778334939</v>
      </c>
      <c r="AW38" s="81">
        <f t="shared" si="8"/>
        <v>217539.04628948731</v>
      </c>
      <c r="AX38" s="81">
        <f t="shared" si="8"/>
        <v>207701.41023870496</v>
      </c>
      <c r="AY38" s="81">
        <f t="shared" si="8"/>
        <v>198437.72883229409</v>
      </c>
      <c r="AZ38" s="81">
        <f t="shared" si="8"/>
        <v>238335.89076379695</v>
      </c>
      <c r="BA38" s="81">
        <f t="shared" si="8"/>
        <v>249284.46089427383</v>
      </c>
      <c r="BB38" s="81">
        <f t="shared" si="8"/>
        <v>229945.42967688211</v>
      </c>
      <c r="BC38" s="81">
        <f t="shared" si="8"/>
        <v>284270.91646321578</v>
      </c>
      <c r="BD38" s="81">
        <f t="shared" si="8"/>
        <v>292671.69918985426</v>
      </c>
      <c r="BE38" s="81">
        <f t="shared" si="8"/>
        <v>271330.97637228738</v>
      </c>
      <c r="BF38" s="81">
        <f t="shared" si="8"/>
        <v>322619.92112190399</v>
      </c>
      <c r="BG38" s="81">
        <f t="shared" si="8"/>
        <v>328695.40707531903</v>
      </c>
      <c r="BH38" s="81">
        <f t="shared" si="8"/>
        <v>316748.21104661177</v>
      </c>
      <c r="BI38" s="81">
        <f t="shared" si="8"/>
        <v>305064.26188093401</v>
      </c>
      <c r="BJ38" s="81">
        <f t="shared" si="8"/>
        <v>295698.18300572928</v>
      </c>
    </row>
    <row r="39" spans="1:64">
      <c r="A39" s="92" t="s">
        <v>71</v>
      </c>
      <c r="C39" s="81">
        <f>C37-C38</f>
        <v>-102573.2507440428</v>
      </c>
      <c r="D39" s="81">
        <f t="shared" ref="D39:BJ39" si="9">D37-D38</f>
        <v>-23581.394999431941</v>
      </c>
      <c r="E39" s="81">
        <f t="shared" si="9"/>
        <v>-26663.564202175505</v>
      </c>
      <c r="F39" s="81">
        <f t="shared" si="9"/>
        <v>-24163.246007408365</v>
      </c>
      <c r="G39" s="81">
        <f t="shared" si="9"/>
        <v>-21501.540037055558</v>
      </c>
      <c r="H39" s="81">
        <f t="shared" si="9"/>
        <v>-20169.662924384873</v>
      </c>
      <c r="I39" s="81">
        <f t="shared" si="9"/>
        <v>-18036.444803665567</v>
      </c>
      <c r="J39" s="81">
        <f t="shared" si="9"/>
        <v>-15730.825905139296</v>
      </c>
      <c r="K39" s="81">
        <f t="shared" si="9"/>
        <v>-13536.853252140339</v>
      </c>
      <c r="L39" s="81">
        <f t="shared" si="9"/>
        <v>-11738.677457302634</v>
      </c>
      <c r="M39" s="81">
        <f t="shared" si="9"/>
        <v>-9758.0496148814273</v>
      </c>
      <c r="N39" s="81">
        <f t="shared" si="9"/>
        <v>-8087.6516196380253</v>
      </c>
      <c r="O39" s="81">
        <f t="shared" si="9"/>
        <v>-98826.898940652696</v>
      </c>
      <c r="P39" s="81">
        <f t="shared" si="9"/>
        <v>-118534.57690248209</v>
      </c>
      <c r="Q39" s="81">
        <f t="shared" si="9"/>
        <v>-70726.309473746849</v>
      </c>
      <c r="R39" s="81">
        <f t="shared" si="9"/>
        <v>-112666.16281481778</v>
      </c>
      <c r="S39" s="81">
        <f t="shared" si="9"/>
        <v>-3486.3457639920089</v>
      </c>
      <c r="T39" s="81">
        <f t="shared" si="9"/>
        <v>24194.821517480901</v>
      </c>
      <c r="U39" s="81">
        <f t="shared" si="9"/>
        <v>-9332.0445483939693</v>
      </c>
      <c r="V39" s="81">
        <f t="shared" si="9"/>
        <v>58331.296213948735</v>
      </c>
      <c r="W39" s="81">
        <f t="shared" si="9"/>
        <v>80903.070696022565</v>
      </c>
      <c r="X39" s="81">
        <f t="shared" si="9"/>
        <v>71889.666705725569</v>
      </c>
      <c r="Y39" s="81">
        <f t="shared" si="9"/>
        <v>59150.793510733158</v>
      </c>
      <c r="Z39" s="81">
        <f t="shared" si="9"/>
        <v>46827.603103851841</v>
      </c>
      <c r="AA39" s="81">
        <f t="shared" si="9"/>
        <v>50256.981550079916</v>
      </c>
      <c r="AB39" s="81">
        <f t="shared" si="9"/>
        <v>78990.597101219551</v>
      </c>
      <c r="AC39" s="81">
        <f t="shared" si="9"/>
        <v>105315.68762572213</v>
      </c>
      <c r="AD39" s="81">
        <f t="shared" si="9"/>
        <v>74436.054482942141</v>
      </c>
      <c r="AE39" s="81">
        <f t="shared" si="9"/>
        <v>156353.41498720227</v>
      </c>
      <c r="AF39" s="81">
        <f t="shared" si="9"/>
        <v>182532.08234001088</v>
      </c>
      <c r="AG39" s="81">
        <f t="shared" si="9"/>
        <v>148050.15013086487</v>
      </c>
      <c r="AH39" s="81">
        <f t="shared" si="9"/>
        <v>228754.39588575566</v>
      </c>
      <c r="AI39" s="81">
        <f t="shared" si="9"/>
        <v>246909.4105473934</v>
      </c>
      <c r="AJ39" s="81">
        <f t="shared" si="9"/>
        <v>230101.26504453304</v>
      </c>
      <c r="AK39" s="81">
        <f t="shared" si="9"/>
        <v>214272.26241866307</v>
      </c>
      <c r="AL39" s="81">
        <f t="shared" si="9"/>
        <v>198276.72380014081</v>
      </c>
      <c r="AM39" s="81">
        <f t="shared" si="9"/>
        <v>198767.47905647452</v>
      </c>
      <c r="AN39" s="81">
        <f t="shared" si="9"/>
        <v>271251.76107030141</v>
      </c>
      <c r="AO39" s="81">
        <f t="shared" si="9"/>
        <v>294888.13328422792</v>
      </c>
      <c r="AP39" s="81">
        <f t="shared" si="9"/>
        <v>261411.59199523</v>
      </c>
      <c r="AQ39" s="81">
        <f t="shared" si="9"/>
        <v>351219.24979371275</v>
      </c>
      <c r="AR39" s="81">
        <f t="shared" si="9"/>
        <v>370235.90771612758</v>
      </c>
      <c r="AS39" s="81">
        <f t="shared" si="9"/>
        <v>333476.94593938894</v>
      </c>
      <c r="AT39" s="81">
        <f t="shared" si="9"/>
        <v>427572.11136392242</v>
      </c>
      <c r="AU39" s="81">
        <f t="shared" si="9"/>
        <v>442210.12730667775</v>
      </c>
      <c r="AV39" s="81">
        <f t="shared" si="9"/>
        <v>423148.65874050604</v>
      </c>
      <c r="AW39" s="81">
        <f t="shared" si="9"/>
        <v>404001.08596619079</v>
      </c>
      <c r="AX39" s="81">
        <f t="shared" si="9"/>
        <v>385731.19044330926</v>
      </c>
      <c r="AY39" s="81">
        <f t="shared" si="9"/>
        <v>368527.21068854618</v>
      </c>
      <c r="AZ39" s="81">
        <f t="shared" si="9"/>
        <v>442623.79713276576</v>
      </c>
      <c r="BA39" s="81">
        <f t="shared" si="9"/>
        <v>462956.85594650859</v>
      </c>
      <c r="BB39" s="81">
        <f t="shared" si="9"/>
        <v>427041.51225706679</v>
      </c>
      <c r="BC39" s="81">
        <f t="shared" si="9"/>
        <v>527931.70200311509</v>
      </c>
      <c r="BD39" s="81">
        <f t="shared" si="9"/>
        <v>543533.15563830081</v>
      </c>
      <c r="BE39" s="81">
        <f t="shared" si="9"/>
        <v>503900.38469139091</v>
      </c>
      <c r="BF39" s="81">
        <f t="shared" si="9"/>
        <v>599151.28208353603</v>
      </c>
      <c r="BG39" s="81">
        <f t="shared" si="9"/>
        <v>610434.32742559258</v>
      </c>
      <c r="BH39" s="81">
        <f t="shared" si="9"/>
        <v>588246.67765799339</v>
      </c>
      <c r="BI39" s="81">
        <f t="shared" si="9"/>
        <v>566547.9149217346</v>
      </c>
      <c r="BJ39" s="81">
        <f t="shared" si="9"/>
        <v>549153.76843921165</v>
      </c>
      <c r="BL39" s="100"/>
    </row>
    <row r="40" spans="1:64">
      <c r="A40" s="98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</row>
    <row r="41" spans="1:64">
      <c r="A41" s="92" t="s">
        <v>72</v>
      </c>
      <c r="C41" s="99">
        <f t="shared" ref="C41:AH41" si="10">C31+C244</f>
        <v>-22403.95014880471</v>
      </c>
      <c r="D41" s="99">
        <f t="shared" si="10"/>
        <v>58271.37494104424</v>
      </c>
      <c r="E41" s="99">
        <f t="shared" si="10"/>
        <v>56694.486479372121</v>
      </c>
      <c r="F41" s="99">
        <f t="shared" si="10"/>
        <v>60688.909135835667</v>
      </c>
      <c r="G41" s="99">
        <f t="shared" si="10"/>
        <v>64833.878576891162</v>
      </c>
      <c r="H41" s="99">
        <f t="shared" si="10"/>
        <v>67638.50339900059</v>
      </c>
      <c r="I41" s="99">
        <f t="shared" si="10"/>
        <v>71234.268940732625</v>
      </c>
      <c r="J41" s="99">
        <f t="shared" si="10"/>
        <v>74992.540980498379</v>
      </c>
      <c r="K41" s="99">
        <f t="shared" si="10"/>
        <v>78629.569323356758</v>
      </c>
      <c r="L41" s="99">
        <f t="shared" si="10"/>
        <v>81861.491280215283</v>
      </c>
      <c r="M41" s="99">
        <f t="shared" si="10"/>
        <v>85266.835042653809</v>
      </c>
      <c r="N41" s="99">
        <f t="shared" si="10"/>
        <v>88519.85628983783</v>
      </c>
      <c r="O41" s="99">
        <f t="shared" si="10"/>
        <v>100854.73566606268</v>
      </c>
      <c r="P41" s="99">
        <f t="shared" si="10"/>
        <v>230197.42956475116</v>
      </c>
      <c r="Q41" s="99">
        <f t="shared" si="10"/>
        <v>279138.43508872448</v>
      </c>
      <c r="R41" s="99">
        <f t="shared" si="10"/>
        <v>263747.98650955828</v>
      </c>
      <c r="S41" s="99">
        <f t="shared" si="10"/>
        <v>390758.4212630291</v>
      </c>
      <c r="T41" s="99">
        <f t="shared" si="10"/>
        <v>432600.3074568453</v>
      </c>
      <c r="U41" s="99">
        <f t="shared" si="10"/>
        <v>412428.19866910332</v>
      </c>
      <c r="V41" s="99">
        <f t="shared" si="10"/>
        <v>528651.21416658512</v>
      </c>
      <c r="W41" s="99">
        <f t="shared" si="10"/>
        <v>564343.09249065467</v>
      </c>
      <c r="X41" s="99">
        <f t="shared" si="10"/>
        <v>551609.05521620519</v>
      </c>
      <c r="Y41" s="99">
        <f t="shared" si="10"/>
        <v>532976.86019094207</v>
      </c>
      <c r="Z41" s="99">
        <f t="shared" si="10"/>
        <v>515150.84381405503</v>
      </c>
      <c r="AA41" s="99">
        <f t="shared" si="10"/>
        <v>548314.90589250112</v>
      </c>
      <c r="AB41" s="99">
        <f t="shared" si="10"/>
        <v>696042.06058442849</v>
      </c>
      <c r="AC41" s="99">
        <f t="shared" si="10"/>
        <v>736340.01731321146</v>
      </c>
      <c r="AD41" s="99">
        <f t="shared" si="10"/>
        <v>713880.70686155977</v>
      </c>
      <c r="AE41" s="99">
        <f t="shared" si="10"/>
        <v>855713.79049192683</v>
      </c>
      <c r="AF41" s="99">
        <f t="shared" si="10"/>
        <v>895619.81413605239</v>
      </c>
      <c r="AG41" s="99">
        <f t="shared" si="10"/>
        <v>867785.17178742727</v>
      </c>
      <c r="AH41" s="99">
        <f t="shared" si="10"/>
        <v>1006396.573480862</v>
      </c>
      <c r="AI41" s="99">
        <f t="shared" ref="AI41:BJ41" si="11">AI31+AI244</f>
        <v>1033958.5160616477</v>
      </c>
      <c r="AJ41" s="99">
        <f t="shared" si="11"/>
        <v>1007897.6481329491</v>
      </c>
      <c r="AK41" s="99">
        <f t="shared" si="11"/>
        <v>983176.48719449237</v>
      </c>
      <c r="AL41" s="99">
        <f t="shared" si="11"/>
        <v>958365.78370323707</v>
      </c>
      <c r="AM41" s="99">
        <f t="shared" si="11"/>
        <v>985884.87909149169</v>
      </c>
      <c r="AN41" s="99">
        <f t="shared" si="11"/>
        <v>1154157.5139404978</v>
      </c>
      <c r="AO41" s="99">
        <f t="shared" si="11"/>
        <v>1190571.5644593793</v>
      </c>
      <c r="AP41" s="99">
        <f t="shared" si="11"/>
        <v>1164702.9275378645</v>
      </c>
      <c r="AQ41" s="99">
        <f t="shared" si="11"/>
        <v>1318679.278999689</v>
      </c>
      <c r="AR41" s="99">
        <f t="shared" si="11"/>
        <v>1348152.7434290657</v>
      </c>
      <c r="AS41" s="99">
        <f t="shared" si="11"/>
        <v>1317067.5621674368</v>
      </c>
      <c r="AT41" s="99">
        <f t="shared" si="11"/>
        <v>1476056.4052358044</v>
      </c>
      <c r="AU41" s="99">
        <f t="shared" si="11"/>
        <v>1498793.4973887815</v>
      </c>
      <c r="AV41" s="99">
        <f t="shared" si="11"/>
        <v>1469518.5620921277</v>
      </c>
      <c r="AW41" s="99">
        <f t="shared" si="11"/>
        <v>1440277.8254496115</v>
      </c>
      <c r="AX41" s="99">
        <f t="shared" si="11"/>
        <v>1412220.6948349425</v>
      </c>
      <c r="AY41" s="99">
        <f t="shared" si="11"/>
        <v>1413103.0378073663</v>
      </c>
      <c r="AZ41" s="99">
        <f t="shared" si="11"/>
        <v>1585468.0267366022</v>
      </c>
      <c r="BA41" s="99">
        <f t="shared" si="11"/>
        <v>1618693.7684901529</v>
      </c>
      <c r="BB41" s="99">
        <f t="shared" si="11"/>
        <v>1590633.5063926503</v>
      </c>
      <c r="BC41" s="99">
        <f t="shared" si="11"/>
        <v>1762798.0498535335</v>
      </c>
      <c r="BD41" s="99">
        <f t="shared" si="11"/>
        <v>1788744.3990246884</v>
      </c>
      <c r="BE41" s="99">
        <f t="shared" si="11"/>
        <v>1754965.0180695427</v>
      </c>
      <c r="BF41" s="99">
        <f t="shared" si="11"/>
        <v>1917718.4273253256</v>
      </c>
      <c r="BG41" s="99">
        <f t="shared" si="11"/>
        <v>1937021.0714301281</v>
      </c>
      <c r="BH41" s="99">
        <f t="shared" si="11"/>
        <v>1904663.6717764861</v>
      </c>
      <c r="BI41" s="99">
        <f t="shared" si="11"/>
        <v>1873225.0726838806</v>
      </c>
      <c r="BJ41" s="99">
        <f t="shared" si="11"/>
        <v>1848242.2934688169</v>
      </c>
    </row>
    <row r="42" spans="1:64" s="101" customFormat="1"/>
    <row r="43" spans="1:64">
      <c r="A43" s="6" t="s">
        <v>73</v>
      </c>
    </row>
    <row r="44" spans="1:64">
      <c r="A44" s="6" t="s">
        <v>74</v>
      </c>
    </row>
    <row r="45" spans="1:64">
      <c r="A45" s="102" t="s">
        <v>75</v>
      </c>
    </row>
    <row r="46" spans="1:64">
      <c r="A46" s="103" t="s">
        <v>76</v>
      </c>
      <c r="C46" s="81">
        <f>Cashflow!C41</f>
        <v>3179582.7373511884</v>
      </c>
      <c r="D46" s="81">
        <f>Cashflow!D41</f>
        <v>3083638.9728279472</v>
      </c>
      <c r="E46" s="81">
        <f>Cashflow!E41</f>
        <v>3035337.7829555329</v>
      </c>
      <c r="F46" s="81">
        <f>Cashflow!F41</f>
        <v>2992285.7074587084</v>
      </c>
      <c r="G46" s="81">
        <f>Cashflow!G41</f>
        <v>2954312.4648704897</v>
      </c>
      <c r="H46" s="81">
        <f>Cashflow!H41</f>
        <v>2920792.8821679051</v>
      </c>
      <c r="I46" s="81">
        <f>Cashflow!I41</f>
        <v>2891422.9915186716</v>
      </c>
      <c r="J46" s="81">
        <f>Cashflow!J41</f>
        <v>2866651.131625474</v>
      </c>
      <c r="K46" s="81">
        <f>Cashflow!K41</f>
        <v>2846470.3035299191</v>
      </c>
      <c r="L46" s="81">
        <f>Cashflow!L41</f>
        <v>2830590.5307423589</v>
      </c>
      <c r="M46" s="81">
        <f>Cashflow!M41</f>
        <v>2818869.973567843</v>
      </c>
      <c r="N46" s="81">
        <f>Cashflow!N41</f>
        <v>2801273.1308355969</v>
      </c>
      <c r="O46" s="81">
        <f>Cashflow!O41</f>
        <v>10125991.817179373</v>
      </c>
      <c r="P46" s="81">
        <f>Cashflow!P41</f>
        <v>8457354.2508325391</v>
      </c>
      <c r="Q46" s="81">
        <f>Cashflow!Q41</f>
        <v>8536247.3989207018</v>
      </c>
      <c r="R46" s="81">
        <f>Cashflow!R41</f>
        <v>6519785.4760024752</v>
      </c>
      <c r="S46" s="81">
        <f>Cashflow!S41</f>
        <v>5196006.3665875327</v>
      </c>
      <c r="T46" s="81">
        <f>Cashflow!T41</f>
        <v>5444118.6717868894</v>
      </c>
      <c r="U46" s="81">
        <f>Cashflow!U41</f>
        <v>3587562.1369743804</v>
      </c>
      <c r="V46" s="81">
        <f>Cashflow!V41</f>
        <v>2458696.9394647647</v>
      </c>
      <c r="W46" s="81">
        <f>Cashflow!W41</f>
        <v>2831380.3685364351</v>
      </c>
      <c r="X46" s="81">
        <f>Cashflow!X41</f>
        <v>3195047.437989579</v>
      </c>
      <c r="Y46" s="81">
        <f>Cashflow!Y41</f>
        <v>3553624.794040923</v>
      </c>
      <c r="Z46" s="81">
        <f>Cashflow!Z41</f>
        <v>3889569.2264109664</v>
      </c>
      <c r="AA46" s="81">
        <f>Cashflow!AA41</f>
        <v>11792587.655029876</v>
      </c>
      <c r="AB46" s="81">
        <f>Cashflow!AB41</f>
        <v>10564184.015325002</v>
      </c>
      <c r="AC46" s="81">
        <f>Cashflow!AC41</f>
        <v>10615232.20518128</v>
      </c>
      <c r="AD46" s="81">
        <f>Cashflow!AD41</f>
        <v>8561239.558110496</v>
      </c>
      <c r="AE46" s="81">
        <f>Cashflow!AE41</f>
        <v>7264105.8900586395</v>
      </c>
      <c r="AF46" s="81">
        <f>Cashflow!AF41</f>
        <v>7464908.4610043997</v>
      </c>
      <c r="AG46" s="81">
        <f>Cashflow!AG41</f>
        <v>5534496.9235220244</v>
      </c>
      <c r="AH46" s="81">
        <f>Cashflow!AH41</f>
        <v>4449779.8919914365</v>
      </c>
      <c r="AI46" s="81">
        <f>Cashflow!AI41</f>
        <v>4771071.4206626806</v>
      </c>
      <c r="AJ46" s="81">
        <f>Cashflow!AJ41</f>
        <v>5074396.2568580471</v>
      </c>
      <c r="AK46" s="81">
        <f>Cashflow!AK41</f>
        <v>5372528.6594098564</v>
      </c>
      <c r="AL46" s="81">
        <f>Cashflow!AL41</f>
        <v>5645571.205196471</v>
      </c>
      <c r="AM46" s="81">
        <f>Cashflow!AM41</f>
        <v>8628841.679827556</v>
      </c>
      <c r="AN46" s="81">
        <f>Cashflow!AN41</f>
        <v>7606407.2347411197</v>
      </c>
      <c r="AO46" s="81">
        <f>Cashflow!AO41</f>
        <v>7767169.22926223</v>
      </c>
      <c r="AP46" s="81">
        <f>Cashflow!AP41</f>
        <v>5801860.3613148304</v>
      </c>
      <c r="AQ46" s="81">
        <f>Cashflow!AQ41</f>
        <v>4642500.3311720183</v>
      </c>
      <c r="AR46" s="81">
        <f>Cashflow!AR41</f>
        <v>4933550.5610447433</v>
      </c>
      <c r="AS46" s="81">
        <f>Cashflow!AS41</f>
        <v>3114668.4147260324</v>
      </c>
      <c r="AT46" s="81">
        <f>Cashflow!AT41</f>
        <v>2192045.3122335579</v>
      </c>
      <c r="AU46" s="81">
        <f>Cashflow!AU41</f>
        <v>2617399.768543574</v>
      </c>
      <c r="AV46" s="81">
        <f>Cashflow!AV41</f>
        <v>3043942.0382712861</v>
      </c>
      <c r="AW46" s="81">
        <f>Cashflow!AW41</f>
        <v>3443836.9982427275</v>
      </c>
      <c r="AX46" s="81">
        <f>Cashflow!AX41</f>
        <v>3837829.6754378304</v>
      </c>
      <c r="AY46" s="81">
        <f>Cashflow!AY41</f>
        <v>7054521.7166410191</v>
      </c>
      <c r="AZ46" s="81">
        <f>Cashflow!AZ41</f>
        <v>6282043.7117414977</v>
      </c>
      <c r="BA46" s="81">
        <f>Cashflow!BA41</f>
        <v>6671865.1241067033</v>
      </c>
      <c r="BB46" s="81">
        <f>Cashflow!BB41</f>
        <v>4954679.394877471</v>
      </c>
      <c r="BC46" s="81">
        <f>Cashflow!BC41</f>
        <v>4088099.5389815876</v>
      </c>
      <c r="BD46" s="81">
        <f>Cashflow!BD41</f>
        <v>4627609.9804792423</v>
      </c>
      <c r="BE46" s="81">
        <f>Cashflow!BE41</f>
        <v>3055860.1872161301</v>
      </c>
      <c r="BF46" s="81">
        <f>Cashflow!BF41</f>
        <v>2370070.1575960964</v>
      </c>
      <c r="BG46" s="81">
        <f>Cashflow!BG41</f>
        <v>3043885.8476034724</v>
      </c>
      <c r="BH46" s="81">
        <f>Cashflow!BH41</f>
        <v>3717390.8695506654</v>
      </c>
      <c r="BI46" s="81">
        <f>Cashflow!BI41</f>
        <v>4363246.2719477396</v>
      </c>
      <c r="BJ46" s="81">
        <f>Cashflow!BJ41</f>
        <v>5007966.9199671336</v>
      </c>
    </row>
    <row r="47" spans="1:64">
      <c r="A47" s="103" t="s">
        <v>77</v>
      </c>
      <c r="C47" s="81">
        <f>C247</f>
        <v>755433.93750000733</v>
      </c>
      <c r="D47" s="81">
        <f t="shared" ref="D47:BJ47" si="12">D247</f>
        <v>770542.6162500073</v>
      </c>
      <c r="E47" s="81">
        <f t="shared" si="12"/>
        <v>785198.03463750763</v>
      </c>
      <c r="F47" s="81">
        <f t="shared" si="12"/>
        <v>799413.79047338245</v>
      </c>
      <c r="G47" s="81">
        <f t="shared" si="12"/>
        <v>813203.0736341814</v>
      </c>
      <c r="H47" s="81">
        <f t="shared" si="12"/>
        <v>826578.67830015637</v>
      </c>
      <c r="I47" s="81">
        <f t="shared" si="12"/>
        <v>839553.01482615201</v>
      </c>
      <c r="J47" s="81">
        <f t="shared" si="12"/>
        <v>852138.121256368</v>
      </c>
      <c r="K47" s="81">
        <f t="shared" si="12"/>
        <v>864345.6744936771</v>
      </c>
      <c r="L47" s="81">
        <f t="shared" si="12"/>
        <v>876187.00113386731</v>
      </c>
      <c r="M47" s="81">
        <f t="shared" si="12"/>
        <v>887673.08797485172</v>
      </c>
      <c r="N47" s="81">
        <f t="shared" si="12"/>
        <v>898814.59221060644</v>
      </c>
      <c r="O47" s="81">
        <f t="shared" si="12"/>
        <v>909796.19068539352</v>
      </c>
      <c r="P47" s="81">
        <f t="shared" si="12"/>
        <v>1473799.8980898377</v>
      </c>
      <c r="Q47" s="81">
        <f t="shared" si="12"/>
        <v>1448475.3692721424</v>
      </c>
      <c r="R47" s="81">
        <f t="shared" si="12"/>
        <v>1423910.5763189783</v>
      </c>
      <c r="S47" s="81">
        <f t="shared" si="12"/>
        <v>1972490.8521544146</v>
      </c>
      <c r="T47" s="81">
        <f t="shared" si="12"/>
        <v>1932205.5947147829</v>
      </c>
      <c r="U47" s="81">
        <f t="shared" si="12"/>
        <v>1893128.8949983392</v>
      </c>
      <c r="V47" s="81">
        <f t="shared" si="12"/>
        <v>2427632.6212733951</v>
      </c>
      <c r="W47" s="81">
        <f t="shared" si="12"/>
        <v>2373693.1107601933</v>
      </c>
      <c r="X47" s="81">
        <f t="shared" si="12"/>
        <v>2321371.7855623872</v>
      </c>
      <c r="Y47" s="81">
        <f t="shared" si="12"/>
        <v>2270620.100120516</v>
      </c>
      <c r="Z47" s="81">
        <f t="shared" si="12"/>
        <v>2221390.9652419006</v>
      </c>
      <c r="AA47" s="81">
        <f t="shared" si="12"/>
        <v>2174138.531686672</v>
      </c>
      <c r="AB47" s="81">
        <f t="shared" si="12"/>
        <v>2722676.987736078</v>
      </c>
      <c r="AC47" s="81">
        <f t="shared" si="12"/>
        <v>2682219.5401039966</v>
      </c>
      <c r="AD47" s="81">
        <f t="shared" si="12"/>
        <v>2642975.8159008771</v>
      </c>
      <c r="AE47" s="81">
        <f t="shared" si="12"/>
        <v>3177449.1534238569</v>
      </c>
      <c r="AF47" s="81">
        <f t="shared" si="12"/>
        <v>3123348.5408211416</v>
      </c>
      <c r="AG47" s="81">
        <f t="shared" si="12"/>
        <v>3070870.9465965079</v>
      </c>
      <c r="AH47" s="81">
        <f t="shared" si="12"/>
        <v>3592507.4301986182</v>
      </c>
      <c r="AI47" s="81">
        <f t="shared" si="12"/>
        <v>3525955.0692926599</v>
      </c>
      <c r="AJ47" s="81">
        <f t="shared" si="12"/>
        <v>3461399.2792138807</v>
      </c>
      <c r="AK47" s="81">
        <f t="shared" si="12"/>
        <v>3398780.1628374648</v>
      </c>
      <c r="AL47" s="81">
        <f t="shared" si="12"/>
        <v>3338039.6199523415</v>
      </c>
      <c r="AM47" s="81">
        <f t="shared" si="12"/>
        <v>3280025.9243567456</v>
      </c>
      <c r="AN47" s="81">
        <f t="shared" si="12"/>
        <v>3824191.96602605</v>
      </c>
      <c r="AO47" s="81">
        <f t="shared" si="12"/>
        <v>3779335.3264452685</v>
      </c>
      <c r="AP47" s="81">
        <f t="shared" si="12"/>
        <v>3735824.3860519119</v>
      </c>
      <c r="AQ47" s="81">
        <f t="shared" si="12"/>
        <v>4266316.4738703603</v>
      </c>
      <c r="AR47" s="81">
        <f t="shared" si="12"/>
        <v>4208196.0990542499</v>
      </c>
      <c r="AS47" s="81">
        <f t="shared" si="12"/>
        <v>4151819.335482623</v>
      </c>
      <c r="AT47" s="81">
        <f t="shared" si="12"/>
        <v>4669831.5748181511</v>
      </c>
      <c r="AU47" s="81">
        <f t="shared" si="12"/>
        <v>4599605.7469736086</v>
      </c>
      <c r="AV47" s="81">
        <f t="shared" si="12"/>
        <v>4531486.6939644003</v>
      </c>
      <c r="AW47" s="81">
        <f t="shared" si="12"/>
        <v>4465411.2125454685</v>
      </c>
      <c r="AX47" s="81">
        <f t="shared" si="12"/>
        <v>4401317.9955691053</v>
      </c>
      <c r="AY47" s="81">
        <f t="shared" si="12"/>
        <v>4340583.6591501869</v>
      </c>
      <c r="AZ47" s="81">
        <f t="shared" si="12"/>
        <v>4881789.9946556883</v>
      </c>
      <c r="BA47" s="81">
        <f t="shared" si="12"/>
        <v>4833872.9000960179</v>
      </c>
      <c r="BB47" s="81">
        <f t="shared" si="12"/>
        <v>4787393.3183731381</v>
      </c>
      <c r="BC47" s="81">
        <f t="shared" si="12"/>
        <v>5315195.3641019501</v>
      </c>
      <c r="BD47" s="81">
        <f t="shared" si="12"/>
        <v>5254276.1084588924</v>
      </c>
      <c r="BE47" s="81">
        <f t="shared" si="12"/>
        <v>5195184.4304851284</v>
      </c>
      <c r="BF47" s="81">
        <f t="shared" si="12"/>
        <v>5710752.7428505803</v>
      </c>
      <c r="BG47" s="81">
        <f t="shared" si="12"/>
        <v>5637966.7658450631</v>
      </c>
      <c r="BH47" s="81">
        <f t="shared" si="12"/>
        <v>5567364.3681497127</v>
      </c>
      <c r="BI47" s="81">
        <f t="shared" si="12"/>
        <v>5498880.0423852205</v>
      </c>
      <c r="BJ47" s="81">
        <f t="shared" si="12"/>
        <v>5432450.2463936675</v>
      </c>
    </row>
    <row r="48" spans="1:64">
      <c r="A48" s="103" t="s">
        <v>78</v>
      </c>
      <c r="C48" s="81">
        <f>C248</f>
        <v>191924.09374999994</v>
      </c>
      <c r="D48" s="81">
        <f t="shared" ref="D48:BJ48" si="13">D248</f>
        <v>191491.3709375</v>
      </c>
      <c r="E48" s="81">
        <f t="shared" si="13"/>
        <v>191071.62980937501</v>
      </c>
      <c r="F48" s="81">
        <f t="shared" si="13"/>
        <v>190664.48091509377</v>
      </c>
      <c r="G48" s="81">
        <f t="shared" si="13"/>
        <v>190269.54648764097</v>
      </c>
      <c r="H48" s="81">
        <f t="shared" si="13"/>
        <v>189886.46009301173</v>
      </c>
      <c r="I48" s="81">
        <f t="shared" si="13"/>
        <v>189514.86629022134</v>
      </c>
      <c r="J48" s="81">
        <f t="shared" si="13"/>
        <v>189154.42030151471</v>
      </c>
      <c r="K48" s="81">
        <f t="shared" si="13"/>
        <v>188804.78769246931</v>
      </c>
      <c r="L48" s="81">
        <f t="shared" si="13"/>
        <v>188465.64406169526</v>
      </c>
      <c r="M48" s="81">
        <f t="shared" si="13"/>
        <v>188136.6747398444</v>
      </c>
      <c r="N48" s="81">
        <f t="shared" si="13"/>
        <v>456008.98074764916</v>
      </c>
      <c r="O48" s="81">
        <f t="shared" si="13"/>
        <v>450771.63328691362</v>
      </c>
      <c r="P48" s="81">
        <f t="shared" si="13"/>
        <v>177500</v>
      </c>
      <c r="Q48" s="81">
        <f t="shared" si="13"/>
        <v>419126.23353983014</v>
      </c>
      <c r="R48" s="81">
        <f t="shared" si="13"/>
        <v>419126.23353983014</v>
      </c>
      <c r="S48" s="81">
        <f t="shared" si="13"/>
        <v>177500</v>
      </c>
      <c r="T48" s="81">
        <f t="shared" si="13"/>
        <v>398025.73944349703</v>
      </c>
      <c r="U48" s="81">
        <f t="shared" si="13"/>
        <v>398025.73944349703</v>
      </c>
      <c r="V48" s="81">
        <f t="shared" si="13"/>
        <v>177500</v>
      </c>
      <c r="W48" s="81">
        <f t="shared" si="13"/>
        <v>177500</v>
      </c>
      <c r="X48" s="81">
        <f t="shared" si="13"/>
        <v>177500</v>
      </c>
      <c r="Y48" s="81">
        <f t="shared" si="13"/>
        <v>193750</v>
      </c>
      <c r="Z48" s="81">
        <f t="shared" si="13"/>
        <v>352651.90942406538</v>
      </c>
      <c r="AA48" s="81">
        <f t="shared" si="13"/>
        <v>352651.90942406538</v>
      </c>
      <c r="AB48" s="81">
        <f t="shared" si="13"/>
        <v>210000</v>
      </c>
      <c r="AC48" s="81">
        <f t="shared" si="13"/>
        <v>430296.00185396464</v>
      </c>
      <c r="AD48" s="81">
        <f t="shared" si="13"/>
        <v>430296.00185396464</v>
      </c>
      <c r="AE48" s="81">
        <f t="shared" si="13"/>
        <v>210000</v>
      </c>
      <c r="AF48" s="81">
        <f t="shared" si="13"/>
        <v>411058.21290006384</v>
      </c>
      <c r="AG48" s="81">
        <f t="shared" si="13"/>
        <v>411058.21290006384</v>
      </c>
      <c r="AH48" s="81">
        <f t="shared" si="13"/>
        <v>210000</v>
      </c>
      <c r="AI48" s="81">
        <f t="shared" si="13"/>
        <v>210000</v>
      </c>
      <c r="AJ48" s="81">
        <f t="shared" si="13"/>
        <v>210000</v>
      </c>
      <c r="AK48" s="81">
        <f t="shared" si="13"/>
        <v>230833.33333333326</v>
      </c>
      <c r="AL48" s="81">
        <f t="shared" si="13"/>
        <v>363385.96687186381</v>
      </c>
      <c r="AM48" s="81">
        <f t="shared" si="13"/>
        <v>363385.96687186405</v>
      </c>
      <c r="AN48" s="81">
        <f t="shared" si="13"/>
        <v>251666.66666666674</v>
      </c>
      <c r="AO48" s="81">
        <f t="shared" si="13"/>
        <v>465776.95377353707</v>
      </c>
      <c r="AP48" s="81">
        <f t="shared" si="13"/>
        <v>465776.9537735373</v>
      </c>
      <c r="AQ48" s="81">
        <f t="shared" si="13"/>
        <v>251666.66666666686</v>
      </c>
      <c r="AR48" s="81">
        <f t="shared" si="13"/>
        <v>447079.3447313559</v>
      </c>
      <c r="AS48" s="81">
        <f t="shared" si="13"/>
        <v>447079.34473135613</v>
      </c>
      <c r="AT48" s="81">
        <f t="shared" si="13"/>
        <v>251666.66666666674</v>
      </c>
      <c r="AU48" s="81">
        <f t="shared" si="13"/>
        <v>251666.66666666674</v>
      </c>
      <c r="AV48" s="81">
        <f t="shared" si="13"/>
        <v>251666.66666666674</v>
      </c>
      <c r="AW48" s="81">
        <f t="shared" si="13"/>
        <v>272500</v>
      </c>
      <c r="AX48" s="81">
        <f t="shared" si="13"/>
        <v>395197.53385300573</v>
      </c>
      <c r="AY48" s="81">
        <f t="shared" si="13"/>
        <v>395197.53385300597</v>
      </c>
      <c r="AZ48" s="81">
        <f t="shared" si="13"/>
        <v>293333.33333333326</v>
      </c>
      <c r="BA48" s="81">
        <f t="shared" si="13"/>
        <v>503151.70951563492</v>
      </c>
      <c r="BB48" s="81">
        <f t="shared" si="13"/>
        <v>503151.70951563539</v>
      </c>
      <c r="BC48" s="81">
        <f t="shared" si="13"/>
        <v>293333.33333333372</v>
      </c>
      <c r="BD48" s="81">
        <f t="shared" si="13"/>
        <v>484828.90017876425</v>
      </c>
      <c r="BE48" s="81">
        <f t="shared" si="13"/>
        <v>484828.90017876378</v>
      </c>
      <c r="BF48" s="81">
        <f t="shared" si="13"/>
        <v>484828.90017876378</v>
      </c>
      <c r="BG48" s="81">
        <f t="shared" si="13"/>
        <v>484828.90017876378</v>
      </c>
      <c r="BH48" s="81">
        <f t="shared" si="13"/>
        <v>484828.90017876378</v>
      </c>
      <c r="BI48" s="81">
        <f t="shared" si="13"/>
        <v>484828.90017876378</v>
      </c>
      <c r="BJ48" s="81">
        <f t="shared" si="13"/>
        <v>484828.90017876378</v>
      </c>
    </row>
    <row r="49" spans="1:62">
      <c r="A49" s="103" t="s">
        <v>79</v>
      </c>
      <c r="C49" s="81">
        <v>0</v>
      </c>
      <c r="D49" s="81">
        <v>0</v>
      </c>
      <c r="E49" s="81">
        <v>0</v>
      </c>
      <c r="F49" s="81">
        <v>0</v>
      </c>
      <c r="G49" s="81">
        <v>0</v>
      </c>
      <c r="H49" s="81">
        <v>0</v>
      </c>
      <c r="I49" s="81">
        <v>0</v>
      </c>
      <c r="J49" s="81">
        <v>0</v>
      </c>
      <c r="K49" s="81">
        <v>0</v>
      </c>
      <c r="L49" s="81">
        <v>0</v>
      </c>
      <c r="M49" s="81">
        <v>0</v>
      </c>
      <c r="N49" s="81">
        <v>0</v>
      </c>
      <c r="O49" s="81">
        <v>0</v>
      </c>
      <c r="P49" s="81">
        <v>0</v>
      </c>
      <c r="Q49" s="81">
        <v>0</v>
      </c>
      <c r="R49" s="81">
        <v>0</v>
      </c>
      <c r="S49" s="81">
        <v>0</v>
      </c>
      <c r="T49" s="81">
        <v>0</v>
      </c>
      <c r="U49" s="81">
        <v>0</v>
      </c>
      <c r="V49" s="81">
        <v>0</v>
      </c>
      <c r="W49" s="81">
        <v>0</v>
      </c>
      <c r="X49" s="81">
        <v>0</v>
      </c>
      <c r="Y49" s="81">
        <v>0</v>
      </c>
      <c r="Z49" s="81">
        <v>0</v>
      </c>
      <c r="AA49" s="81">
        <v>0</v>
      </c>
      <c r="AB49" s="81">
        <v>0</v>
      </c>
      <c r="AC49" s="81">
        <v>0</v>
      </c>
      <c r="AD49" s="81">
        <v>0</v>
      </c>
      <c r="AE49" s="81">
        <v>0</v>
      </c>
      <c r="AF49" s="81">
        <v>0</v>
      </c>
      <c r="AG49" s="81">
        <v>0</v>
      </c>
      <c r="AH49" s="81">
        <v>0</v>
      </c>
      <c r="AI49" s="81">
        <v>0</v>
      </c>
      <c r="AJ49" s="81">
        <v>0</v>
      </c>
      <c r="AK49" s="81">
        <v>0</v>
      </c>
      <c r="AL49" s="81">
        <v>0</v>
      </c>
      <c r="AM49" s="81">
        <v>0</v>
      </c>
      <c r="AN49" s="81">
        <v>0</v>
      </c>
      <c r="AO49" s="81">
        <v>0</v>
      </c>
      <c r="AP49" s="81">
        <v>0</v>
      </c>
      <c r="AQ49" s="81">
        <v>0</v>
      </c>
      <c r="AR49" s="81">
        <v>0</v>
      </c>
      <c r="AS49" s="81">
        <v>0</v>
      </c>
      <c r="AT49" s="81">
        <v>0</v>
      </c>
      <c r="AU49" s="81">
        <v>0</v>
      </c>
      <c r="AV49" s="81">
        <v>0</v>
      </c>
      <c r="AW49" s="81">
        <v>0</v>
      </c>
      <c r="AX49" s="81">
        <v>0</v>
      </c>
      <c r="AY49" s="81">
        <v>0</v>
      </c>
      <c r="AZ49" s="81">
        <v>0</v>
      </c>
      <c r="BA49" s="81">
        <v>0</v>
      </c>
      <c r="BB49" s="81">
        <v>0</v>
      </c>
      <c r="BC49" s="81">
        <v>0</v>
      </c>
      <c r="BD49" s="81">
        <v>0</v>
      </c>
      <c r="BE49" s="81">
        <v>0</v>
      </c>
      <c r="BF49" s="81">
        <v>0</v>
      </c>
      <c r="BG49" s="81">
        <v>0</v>
      </c>
      <c r="BH49" s="81">
        <v>0</v>
      </c>
      <c r="BI49" s="81">
        <v>0</v>
      </c>
      <c r="BJ49" s="81">
        <v>0</v>
      </c>
    </row>
    <row r="50" spans="1:62">
      <c r="A50" s="104" t="s">
        <v>80</v>
      </c>
      <c r="C50" s="81">
        <f>SUM(C46:C49)</f>
        <v>4126940.7686011959</v>
      </c>
      <c r="D50" s="81">
        <f t="shared" ref="D50:BJ50" si="14">SUM(D46:D49)</f>
        <v>4045672.9600154548</v>
      </c>
      <c r="E50" s="81">
        <f t="shared" si="14"/>
        <v>4011607.4474024153</v>
      </c>
      <c r="F50" s="81">
        <f t="shared" si="14"/>
        <v>3982363.9788471847</v>
      </c>
      <c r="G50" s="81">
        <f t="shared" si="14"/>
        <v>3957785.0849923124</v>
      </c>
      <c r="H50" s="81">
        <f t="shared" si="14"/>
        <v>3937258.020561073</v>
      </c>
      <c r="I50" s="81">
        <f t="shared" si="14"/>
        <v>3920490.8726350451</v>
      </c>
      <c r="J50" s="81">
        <f t="shared" si="14"/>
        <v>3907943.6731833564</v>
      </c>
      <c r="K50" s="81">
        <f t="shared" si="14"/>
        <v>3899620.7657160657</v>
      </c>
      <c r="L50" s="81">
        <f t="shared" si="14"/>
        <v>3895243.1759379213</v>
      </c>
      <c r="M50" s="81">
        <f t="shared" si="14"/>
        <v>3894679.7362825386</v>
      </c>
      <c r="N50" s="81">
        <f t="shared" si="14"/>
        <v>4156096.7037938521</v>
      </c>
      <c r="O50" s="81">
        <f t="shared" si="14"/>
        <v>11486559.64115168</v>
      </c>
      <c r="P50" s="81">
        <f t="shared" si="14"/>
        <v>10108654.148922376</v>
      </c>
      <c r="Q50" s="81">
        <f t="shared" si="14"/>
        <v>10403849.001732675</v>
      </c>
      <c r="R50" s="81">
        <f t="shared" si="14"/>
        <v>8362822.2858612835</v>
      </c>
      <c r="S50" s="81">
        <f t="shared" si="14"/>
        <v>7345997.2187419478</v>
      </c>
      <c r="T50" s="81">
        <f t="shared" si="14"/>
        <v>7774350.0059451694</v>
      </c>
      <c r="U50" s="81">
        <f t="shared" si="14"/>
        <v>5878716.7714162162</v>
      </c>
      <c r="V50" s="81">
        <f t="shared" si="14"/>
        <v>5063829.5607381593</v>
      </c>
      <c r="W50" s="81">
        <f t="shared" si="14"/>
        <v>5382573.4792966284</v>
      </c>
      <c r="X50" s="81">
        <f t="shared" si="14"/>
        <v>5693919.2235519662</v>
      </c>
      <c r="Y50" s="81">
        <f t="shared" si="14"/>
        <v>6017994.8941614386</v>
      </c>
      <c r="Z50" s="81">
        <f t="shared" si="14"/>
        <v>6463612.1010769326</v>
      </c>
      <c r="AA50" s="81">
        <f t="shared" si="14"/>
        <v>14319378.096140614</v>
      </c>
      <c r="AB50" s="81">
        <f t="shared" si="14"/>
        <v>13496861.00306108</v>
      </c>
      <c r="AC50" s="81">
        <f t="shared" si="14"/>
        <v>13727747.747139242</v>
      </c>
      <c r="AD50" s="81">
        <f t="shared" si="14"/>
        <v>11634511.375865338</v>
      </c>
      <c r="AE50" s="81">
        <f t="shared" si="14"/>
        <v>10651555.043482497</v>
      </c>
      <c r="AF50" s="81">
        <f t="shared" si="14"/>
        <v>10999315.214725604</v>
      </c>
      <c r="AG50" s="81">
        <f t="shared" si="14"/>
        <v>9016426.0830185954</v>
      </c>
      <c r="AH50" s="81">
        <f t="shared" si="14"/>
        <v>8252287.3221900547</v>
      </c>
      <c r="AI50" s="81">
        <f t="shared" si="14"/>
        <v>8507026.4899553396</v>
      </c>
      <c r="AJ50" s="81">
        <f t="shared" si="14"/>
        <v>8745795.5360719282</v>
      </c>
      <c r="AK50" s="81">
        <f t="shared" si="14"/>
        <v>9002142.1555806547</v>
      </c>
      <c r="AL50" s="81">
        <f t="shared" si="14"/>
        <v>9346996.7920206767</v>
      </c>
      <c r="AM50" s="81">
        <f t="shared" si="14"/>
        <v>12272253.571056165</v>
      </c>
      <c r="AN50" s="81">
        <f t="shared" si="14"/>
        <v>11682265.867433837</v>
      </c>
      <c r="AO50" s="81">
        <f t="shared" si="14"/>
        <v>12012281.509481037</v>
      </c>
      <c r="AP50" s="81">
        <f t="shared" si="14"/>
        <v>10003461.701140279</v>
      </c>
      <c r="AQ50" s="81">
        <f t="shared" si="14"/>
        <v>9160483.4717090447</v>
      </c>
      <c r="AR50" s="81">
        <f t="shared" si="14"/>
        <v>9588826.0048303474</v>
      </c>
      <c r="AS50" s="81">
        <f t="shared" si="14"/>
        <v>7713567.0949400114</v>
      </c>
      <c r="AT50" s="81">
        <f t="shared" si="14"/>
        <v>7113543.553718376</v>
      </c>
      <c r="AU50" s="81">
        <f t="shared" si="14"/>
        <v>7468672.1821838496</v>
      </c>
      <c r="AV50" s="81">
        <f t="shared" si="14"/>
        <v>7827095.3989023538</v>
      </c>
      <c r="AW50" s="81">
        <f t="shared" si="14"/>
        <v>8181748.210788196</v>
      </c>
      <c r="AX50" s="81">
        <f t="shared" si="14"/>
        <v>8634345.2048599422</v>
      </c>
      <c r="AY50" s="81">
        <f t="shared" si="14"/>
        <v>11790302.909644213</v>
      </c>
      <c r="AZ50" s="81">
        <f t="shared" si="14"/>
        <v>11457167.039730521</v>
      </c>
      <c r="BA50" s="81">
        <f t="shared" si="14"/>
        <v>12008889.733718356</v>
      </c>
      <c r="BB50" s="81">
        <f t="shared" si="14"/>
        <v>10245224.422766244</v>
      </c>
      <c r="BC50" s="81">
        <f t="shared" si="14"/>
        <v>9696628.2364168707</v>
      </c>
      <c r="BD50" s="81">
        <f t="shared" si="14"/>
        <v>10366714.9891169</v>
      </c>
      <c r="BE50" s="81">
        <f t="shared" si="14"/>
        <v>8735873.5178800225</v>
      </c>
      <c r="BF50" s="81">
        <f t="shared" si="14"/>
        <v>8565651.8006254397</v>
      </c>
      <c r="BG50" s="81">
        <f t="shared" si="14"/>
        <v>9166681.5136273</v>
      </c>
      <c r="BH50" s="81">
        <f t="shared" si="14"/>
        <v>9769584.1378791425</v>
      </c>
      <c r="BI50" s="81">
        <f t="shared" si="14"/>
        <v>10346955.214511724</v>
      </c>
      <c r="BJ50" s="81">
        <f t="shared" si="14"/>
        <v>10925246.066539565</v>
      </c>
    </row>
    <row r="51" spans="1:62">
      <c r="A51" s="105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</row>
    <row r="52" spans="1:62">
      <c r="A52" s="102" t="s">
        <v>81</v>
      </c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</row>
    <row r="53" spans="1:62">
      <c r="A53" s="103" t="s">
        <v>82</v>
      </c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</row>
    <row r="54" spans="1:62">
      <c r="A54" s="103" t="s">
        <v>83</v>
      </c>
      <c r="C54" s="81">
        <f>C243</f>
        <v>4810158.0357142854</v>
      </c>
      <c r="D54" s="81">
        <f t="shared" ref="D54:BJ54" si="15">D243</f>
        <v>4911166.1964285709</v>
      </c>
      <c r="E54" s="81">
        <f t="shared" si="15"/>
        <v>5001483.0408928571</v>
      </c>
      <c r="F54" s="81">
        <f t="shared" si="15"/>
        <v>5091129.3085946422</v>
      </c>
      <c r="G54" s="81">
        <f t="shared" si="15"/>
        <v>5180125.116836803</v>
      </c>
      <c r="H54" s="81">
        <f t="shared" si="15"/>
        <v>5268489.9794031279</v>
      </c>
      <c r="I54" s="81">
        <f t="shared" si="15"/>
        <v>5356242.8246638915</v>
      </c>
      <c r="J54" s="81">
        <f t="shared" si="15"/>
        <v>5443402.0131382607</v>
      </c>
      <c r="K54" s="81">
        <f t="shared" si="15"/>
        <v>5529985.354529826</v>
      </c>
      <c r="L54" s="81">
        <f t="shared" si="15"/>
        <v>5616010.1242510751</v>
      </c>
      <c r="M54" s="81">
        <f t="shared" si="15"/>
        <v>5701493.0794521142</v>
      </c>
      <c r="N54" s="81">
        <f t="shared" si="15"/>
        <v>5796450.4745685514</v>
      </c>
      <c r="O54" s="81">
        <f t="shared" si="15"/>
        <v>11980898.076402923</v>
      </c>
      <c r="P54" s="81">
        <f t="shared" si="15"/>
        <v>13223920.388033995</v>
      </c>
      <c r="Q54" s="81">
        <f t="shared" si="15"/>
        <v>13291884.673748281</v>
      </c>
      <c r="R54" s="81">
        <f t="shared" si="15"/>
        <v>14884848.959462566</v>
      </c>
      <c r="S54" s="81">
        <f t="shared" si="15"/>
        <v>15954686.021621268</v>
      </c>
      <c r="T54" s="81">
        <f t="shared" si="15"/>
        <v>16022650.307335556</v>
      </c>
      <c r="U54" s="81">
        <f t="shared" si="15"/>
        <v>17605614.593049839</v>
      </c>
      <c r="V54" s="81">
        <f t="shared" si="15"/>
        <v>18634645.507169068</v>
      </c>
      <c r="W54" s="81">
        <f t="shared" si="15"/>
        <v>18692609.792883351</v>
      </c>
      <c r="X54" s="81">
        <f t="shared" si="15"/>
        <v>18760574.078597642</v>
      </c>
      <c r="Y54" s="81">
        <f t="shared" si="15"/>
        <v>18818538.364311926</v>
      </c>
      <c r="Z54" s="81">
        <f t="shared" si="15"/>
        <v>18886502.65002621</v>
      </c>
      <c r="AA54" s="81">
        <f t="shared" si="15"/>
        <v>20559788.364311926</v>
      </c>
      <c r="AB54" s="81">
        <f t="shared" si="15"/>
        <v>21431500.569312111</v>
      </c>
      <c r="AC54" s="81">
        <f t="shared" si="15"/>
        <v>21579786.283597827</v>
      </c>
      <c r="AD54" s="81">
        <f t="shared" si="15"/>
        <v>23243071.997883543</v>
      </c>
      <c r="AE54" s="81">
        <f t="shared" si="15"/>
        <v>24351871.174286686</v>
      </c>
      <c r="AF54" s="81">
        <f t="shared" si="15"/>
        <v>24490156.888572399</v>
      </c>
      <c r="AG54" s="81">
        <f t="shared" si="15"/>
        <v>26163442.602858111</v>
      </c>
      <c r="AH54" s="81">
        <f t="shared" si="15"/>
        <v>27190920.68606402</v>
      </c>
      <c r="AI54" s="81">
        <f t="shared" si="15"/>
        <v>27329206.400349732</v>
      </c>
      <c r="AJ54" s="81">
        <f t="shared" si="15"/>
        <v>27477492.114635445</v>
      </c>
      <c r="AK54" s="81">
        <f t="shared" si="15"/>
        <v>27615777.828921162</v>
      </c>
      <c r="AL54" s="81">
        <f t="shared" si="15"/>
        <v>27764063.543206874</v>
      </c>
      <c r="AM54" s="81">
        <f t="shared" si="15"/>
        <v>29530325.447968781</v>
      </c>
      <c r="AN54" s="81">
        <f t="shared" si="15"/>
        <v>30424064.584855039</v>
      </c>
      <c r="AO54" s="81">
        <f t="shared" si="15"/>
        <v>30665326.489616945</v>
      </c>
      <c r="AP54" s="81">
        <f t="shared" si="15"/>
        <v>32441588.394378848</v>
      </c>
      <c r="AQ54" s="81">
        <f t="shared" si="15"/>
        <v>33628469.686373681</v>
      </c>
      <c r="AR54" s="81">
        <f t="shared" si="15"/>
        <v>33879731.591135584</v>
      </c>
      <c r="AS54" s="81">
        <f t="shared" si="15"/>
        <v>35645993.495897487</v>
      </c>
      <c r="AT54" s="81">
        <f t="shared" si="15"/>
        <v>36737854.349572524</v>
      </c>
      <c r="AU54" s="81">
        <f t="shared" si="15"/>
        <v>36989116.25433442</v>
      </c>
      <c r="AV54" s="81">
        <f t="shared" si="15"/>
        <v>37230378.15909633</v>
      </c>
      <c r="AW54" s="81">
        <f t="shared" si="15"/>
        <v>37481640.063858233</v>
      </c>
      <c r="AX54" s="81">
        <f t="shared" si="15"/>
        <v>37722901.968620136</v>
      </c>
      <c r="AY54" s="81">
        <f t="shared" si="15"/>
        <v>39602140.063858233</v>
      </c>
      <c r="AZ54" s="81">
        <f t="shared" si="15"/>
        <v>40591945.823747277</v>
      </c>
      <c r="BA54" s="81">
        <f t="shared" si="15"/>
        <v>40946183.918985367</v>
      </c>
      <c r="BB54" s="81">
        <f t="shared" si="15"/>
        <v>42815422.014223464</v>
      </c>
      <c r="BC54" s="81">
        <f t="shared" si="15"/>
        <v>44069945.356611773</v>
      </c>
      <c r="BD54" s="81">
        <f t="shared" si="15"/>
        <v>44424183.45184987</v>
      </c>
      <c r="BE54" s="81">
        <f t="shared" si="15"/>
        <v>46293421.547087967</v>
      </c>
      <c r="BF54" s="81">
        <f t="shared" si="15"/>
        <v>47503826.900607489</v>
      </c>
      <c r="BG54" s="81">
        <f t="shared" si="15"/>
        <v>47858064.995845586</v>
      </c>
      <c r="BH54" s="81">
        <f t="shared" si="15"/>
        <v>48202303.091083683</v>
      </c>
      <c r="BI54" s="81">
        <f t="shared" si="15"/>
        <v>48556541.18632178</v>
      </c>
      <c r="BJ54" s="81">
        <f t="shared" si="15"/>
        <v>48900779.28155987</v>
      </c>
    </row>
    <row r="55" spans="1:62">
      <c r="A55" s="103" t="s">
        <v>84</v>
      </c>
      <c r="B55" s="100"/>
      <c r="C55" s="81">
        <f>C245</f>
        <v>80169.300595238092</v>
      </c>
      <c r="D55" s="81">
        <f t="shared" ref="D55:BJ55" si="16">D245</f>
        <v>162022.07053571427</v>
      </c>
      <c r="E55" s="81">
        <f t="shared" si="16"/>
        <v>245380.12121726188</v>
      </c>
      <c r="F55" s="81">
        <f t="shared" si="16"/>
        <v>330232.2763605059</v>
      </c>
      <c r="G55" s="81">
        <f t="shared" si="16"/>
        <v>416567.69497445261</v>
      </c>
      <c r="H55" s="81">
        <f t="shared" si="16"/>
        <v>504375.86129783804</v>
      </c>
      <c r="I55" s="81">
        <f t="shared" si="16"/>
        <v>593646.57504223625</v>
      </c>
      <c r="J55" s="81">
        <f t="shared" si="16"/>
        <v>684369.94192787388</v>
      </c>
      <c r="K55" s="81">
        <f t="shared" si="16"/>
        <v>776536.36450337095</v>
      </c>
      <c r="L55" s="81">
        <f t="shared" si="16"/>
        <v>870136.53324088885</v>
      </c>
      <c r="M55" s="81">
        <f t="shared" si="16"/>
        <v>965161.41789842409</v>
      </c>
      <c r="N55" s="81">
        <f t="shared" si="16"/>
        <v>1061768.9258079</v>
      </c>
      <c r="O55" s="81">
        <f t="shared" si="16"/>
        <v>1261450.5604146153</v>
      </c>
      <c r="P55" s="81">
        <f t="shared" si="16"/>
        <v>1481849.2335485152</v>
      </c>
      <c r="Q55" s="81">
        <f t="shared" si="16"/>
        <v>1703380.6447776533</v>
      </c>
      <c r="R55" s="81">
        <f t="shared" si="16"/>
        <v>1951461.4607686959</v>
      </c>
      <c r="S55" s="81">
        <f t="shared" si="16"/>
        <v>2217372.8944623838</v>
      </c>
      <c r="T55" s="81">
        <f t="shared" si="16"/>
        <v>2484417.0662513096</v>
      </c>
      <c r="U55" s="81">
        <f t="shared" si="16"/>
        <v>2777843.9761354737</v>
      </c>
      <c r="V55" s="81">
        <f t="shared" si="16"/>
        <v>3088421.401254958</v>
      </c>
      <c r="W55" s="81">
        <f t="shared" si="16"/>
        <v>3399964.8978030137</v>
      </c>
      <c r="X55" s="81">
        <f t="shared" si="16"/>
        <v>3712641.1324463077</v>
      </c>
      <c r="Y55" s="81">
        <f t="shared" si="16"/>
        <v>4026283.4385181731</v>
      </c>
      <c r="Z55" s="81">
        <f t="shared" si="16"/>
        <v>4341058.4826852763</v>
      </c>
      <c r="AA55" s="81">
        <f t="shared" si="16"/>
        <v>4683721.6220904747</v>
      </c>
      <c r="AB55" s="81">
        <f t="shared" si="16"/>
        <v>5040913.2982456768</v>
      </c>
      <c r="AC55" s="81">
        <f t="shared" si="16"/>
        <v>5400576.4029723071</v>
      </c>
      <c r="AD55" s="81">
        <f t="shared" si="16"/>
        <v>5787960.9362703664</v>
      </c>
      <c r="AE55" s="81">
        <f t="shared" si="16"/>
        <v>6193825.4558418114</v>
      </c>
      <c r="AF55" s="81">
        <f t="shared" si="16"/>
        <v>6601994.7373180185</v>
      </c>
      <c r="AG55" s="81">
        <f t="shared" si="16"/>
        <v>7038052.1140323207</v>
      </c>
      <c r="AH55" s="81">
        <f t="shared" si="16"/>
        <v>7491234.1254667211</v>
      </c>
      <c r="AI55" s="81">
        <f t="shared" si="16"/>
        <v>7946720.8988058837</v>
      </c>
      <c r="AJ55" s="81">
        <f t="shared" si="16"/>
        <v>8404679.1007164754</v>
      </c>
      <c r="AK55" s="81">
        <f t="shared" si="16"/>
        <v>8864942.0645318273</v>
      </c>
      <c r="AL55" s="81">
        <f t="shared" si="16"/>
        <v>9327676.4569186084</v>
      </c>
      <c r="AM55" s="81">
        <f t="shared" si="16"/>
        <v>9819848.5477180872</v>
      </c>
      <c r="AN55" s="81">
        <f t="shared" si="16"/>
        <v>10326916.290799005</v>
      </c>
      <c r="AO55" s="81">
        <f t="shared" si="16"/>
        <v>10838005.065625954</v>
      </c>
      <c r="AP55" s="81">
        <f t="shared" si="16"/>
        <v>11378698.205532268</v>
      </c>
      <c r="AQ55" s="81">
        <f t="shared" si="16"/>
        <v>11939172.700305162</v>
      </c>
      <c r="AR55" s="81">
        <f t="shared" si="16"/>
        <v>12503834.893490756</v>
      </c>
      <c r="AS55" s="81">
        <f t="shared" si="16"/>
        <v>13097934.785089048</v>
      </c>
      <c r="AT55" s="81">
        <f t="shared" si="16"/>
        <v>13710232.357581923</v>
      </c>
      <c r="AU55" s="81">
        <f t="shared" si="16"/>
        <v>14326717.628487496</v>
      </c>
      <c r="AV55" s="81">
        <f t="shared" si="16"/>
        <v>14947223.9311391</v>
      </c>
      <c r="AW55" s="81">
        <f t="shared" si="16"/>
        <v>15571917.932203405</v>
      </c>
      <c r="AX55" s="81">
        <f t="shared" si="16"/>
        <v>16200632.965013741</v>
      </c>
      <c r="AY55" s="81">
        <f t="shared" si="16"/>
        <v>16860668.632744711</v>
      </c>
      <c r="AZ55" s="81">
        <f t="shared" si="16"/>
        <v>17537201.0631405</v>
      </c>
      <c r="BA55" s="81">
        <f t="shared" si="16"/>
        <v>18219637.461790256</v>
      </c>
      <c r="BB55" s="81">
        <f t="shared" si="16"/>
        <v>18933227.828693982</v>
      </c>
      <c r="BC55" s="81">
        <f t="shared" si="16"/>
        <v>19667726.917970844</v>
      </c>
      <c r="BD55" s="81">
        <f t="shared" si="16"/>
        <v>20408129.975501675</v>
      </c>
      <c r="BE55" s="81">
        <f t="shared" si="16"/>
        <v>21179687.001286473</v>
      </c>
      <c r="BF55" s="81">
        <f t="shared" si="16"/>
        <v>21971417.449629933</v>
      </c>
      <c r="BG55" s="81">
        <f t="shared" si="16"/>
        <v>22769051.866227359</v>
      </c>
      <c r="BH55" s="81">
        <f t="shared" si="16"/>
        <v>23572423.584412087</v>
      </c>
      <c r="BI55" s="81">
        <f t="shared" si="16"/>
        <v>24381699.270850781</v>
      </c>
      <c r="BJ55" s="81">
        <f t="shared" si="16"/>
        <v>25196712.258876778</v>
      </c>
    </row>
    <row r="56" spans="1:62">
      <c r="A56" s="104" t="s">
        <v>85</v>
      </c>
      <c r="C56" s="81">
        <f>C53+C54-C55</f>
        <v>4729988.7351190476</v>
      </c>
      <c r="D56" s="81">
        <f t="shared" ref="D56:BJ56" si="17">D53+D54-D55</f>
        <v>4749144.1258928571</v>
      </c>
      <c r="E56" s="81">
        <f t="shared" si="17"/>
        <v>4756102.9196755951</v>
      </c>
      <c r="F56" s="81">
        <f t="shared" si="17"/>
        <v>4760897.032234136</v>
      </c>
      <c r="G56" s="81">
        <f t="shared" si="17"/>
        <v>4763557.4218623508</v>
      </c>
      <c r="H56" s="81">
        <f t="shared" si="17"/>
        <v>4764114.1181052895</v>
      </c>
      <c r="I56" s="81">
        <f t="shared" si="17"/>
        <v>4762596.2496216549</v>
      </c>
      <c r="J56" s="81">
        <f t="shared" si="17"/>
        <v>4759032.0712103872</v>
      </c>
      <c r="K56" s="81">
        <f t="shared" si="17"/>
        <v>4753448.9900264554</v>
      </c>
      <c r="L56" s="81">
        <f t="shared" si="17"/>
        <v>4745873.5910101859</v>
      </c>
      <c r="M56" s="81">
        <f t="shared" si="17"/>
        <v>4736331.6615536902</v>
      </c>
      <c r="N56" s="81">
        <f t="shared" si="17"/>
        <v>4734681.5487606516</v>
      </c>
      <c r="O56" s="81">
        <f t="shared" si="17"/>
        <v>10719447.515988307</v>
      </c>
      <c r="P56" s="81">
        <f t="shared" si="17"/>
        <v>11742071.154485481</v>
      </c>
      <c r="Q56" s="81">
        <f t="shared" si="17"/>
        <v>11588504.028970627</v>
      </c>
      <c r="R56" s="81">
        <f t="shared" si="17"/>
        <v>12933387.49869387</v>
      </c>
      <c r="S56" s="81">
        <f t="shared" si="17"/>
        <v>13737313.127158884</v>
      </c>
      <c r="T56" s="81">
        <f t="shared" si="17"/>
        <v>13538233.241084246</v>
      </c>
      <c r="U56" s="81">
        <f t="shared" si="17"/>
        <v>14827770.616914365</v>
      </c>
      <c r="V56" s="81">
        <f t="shared" si="17"/>
        <v>15546224.10591411</v>
      </c>
      <c r="W56" s="81">
        <f t="shared" si="17"/>
        <v>15292644.895080337</v>
      </c>
      <c r="X56" s="81">
        <f t="shared" si="17"/>
        <v>15047932.946151335</v>
      </c>
      <c r="Y56" s="81">
        <f t="shared" si="17"/>
        <v>14792254.925793752</v>
      </c>
      <c r="Z56" s="81">
        <f t="shared" si="17"/>
        <v>14545444.167340934</v>
      </c>
      <c r="AA56" s="81">
        <f t="shared" si="17"/>
        <v>15876066.742221452</v>
      </c>
      <c r="AB56" s="81">
        <f t="shared" si="17"/>
        <v>16390587.271066435</v>
      </c>
      <c r="AC56" s="81">
        <f t="shared" si="17"/>
        <v>16179209.88062552</v>
      </c>
      <c r="AD56" s="81">
        <f t="shared" si="17"/>
        <v>17455111.061613176</v>
      </c>
      <c r="AE56" s="81">
        <f t="shared" si="17"/>
        <v>18158045.718444876</v>
      </c>
      <c r="AF56" s="81">
        <f t="shared" si="17"/>
        <v>17888162.151254378</v>
      </c>
      <c r="AG56" s="81">
        <f t="shared" si="17"/>
        <v>19125390.488825791</v>
      </c>
      <c r="AH56" s="81">
        <f t="shared" si="17"/>
        <v>19699686.560597301</v>
      </c>
      <c r="AI56" s="81">
        <f t="shared" si="17"/>
        <v>19382485.50154385</v>
      </c>
      <c r="AJ56" s="81">
        <f t="shared" si="17"/>
        <v>19072813.01391897</v>
      </c>
      <c r="AK56" s="81">
        <f t="shared" si="17"/>
        <v>18750835.764389336</v>
      </c>
      <c r="AL56" s="81">
        <f t="shared" si="17"/>
        <v>18436387.086288266</v>
      </c>
      <c r="AM56" s="81">
        <f t="shared" si="17"/>
        <v>19710476.900250696</v>
      </c>
      <c r="AN56" s="81">
        <f t="shared" si="17"/>
        <v>20097148.294056036</v>
      </c>
      <c r="AO56" s="81">
        <f t="shared" si="17"/>
        <v>19827321.423990991</v>
      </c>
      <c r="AP56" s="81">
        <f t="shared" si="17"/>
        <v>21062890.188846581</v>
      </c>
      <c r="AQ56" s="81">
        <f t="shared" si="17"/>
        <v>21689296.986068517</v>
      </c>
      <c r="AR56" s="81">
        <f t="shared" si="17"/>
        <v>21375896.69764483</v>
      </c>
      <c r="AS56" s="81">
        <f t="shared" si="17"/>
        <v>22548058.710808441</v>
      </c>
      <c r="AT56" s="81">
        <f t="shared" si="17"/>
        <v>23027621.991990604</v>
      </c>
      <c r="AU56" s="81">
        <f t="shared" si="17"/>
        <v>22662398.625846922</v>
      </c>
      <c r="AV56" s="81">
        <f t="shared" si="17"/>
        <v>22283154.22795723</v>
      </c>
      <c r="AW56" s="81">
        <f t="shared" si="17"/>
        <v>21909722.131654829</v>
      </c>
      <c r="AX56" s="81">
        <f t="shared" si="17"/>
        <v>21522269.003606394</v>
      </c>
      <c r="AY56" s="81">
        <f t="shared" si="17"/>
        <v>22741471.431113522</v>
      </c>
      <c r="AZ56" s="81">
        <f t="shared" si="17"/>
        <v>23054744.760606777</v>
      </c>
      <c r="BA56" s="81">
        <f t="shared" si="17"/>
        <v>22726546.457195111</v>
      </c>
      <c r="BB56" s="81">
        <f t="shared" si="17"/>
        <v>23882194.185529482</v>
      </c>
      <c r="BC56" s="81">
        <f t="shared" si="17"/>
        <v>24402218.43864093</v>
      </c>
      <c r="BD56" s="81">
        <f t="shared" si="17"/>
        <v>24016053.476348195</v>
      </c>
      <c r="BE56" s="81">
        <f t="shared" si="17"/>
        <v>25113734.545801494</v>
      </c>
      <c r="BF56" s="81">
        <f t="shared" si="17"/>
        <v>25532409.450977556</v>
      </c>
      <c r="BG56" s="81">
        <f t="shared" si="17"/>
        <v>25089013.129618227</v>
      </c>
      <c r="BH56" s="81">
        <f t="shared" si="17"/>
        <v>24629879.506671596</v>
      </c>
      <c r="BI56" s="81">
        <f t="shared" si="17"/>
        <v>24174841.915470999</v>
      </c>
      <c r="BJ56" s="81">
        <f t="shared" si="17"/>
        <v>23704067.022683091</v>
      </c>
    </row>
    <row r="57" spans="1:62">
      <c r="A57" s="105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</row>
    <row r="58" spans="1:62">
      <c r="A58" s="102" t="s">
        <v>86</v>
      </c>
      <c r="C58" s="81">
        <f>C232+C240+'Sources &amp; Uses'!$F$10</f>
        <v>6500000</v>
      </c>
      <c r="D58" s="81">
        <f>D232+D240+'Sources &amp; Uses'!$F$10</f>
        <v>6500000</v>
      </c>
      <c r="E58" s="81">
        <f>E232+E240+'Sources &amp; Uses'!$F$10</f>
        <v>6500000</v>
      </c>
      <c r="F58" s="81">
        <f>F232+F240+'Sources &amp; Uses'!$F$10</f>
        <v>6500000</v>
      </c>
      <c r="G58" s="81">
        <f>G232+G240+'Sources &amp; Uses'!$F$10</f>
        <v>6500000</v>
      </c>
      <c r="H58" s="81">
        <f>H232+H240+'Sources &amp; Uses'!$F$10</f>
        <v>6500000</v>
      </c>
      <c r="I58" s="81">
        <f>I232+I240+'Sources &amp; Uses'!$F$10</f>
        <v>6500000</v>
      </c>
      <c r="J58" s="81">
        <f>J232+J240+'Sources &amp; Uses'!$F$10</f>
        <v>6500000</v>
      </c>
      <c r="K58" s="81">
        <f>K232+K240+'Sources &amp; Uses'!$F$10</f>
        <v>6500000</v>
      </c>
      <c r="L58" s="81">
        <f>L232+L240+'Sources &amp; Uses'!$F$10</f>
        <v>6500000</v>
      </c>
      <c r="M58" s="81">
        <f>M232+M240+'Sources &amp; Uses'!$F$10</f>
        <v>6500000</v>
      </c>
      <c r="N58" s="81">
        <f>N232+N240+'Sources &amp; Uses'!$F$10</f>
        <v>6500000</v>
      </c>
      <c r="O58" s="81">
        <f>O232+O240+'Sources &amp; Uses'!$F$10</f>
        <v>9166666.6666666679</v>
      </c>
      <c r="P58" s="81">
        <f>P232+P240+'Sources &amp; Uses'!$F$10</f>
        <v>9166666.6666666679</v>
      </c>
      <c r="Q58" s="81">
        <f>Q232+Q240+'Sources &amp; Uses'!$F$10</f>
        <v>9166666.6666666679</v>
      </c>
      <c r="R58" s="81">
        <f>R232+R240+'Sources &amp; Uses'!$F$10</f>
        <v>11833333.333333334</v>
      </c>
      <c r="S58" s="81">
        <f>S232+S240+'Sources &amp; Uses'!$F$10</f>
        <v>11833333.333333334</v>
      </c>
      <c r="T58" s="81">
        <f>T232+T240+'Sources &amp; Uses'!$F$10</f>
        <v>11833333.333333334</v>
      </c>
      <c r="U58" s="81">
        <f>U232+U240+'Sources &amp; Uses'!$F$10</f>
        <v>14500000</v>
      </c>
      <c r="V58" s="81">
        <f>V232+V240+'Sources &amp; Uses'!$F$10</f>
        <v>14500000</v>
      </c>
      <c r="W58" s="81">
        <f>W232+W240+'Sources &amp; Uses'!$F$10</f>
        <v>14500000</v>
      </c>
      <c r="X58" s="81">
        <f>X232+X240+'Sources &amp; Uses'!$F$10</f>
        <v>14500000</v>
      </c>
      <c r="Y58" s="81">
        <f>Y232+Y240+'Sources &amp; Uses'!$F$10</f>
        <v>14500000</v>
      </c>
      <c r="Z58" s="81">
        <f>Z232+Z240+'Sources &amp; Uses'!$F$10</f>
        <v>14500000</v>
      </c>
      <c r="AA58" s="81">
        <f>AA232+AA240+'Sources &amp; Uses'!$F$10</f>
        <v>17166666.666666668</v>
      </c>
      <c r="AB58" s="81">
        <f>AB232+AB240+'Sources &amp; Uses'!$F$10</f>
        <v>17166666.666666668</v>
      </c>
      <c r="AC58" s="81">
        <f>AC232+AC240+'Sources &amp; Uses'!$F$10</f>
        <v>17166666.666666668</v>
      </c>
      <c r="AD58" s="81">
        <f>AD232+AD240+'Sources &amp; Uses'!$F$10</f>
        <v>19833333.333333336</v>
      </c>
      <c r="AE58" s="81">
        <f>AE232+AE240+'Sources &amp; Uses'!$F$10</f>
        <v>19833333.333333336</v>
      </c>
      <c r="AF58" s="81">
        <f>AF232+AF240+'Sources &amp; Uses'!$F$10</f>
        <v>19833333.333333336</v>
      </c>
      <c r="AG58" s="81">
        <f>AG232+AG240+'Sources &amp; Uses'!$F$10</f>
        <v>22500000.000000004</v>
      </c>
      <c r="AH58" s="81">
        <f>AH232+AH240+'Sources &amp; Uses'!$F$10</f>
        <v>22500000.000000004</v>
      </c>
      <c r="AI58" s="81">
        <f>AI232+AI240+'Sources &amp; Uses'!$F$10</f>
        <v>22500000.000000004</v>
      </c>
      <c r="AJ58" s="81">
        <f>AJ232+AJ240+'Sources &amp; Uses'!$F$10</f>
        <v>22500000.000000004</v>
      </c>
      <c r="AK58" s="81">
        <f>AK232+AK240+'Sources &amp; Uses'!$F$10</f>
        <v>22500000.000000004</v>
      </c>
      <c r="AL58" s="81">
        <f>AL232+AL240+'Sources &amp; Uses'!$F$10</f>
        <v>22500000.000000004</v>
      </c>
      <c r="AM58" s="81">
        <f>AM232+AM240+'Sources &amp; Uses'!$F$10</f>
        <v>25166666.666666672</v>
      </c>
      <c r="AN58" s="81">
        <f>AN232+AN240+'Sources &amp; Uses'!$F$10</f>
        <v>25166666.666666672</v>
      </c>
      <c r="AO58" s="81">
        <f>AO232+AO240+'Sources &amp; Uses'!$F$10</f>
        <v>25166666.666666672</v>
      </c>
      <c r="AP58" s="81">
        <f>AP232+AP240+'Sources &amp; Uses'!$F$10</f>
        <v>27833333.33333334</v>
      </c>
      <c r="AQ58" s="81">
        <f>AQ232+AQ240+'Sources &amp; Uses'!$F$10</f>
        <v>27833333.33333334</v>
      </c>
      <c r="AR58" s="81">
        <f>AR232+AR240+'Sources &amp; Uses'!$F$10</f>
        <v>27833333.33333334</v>
      </c>
      <c r="AS58" s="81">
        <f>AS232+AS240+'Sources &amp; Uses'!$F$10</f>
        <v>30500000.000000007</v>
      </c>
      <c r="AT58" s="81">
        <f>AT232+AT240+'Sources &amp; Uses'!$F$10</f>
        <v>30500000.000000007</v>
      </c>
      <c r="AU58" s="81">
        <f>AU232+AU240+'Sources &amp; Uses'!$F$10</f>
        <v>30500000.000000007</v>
      </c>
      <c r="AV58" s="81">
        <f>AV232+AV240+'Sources &amp; Uses'!$F$10</f>
        <v>30500000.000000007</v>
      </c>
      <c r="AW58" s="81">
        <f>AW232+AW240+'Sources &amp; Uses'!$F$10</f>
        <v>30500000.000000007</v>
      </c>
      <c r="AX58" s="81">
        <f>AX232+AX240+'Sources &amp; Uses'!$F$10</f>
        <v>30500000.000000007</v>
      </c>
      <c r="AY58" s="81">
        <f>AY232+AY240+'Sources &amp; Uses'!$F$10</f>
        <v>33166666.666666675</v>
      </c>
      <c r="AZ58" s="81">
        <f>AZ232+AZ240+'Sources &amp; Uses'!$F$10</f>
        <v>33166666.666666675</v>
      </c>
      <c r="BA58" s="81">
        <f>BA232+BA240+'Sources &amp; Uses'!$F$10</f>
        <v>33166666.666666675</v>
      </c>
      <c r="BB58" s="81">
        <f>BB232+BB240+'Sources &amp; Uses'!$F$10</f>
        <v>35833333.333333343</v>
      </c>
      <c r="BC58" s="81">
        <f>BC232+BC240+'Sources &amp; Uses'!$F$10</f>
        <v>35833333.333333343</v>
      </c>
      <c r="BD58" s="81">
        <f>BD232+BD240+'Sources &amp; Uses'!$F$10</f>
        <v>35833333.333333343</v>
      </c>
      <c r="BE58" s="81">
        <f>BE232+BE240+'Sources &amp; Uses'!$F$10</f>
        <v>38500000.000000007</v>
      </c>
      <c r="BF58" s="81">
        <f>BF232+BF240+'Sources &amp; Uses'!$F$10</f>
        <v>38500000.000000007</v>
      </c>
      <c r="BG58" s="81">
        <f>BG232+BG240+'Sources &amp; Uses'!$F$10</f>
        <v>38500000.000000007</v>
      </c>
      <c r="BH58" s="81">
        <f>BH232+BH240+'Sources &amp; Uses'!$F$10</f>
        <v>38500000.000000007</v>
      </c>
      <c r="BI58" s="81">
        <f>BI232+BI240+'Sources &amp; Uses'!$F$10</f>
        <v>38500000.000000007</v>
      </c>
      <c r="BJ58" s="81">
        <f>BJ232+BJ240+'Sources &amp; Uses'!$F$10</f>
        <v>38500000.000000007</v>
      </c>
    </row>
    <row r="59" spans="1:62">
      <c r="A59" s="103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</row>
    <row r="60" spans="1:62">
      <c r="A60" s="106" t="s">
        <v>87</v>
      </c>
      <c r="C60" s="81">
        <f>C50+C56+C58</f>
        <v>15356929.503720243</v>
      </c>
      <c r="D60" s="81">
        <f t="shared" ref="D60:BJ60" si="18">D50+D56+D58</f>
        <v>15294817.085908312</v>
      </c>
      <c r="E60" s="81">
        <f t="shared" si="18"/>
        <v>15267710.36707801</v>
      </c>
      <c r="F60" s="81">
        <f t="shared" si="18"/>
        <v>15243261.011081321</v>
      </c>
      <c r="G60" s="81">
        <f t="shared" si="18"/>
        <v>15221342.506854663</v>
      </c>
      <c r="H60" s="81">
        <f t="shared" si="18"/>
        <v>15201372.138666362</v>
      </c>
      <c r="I60" s="81">
        <f t="shared" si="18"/>
        <v>15183087.1222567</v>
      </c>
      <c r="J60" s="81">
        <f t="shared" si="18"/>
        <v>15166975.744393744</v>
      </c>
      <c r="K60" s="81">
        <f t="shared" si="18"/>
        <v>15153069.75574252</v>
      </c>
      <c r="L60" s="81">
        <f t="shared" si="18"/>
        <v>15141116.766948108</v>
      </c>
      <c r="M60" s="81">
        <f t="shared" si="18"/>
        <v>15131011.397836229</v>
      </c>
      <c r="N60" s="81">
        <f t="shared" si="18"/>
        <v>15390778.252554504</v>
      </c>
      <c r="O60" s="81">
        <f t="shared" si="18"/>
        <v>31372673.823806655</v>
      </c>
      <c r="P60" s="81">
        <f t="shared" si="18"/>
        <v>31017391.970074523</v>
      </c>
      <c r="Q60" s="81">
        <f t="shared" si="18"/>
        <v>31159019.69736997</v>
      </c>
      <c r="R60" s="81">
        <f t="shared" si="18"/>
        <v>33129543.117888488</v>
      </c>
      <c r="S60" s="81">
        <f t="shared" si="18"/>
        <v>32916643.679234169</v>
      </c>
      <c r="T60" s="81">
        <f t="shared" si="18"/>
        <v>33145916.580362752</v>
      </c>
      <c r="U60" s="81">
        <f t="shared" si="18"/>
        <v>35206487.388330579</v>
      </c>
      <c r="V60" s="81">
        <f t="shared" si="18"/>
        <v>35110053.66665227</v>
      </c>
      <c r="W60" s="81">
        <f t="shared" si="18"/>
        <v>35175218.374376968</v>
      </c>
      <c r="X60" s="81">
        <f t="shared" si="18"/>
        <v>35241852.169703305</v>
      </c>
      <c r="Y60" s="81">
        <f t="shared" si="18"/>
        <v>35310249.819955193</v>
      </c>
      <c r="Z60" s="81">
        <f t="shared" si="18"/>
        <v>35509056.268417865</v>
      </c>
      <c r="AA60" s="81">
        <f t="shared" si="18"/>
        <v>47362111.50502874</v>
      </c>
      <c r="AB60" s="81">
        <f t="shared" si="18"/>
        <v>47054114.940794185</v>
      </c>
      <c r="AC60" s="81">
        <f t="shared" si="18"/>
        <v>47073624.294431433</v>
      </c>
      <c r="AD60" s="81">
        <f t="shared" si="18"/>
        <v>48922955.770811848</v>
      </c>
      <c r="AE60" s="81">
        <f t="shared" si="18"/>
        <v>48642934.09526071</v>
      </c>
      <c r="AF60" s="81">
        <f t="shared" si="18"/>
        <v>48720810.69931332</v>
      </c>
      <c r="AG60" s="81">
        <f t="shared" si="18"/>
        <v>50641816.571844384</v>
      </c>
      <c r="AH60" s="81">
        <f t="shared" si="18"/>
        <v>50451973.882787362</v>
      </c>
      <c r="AI60" s="81">
        <f t="shared" si="18"/>
        <v>50389511.991499193</v>
      </c>
      <c r="AJ60" s="81">
        <f t="shared" si="18"/>
        <v>50318608.549990907</v>
      </c>
      <c r="AK60" s="81">
        <f t="shared" si="18"/>
        <v>50252977.919969991</v>
      </c>
      <c r="AL60" s="81">
        <f t="shared" si="18"/>
        <v>50283383.878308952</v>
      </c>
      <c r="AM60" s="81">
        <f t="shared" si="18"/>
        <v>57149397.137973532</v>
      </c>
      <c r="AN60" s="81">
        <f t="shared" si="18"/>
        <v>56946080.828156546</v>
      </c>
      <c r="AO60" s="81">
        <f t="shared" si="18"/>
        <v>57006269.600138701</v>
      </c>
      <c r="AP60" s="81">
        <f t="shared" si="18"/>
        <v>58899685.223320201</v>
      </c>
      <c r="AQ60" s="81">
        <f t="shared" si="18"/>
        <v>58683113.791110903</v>
      </c>
      <c r="AR60" s="81">
        <f t="shared" si="18"/>
        <v>58798056.035808519</v>
      </c>
      <c r="AS60" s="81">
        <f t="shared" si="18"/>
        <v>60761625.805748463</v>
      </c>
      <c r="AT60" s="81">
        <f t="shared" si="18"/>
        <v>60641165.545708984</v>
      </c>
      <c r="AU60" s="81">
        <f t="shared" si="18"/>
        <v>60631070.808030784</v>
      </c>
      <c r="AV60" s="81">
        <f t="shared" si="18"/>
        <v>60610249.62685959</v>
      </c>
      <c r="AW60" s="81">
        <f t="shared" si="18"/>
        <v>60591470.342443034</v>
      </c>
      <c r="AX60" s="81">
        <f t="shared" si="18"/>
        <v>60656614.208466344</v>
      </c>
      <c r="AY60" s="81">
        <f t="shared" si="18"/>
        <v>67698441.007424414</v>
      </c>
      <c r="AZ60" s="81">
        <f t="shared" si="18"/>
        <v>67678578.467003971</v>
      </c>
      <c r="BA60" s="81">
        <f t="shared" si="18"/>
        <v>67902102.85758014</v>
      </c>
      <c r="BB60" s="81">
        <f t="shared" si="18"/>
        <v>69960751.941629067</v>
      </c>
      <c r="BC60" s="81">
        <f t="shared" si="18"/>
        <v>69932180.008391142</v>
      </c>
      <c r="BD60" s="81">
        <f t="shared" si="18"/>
        <v>70216101.798798442</v>
      </c>
      <c r="BE60" s="81">
        <f t="shared" si="18"/>
        <v>72349608.063681513</v>
      </c>
      <c r="BF60" s="81">
        <f t="shared" si="18"/>
        <v>72598061.251603007</v>
      </c>
      <c r="BG60" s="81">
        <f t="shared" si="18"/>
        <v>72755694.643245533</v>
      </c>
      <c r="BH60" s="81">
        <f t="shared" si="18"/>
        <v>72899463.644550741</v>
      </c>
      <c r="BI60" s="81">
        <f t="shared" si="18"/>
        <v>73021797.12998274</v>
      </c>
      <c r="BJ60" s="81">
        <f t="shared" si="18"/>
        <v>73129313.08922267</v>
      </c>
    </row>
    <row r="61" spans="1:62">
      <c r="A61" s="95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</row>
    <row r="62" spans="1:62">
      <c r="A62" s="6" t="s">
        <v>88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</row>
    <row r="63" spans="1:62">
      <c r="A63" s="102" t="s">
        <v>89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</row>
    <row r="64" spans="1:62">
      <c r="A64" s="103" t="s">
        <v>90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</row>
    <row r="65" spans="1:62">
      <c r="A65" s="103" t="s">
        <v>91</v>
      </c>
      <c r="C65" s="81">
        <f>C256</f>
        <v>0</v>
      </c>
      <c r="D65" s="81">
        <f t="shared" ref="D65:BJ65" si="19">D256</f>
        <v>0</v>
      </c>
      <c r="E65" s="81">
        <f t="shared" si="19"/>
        <v>0</v>
      </c>
      <c r="F65" s="81">
        <f t="shared" si="19"/>
        <v>0</v>
      </c>
      <c r="G65" s="81">
        <f t="shared" si="19"/>
        <v>0</v>
      </c>
      <c r="H65" s="81">
        <f t="shared" si="19"/>
        <v>0</v>
      </c>
      <c r="I65" s="81">
        <f t="shared" si="19"/>
        <v>0</v>
      </c>
      <c r="J65" s="81">
        <f t="shared" si="19"/>
        <v>0</v>
      </c>
      <c r="K65" s="81">
        <f t="shared" si="19"/>
        <v>0</v>
      </c>
      <c r="L65" s="81">
        <f t="shared" si="19"/>
        <v>0</v>
      </c>
      <c r="M65" s="81">
        <f t="shared" si="19"/>
        <v>0</v>
      </c>
      <c r="N65" s="81">
        <f t="shared" si="19"/>
        <v>0</v>
      </c>
      <c r="O65" s="81">
        <f t="shared" si="19"/>
        <v>0</v>
      </c>
      <c r="P65" s="81">
        <f t="shared" si="19"/>
        <v>291666.66666666669</v>
      </c>
      <c r="Q65" s="81">
        <f t="shared" si="19"/>
        <v>583333.33333333337</v>
      </c>
      <c r="R65" s="81">
        <f t="shared" si="19"/>
        <v>875000</v>
      </c>
      <c r="S65" s="81">
        <f t="shared" si="19"/>
        <v>1166666.6666666667</v>
      </c>
      <c r="T65" s="81">
        <f t="shared" si="19"/>
        <v>1458333.3333333335</v>
      </c>
      <c r="U65" s="81">
        <f t="shared" si="19"/>
        <v>1750000.0000000002</v>
      </c>
      <c r="V65" s="81">
        <f t="shared" si="19"/>
        <v>2041666.666666667</v>
      </c>
      <c r="W65" s="81">
        <f t="shared" si="19"/>
        <v>2333333.3333333335</v>
      </c>
      <c r="X65" s="81">
        <f t="shared" si="19"/>
        <v>2625000</v>
      </c>
      <c r="Y65" s="81">
        <f t="shared" si="19"/>
        <v>2916666.6666666665</v>
      </c>
      <c r="Z65" s="81">
        <f t="shared" si="19"/>
        <v>3208333.333333333</v>
      </c>
      <c r="AA65" s="81">
        <f t="shared" si="19"/>
        <v>3499999.9999999995</v>
      </c>
      <c r="AB65" s="81">
        <f t="shared" si="19"/>
        <v>3641493.055555555</v>
      </c>
      <c r="AC65" s="81">
        <f t="shared" si="19"/>
        <v>3782986.1111111105</v>
      </c>
      <c r="AD65" s="81">
        <f t="shared" si="19"/>
        <v>3924479.166666666</v>
      </c>
      <c r="AE65" s="81">
        <f t="shared" si="19"/>
        <v>4065972.2222222215</v>
      </c>
      <c r="AF65" s="81">
        <f t="shared" si="19"/>
        <v>4207465.2777777771</v>
      </c>
      <c r="AG65" s="81">
        <f t="shared" si="19"/>
        <v>4348958.3333333321</v>
      </c>
      <c r="AH65" s="81">
        <f t="shared" si="19"/>
        <v>4490451.3888888871</v>
      </c>
      <c r="AI65" s="81">
        <f t="shared" si="19"/>
        <v>4631944.4444444422</v>
      </c>
      <c r="AJ65" s="81">
        <f t="shared" si="19"/>
        <v>4773437.4999999981</v>
      </c>
      <c r="AK65" s="81">
        <f t="shared" si="19"/>
        <v>4914930.5555555532</v>
      </c>
      <c r="AL65" s="81">
        <f t="shared" si="19"/>
        <v>5056423.6111111082</v>
      </c>
      <c r="AM65" s="81">
        <f t="shared" si="19"/>
        <v>5197916.6666666633</v>
      </c>
      <c r="AN65" s="81">
        <f t="shared" si="19"/>
        <v>5196741.1747685159</v>
      </c>
      <c r="AO65" s="81">
        <f t="shared" si="19"/>
        <v>5195565.6828703685</v>
      </c>
      <c r="AP65" s="81">
        <f t="shared" si="19"/>
        <v>5194390.1909722211</v>
      </c>
      <c r="AQ65" s="81">
        <f t="shared" si="19"/>
        <v>5193214.6990740737</v>
      </c>
      <c r="AR65" s="81">
        <f t="shared" si="19"/>
        <v>5192039.2071759254</v>
      </c>
      <c r="AS65" s="81">
        <f t="shared" si="19"/>
        <v>5190863.715277778</v>
      </c>
      <c r="AT65" s="81">
        <f t="shared" si="19"/>
        <v>5189688.2233796297</v>
      </c>
      <c r="AU65" s="81">
        <f t="shared" si="19"/>
        <v>5188512.7314814823</v>
      </c>
      <c r="AV65" s="81">
        <f t="shared" si="19"/>
        <v>5187337.2395833349</v>
      </c>
      <c r="AW65" s="81">
        <f t="shared" si="19"/>
        <v>5186161.7476851866</v>
      </c>
      <c r="AX65" s="81">
        <f t="shared" si="19"/>
        <v>5184986.2557870392</v>
      </c>
      <c r="AY65" s="81">
        <f t="shared" si="19"/>
        <v>5183810.7638888918</v>
      </c>
      <c r="AZ65" s="81">
        <f t="shared" si="19"/>
        <v>4751826.5335648172</v>
      </c>
      <c r="BA65" s="81">
        <f t="shared" si="19"/>
        <v>5183810.7638888909</v>
      </c>
      <c r="BB65" s="81">
        <f t="shared" si="19"/>
        <v>5183810.7638888909</v>
      </c>
      <c r="BC65" s="81">
        <f t="shared" si="19"/>
        <v>5183810.7638888909</v>
      </c>
      <c r="BD65" s="81">
        <f t="shared" si="19"/>
        <v>5183810.7638888909</v>
      </c>
      <c r="BE65" s="81">
        <f t="shared" si="19"/>
        <v>5183810.7638888909</v>
      </c>
      <c r="BF65" s="81">
        <f t="shared" si="19"/>
        <v>5183810.7638888909</v>
      </c>
      <c r="BG65" s="81">
        <f t="shared" si="19"/>
        <v>5183810.7638888909</v>
      </c>
      <c r="BH65" s="81">
        <f t="shared" si="19"/>
        <v>5183810.7638888909</v>
      </c>
      <c r="BI65" s="81">
        <f t="shared" si="19"/>
        <v>5183810.7638888909</v>
      </c>
      <c r="BJ65" s="81">
        <f t="shared" si="19"/>
        <v>5183810.7638888909</v>
      </c>
    </row>
    <row r="66" spans="1:62">
      <c r="A66" s="103" t="s">
        <v>92</v>
      </c>
      <c r="C66" s="81">
        <f>C249</f>
        <v>41924.093749999942</v>
      </c>
      <c r="D66" s="81">
        <f t="shared" ref="D66:BJ66" si="20">D249</f>
        <v>41491.370937500003</v>
      </c>
      <c r="E66" s="81">
        <f t="shared" si="20"/>
        <v>41071.629809375008</v>
      </c>
      <c r="F66" s="81">
        <f t="shared" si="20"/>
        <v>40664.480915093765</v>
      </c>
      <c r="G66" s="81">
        <f t="shared" si="20"/>
        <v>40269.546487640968</v>
      </c>
      <c r="H66" s="81">
        <f t="shared" si="20"/>
        <v>39886.46009301173</v>
      </c>
      <c r="I66" s="81">
        <f t="shared" si="20"/>
        <v>39514.86629022134</v>
      </c>
      <c r="J66" s="81">
        <f t="shared" si="20"/>
        <v>39154.420301514707</v>
      </c>
      <c r="K66" s="81">
        <f t="shared" si="20"/>
        <v>38804.787692469312</v>
      </c>
      <c r="L66" s="81">
        <f t="shared" si="20"/>
        <v>38465.64406169526</v>
      </c>
      <c r="M66" s="81">
        <f t="shared" si="20"/>
        <v>38136.674739844399</v>
      </c>
      <c r="N66" s="81">
        <f t="shared" si="20"/>
        <v>306008.98074764916</v>
      </c>
      <c r="O66" s="81">
        <f t="shared" si="20"/>
        <v>300771.63328691362</v>
      </c>
      <c r="P66" s="81">
        <f t="shared" si="20"/>
        <v>27500</v>
      </c>
      <c r="Q66" s="81">
        <f t="shared" si="20"/>
        <v>269126.23353983014</v>
      </c>
      <c r="R66" s="81">
        <f t="shared" si="20"/>
        <v>269126.23353983014</v>
      </c>
      <c r="S66" s="81">
        <f t="shared" si="20"/>
        <v>27500</v>
      </c>
      <c r="T66" s="81">
        <f t="shared" si="20"/>
        <v>248025.73944349703</v>
      </c>
      <c r="U66" s="81">
        <f t="shared" si="20"/>
        <v>248025.73944349703</v>
      </c>
      <c r="V66" s="81">
        <f t="shared" si="20"/>
        <v>27500</v>
      </c>
      <c r="W66" s="81">
        <f t="shared" si="20"/>
        <v>27500</v>
      </c>
      <c r="X66" s="81">
        <f t="shared" si="20"/>
        <v>27500</v>
      </c>
      <c r="Y66" s="81">
        <f t="shared" si="20"/>
        <v>43750</v>
      </c>
      <c r="Z66" s="81">
        <f t="shared" si="20"/>
        <v>202651.90942406538</v>
      </c>
      <c r="AA66" s="81">
        <f t="shared" si="20"/>
        <v>202651.90942406538</v>
      </c>
      <c r="AB66" s="81">
        <f t="shared" si="20"/>
        <v>60000</v>
      </c>
      <c r="AC66" s="81">
        <f t="shared" si="20"/>
        <v>280296.00185396464</v>
      </c>
      <c r="AD66" s="81">
        <f t="shared" si="20"/>
        <v>280296.00185396464</v>
      </c>
      <c r="AE66" s="81">
        <f t="shared" si="20"/>
        <v>60000</v>
      </c>
      <c r="AF66" s="81">
        <f t="shared" si="20"/>
        <v>261058.21290006384</v>
      </c>
      <c r="AG66" s="81">
        <f t="shared" si="20"/>
        <v>261058.21290006384</v>
      </c>
      <c r="AH66" s="81">
        <f t="shared" si="20"/>
        <v>60000</v>
      </c>
      <c r="AI66" s="81">
        <f t="shared" si="20"/>
        <v>60000</v>
      </c>
      <c r="AJ66" s="81">
        <f t="shared" si="20"/>
        <v>60000</v>
      </c>
      <c r="AK66" s="81">
        <f t="shared" si="20"/>
        <v>80833.333333333256</v>
      </c>
      <c r="AL66" s="81">
        <f t="shared" si="20"/>
        <v>213385.96687186381</v>
      </c>
      <c r="AM66" s="81">
        <f t="shared" si="20"/>
        <v>213385.96687186405</v>
      </c>
      <c r="AN66" s="81">
        <f t="shared" si="20"/>
        <v>101666.66666666674</v>
      </c>
      <c r="AO66" s="81">
        <f t="shared" si="20"/>
        <v>315776.95377353707</v>
      </c>
      <c r="AP66" s="81">
        <f t="shared" si="20"/>
        <v>315776.9537735373</v>
      </c>
      <c r="AQ66" s="81">
        <f t="shared" si="20"/>
        <v>101666.66666666686</v>
      </c>
      <c r="AR66" s="81">
        <f t="shared" si="20"/>
        <v>297079.3447313559</v>
      </c>
      <c r="AS66" s="81">
        <f t="shared" si="20"/>
        <v>297079.34473135613</v>
      </c>
      <c r="AT66" s="81">
        <f t="shared" si="20"/>
        <v>101666.66666666674</v>
      </c>
      <c r="AU66" s="81">
        <f t="shared" si="20"/>
        <v>101666.66666666674</v>
      </c>
      <c r="AV66" s="81">
        <f t="shared" si="20"/>
        <v>101666.66666666674</v>
      </c>
      <c r="AW66" s="81">
        <f t="shared" si="20"/>
        <v>122500</v>
      </c>
      <c r="AX66" s="81">
        <f t="shared" si="20"/>
        <v>245197.53385300573</v>
      </c>
      <c r="AY66" s="81">
        <f t="shared" si="20"/>
        <v>245197.53385300597</v>
      </c>
      <c r="AZ66" s="81">
        <f t="shared" si="20"/>
        <v>143333.33333333326</v>
      </c>
      <c r="BA66" s="81">
        <f t="shared" si="20"/>
        <v>353151.70951563492</v>
      </c>
      <c r="BB66" s="81">
        <f t="shared" si="20"/>
        <v>353151.70951563539</v>
      </c>
      <c r="BC66" s="81">
        <f t="shared" si="20"/>
        <v>143333.33333333372</v>
      </c>
      <c r="BD66" s="81">
        <f t="shared" si="20"/>
        <v>334828.90017876425</v>
      </c>
      <c r="BE66" s="81">
        <f t="shared" si="20"/>
        <v>334828.90017876378</v>
      </c>
      <c r="BF66" s="81">
        <f t="shared" si="20"/>
        <v>334828.90017876378</v>
      </c>
      <c r="BG66" s="81">
        <f t="shared" si="20"/>
        <v>334828.90017876378</v>
      </c>
      <c r="BH66" s="81">
        <f t="shared" si="20"/>
        <v>334828.90017876378</v>
      </c>
      <c r="BI66" s="81">
        <f t="shared" si="20"/>
        <v>334828.90017876378</v>
      </c>
      <c r="BJ66" s="81">
        <f t="shared" si="20"/>
        <v>334828.90017876378</v>
      </c>
    </row>
    <row r="67" spans="1:62">
      <c r="A67" s="103" t="s">
        <v>93</v>
      </c>
      <c r="C67" s="81">
        <f>0.5*C29</f>
        <v>107420.625</v>
      </c>
      <c r="D67" s="81">
        <f t="shared" ref="D67:BJ67" si="21">0.5*D29</f>
        <v>69322.324999999997</v>
      </c>
      <c r="E67" s="81">
        <f t="shared" si="21"/>
        <v>69298.911500000002</v>
      </c>
      <c r="F67" s="81">
        <f t="shared" si="21"/>
        <v>69419.950405000011</v>
      </c>
      <c r="G67" s="81">
        <f t="shared" si="21"/>
        <v>69397.920642849989</v>
      </c>
      <c r="H67" s="81">
        <f t="shared" si="21"/>
        <v>69980.301773564512</v>
      </c>
      <c r="I67" s="81">
        <f t="shared" si="21"/>
        <v>70103.323970357567</v>
      </c>
      <c r="J67" s="81">
        <f t="shared" si="21"/>
        <v>70083.218001246845</v>
      </c>
      <c r="K67" s="81">
        <f t="shared" si="21"/>
        <v>70063.715211209434</v>
      </c>
      <c r="L67" s="81">
        <f t="shared" si="21"/>
        <v>70188.547504873161</v>
      </c>
      <c r="M67" s="81">
        <f t="shared" si="21"/>
        <v>70170.197329726958</v>
      </c>
      <c r="N67" s="81">
        <f t="shared" si="21"/>
        <v>70152.397659835144</v>
      </c>
      <c r="O67" s="81">
        <f t="shared" si="21"/>
        <v>72778.881980040096</v>
      </c>
      <c r="P67" s="81">
        <f t="shared" si="21"/>
        <v>109303.23843730558</v>
      </c>
      <c r="Q67" s="81">
        <f t="shared" si="21"/>
        <v>80031.041666666672</v>
      </c>
      <c r="R67" s="81">
        <f t="shared" si="21"/>
        <v>79887.291666666672</v>
      </c>
      <c r="S67" s="81">
        <f t="shared" si="21"/>
        <v>112100.432316166</v>
      </c>
      <c r="T67" s="81">
        <f t="shared" si="21"/>
        <v>83624.791666666672</v>
      </c>
      <c r="U67" s="81">
        <f t="shared" si="21"/>
        <v>83222.291666666672</v>
      </c>
      <c r="V67" s="81">
        <f t="shared" si="21"/>
        <v>117573.8537180838</v>
      </c>
      <c r="W67" s="81">
        <f t="shared" si="21"/>
        <v>89681.458333333343</v>
      </c>
      <c r="X67" s="81">
        <f t="shared" si="21"/>
        <v>89278.958333333343</v>
      </c>
      <c r="Y67" s="81">
        <f t="shared" si="21"/>
        <v>89135.208333333343</v>
      </c>
      <c r="Z67" s="81">
        <f t="shared" si="21"/>
        <v>88847.708333333343</v>
      </c>
      <c r="AA67" s="81">
        <f t="shared" si="21"/>
        <v>98132.708333333343</v>
      </c>
      <c r="AB67" s="81">
        <f t="shared" si="21"/>
        <v>129992.17625306803</v>
      </c>
      <c r="AC67" s="81">
        <f t="shared" si="21"/>
        <v>101381.45833333334</v>
      </c>
      <c r="AD67" s="81">
        <f t="shared" si="21"/>
        <v>101237.70833333334</v>
      </c>
      <c r="AE67" s="81">
        <f t="shared" si="21"/>
        <v>132715.93835179132</v>
      </c>
      <c r="AF67" s="81">
        <f t="shared" si="21"/>
        <v>104572.70833333334</v>
      </c>
      <c r="AG67" s="81">
        <f t="shared" si="21"/>
        <v>104428.95833333334</v>
      </c>
      <c r="AH67" s="81">
        <f t="shared" si="21"/>
        <v>135100.6206277195</v>
      </c>
      <c r="AI67" s="81">
        <f t="shared" si="21"/>
        <v>107620.20833333334</v>
      </c>
      <c r="AJ67" s="81">
        <f t="shared" si="21"/>
        <v>107332.70833333334</v>
      </c>
      <c r="AK67" s="81">
        <f t="shared" si="21"/>
        <v>106786.45833333334</v>
      </c>
      <c r="AL67" s="81">
        <f t="shared" si="21"/>
        <v>106642.70833333334</v>
      </c>
      <c r="AM67" s="81">
        <f t="shared" si="21"/>
        <v>123450.62500000001</v>
      </c>
      <c r="AN67" s="81">
        <f t="shared" si="21"/>
        <v>154731.57853268163</v>
      </c>
      <c r="AO67" s="81">
        <f t="shared" si="21"/>
        <v>126354.37500000001</v>
      </c>
      <c r="AP67" s="81">
        <f t="shared" si="21"/>
        <v>126210.62500000001</v>
      </c>
      <c r="AQ67" s="81">
        <f t="shared" si="21"/>
        <v>157331.98274228314</v>
      </c>
      <c r="AR67" s="81">
        <f t="shared" si="21"/>
        <v>129545.62500000001</v>
      </c>
      <c r="AS67" s="81">
        <f t="shared" si="21"/>
        <v>129258.12500000001</v>
      </c>
      <c r="AT67" s="81">
        <f t="shared" si="21"/>
        <v>159131.52634722277</v>
      </c>
      <c r="AU67" s="81">
        <f t="shared" si="21"/>
        <v>132104.375</v>
      </c>
      <c r="AV67" s="81">
        <f t="shared" si="21"/>
        <v>131558.125</v>
      </c>
      <c r="AW67" s="81">
        <f t="shared" si="21"/>
        <v>131414.375</v>
      </c>
      <c r="AX67" s="81">
        <f t="shared" si="21"/>
        <v>131126.875</v>
      </c>
      <c r="AY67" s="81">
        <f t="shared" si="21"/>
        <v>162341.04166666669</v>
      </c>
      <c r="AZ67" s="81">
        <f t="shared" si="21"/>
        <v>193804.97302570904</v>
      </c>
      <c r="BA67" s="81">
        <f t="shared" si="21"/>
        <v>165589.79166666669</v>
      </c>
      <c r="BB67" s="81">
        <f t="shared" si="21"/>
        <v>165187.29166666669</v>
      </c>
      <c r="BC67" s="81">
        <f t="shared" si="21"/>
        <v>196160.77614566789</v>
      </c>
      <c r="BD67" s="81">
        <f t="shared" si="21"/>
        <v>168637.29166666669</v>
      </c>
      <c r="BE67" s="81">
        <f t="shared" si="21"/>
        <v>168234.79166666669</v>
      </c>
      <c r="BF67" s="81">
        <f t="shared" si="21"/>
        <v>198231.98307907017</v>
      </c>
      <c r="BG67" s="81">
        <f t="shared" si="21"/>
        <v>171339.79166666669</v>
      </c>
      <c r="BH67" s="81">
        <f t="shared" si="21"/>
        <v>170793.54166666669</v>
      </c>
      <c r="BI67" s="81">
        <f t="shared" si="21"/>
        <v>170247.29166666669</v>
      </c>
      <c r="BJ67" s="81">
        <f t="shared" si="21"/>
        <v>169959.79166666669</v>
      </c>
    </row>
    <row r="68" spans="1:62">
      <c r="A68" s="103" t="s">
        <v>94</v>
      </c>
      <c r="C68" s="81">
        <f>C38</f>
        <v>0</v>
      </c>
      <c r="D68" s="81">
        <f t="shared" ref="D68:BJ68" si="22">D38</f>
        <v>0</v>
      </c>
      <c r="E68" s="81">
        <f t="shared" si="22"/>
        <v>0</v>
      </c>
      <c r="F68" s="81">
        <f t="shared" si="22"/>
        <v>0</v>
      </c>
      <c r="G68" s="81">
        <f t="shared" si="22"/>
        <v>0</v>
      </c>
      <c r="H68" s="81">
        <f t="shared" si="22"/>
        <v>0</v>
      </c>
      <c r="I68" s="81">
        <f t="shared" si="22"/>
        <v>0</v>
      </c>
      <c r="J68" s="81">
        <f t="shared" si="22"/>
        <v>0</v>
      </c>
      <c r="K68" s="81">
        <f t="shared" si="22"/>
        <v>0</v>
      </c>
      <c r="L68" s="81">
        <f t="shared" si="22"/>
        <v>0</v>
      </c>
      <c r="M68" s="81">
        <f t="shared" si="22"/>
        <v>0</v>
      </c>
      <c r="N68" s="81">
        <f t="shared" si="22"/>
        <v>0</v>
      </c>
      <c r="O68" s="81">
        <f t="shared" si="22"/>
        <v>0</v>
      </c>
      <c r="P68" s="81">
        <f t="shared" si="22"/>
        <v>0</v>
      </c>
      <c r="Q68" s="81">
        <f t="shared" si="22"/>
        <v>0</v>
      </c>
      <c r="R68" s="81">
        <f t="shared" si="22"/>
        <v>0</v>
      </c>
      <c r="S68" s="81">
        <f t="shared" si="22"/>
        <v>0</v>
      </c>
      <c r="T68" s="81">
        <f t="shared" si="22"/>
        <v>13027.980817105099</v>
      </c>
      <c r="U68" s="81">
        <f t="shared" si="22"/>
        <v>0</v>
      </c>
      <c r="V68" s="81">
        <f t="shared" si="22"/>
        <v>31409.159499818546</v>
      </c>
      <c r="W68" s="81">
        <f t="shared" si="22"/>
        <v>43563.191913242925</v>
      </c>
      <c r="X68" s="81">
        <f t="shared" si="22"/>
        <v>38709.820533852224</v>
      </c>
      <c r="Y68" s="81">
        <f t="shared" si="22"/>
        <v>31850.427275010155</v>
      </c>
      <c r="Z68" s="81">
        <f t="shared" si="22"/>
        <v>25214.863209766376</v>
      </c>
      <c r="AA68" s="81">
        <f t="shared" si="22"/>
        <v>27061.451603889185</v>
      </c>
      <c r="AB68" s="81">
        <f t="shared" si="22"/>
        <v>42533.398439118209</v>
      </c>
      <c r="AC68" s="81">
        <f t="shared" si="22"/>
        <v>56708.447183081138</v>
      </c>
      <c r="AD68" s="81">
        <f t="shared" si="22"/>
        <v>40080.952413891922</v>
      </c>
      <c r="AE68" s="81">
        <f t="shared" si="22"/>
        <v>84190.300377724285</v>
      </c>
      <c r="AF68" s="81">
        <f t="shared" si="22"/>
        <v>98286.50587539046</v>
      </c>
      <c r="AG68" s="81">
        <f t="shared" si="22"/>
        <v>79719.311608927223</v>
      </c>
      <c r="AH68" s="81">
        <f t="shared" si="22"/>
        <v>123175.44393848382</v>
      </c>
      <c r="AI68" s="81">
        <f t="shared" si="22"/>
        <v>132951.22106398104</v>
      </c>
      <c r="AJ68" s="81">
        <f t="shared" si="22"/>
        <v>123900.68117782546</v>
      </c>
      <c r="AK68" s="81">
        <f t="shared" si="22"/>
        <v>115377.37207158779</v>
      </c>
      <c r="AL68" s="81">
        <f t="shared" si="22"/>
        <v>106764.38973853734</v>
      </c>
      <c r="AM68" s="81">
        <f t="shared" si="22"/>
        <v>107028.6425688709</v>
      </c>
      <c r="AN68" s="81">
        <f t="shared" si="22"/>
        <v>146058.64057631613</v>
      </c>
      <c r="AO68" s="81">
        <f t="shared" si="22"/>
        <v>158785.91792227654</v>
      </c>
      <c r="AP68" s="81">
        <f t="shared" si="22"/>
        <v>140760.08799743152</v>
      </c>
      <c r="AQ68" s="81">
        <f t="shared" si="22"/>
        <v>189118.05758122992</v>
      </c>
      <c r="AR68" s="81">
        <f t="shared" si="22"/>
        <v>199357.79646253024</v>
      </c>
      <c r="AS68" s="81">
        <f t="shared" si="22"/>
        <v>179564.50935197866</v>
      </c>
      <c r="AT68" s="81">
        <f t="shared" si="22"/>
        <v>230231.1368882659</v>
      </c>
      <c r="AU68" s="81">
        <f t="shared" si="22"/>
        <v>238113.14547282644</v>
      </c>
      <c r="AV68" s="81">
        <f t="shared" si="22"/>
        <v>227849.27778334939</v>
      </c>
      <c r="AW68" s="81">
        <f t="shared" si="22"/>
        <v>217539.04628948731</v>
      </c>
      <c r="AX68" s="81">
        <f t="shared" si="22"/>
        <v>207701.41023870496</v>
      </c>
      <c r="AY68" s="81">
        <f t="shared" si="22"/>
        <v>198437.72883229409</v>
      </c>
      <c r="AZ68" s="81">
        <f t="shared" si="22"/>
        <v>238335.89076379695</v>
      </c>
      <c r="BA68" s="81">
        <f t="shared" si="22"/>
        <v>249284.46089427383</v>
      </c>
      <c r="BB68" s="81">
        <f t="shared" si="22"/>
        <v>229945.42967688211</v>
      </c>
      <c r="BC68" s="81">
        <f t="shared" si="22"/>
        <v>284270.91646321578</v>
      </c>
      <c r="BD68" s="81">
        <f t="shared" si="22"/>
        <v>292671.69918985426</v>
      </c>
      <c r="BE68" s="81">
        <f t="shared" si="22"/>
        <v>271330.97637228738</v>
      </c>
      <c r="BF68" s="81">
        <f t="shared" si="22"/>
        <v>322619.92112190399</v>
      </c>
      <c r="BG68" s="81">
        <f t="shared" si="22"/>
        <v>328695.40707531903</v>
      </c>
      <c r="BH68" s="81">
        <f t="shared" si="22"/>
        <v>316748.21104661177</v>
      </c>
      <c r="BI68" s="81">
        <f t="shared" si="22"/>
        <v>305064.26188093401</v>
      </c>
      <c r="BJ68" s="81">
        <f t="shared" si="22"/>
        <v>295698.18300572928</v>
      </c>
    </row>
    <row r="69" spans="1:62">
      <c r="A69" s="104" t="s">
        <v>95</v>
      </c>
      <c r="C69" s="81">
        <f>SUM(C64:C68)</f>
        <v>149344.71874999994</v>
      </c>
      <c r="D69" s="81">
        <f t="shared" ref="D69:BJ69" si="23">SUM(D64:D68)</f>
        <v>110813.6959375</v>
      </c>
      <c r="E69" s="81">
        <f t="shared" si="23"/>
        <v>110370.54130937501</v>
      </c>
      <c r="F69" s="81">
        <f t="shared" si="23"/>
        <v>110084.43132009378</v>
      </c>
      <c r="G69" s="81">
        <f t="shared" si="23"/>
        <v>109667.46713049096</v>
      </c>
      <c r="H69" s="81">
        <f t="shared" si="23"/>
        <v>109866.76186657624</v>
      </c>
      <c r="I69" s="81">
        <f t="shared" si="23"/>
        <v>109618.19026057891</v>
      </c>
      <c r="J69" s="81">
        <f t="shared" si="23"/>
        <v>109237.63830276155</v>
      </c>
      <c r="K69" s="81">
        <f t="shared" si="23"/>
        <v>108868.50290367875</v>
      </c>
      <c r="L69" s="81">
        <f t="shared" si="23"/>
        <v>108654.19156656842</v>
      </c>
      <c r="M69" s="81">
        <f t="shared" si="23"/>
        <v>108306.87206957136</v>
      </c>
      <c r="N69" s="81">
        <f t="shared" si="23"/>
        <v>376161.37840748427</v>
      </c>
      <c r="O69" s="81">
        <f t="shared" si="23"/>
        <v>373550.51526695373</v>
      </c>
      <c r="P69" s="81">
        <f t="shared" si="23"/>
        <v>428469.9051039723</v>
      </c>
      <c r="Q69" s="81">
        <f t="shared" si="23"/>
        <v>932490.60853983008</v>
      </c>
      <c r="R69" s="81">
        <f t="shared" si="23"/>
        <v>1224013.5252064969</v>
      </c>
      <c r="S69" s="81">
        <f t="shared" si="23"/>
        <v>1306267.0989828329</v>
      </c>
      <c r="T69" s="81">
        <f t="shared" si="23"/>
        <v>1803011.8452606024</v>
      </c>
      <c r="U69" s="81">
        <f t="shared" si="23"/>
        <v>2081248.031110164</v>
      </c>
      <c r="V69" s="81">
        <f t="shared" si="23"/>
        <v>2218149.6798845693</v>
      </c>
      <c r="W69" s="81">
        <f t="shared" si="23"/>
        <v>2494077.9835799099</v>
      </c>
      <c r="X69" s="81">
        <f t="shared" si="23"/>
        <v>2780488.7788671856</v>
      </c>
      <c r="Y69" s="81">
        <f t="shared" si="23"/>
        <v>3081402.3022750104</v>
      </c>
      <c r="Z69" s="81">
        <f t="shared" si="23"/>
        <v>3525047.8143004985</v>
      </c>
      <c r="AA69" s="81">
        <f t="shared" si="23"/>
        <v>3827846.0693612872</v>
      </c>
      <c r="AB69" s="81">
        <f t="shared" si="23"/>
        <v>3874018.6302477415</v>
      </c>
      <c r="AC69" s="81">
        <f t="shared" si="23"/>
        <v>4221372.0184814902</v>
      </c>
      <c r="AD69" s="81">
        <f t="shared" si="23"/>
        <v>4346093.8292678557</v>
      </c>
      <c r="AE69" s="81">
        <f t="shared" si="23"/>
        <v>4342878.4609517371</v>
      </c>
      <c r="AF69" s="81">
        <f t="shared" si="23"/>
        <v>4671382.7048865641</v>
      </c>
      <c r="AG69" s="81">
        <f t="shared" si="23"/>
        <v>4794164.8161756564</v>
      </c>
      <c r="AH69" s="81">
        <f t="shared" si="23"/>
        <v>4808727.4534550905</v>
      </c>
      <c r="AI69" s="81">
        <f t="shared" si="23"/>
        <v>4932515.873841756</v>
      </c>
      <c r="AJ69" s="81">
        <f t="shared" si="23"/>
        <v>5064670.8895111568</v>
      </c>
      <c r="AK69" s="81">
        <f t="shared" si="23"/>
        <v>5217927.7192938067</v>
      </c>
      <c r="AL69" s="81">
        <f t="shared" si="23"/>
        <v>5483216.6760548428</v>
      </c>
      <c r="AM69" s="81">
        <f t="shared" si="23"/>
        <v>5641781.9011073979</v>
      </c>
      <c r="AN69" s="81">
        <f t="shared" si="23"/>
        <v>5599198.0605441807</v>
      </c>
      <c r="AO69" s="81">
        <f t="shared" si="23"/>
        <v>5796482.9295661822</v>
      </c>
      <c r="AP69" s="81">
        <f t="shared" si="23"/>
        <v>5777137.8577431906</v>
      </c>
      <c r="AQ69" s="81">
        <f t="shared" si="23"/>
        <v>5641331.4060642542</v>
      </c>
      <c r="AR69" s="81">
        <f t="shared" si="23"/>
        <v>5818021.9733698117</v>
      </c>
      <c r="AS69" s="81">
        <f t="shared" si="23"/>
        <v>5796765.694361113</v>
      </c>
      <c r="AT69" s="81">
        <f t="shared" si="23"/>
        <v>5680717.553281785</v>
      </c>
      <c r="AU69" s="81">
        <f t="shared" si="23"/>
        <v>5660396.9186209757</v>
      </c>
      <c r="AV69" s="81">
        <f t="shared" si="23"/>
        <v>5648411.309033351</v>
      </c>
      <c r="AW69" s="81">
        <f t="shared" si="23"/>
        <v>5657615.1689746743</v>
      </c>
      <c r="AX69" s="81">
        <f t="shared" si="23"/>
        <v>5769012.0748787494</v>
      </c>
      <c r="AY69" s="81">
        <f t="shared" si="23"/>
        <v>5789787.0682408586</v>
      </c>
      <c r="AZ69" s="81">
        <f t="shared" si="23"/>
        <v>5327300.7306876564</v>
      </c>
      <c r="BA69" s="81">
        <f t="shared" si="23"/>
        <v>5951836.7259654664</v>
      </c>
      <c r="BB69" s="81">
        <f t="shared" si="23"/>
        <v>5932095.1947480757</v>
      </c>
      <c r="BC69" s="81">
        <f t="shared" si="23"/>
        <v>5807575.7898311084</v>
      </c>
      <c r="BD69" s="81">
        <f t="shared" si="23"/>
        <v>5979948.6549241757</v>
      </c>
      <c r="BE69" s="81">
        <f t="shared" si="23"/>
        <v>5958205.4321066095</v>
      </c>
      <c r="BF69" s="81">
        <f t="shared" si="23"/>
        <v>6039491.5682686288</v>
      </c>
      <c r="BG69" s="81">
        <f t="shared" si="23"/>
        <v>6018674.8628096413</v>
      </c>
      <c r="BH69" s="81">
        <f t="shared" si="23"/>
        <v>6006181.4167809337</v>
      </c>
      <c r="BI69" s="81">
        <f t="shared" si="23"/>
        <v>5993951.2176152561</v>
      </c>
      <c r="BJ69" s="81">
        <f t="shared" si="23"/>
        <v>5984297.6387400515</v>
      </c>
    </row>
    <row r="70" spans="1:62">
      <c r="A70" s="95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</row>
    <row r="71" spans="1:62">
      <c r="A71" s="102" t="s">
        <v>96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</row>
    <row r="72" spans="1:62">
      <c r="A72" s="103" t="s">
        <v>97</v>
      </c>
      <c r="C72" s="81">
        <f>C257</f>
        <v>0</v>
      </c>
      <c r="D72" s="81">
        <f t="shared" ref="D72:BJ72" si="24">D257</f>
        <v>0</v>
      </c>
      <c r="E72" s="81">
        <f t="shared" si="24"/>
        <v>0</v>
      </c>
      <c r="F72" s="81">
        <f t="shared" si="24"/>
        <v>0</v>
      </c>
      <c r="G72" s="81">
        <f t="shared" si="24"/>
        <v>0</v>
      </c>
      <c r="H72" s="81">
        <f t="shared" si="24"/>
        <v>0</v>
      </c>
      <c r="I72" s="81">
        <f t="shared" si="24"/>
        <v>0</v>
      </c>
      <c r="J72" s="81">
        <f t="shared" si="24"/>
        <v>0</v>
      </c>
      <c r="K72" s="81">
        <f t="shared" si="24"/>
        <v>0</v>
      </c>
      <c r="L72" s="81">
        <f t="shared" si="24"/>
        <v>0</v>
      </c>
      <c r="M72" s="81">
        <f t="shared" si="24"/>
        <v>0</v>
      </c>
      <c r="N72" s="81">
        <f t="shared" si="24"/>
        <v>0</v>
      </c>
      <c r="O72" s="81">
        <f t="shared" si="24"/>
        <v>14000000</v>
      </c>
      <c r="P72" s="81">
        <f t="shared" si="24"/>
        <v>13708333.333333334</v>
      </c>
      <c r="Q72" s="81">
        <f t="shared" si="24"/>
        <v>13416666.666666666</v>
      </c>
      <c r="R72" s="81">
        <f t="shared" si="24"/>
        <v>13125000</v>
      </c>
      <c r="S72" s="81">
        <f t="shared" si="24"/>
        <v>12833333.333333334</v>
      </c>
      <c r="T72" s="81">
        <f t="shared" si="24"/>
        <v>12541666.666666666</v>
      </c>
      <c r="U72" s="81">
        <f t="shared" si="24"/>
        <v>12250000</v>
      </c>
      <c r="V72" s="81">
        <f t="shared" si="24"/>
        <v>11958333.333333332</v>
      </c>
      <c r="W72" s="81">
        <f t="shared" si="24"/>
        <v>11666666.666666666</v>
      </c>
      <c r="X72" s="81">
        <f t="shared" si="24"/>
        <v>11375000</v>
      </c>
      <c r="Y72" s="81">
        <f t="shared" si="24"/>
        <v>11083333.333333334</v>
      </c>
      <c r="Z72" s="81">
        <f t="shared" si="24"/>
        <v>10791666.666666668</v>
      </c>
      <c r="AA72" s="81">
        <f t="shared" si="24"/>
        <v>20208333.333333332</v>
      </c>
      <c r="AB72" s="81">
        <f t="shared" si="24"/>
        <v>19775173.611111108</v>
      </c>
      <c r="AC72" s="81">
        <f t="shared" si="24"/>
        <v>19342013.888888884</v>
      </c>
      <c r="AD72" s="81">
        <f t="shared" si="24"/>
        <v>18908854.166666664</v>
      </c>
      <c r="AE72" s="81">
        <f t="shared" si="24"/>
        <v>18475694.44444444</v>
      </c>
      <c r="AF72" s="81">
        <f t="shared" si="24"/>
        <v>18042534.722222216</v>
      </c>
      <c r="AG72" s="81">
        <f t="shared" si="24"/>
        <v>17609374.999999993</v>
      </c>
      <c r="AH72" s="81">
        <f t="shared" si="24"/>
        <v>17176215.277777769</v>
      </c>
      <c r="AI72" s="81">
        <f t="shared" si="24"/>
        <v>16743055.555555547</v>
      </c>
      <c r="AJ72" s="81">
        <f t="shared" si="24"/>
        <v>16309895.833333323</v>
      </c>
      <c r="AK72" s="81">
        <f t="shared" si="24"/>
        <v>15876736.111111101</v>
      </c>
      <c r="AL72" s="81">
        <f t="shared" si="24"/>
        <v>15443576.388888877</v>
      </c>
      <c r="AM72" s="81">
        <f t="shared" si="24"/>
        <v>19868923.611111101</v>
      </c>
      <c r="AN72" s="81">
        <f t="shared" si="24"/>
        <v>19436939.38078703</v>
      </c>
      <c r="AO72" s="81">
        <f t="shared" si="24"/>
        <v>19004955.150462955</v>
      </c>
      <c r="AP72" s="81">
        <f t="shared" si="24"/>
        <v>18572970.920138884</v>
      </c>
      <c r="AQ72" s="81">
        <f t="shared" si="24"/>
        <v>18140986.68981481</v>
      </c>
      <c r="AR72" s="81">
        <f t="shared" si="24"/>
        <v>17709002.459490739</v>
      </c>
      <c r="AS72" s="81">
        <f t="shared" si="24"/>
        <v>17277018.229166664</v>
      </c>
      <c r="AT72" s="81">
        <f t="shared" si="24"/>
        <v>16845033.998842593</v>
      </c>
      <c r="AU72" s="81">
        <f t="shared" si="24"/>
        <v>16413049.768518522</v>
      </c>
      <c r="AV72" s="81">
        <f t="shared" si="24"/>
        <v>15981065.538194448</v>
      </c>
      <c r="AW72" s="81">
        <f t="shared" si="24"/>
        <v>15549081.307870377</v>
      </c>
      <c r="AX72" s="81">
        <f t="shared" si="24"/>
        <v>15117097.077546304</v>
      </c>
      <c r="AY72" s="81">
        <f t="shared" si="24"/>
        <v>19686288.339120377</v>
      </c>
      <c r="AZ72" s="81">
        <f t="shared" si="24"/>
        <v>19686288.339120377</v>
      </c>
      <c r="BA72" s="81">
        <f t="shared" si="24"/>
        <v>18822319.878472228</v>
      </c>
      <c r="BB72" s="81">
        <f t="shared" si="24"/>
        <v>18390335.648148153</v>
      </c>
      <c r="BC72" s="81">
        <f t="shared" si="24"/>
        <v>17958351.417824078</v>
      </c>
      <c r="BD72" s="81">
        <f t="shared" si="24"/>
        <v>17526367.187500004</v>
      </c>
      <c r="BE72" s="81">
        <f t="shared" si="24"/>
        <v>17094382.957175929</v>
      </c>
      <c r="BF72" s="81">
        <f t="shared" si="24"/>
        <v>16662398.726851854</v>
      </c>
      <c r="BG72" s="81">
        <f t="shared" si="24"/>
        <v>16230414.49652778</v>
      </c>
      <c r="BH72" s="81">
        <f t="shared" si="24"/>
        <v>15798430.266203705</v>
      </c>
      <c r="BI72" s="81">
        <f t="shared" si="24"/>
        <v>15366446.035879631</v>
      </c>
      <c r="BJ72" s="81">
        <f t="shared" si="24"/>
        <v>14934461.805555556</v>
      </c>
    </row>
    <row r="73" spans="1:62">
      <c r="A73" s="103" t="s">
        <v>98</v>
      </c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</row>
    <row r="74" spans="1:62">
      <c r="A74" s="104" t="s">
        <v>99</v>
      </c>
      <c r="C74" s="81">
        <f>SUM(C72:C73)</f>
        <v>0</v>
      </c>
      <c r="D74" s="81">
        <f t="shared" ref="D74:BJ74" si="25">SUM(D72:D73)</f>
        <v>0</v>
      </c>
      <c r="E74" s="81">
        <f t="shared" si="25"/>
        <v>0</v>
      </c>
      <c r="F74" s="81">
        <f t="shared" si="25"/>
        <v>0</v>
      </c>
      <c r="G74" s="81">
        <f t="shared" si="25"/>
        <v>0</v>
      </c>
      <c r="H74" s="81">
        <f t="shared" si="25"/>
        <v>0</v>
      </c>
      <c r="I74" s="81">
        <f t="shared" si="25"/>
        <v>0</v>
      </c>
      <c r="J74" s="81">
        <f t="shared" si="25"/>
        <v>0</v>
      </c>
      <c r="K74" s="81">
        <f t="shared" si="25"/>
        <v>0</v>
      </c>
      <c r="L74" s="81">
        <f t="shared" si="25"/>
        <v>0</v>
      </c>
      <c r="M74" s="81">
        <f t="shared" si="25"/>
        <v>0</v>
      </c>
      <c r="N74" s="81">
        <f t="shared" si="25"/>
        <v>0</v>
      </c>
      <c r="O74" s="81">
        <f t="shared" si="25"/>
        <v>14000000</v>
      </c>
      <c r="P74" s="81">
        <f t="shared" si="25"/>
        <v>13708333.333333334</v>
      </c>
      <c r="Q74" s="81">
        <f t="shared" si="25"/>
        <v>13416666.666666666</v>
      </c>
      <c r="R74" s="81">
        <f t="shared" si="25"/>
        <v>13125000</v>
      </c>
      <c r="S74" s="81">
        <f t="shared" si="25"/>
        <v>12833333.333333334</v>
      </c>
      <c r="T74" s="81">
        <f t="shared" si="25"/>
        <v>12541666.666666666</v>
      </c>
      <c r="U74" s="81">
        <f t="shared" si="25"/>
        <v>12250000</v>
      </c>
      <c r="V74" s="81">
        <f t="shared" si="25"/>
        <v>11958333.333333332</v>
      </c>
      <c r="W74" s="81">
        <f t="shared" si="25"/>
        <v>11666666.666666666</v>
      </c>
      <c r="X74" s="81">
        <f t="shared" si="25"/>
        <v>11375000</v>
      </c>
      <c r="Y74" s="81">
        <f t="shared" si="25"/>
        <v>11083333.333333334</v>
      </c>
      <c r="Z74" s="81">
        <f t="shared" si="25"/>
        <v>10791666.666666668</v>
      </c>
      <c r="AA74" s="81">
        <f t="shared" si="25"/>
        <v>20208333.333333332</v>
      </c>
      <c r="AB74" s="81">
        <f t="shared" si="25"/>
        <v>19775173.611111108</v>
      </c>
      <c r="AC74" s="81">
        <f t="shared" si="25"/>
        <v>19342013.888888884</v>
      </c>
      <c r="AD74" s="81">
        <f t="shared" si="25"/>
        <v>18908854.166666664</v>
      </c>
      <c r="AE74" s="81">
        <f t="shared" si="25"/>
        <v>18475694.44444444</v>
      </c>
      <c r="AF74" s="81">
        <f t="shared" si="25"/>
        <v>18042534.722222216</v>
      </c>
      <c r="AG74" s="81">
        <f t="shared" si="25"/>
        <v>17609374.999999993</v>
      </c>
      <c r="AH74" s="81">
        <f t="shared" si="25"/>
        <v>17176215.277777769</v>
      </c>
      <c r="AI74" s="81">
        <f t="shared" si="25"/>
        <v>16743055.555555547</v>
      </c>
      <c r="AJ74" s="81">
        <f t="shared" si="25"/>
        <v>16309895.833333323</v>
      </c>
      <c r="AK74" s="81">
        <f t="shared" si="25"/>
        <v>15876736.111111101</v>
      </c>
      <c r="AL74" s="81">
        <f t="shared" si="25"/>
        <v>15443576.388888877</v>
      </c>
      <c r="AM74" s="81">
        <f t="shared" si="25"/>
        <v>19868923.611111101</v>
      </c>
      <c r="AN74" s="81">
        <f t="shared" si="25"/>
        <v>19436939.38078703</v>
      </c>
      <c r="AO74" s="81">
        <f t="shared" si="25"/>
        <v>19004955.150462955</v>
      </c>
      <c r="AP74" s="81">
        <f t="shared" si="25"/>
        <v>18572970.920138884</v>
      </c>
      <c r="AQ74" s="81">
        <f t="shared" si="25"/>
        <v>18140986.68981481</v>
      </c>
      <c r="AR74" s="81">
        <f t="shared" si="25"/>
        <v>17709002.459490739</v>
      </c>
      <c r="AS74" s="81">
        <f t="shared" si="25"/>
        <v>17277018.229166664</v>
      </c>
      <c r="AT74" s="81">
        <f t="shared" si="25"/>
        <v>16845033.998842593</v>
      </c>
      <c r="AU74" s="81">
        <f t="shared" si="25"/>
        <v>16413049.768518522</v>
      </c>
      <c r="AV74" s="81">
        <f t="shared" si="25"/>
        <v>15981065.538194448</v>
      </c>
      <c r="AW74" s="81">
        <f t="shared" si="25"/>
        <v>15549081.307870377</v>
      </c>
      <c r="AX74" s="81">
        <f t="shared" si="25"/>
        <v>15117097.077546304</v>
      </c>
      <c r="AY74" s="81">
        <f t="shared" si="25"/>
        <v>19686288.339120377</v>
      </c>
      <c r="AZ74" s="81">
        <f t="shared" si="25"/>
        <v>19686288.339120377</v>
      </c>
      <c r="BA74" s="81">
        <f t="shared" si="25"/>
        <v>18822319.878472228</v>
      </c>
      <c r="BB74" s="81">
        <f t="shared" si="25"/>
        <v>18390335.648148153</v>
      </c>
      <c r="BC74" s="81">
        <f t="shared" si="25"/>
        <v>17958351.417824078</v>
      </c>
      <c r="BD74" s="81">
        <f t="shared" si="25"/>
        <v>17526367.187500004</v>
      </c>
      <c r="BE74" s="81">
        <f t="shared" si="25"/>
        <v>17094382.957175929</v>
      </c>
      <c r="BF74" s="81">
        <f t="shared" si="25"/>
        <v>16662398.726851854</v>
      </c>
      <c r="BG74" s="81">
        <f t="shared" si="25"/>
        <v>16230414.49652778</v>
      </c>
      <c r="BH74" s="81">
        <f t="shared" si="25"/>
        <v>15798430.266203705</v>
      </c>
      <c r="BI74" s="81">
        <f t="shared" si="25"/>
        <v>15366446.035879631</v>
      </c>
      <c r="BJ74" s="81">
        <f t="shared" si="25"/>
        <v>14934461.805555556</v>
      </c>
    </row>
    <row r="75" spans="1:62">
      <c r="A75" s="102" t="s">
        <v>100</v>
      </c>
      <c r="C75" s="81">
        <f>C69+C74</f>
        <v>149344.71874999994</v>
      </c>
      <c r="D75" s="81">
        <f t="shared" ref="D75:BJ75" si="26">D69+D74</f>
        <v>110813.6959375</v>
      </c>
      <c r="E75" s="81">
        <f t="shared" si="26"/>
        <v>110370.54130937501</v>
      </c>
      <c r="F75" s="81">
        <f t="shared" si="26"/>
        <v>110084.43132009378</v>
      </c>
      <c r="G75" s="81">
        <f t="shared" si="26"/>
        <v>109667.46713049096</v>
      </c>
      <c r="H75" s="81">
        <f t="shared" si="26"/>
        <v>109866.76186657624</v>
      </c>
      <c r="I75" s="81">
        <f t="shared" si="26"/>
        <v>109618.19026057891</v>
      </c>
      <c r="J75" s="81">
        <f t="shared" si="26"/>
        <v>109237.63830276155</v>
      </c>
      <c r="K75" s="81">
        <f t="shared" si="26"/>
        <v>108868.50290367875</v>
      </c>
      <c r="L75" s="81">
        <f t="shared" si="26"/>
        <v>108654.19156656842</v>
      </c>
      <c r="M75" s="81">
        <f t="shared" si="26"/>
        <v>108306.87206957136</v>
      </c>
      <c r="N75" s="81">
        <f t="shared" si="26"/>
        <v>376161.37840748427</v>
      </c>
      <c r="O75" s="81">
        <f t="shared" si="26"/>
        <v>14373550.515266953</v>
      </c>
      <c r="P75" s="81">
        <f t="shared" si="26"/>
        <v>14136803.238437306</v>
      </c>
      <c r="Q75" s="81">
        <f t="shared" si="26"/>
        <v>14349157.275206497</v>
      </c>
      <c r="R75" s="81">
        <f t="shared" si="26"/>
        <v>14349013.525206497</v>
      </c>
      <c r="S75" s="81">
        <f t="shared" si="26"/>
        <v>14139600.432316167</v>
      </c>
      <c r="T75" s="81">
        <f t="shared" si="26"/>
        <v>14344678.511927269</v>
      </c>
      <c r="U75" s="81">
        <f t="shared" si="26"/>
        <v>14331248.031110164</v>
      </c>
      <c r="V75" s="81">
        <f t="shared" si="26"/>
        <v>14176483.013217902</v>
      </c>
      <c r="W75" s="81">
        <f t="shared" si="26"/>
        <v>14160744.650246575</v>
      </c>
      <c r="X75" s="81">
        <f t="shared" si="26"/>
        <v>14155488.778867185</v>
      </c>
      <c r="Y75" s="81">
        <f t="shared" si="26"/>
        <v>14164735.635608345</v>
      </c>
      <c r="Z75" s="81">
        <f t="shared" si="26"/>
        <v>14316714.480967166</v>
      </c>
      <c r="AA75" s="81">
        <f t="shared" si="26"/>
        <v>24036179.40269462</v>
      </c>
      <c r="AB75" s="81">
        <f t="shared" si="26"/>
        <v>23649192.24135885</v>
      </c>
      <c r="AC75" s="81">
        <f t="shared" si="26"/>
        <v>23563385.907370374</v>
      </c>
      <c r="AD75" s="81">
        <f t="shared" si="26"/>
        <v>23254947.99593452</v>
      </c>
      <c r="AE75" s="81">
        <f t="shared" si="26"/>
        <v>22818572.905396178</v>
      </c>
      <c r="AF75" s="81">
        <f t="shared" si="26"/>
        <v>22713917.42710878</v>
      </c>
      <c r="AG75" s="81">
        <f t="shared" si="26"/>
        <v>22403539.816175647</v>
      </c>
      <c r="AH75" s="81">
        <f t="shared" si="26"/>
        <v>21984942.731232859</v>
      </c>
      <c r="AI75" s="81">
        <f t="shared" si="26"/>
        <v>21675571.429397304</v>
      </c>
      <c r="AJ75" s="81">
        <f t="shared" si="26"/>
        <v>21374566.722844481</v>
      </c>
      <c r="AK75" s="81">
        <f t="shared" si="26"/>
        <v>21094663.830404907</v>
      </c>
      <c r="AL75" s="81">
        <f t="shared" si="26"/>
        <v>20926793.06494372</v>
      </c>
      <c r="AM75" s="81">
        <f t="shared" si="26"/>
        <v>25510705.512218498</v>
      </c>
      <c r="AN75" s="81">
        <f t="shared" si="26"/>
        <v>25036137.441331211</v>
      </c>
      <c r="AO75" s="81">
        <f t="shared" si="26"/>
        <v>24801438.080029137</v>
      </c>
      <c r="AP75" s="81">
        <f t="shared" si="26"/>
        <v>24350108.777882077</v>
      </c>
      <c r="AQ75" s="81">
        <f t="shared" si="26"/>
        <v>23782318.095879063</v>
      </c>
      <c r="AR75" s="81">
        <f t="shared" si="26"/>
        <v>23527024.43286055</v>
      </c>
      <c r="AS75" s="81">
        <f t="shared" si="26"/>
        <v>23073783.923527777</v>
      </c>
      <c r="AT75" s="81">
        <f t="shared" si="26"/>
        <v>22525751.552124377</v>
      </c>
      <c r="AU75" s="81">
        <f t="shared" si="26"/>
        <v>22073446.687139496</v>
      </c>
      <c r="AV75" s="81">
        <f t="shared" si="26"/>
        <v>21629476.847227797</v>
      </c>
      <c r="AW75" s="81">
        <f t="shared" si="26"/>
        <v>21206696.476845052</v>
      </c>
      <c r="AX75" s="81">
        <f t="shared" si="26"/>
        <v>20886109.152425054</v>
      </c>
      <c r="AY75" s="81">
        <f t="shared" si="26"/>
        <v>25476075.407361235</v>
      </c>
      <c r="AZ75" s="81">
        <f t="shared" si="26"/>
        <v>25013589.069808032</v>
      </c>
      <c r="BA75" s="81">
        <f t="shared" si="26"/>
        <v>24774156.604437694</v>
      </c>
      <c r="BB75" s="81">
        <f t="shared" si="26"/>
        <v>24322430.842896231</v>
      </c>
      <c r="BC75" s="81">
        <f t="shared" si="26"/>
        <v>23765927.207655188</v>
      </c>
      <c r="BD75" s="81">
        <f t="shared" si="26"/>
        <v>23506315.84242418</v>
      </c>
      <c r="BE75" s="81">
        <f t="shared" si="26"/>
        <v>23052588.389282539</v>
      </c>
      <c r="BF75" s="81">
        <f t="shared" si="26"/>
        <v>22701890.295120485</v>
      </c>
      <c r="BG75" s="81">
        <f t="shared" si="26"/>
        <v>22249089.359337419</v>
      </c>
      <c r="BH75" s="81">
        <f t="shared" si="26"/>
        <v>21804611.682984639</v>
      </c>
      <c r="BI75" s="81">
        <f t="shared" si="26"/>
        <v>21360397.253494889</v>
      </c>
      <c r="BJ75" s="81">
        <f t="shared" si="26"/>
        <v>20918759.444295608</v>
      </c>
    </row>
    <row r="76" spans="1:62">
      <c r="A76" s="95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</row>
    <row r="77" spans="1:62">
      <c r="A77" s="107" t="s">
        <v>101</v>
      </c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</row>
    <row r="78" spans="1:62">
      <c r="A78" s="108" t="s">
        <v>102</v>
      </c>
      <c r="C78" s="81">
        <f>SUM($C$241:C241)+'Sources &amp; Uses'!$C$10</f>
        <v>15310158.035714285</v>
      </c>
      <c r="D78" s="81">
        <f>SUM($C$241:D241)+'Sources &amp; Uses'!$C$10</f>
        <v>15310158.035714285</v>
      </c>
      <c r="E78" s="81">
        <f>SUM($C$241:E241)+'Sources &amp; Uses'!$C$10</f>
        <v>15310158.035714285</v>
      </c>
      <c r="F78" s="81">
        <f>SUM($C$241:F241)+'Sources &amp; Uses'!$C$10</f>
        <v>15310158.035714285</v>
      </c>
      <c r="G78" s="81">
        <f>SUM($C$241:G241)+'Sources &amp; Uses'!$C$10</f>
        <v>15310158.035714285</v>
      </c>
      <c r="H78" s="81">
        <f>SUM($C$241:H241)+'Sources &amp; Uses'!$C$10</f>
        <v>15310158.035714285</v>
      </c>
      <c r="I78" s="81">
        <f>SUM($C$241:I241)+'Sources &amp; Uses'!$C$10</f>
        <v>15310158.035714285</v>
      </c>
      <c r="J78" s="81">
        <f>SUM($C$241:J241)+'Sources &amp; Uses'!$C$10</f>
        <v>15310158.035714285</v>
      </c>
      <c r="K78" s="81">
        <f>SUM($C$241:K241)+'Sources &amp; Uses'!$C$10</f>
        <v>15310158.035714285</v>
      </c>
      <c r="L78" s="81">
        <f>SUM($C$241:L241)+'Sources &amp; Uses'!$C$10</f>
        <v>15310158.035714285</v>
      </c>
      <c r="M78" s="81">
        <f>SUM($C$241:M241)+'Sources &amp; Uses'!$C$10</f>
        <v>15310158.035714285</v>
      </c>
      <c r="N78" s="81">
        <f>SUM($C$241:N241)+'Sources &amp; Uses'!$C$10</f>
        <v>15310158.035714285</v>
      </c>
      <c r="O78" s="81">
        <f>SUM($C$241:O241)+'Sources &amp; Uses'!$C$10</f>
        <v>17393491.369047619</v>
      </c>
      <c r="P78" s="81">
        <f>SUM($C$241:P241)+'Sources &amp; Uses'!$C$10</f>
        <v>17393491.369047619</v>
      </c>
      <c r="Q78" s="81">
        <f>SUM($C$241:Q241)+'Sources &amp; Uses'!$C$10</f>
        <v>17393491.369047619</v>
      </c>
      <c r="R78" s="81">
        <f>SUM($C$241:R241)+'Sources &amp; Uses'!$C$10</f>
        <v>19476824.702380955</v>
      </c>
      <c r="S78" s="81">
        <f>SUM($C$241:S241)+'Sources &amp; Uses'!$C$10</f>
        <v>19476824.702380955</v>
      </c>
      <c r="T78" s="81">
        <f>SUM($C$241:T241)+'Sources &amp; Uses'!$C$10</f>
        <v>19476824.702380955</v>
      </c>
      <c r="U78" s="81">
        <f>SUM($C$241:U241)+'Sources &amp; Uses'!$C$10</f>
        <v>21560158.035714287</v>
      </c>
      <c r="V78" s="81">
        <f>SUM($C$241:V241)+'Sources &amp; Uses'!$C$10</f>
        <v>21560158.035714287</v>
      </c>
      <c r="W78" s="81">
        <f>SUM($C$241:W241)+'Sources &amp; Uses'!$C$10</f>
        <v>21560158.035714287</v>
      </c>
      <c r="X78" s="81">
        <f>SUM($C$241:X241)+'Sources &amp; Uses'!$C$10</f>
        <v>21560158.035714287</v>
      </c>
      <c r="Y78" s="81">
        <f>SUM($C$241:Y241)+'Sources &amp; Uses'!$C$10</f>
        <v>21560158.035714287</v>
      </c>
      <c r="Z78" s="81">
        <f>SUM($C$241:Z241)+'Sources &amp; Uses'!$C$10</f>
        <v>21560158.035714287</v>
      </c>
      <c r="AA78" s="81">
        <f>SUM($C$241:AA241)+'Sources &amp; Uses'!$C$10</f>
        <v>23643491.369047619</v>
      </c>
      <c r="AB78" s="81">
        <f>SUM($C$241:AB241)+'Sources &amp; Uses'!$C$10</f>
        <v>23643491.369047619</v>
      </c>
      <c r="AC78" s="81">
        <f>SUM($C$241:AC241)+'Sources &amp; Uses'!$C$10</f>
        <v>23643491.369047619</v>
      </c>
      <c r="AD78" s="81">
        <f>SUM($C$241:AD241)+'Sources &amp; Uses'!$C$10</f>
        <v>25726824.702380955</v>
      </c>
      <c r="AE78" s="81">
        <f>SUM($C$241:AE241)+'Sources &amp; Uses'!$C$10</f>
        <v>25726824.702380955</v>
      </c>
      <c r="AF78" s="81">
        <f>SUM($C$241:AF241)+'Sources &amp; Uses'!$C$10</f>
        <v>25726824.702380955</v>
      </c>
      <c r="AG78" s="81">
        <f>SUM($C$241:AG241)+'Sources &amp; Uses'!$C$10</f>
        <v>27810158.035714291</v>
      </c>
      <c r="AH78" s="81">
        <f>SUM($C$241:AH241)+'Sources &amp; Uses'!$C$10</f>
        <v>27810158.035714291</v>
      </c>
      <c r="AI78" s="81">
        <f>SUM($C$241:AI241)+'Sources &amp; Uses'!$C$10</f>
        <v>27810158.035714291</v>
      </c>
      <c r="AJ78" s="81">
        <f>SUM($C$241:AJ241)+'Sources &amp; Uses'!$C$10</f>
        <v>27810158.035714291</v>
      </c>
      <c r="AK78" s="81">
        <f>SUM($C$241:AK241)+'Sources &amp; Uses'!$C$10</f>
        <v>27810158.035714291</v>
      </c>
      <c r="AL78" s="81">
        <f>SUM($C$241:AL241)+'Sources &amp; Uses'!$C$10</f>
        <v>27810158.035714291</v>
      </c>
      <c r="AM78" s="81">
        <f>SUM($C$241:AM241)+'Sources &amp; Uses'!$C$10</f>
        <v>29893491.369047619</v>
      </c>
      <c r="AN78" s="81">
        <f>SUM($C$241:AN241)+'Sources &amp; Uses'!$C$10</f>
        <v>29893491.369047619</v>
      </c>
      <c r="AO78" s="81">
        <f>SUM($C$241:AO241)+'Sources &amp; Uses'!$C$10</f>
        <v>29893491.369047619</v>
      </c>
      <c r="AP78" s="81">
        <f>SUM($C$241:AP241)+'Sources &amp; Uses'!$C$10</f>
        <v>31976824.702380955</v>
      </c>
      <c r="AQ78" s="81">
        <f>SUM($C$241:AQ241)+'Sources &amp; Uses'!$C$10</f>
        <v>31976824.702380955</v>
      </c>
      <c r="AR78" s="81">
        <f>SUM($C$241:AR241)+'Sources &amp; Uses'!$C$10</f>
        <v>31976824.702380955</v>
      </c>
      <c r="AS78" s="81">
        <f>SUM($C$241:AS241)+'Sources &amp; Uses'!$C$10</f>
        <v>34060158.035714284</v>
      </c>
      <c r="AT78" s="81">
        <f>SUM($C$241:AT241)+'Sources &amp; Uses'!$C$10</f>
        <v>34060158.035714284</v>
      </c>
      <c r="AU78" s="81">
        <f>SUM($C$241:AU241)+'Sources &amp; Uses'!$C$10</f>
        <v>34060158.035714284</v>
      </c>
      <c r="AV78" s="81">
        <f>SUM($C$241:AV241)+'Sources &amp; Uses'!$C$10</f>
        <v>34060158.035714284</v>
      </c>
      <c r="AW78" s="81">
        <f>SUM($C$241:AW241)+'Sources &amp; Uses'!$C$10</f>
        <v>34060158.035714284</v>
      </c>
      <c r="AX78" s="81">
        <f>SUM($C$241:AX241)+'Sources &amp; Uses'!$C$10</f>
        <v>34060158.035714284</v>
      </c>
      <c r="AY78" s="81">
        <f>SUM($C$241:AY241)+'Sources &amp; Uses'!$C$10</f>
        <v>36143491.369047619</v>
      </c>
      <c r="AZ78" s="81">
        <f>SUM($C$241:AZ241)+'Sources &amp; Uses'!$C$10</f>
        <v>36143491.369047619</v>
      </c>
      <c r="BA78" s="81">
        <f>SUM($C$241:BA241)+'Sources &amp; Uses'!$C$10</f>
        <v>36143491.369047619</v>
      </c>
      <c r="BB78" s="81">
        <f>SUM($C$241:BB241)+'Sources &amp; Uses'!$C$10</f>
        <v>38226824.702380948</v>
      </c>
      <c r="BC78" s="81">
        <f>SUM($C$241:BC241)+'Sources &amp; Uses'!$C$10</f>
        <v>38226824.702380948</v>
      </c>
      <c r="BD78" s="81">
        <f>SUM($C$241:BD241)+'Sources &amp; Uses'!$C$10</f>
        <v>38226824.702380948</v>
      </c>
      <c r="BE78" s="81">
        <f>SUM($C$241:BE241)+'Sources &amp; Uses'!$C$10</f>
        <v>40310158.035714284</v>
      </c>
      <c r="BF78" s="81">
        <f>SUM($C$241:BF241)+'Sources &amp; Uses'!$C$10</f>
        <v>40310158.035714284</v>
      </c>
      <c r="BG78" s="81">
        <f>SUM($C$241:BG241)+'Sources &amp; Uses'!$C$10</f>
        <v>40310158.035714284</v>
      </c>
      <c r="BH78" s="81">
        <f>SUM($C$241:BH241)+'Sources &amp; Uses'!$C$10</f>
        <v>40310158.035714284</v>
      </c>
      <c r="BI78" s="81">
        <f>SUM($C$241:BI241)+'Sources &amp; Uses'!$C$10</f>
        <v>40310158.035714284</v>
      </c>
      <c r="BJ78" s="81">
        <f>SUM($C$241:BJ241)+'Sources &amp; Uses'!$C$10</f>
        <v>40310158.035714284</v>
      </c>
    </row>
    <row r="79" spans="1:62">
      <c r="A79" s="108" t="s">
        <v>103</v>
      </c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</row>
    <row r="80" spans="1:62">
      <c r="A80" s="108" t="s">
        <v>104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</row>
    <row r="81" spans="1:62">
      <c r="A81" s="108" t="s">
        <v>105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</row>
    <row r="82" spans="1:62">
      <c r="A82" s="108" t="s">
        <v>106</v>
      </c>
      <c r="C82" s="81">
        <v>0</v>
      </c>
      <c r="D82" s="81">
        <f>C82+C83</f>
        <v>-102573.2507440428</v>
      </c>
      <c r="E82" s="81">
        <f t="shared" ref="E82:BJ82" si="27">D82+D83</f>
        <v>-126154.64574347474</v>
      </c>
      <c r="F82" s="81">
        <f t="shared" si="27"/>
        <v>-152818.20994565025</v>
      </c>
      <c r="G82" s="81">
        <f t="shared" si="27"/>
        <v>-176981.45595305861</v>
      </c>
      <c r="H82" s="81">
        <f t="shared" si="27"/>
        <v>-198482.99599011417</v>
      </c>
      <c r="I82" s="81">
        <f t="shared" si="27"/>
        <v>-218652.65891449904</v>
      </c>
      <c r="J82" s="81">
        <f t="shared" si="27"/>
        <v>-236689.10371816461</v>
      </c>
      <c r="K82" s="81">
        <f t="shared" si="27"/>
        <v>-252419.92962330391</v>
      </c>
      <c r="L82" s="81">
        <f t="shared" si="27"/>
        <v>-265956.78287544427</v>
      </c>
      <c r="M82" s="81">
        <f t="shared" si="27"/>
        <v>-277695.46033274691</v>
      </c>
      <c r="N82" s="81">
        <f t="shared" si="27"/>
        <v>-287453.50994762836</v>
      </c>
      <c r="O82" s="81">
        <f t="shared" si="27"/>
        <v>-295541.16156726639</v>
      </c>
      <c r="P82" s="81">
        <f t="shared" si="27"/>
        <v>-394368.06050791906</v>
      </c>
      <c r="Q82" s="81">
        <f t="shared" si="27"/>
        <v>-512902.63741040113</v>
      </c>
      <c r="R82" s="81">
        <f t="shared" si="27"/>
        <v>-583628.94688414794</v>
      </c>
      <c r="S82" s="81">
        <f t="shared" si="27"/>
        <v>-696295.10969896568</v>
      </c>
      <c r="T82" s="81">
        <f t="shared" si="27"/>
        <v>-699781.45546295773</v>
      </c>
      <c r="U82" s="81">
        <f t="shared" si="27"/>
        <v>-675586.63394547685</v>
      </c>
      <c r="V82" s="81">
        <f t="shared" si="27"/>
        <v>-684918.67849387077</v>
      </c>
      <c r="W82" s="81">
        <f t="shared" si="27"/>
        <v>-626587.38227992202</v>
      </c>
      <c r="X82" s="81">
        <f t="shared" si="27"/>
        <v>-545684.31158389943</v>
      </c>
      <c r="Y82" s="81">
        <f t="shared" si="27"/>
        <v>-473794.64487817383</v>
      </c>
      <c r="Z82" s="81">
        <f t="shared" si="27"/>
        <v>-414643.85136744066</v>
      </c>
      <c r="AA82" s="81">
        <f t="shared" si="27"/>
        <v>-367816.24826358882</v>
      </c>
      <c r="AB82" s="81">
        <f t="shared" si="27"/>
        <v>-317559.26671350887</v>
      </c>
      <c r="AC82" s="81">
        <f t="shared" si="27"/>
        <v>-238568.66961228932</v>
      </c>
      <c r="AD82" s="81">
        <f t="shared" si="27"/>
        <v>-133252.9819865672</v>
      </c>
      <c r="AE82" s="81">
        <f t="shared" si="27"/>
        <v>-58816.927503625062</v>
      </c>
      <c r="AF82" s="81">
        <f t="shared" si="27"/>
        <v>97536.487483577206</v>
      </c>
      <c r="AG82" s="81">
        <f t="shared" si="27"/>
        <v>280068.56982358807</v>
      </c>
      <c r="AH82" s="81">
        <f t="shared" si="27"/>
        <v>428118.71995445294</v>
      </c>
      <c r="AI82" s="81">
        <f t="shared" si="27"/>
        <v>656873.1158402086</v>
      </c>
      <c r="AJ82" s="81">
        <f t="shared" si="27"/>
        <v>903782.52638760197</v>
      </c>
      <c r="AK82" s="81">
        <f t="shared" si="27"/>
        <v>1133883.791432135</v>
      </c>
      <c r="AL82" s="81">
        <f t="shared" si="27"/>
        <v>1348156.0538507982</v>
      </c>
      <c r="AM82" s="81">
        <f t="shared" si="27"/>
        <v>1546432.7776509391</v>
      </c>
      <c r="AN82" s="81">
        <f t="shared" si="27"/>
        <v>1745200.2567074136</v>
      </c>
      <c r="AO82" s="81">
        <f t="shared" si="27"/>
        <v>2016452.0177777149</v>
      </c>
      <c r="AP82" s="81">
        <f t="shared" si="27"/>
        <v>2311340.1510619428</v>
      </c>
      <c r="AQ82" s="81">
        <f t="shared" si="27"/>
        <v>2572751.7430571727</v>
      </c>
      <c r="AR82" s="81">
        <f t="shared" si="27"/>
        <v>2923970.9928508857</v>
      </c>
      <c r="AS82" s="81">
        <f t="shared" si="27"/>
        <v>3294206.9005670133</v>
      </c>
      <c r="AT82" s="81">
        <f t="shared" si="27"/>
        <v>3627683.8465064024</v>
      </c>
      <c r="AU82" s="81">
        <f t="shared" si="27"/>
        <v>4055255.9578703246</v>
      </c>
      <c r="AV82" s="81">
        <f t="shared" si="27"/>
        <v>4497466.0851770025</v>
      </c>
      <c r="AW82" s="81">
        <f t="shared" si="27"/>
        <v>4920614.7439175081</v>
      </c>
      <c r="AX82" s="81">
        <f t="shared" si="27"/>
        <v>5324615.8298836984</v>
      </c>
      <c r="AY82" s="81">
        <f t="shared" si="27"/>
        <v>5710347.0203270074</v>
      </c>
      <c r="AZ82" s="81">
        <f t="shared" si="27"/>
        <v>6078874.2310155537</v>
      </c>
      <c r="BA82" s="81">
        <f t="shared" si="27"/>
        <v>6521498.0281483196</v>
      </c>
      <c r="BB82" s="81">
        <f t="shared" si="27"/>
        <v>6984454.8840948278</v>
      </c>
      <c r="BC82" s="81">
        <f t="shared" si="27"/>
        <v>7411496.3963518944</v>
      </c>
      <c r="BD82" s="81">
        <f t="shared" si="27"/>
        <v>7939428.0983550092</v>
      </c>
      <c r="BE82" s="81">
        <f t="shared" si="27"/>
        <v>8482961.25399331</v>
      </c>
      <c r="BF82" s="81">
        <f t="shared" si="27"/>
        <v>8986861.6386847012</v>
      </c>
      <c r="BG82" s="81">
        <f t="shared" si="27"/>
        <v>9586012.9207682367</v>
      </c>
      <c r="BH82" s="81">
        <f t="shared" si="27"/>
        <v>10196447.24819383</v>
      </c>
      <c r="BI82" s="81">
        <f t="shared" si="27"/>
        <v>10784693.925851824</v>
      </c>
      <c r="BJ82" s="81">
        <f t="shared" si="27"/>
        <v>11351241.840773558</v>
      </c>
    </row>
    <row r="83" spans="1:62">
      <c r="A83" s="108" t="s">
        <v>107</v>
      </c>
      <c r="C83" s="81">
        <f>C39</f>
        <v>-102573.2507440428</v>
      </c>
      <c r="D83" s="81">
        <f>D39</f>
        <v>-23581.394999431941</v>
      </c>
      <c r="E83" s="81">
        <f t="shared" ref="E83:BJ83" si="28">E39</f>
        <v>-26663.564202175505</v>
      </c>
      <c r="F83" s="81">
        <f t="shared" si="28"/>
        <v>-24163.246007408365</v>
      </c>
      <c r="G83" s="81">
        <f t="shared" si="28"/>
        <v>-21501.540037055558</v>
      </c>
      <c r="H83" s="81">
        <f t="shared" si="28"/>
        <v>-20169.662924384873</v>
      </c>
      <c r="I83" s="81">
        <f t="shared" si="28"/>
        <v>-18036.444803665567</v>
      </c>
      <c r="J83" s="81">
        <f t="shared" si="28"/>
        <v>-15730.825905139296</v>
      </c>
      <c r="K83" s="81">
        <f t="shared" si="28"/>
        <v>-13536.853252140339</v>
      </c>
      <c r="L83" s="81">
        <f t="shared" si="28"/>
        <v>-11738.677457302634</v>
      </c>
      <c r="M83" s="81">
        <f t="shared" si="28"/>
        <v>-9758.0496148814273</v>
      </c>
      <c r="N83" s="81">
        <f t="shared" si="28"/>
        <v>-8087.6516196380253</v>
      </c>
      <c r="O83" s="81">
        <f t="shared" si="28"/>
        <v>-98826.898940652696</v>
      </c>
      <c r="P83" s="81">
        <f t="shared" si="28"/>
        <v>-118534.57690248209</v>
      </c>
      <c r="Q83" s="81">
        <f t="shared" si="28"/>
        <v>-70726.309473746849</v>
      </c>
      <c r="R83" s="81">
        <f t="shared" si="28"/>
        <v>-112666.16281481778</v>
      </c>
      <c r="S83" s="81">
        <f t="shared" si="28"/>
        <v>-3486.3457639920089</v>
      </c>
      <c r="T83" s="81">
        <f t="shared" si="28"/>
        <v>24194.821517480901</v>
      </c>
      <c r="U83" s="81">
        <f t="shared" si="28"/>
        <v>-9332.0445483939693</v>
      </c>
      <c r="V83" s="81">
        <f t="shared" si="28"/>
        <v>58331.296213948735</v>
      </c>
      <c r="W83" s="81">
        <f t="shared" si="28"/>
        <v>80903.070696022565</v>
      </c>
      <c r="X83" s="81">
        <f t="shared" si="28"/>
        <v>71889.666705725569</v>
      </c>
      <c r="Y83" s="81">
        <f t="shared" si="28"/>
        <v>59150.793510733158</v>
      </c>
      <c r="Z83" s="81">
        <f t="shared" si="28"/>
        <v>46827.603103851841</v>
      </c>
      <c r="AA83" s="81">
        <f t="shared" si="28"/>
        <v>50256.981550079916</v>
      </c>
      <c r="AB83" s="81">
        <f t="shared" si="28"/>
        <v>78990.597101219551</v>
      </c>
      <c r="AC83" s="81">
        <f t="shared" si="28"/>
        <v>105315.68762572213</v>
      </c>
      <c r="AD83" s="81">
        <f t="shared" si="28"/>
        <v>74436.054482942141</v>
      </c>
      <c r="AE83" s="81">
        <f t="shared" si="28"/>
        <v>156353.41498720227</v>
      </c>
      <c r="AF83" s="81">
        <f t="shared" si="28"/>
        <v>182532.08234001088</v>
      </c>
      <c r="AG83" s="81">
        <f t="shared" si="28"/>
        <v>148050.15013086487</v>
      </c>
      <c r="AH83" s="81">
        <f t="shared" si="28"/>
        <v>228754.39588575566</v>
      </c>
      <c r="AI83" s="81">
        <f t="shared" si="28"/>
        <v>246909.4105473934</v>
      </c>
      <c r="AJ83" s="81">
        <f t="shared" si="28"/>
        <v>230101.26504453304</v>
      </c>
      <c r="AK83" s="81">
        <f t="shared" si="28"/>
        <v>214272.26241866307</v>
      </c>
      <c r="AL83" s="81">
        <f t="shared" si="28"/>
        <v>198276.72380014081</v>
      </c>
      <c r="AM83" s="81">
        <f t="shared" si="28"/>
        <v>198767.47905647452</v>
      </c>
      <c r="AN83" s="81">
        <f t="shared" si="28"/>
        <v>271251.76107030141</v>
      </c>
      <c r="AO83" s="81">
        <f t="shared" si="28"/>
        <v>294888.13328422792</v>
      </c>
      <c r="AP83" s="81">
        <f t="shared" si="28"/>
        <v>261411.59199523</v>
      </c>
      <c r="AQ83" s="81">
        <f t="shared" si="28"/>
        <v>351219.24979371275</v>
      </c>
      <c r="AR83" s="81">
        <f t="shared" si="28"/>
        <v>370235.90771612758</v>
      </c>
      <c r="AS83" s="81">
        <f t="shared" si="28"/>
        <v>333476.94593938894</v>
      </c>
      <c r="AT83" s="81">
        <f t="shared" si="28"/>
        <v>427572.11136392242</v>
      </c>
      <c r="AU83" s="81">
        <f t="shared" si="28"/>
        <v>442210.12730667775</v>
      </c>
      <c r="AV83" s="81">
        <f t="shared" si="28"/>
        <v>423148.65874050604</v>
      </c>
      <c r="AW83" s="81">
        <f t="shared" si="28"/>
        <v>404001.08596619079</v>
      </c>
      <c r="AX83" s="81">
        <f t="shared" si="28"/>
        <v>385731.19044330926</v>
      </c>
      <c r="AY83" s="81">
        <f t="shared" si="28"/>
        <v>368527.21068854618</v>
      </c>
      <c r="AZ83" s="81">
        <f t="shared" si="28"/>
        <v>442623.79713276576</v>
      </c>
      <c r="BA83" s="81">
        <f t="shared" si="28"/>
        <v>462956.85594650859</v>
      </c>
      <c r="BB83" s="81">
        <f t="shared" si="28"/>
        <v>427041.51225706679</v>
      </c>
      <c r="BC83" s="81">
        <f t="shared" si="28"/>
        <v>527931.70200311509</v>
      </c>
      <c r="BD83" s="81">
        <f t="shared" si="28"/>
        <v>543533.15563830081</v>
      </c>
      <c r="BE83" s="81">
        <f t="shared" si="28"/>
        <v>503900.38469139091</v>
      </c>
      <c r="BF83" s="81">
        <f t="shared" si="28"/>
        <v>599151.28208353603</v>
      </c>
      <c r="BG83" s="81">
        <f t="shared" si="28"/>
        <v>610434.32742559258</v>
      </c>
      <c r="BH83" s="81">
        <f t="shared" si="28"/>
        <v>588246.67765799339</v>
      </c>
      <c r="BI83" s="81">
        <f t="shared" si="28"/>
        <v>566547.9149217346</v>
      </c>
      <c r="BJ83" s="81">
        <f t="shared" si="28"/>
        <v>549153.76843921165</v>
      </c>
    </row>
    <row r="84" spans="1:62">
      <c r="A84" s="109" t="s">
        <v>108</v>
      </c>
      <c r="C84" s="81">
        <f>SUM(C78:C83)</f>
        <v>15207584.784970243</v>
      </c>
      <c r="D84" s="81">
        <f t="shared" ref="D84:BJ84" si="29">SUM(D78:D83)</f>
        <v>15184003.389970811</v>
      </c>
      <c r="E84" s="81">
        <f t="shared" si="29"/>
        <v>15157339.825768635</v>
      </c>
      <c r="F84" s="81">
        <f t="shared" si="29"/>
        <v>15133176.579761226</v>
      </c>
      <c r="G84" s="81">
        <f t="shared" si="29"/>
        <v>15111675.039724171</v>
      </c>
      <c r="H84" s="81">
        <f t="shared" si="29"/>
        <v>15091505.376799786</v>
      </c>
      <c r="I84" s="81">
        <f t="shared" si="29"/>
        <v>15073468.93199612</v>
      </c>
      <c r="J84" s="81">
        <f t="shared" si="29"/>
        <v>15057738.106090982</v>
      </c>
      <c r="K84" s="81">
        <f t="shared" si="29"/>
        <v>15044201.252838841</v>
      </c>
      <c r="L84" s="81">
        <f t="shared" si="29"/>
        <v>15032462.575381538</v>
      </c>
      <c r="M84" s="81">
        <f t="shared" si="29"/>
        <v>15022704.525766656</v>
      </c>
      <c r="N84" s="81">
        <f t="shared" si="29"/>
        <v>15014616.87414702</v>
      </c>
      <c r="O84" s="81">
        <f t="shared" si="29"/>
        <v>16999123.3085397</v>
      </c>
      <c r="P84" s="81">
        <f t="shared" si="29"/>
        <v>16880588.731637217</v>
      </c>
      <c r="Q84" s="81">
        <f t="shared" si="29"/>
        <v>16809862.422163472</v>
      </c>
      <c r="R84" s="81">
        <f t="shared" si="29"/>
        <v>18780529.592681989</v>
      </c>
      <c r="S84" s="81">
        <f t="shared" si="29"/>
        <v>18777043.246917997</v>
      </c>
      <c r="T84" s="81">
        <f t="shared" si="29"/>
        <v>18801238.068435479</v>
      </c>
      <c r="U84" s="81">
        <f t="shared" si="29"/>
        <v>20875239.357220419</v>
      </c>
      <c r="V84" s="81">
        <f t="shared" si="29"/>
        <v>20933570.653434362</v>
      </c>
      <c r="W84" s="81">
        <f t="shared" si="29"/>
        <v>21014473.724130388</v>
      </c>
      <c r="X84" s="81">
        <f t="shared" si="29"/>
        <v>21086363.390836112</v>
      </c>
      <c r="Y84" s="81">
        <f t="shared" si="29"/>
        <v>21145514.184346844</v>
      </c>
      <c r="Z84" s="81">
        <f t="shared" si="29"/>
        <v>21192341.787450697</v>
      </c>
      <c r="AA84" s="81">
        <f t="shared" si="29"/>
        <v>23325932.102334108</v>
      </c>
      <c r="AB84" s="81">
        <f t="shared" si="29"/>
        <v>23404922.699435331</v>
      </c>
      <c r="AC84" s="81">
        <f t="shared" si="29"/>
        <v>23510238.387061052</v>
      </c>
      <c r="AD84" s="81">
        <f t="shared" si="29"/>
        <v>25668007.774877328</v>
      </c>
      <c r="AE84" s="81">
        <f t="shared" si="29"/>
        <v>25824361.189864531</v>
      </c>
      <c r="AF84" s="81">
        <f t="shared" si="29"/>
        <v>26006893.272204541</v>
      </c>
      <c r="AG84" s="81">
        <f t="shared" si="29"/>
        <v>28238276.755668744</v>
      </c>
      <c r="AH84" s="81">
        <f t="shared" si="29"/>
        <v>28467031.151554499</v>
      </c>
      <c r="AI84" s="81">
        <f t="shared" si="29"/>
        <v>28713940.562101893</v>
      </c>
      <c r="AJ84" s="81">
        <f t="shared" si="29"/>
        <v>28944041.827146426</v>
      </c>
      <c r="AK84" s="81">
        <f t="shared" si="29"/>
        <v>29158314.089565087</v>
      </c>
      <c r="AL84" s="81">
        <f t="shared" si="29"/>
        <v>29356590.813365232</v>
      </c>
      <c r="AM84" s="81">
        <f t="shared" si="29"/>
        <v>31638691.625755031</v>
      </c>
      <c r="AN84" s="81">
        <f t="shared" si="29"/>
        <v>31909943.386825334</v>
      </c>
      <c r="AO84" s="81">
        <f t="shared" si="29"/>
        <v>32204831.520109564</v>
      </c>
      <c r="AP84" s="81">
        <f t="shared" si="29"/>
        <v>34549576.445438132</v>
      </c>
      <c r="AQ84" s="81">
        <f t="shared" si="29"/>
        <v>34900795.695231847</v>
      </c>
      <c r="AR84" s="81">
        <f t="shared" si="29"/>
        <v>35271031.602947965</v>
      </c>
      <c r="AS84" s="81">
        <f t="shared" si="29"/>
        <v>37687841.882220685</v>
      </c>
      <c r="AT84" s="81">
        <f t="shared" si="29"/>
        <v>38115413.993584611</v>
      </c>
      <c r="AU84" s="81">
        <f t="shared" si="29"/>
        <v>38557624.120891288</v>
      </c>
      <c r="AV84" s="81">
        <f t="shared" si="29"/>
        <v>38980772.779631793</v>
      </c>
      <c r="AW84" s="81">
        <f t="shared" si="29"/>
        <v>39384773.865597986</v>
      </c>
      <c r="AX84" s="81">
        <f t="shared" si="29"/>
        <v>39770505.056041285</v>
      </c>
      <c r="AY84" s="81">
        <f t="shared" si="29"/>
        <v>42222365.600063175</v>
      </c>
      <c r="AZ84" s="81">
        <f t="shared" si="29"/>
        <v>42664989.397195943</v>
      </c>
      <c r="BA84" s="81">
        <f t="shared" si="29"/>
        <v>43127946.253142446</v>
      </c>
      <c r="BB84" s="81">
        <f t="shared" si="29"/>
        <v>45638321.098732844</v>
      </c>
      <c r="BC84" s="81">
        <f t="shared" si="29"/>
        <v>46166252.800735958</v>
      </c>
      <c r="BD84" s="81">
        <f t="shared" si="29"/>
        <v>46709785.956374258</v>
      </c>
      <c r="BE84" s="81">
        <f t="shared" si="29"/>
        <v>49297019.674398981</v>
      </c>
      <c r="BF84" s="81">
        <f t="shared" si="29"/>
        <v>49896170.956482522</v>
      </c>
      <c r="BG84" s="81">
        <f t="shared" si="29"/>
        <v>50506605.283908114</v>
      </c>
      <c r="BH84" s="81">
        <f t="shared" si="29"/>
        <v>51094851.961566105</v>
      </c>
      <c r="BI84" s="81">
        <f t="shared" si="29"/>
        <v>51661399.876487844</v>
      </c>
      <c r="BJ84" s="81">
        <f t="shared" si="29"/>
        <v>52210553.644927055</v>
      </c>
    </row>
    <row r="85" spans="1:62">
      <c r="A85" s="110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  <c r="BH85" s="81"/>
      <c r="BI85" s="81"/>
      <c r="BJ85" s="81"/>
    </row>
    <row r="86" spans="1:62">
      <c r="A86" s="110" t="s">
        <v>109</v>
      </c>
      <c r="C86" s="81">
        <f>C75+C84</f>
        <v>15356929.503720243</v>
      </c>
      <c r="D86" s="81">
        <f t="shared" ref="D86:BJ86" si="30">D75+D84</f>
        <v>15294817.08590831</v>
      </c>
      <c r="E86" s="81">
        <f t="shared" si="30"/>
        <v>15267710.36707801</v>
      </c>
      <c r="F86" s="81">
        <f t="shared" si="30"/>
        <v>15243261.011081319</v>
      </c>
      <c r="G86" s="81">
        <f t="shared" si="30"/>
        <v>15221342.506854663</v>
      </c>
      <c r="H86" s="81">
        <f t="shared" si="30"/>
        <v>15201372.138666363</v>
      </c>
      <c r="I86" s="81">
        <f t="shared" si="30"/>
        <v>15183087.1222567</v>
      </c>
      <c r="J86" s="81">
        <f t="shared" si="30"/>
        <v>15166975.744393744</v>
      </c>
      <c r="K86" s="81">
        <f t="shared" si="30"/>
        <v>15153069.75574252</v>
      </c>
      <c r="L86" s="81">
        <f t="shared" si="30"/>
        <v>15141116.766948106</v>
      </c>
      <c r="M86" s="81">
        <f t="shared" si="30"/>
        <v>15131011.397836227</v>
      </c>
      <c r="N86" s="81">
        <f t="shared" si="30"/>
        <v>15390778.252554504</v>
      </c>
      <c r="O86" s="81">
        <f t="shared" si="30"/>
        <v>31372673.823806651</v>
      </c>
      <c r="P86" s="81">
        <f t="shared" si="30"/>
        <v>31017391.970074523</v>
      </c>
      <c r="Q86" s="81">
        <f t="shared" si="30"/>
        <v>31159019.69736997</v>
      </c>
      <c r="R86" s="81">
        <f t="shared" si="30"/>
        <v>33129543.117888488</v>
      </c>
      <c r="S86" s="81">
        <f t="shared" si="30"/>
        <v>32916643.679234162</v>
      </c>
      <c r="T86" s="81">
        <f t="shared" si="30"/>
        <v>33145916.580362748</v>
      </c>
      <c r="U86" s="81">
        <f t="shared" si="30"/>
        <v>35206487.388330579</v>
      </c>
      <c r="V86" s="81">
        <f t="shared" si="30"/>
        <v>35110053.666652262</v>
      </c>
      <c r="W86" s="81">
        <f t="shared" si="30"/>
        <v>35175218.374376968</v>
      </c>
      <c r="X86" s="81">
        <f t="shared" si="30"/>
        <v>35241852.169703297</v>
      </c>
      <c r="Y86" s="81">
        <f t="shared" si="30"/>
        <v>35310249.819955185</v>
      </c>
      <c r="Z86" s="81">
        <f t="shared" si="30"/>
        <v>35509056.268417865</v>
      </c>
      <c r="AA86" s="81">
        <f t="shared" si="30"/>
        <v>47362111.505028725</v>
      </c>
      <c r="AB86" s="81">
        <f t="shared" si="30"/>
        <v>47054114.940794185</v>
      </c>
      <c r="AC86" s="81">
        <f t="shared" si="30"/>
        <v>47073624.294431426</v>
      </c>
      <c r="AD86" s="81">
        <f t="shared" si="30"/>
        <v>48922955.770811848</v>
      </c>
      <c r="AE86" s="81">
        <f t="shared" si="30"/>
        <v>48642934.09526071</v>
      </c>
      <c r="AF86" s="81">
        <f t="shared" si="30"/>
        <v>48720810.69931332</v>
      </c>
      <c r="AG86" s="81">
        <f t="shared" si="30"/>
        <v>50641816.571844392</v>
      </c>
      <c r="AH86" s="81">
        <f t="shared" si="30"/>
        <v>50451973.882787362</v>
      </c>
      <c r="AI86" s="81">
        <f t="shared" si="30"/>
        <v>50389511.9914992</v>
      </c>
      <c r="AJ86" s="81">
        <f t="shared" si="30"/>
        <v>50318608.549990907</v>
      </c>
      <c r="AK86" s="81">
        <f t="shared" si="30"/>
        <v>50252977.919969991</v>
      </c>
      <c r="AL86" s="81">
        <f t="shared" si="30"/>
        <v>50283383.878308952</v>
      </c>
      <c r="AM86" s="81">
        <f t="shared" si="30"/>
        <v>57149397.137973532</v>
      </c>
      <c r="AN86" s="81">
        <f t="shared" si="30"/>
        <v>56946080.828156546</v>
      </c>
      <c r="AO86" s="81">
        <f t="shared" si="30"/>
        <v>57006269.600138701</v>
      </c>
      <c r="AP86" s="81">
        <f t="shared" si="30"/>
        <v>58899685.223320208</v>
      </c>
      <c r="AQ86" s="81">
        <f t="shared" si="30"/>
        <v>58683113.79111091</v>
      </c>
      <c r="AR86" s="81">
        <f t="shared" si="30"/>
        <v>58798056.035808519</v>
      </c>
      <c r="AS86" s="81">
        <f t="shared" si="30"/>
        <v>60761625.805748463</v>
      </c>
      <c r="AT86" s="81">
        <f t="shared" si="30"/>
        <v>60641165.545708984</v>
      </c>
      <c r="AU86" s="81">
        <f t="shared" si="30"/>
        <v>60631070.808030784</v>
      </c>
      <c r="AV86" s="81">
        <f t="shared" si="30"/>
        <v>60610249.62685959</v>
      </c>
      <c r="AW86" s="81">
        <f t="shared" si="30"/>
        <v>60591470.342443034</v>
      </c>
      <c r="AX86" s="81">
        <f t="shared" si="30"/>
        <v>60656614.208466336</v>
      </c>
      <c r="AY86" s="81">
        <f t="shared" si="30"/>
        <v>67698441.007424414</v>
      </c>
      <c r="AZ86" s="81">
        <f t="shared" si="30"/>
        <v>67678578.467003971</v>
      </c>
      <c r="BA86" s="81">
        <f t="shared" si="30"/>
        <v>67902102.85758014</v>
      </c>
      <c r="BB86" s="81">
        <f t="shared" si="30"/>
        <v>69960751.941629082</v>
      </c>
      <c r="BC86" s="81">
        <f t="shared" si="30"/>
        <v>69932180.008391142</v>
      </c>
      <c r="BD86" s="81">
        <f t="shared" si="30"/>
        <v>70216101.798798442</v>
      </c>
      <c r="BE86" s="81">
        <f t="shared" si="30"/>
        <v>72349608.063681513</v>
      </c>
      <c r="BF86" s="81">
        <f t="shared" si="30"/>
        <v>72598061.251603007</v>
      </c>
      <c r="BG86" s="81">
        <f t="shared" si="30"/>
        <v>72755694.643245533</v>
      </c>
      <c r="BH86" s="81">
        <f t="shared" si="30"/>
        <v>72899463.644550741</v>
      </c>
      <c r="BI86" s="81">
        <f t="shared" si="30"/>
        <v>73021797.12998274</v>
      </c>
      <c r="BJ86" s="81">
        <f t="shared" si="30"/>
        <v>73129313.08922267</v>
      </c>
    </row>
    <row r="87" spans="1:62">
      <c r="A87" s="95"/>
    </row>
    <row r="88" spans="1:62">
      <c r="A88" s="111" t="s">
        <v>110</v>
      </c>
      <c r="C88" s="99">
        <f>C60-C86</f>
        <v>0</v>
      </c>
      <c r="D88" s="99">
        <f t="shared" ref="D88:BJ88" si="31">D60-D86</f>
        <v>0</v>
      </c>
      <c r="E88" s="99">
        <f t="shared" si="31"/>
        <v>0</v>
      </c>
      <c r="F88" s="99">
        <f t="shared" si="31"/>
        <v>0</v>
      </c>
      <c r="G88" s="99">
        <f t="shared" si="31"/>
        <v>0</v>
      </c>
      <c r="H88" s="99">
        <f t="shared" si="31"/>
        <v>0</v>
      </c>
      <c r="I88" s="99">
        <f t="shared" si="31"/>
        <v>0</v>
      </c>
      <c r="J88" s="99">
        <f t="shared" si="31"/>
        <v>0</v>
      </c>
      <c r="K88" s="99">
        <f t="shared" si="31"/>
        <v>0</v>
      </c>
      <c r="L88" s="99">
        <f t="shared" si="31"/>
        <v>0</v>
      </c>
      <c r="M88" s="99">
        <f t="shared" si="31"/>
        <v>0</v>
      </c>
      <c r="N88" s="99">
        <f t="shared" si="31"/>
        <v>0</v>
      </c>
      <c r="O88" s="99">
        <f t="shared" si="31"/>
        <v>0</v>
      </c>
      <c r="P88" s="99">
        <f t="shared" si="31"/>
        <v>0</v>
      </c>
      <c r="Q88" s="99">
        <f t="shared" si="31"/>
        <v>0</v>
      </c>
      <c r="R88" s="99">
        <f t="shared" si="31"/>
        <v>0</v>
      </c>
      <c r="S88" s="99">
        <f t="shared" si="31"/>
        <v>0</v>
      </c>
      <c r="T88" s="99">
        <f t="shared" si="31"/>
        <v>0</v>
      </c>
      <c r="U88" s="99">
        <f t="shared" si="31"/>
        <v>0</v>
      </c>
      <c r="V88" s="99">
        <f t="shared" si="31"/>
        <v>0</v>
      </c>
      <c r="W88" s="99">
        <f t="shared" si="31"/>
        <v>0</v>
      </c>
      <c r="X88" s="99">
        <f t="shared" si="31"/>
        <v>0</v>
      </c>
      <c r="Y88" s="99">
        <f t="shared" si="31"/>
        <v>0</v>
      </c>
      <c r="Z88" s="99">
        <f t="shared" si="31"/>
        <v>0</v>
      </c>
      <c r="AA88" s="99">
        <f t="shared" si="31"/>
        <v>0</v>
      </c>
      <c r="AB88" s="99">
        <f t="shared" si="31"/>
        <v>0</v>
      </c>
      <c r="AC88" s="99">
        <f t="shared" si="31"/>
        <v>0</v>
      </c>
      <c r="AD88" s="99">
        <f t="shared" si="31"/>
        <v>0</v>
      </c>
      <c r="AE88" s="99">
        <f t="shared" si="31"/>
        <v>0</v>
      </c>
      <c r="AF88" s="99">
        <f t="shared" si="31"/>
        <v>0</v>
      </c>
      <c r="AG88" s="99">
        <f t="shared" si="31"/>
        <v>0</v>
      </c>
      <c r="AH88" s="99">
        <f t="shared" si="31"/>
        <v>0</v>
      </c>
      <c r="AI88" s="99">
        <f t="shared" si="31"/>
        <v>0</v>
      </c>
      <c r="AJ88" s="99">
        <f t="shared" si="31"/>
        <v>0</v>
      </c>
      <c r="AK88" s="99">
        <f t="shared" si="31"/>
        <v>0</v>
      </c>
      <c r="AL88" s="99">
        <f t="shared" si="31"/>
        <v>0</v>
      </c>
      <c r="AM88" s="99">
        <f t="shared" si="31"/>
        <v>0</v>
      </c>
      <c r="AN88" s="99">
        <f t="shared" si="31"/>
        <v>0</v>
      </c>
      <c r="AO88" s="99">
        <f t="shared" si="31"/>
        <v>0</v>
      </c>
      <c r="AP88" s="99">
        <f t="shared" si="31"/>
        <v>0</v>
      </c>
      <c r="AQ88" s="99">
        <f t="shared" si="31"/>
        <v>0</v>
      </c>
      <c r="AR88" s="99">
        <f t="shared" si="31"/>
        <v>0</v>
      </c>
      <c r="AS88" s="99">
        <f t="shared" si="31"/>
        <v>0</v>
      </c>
      <c r="AT88" s="99">
        <f t="shared" si="31"/>
        <v>0</v>
      </c>
      <c r="AU88" s="99">
        <f t="shared" si="31"/>
        <v>0</v>
      </c>
      <c r="AV88" s="99">
        <f t="shared" si="31"/>
        <v>0</v>
      </c>
      <c r="AW88" s="99">
        <f t="shared" si="31"/>
        <v>0</v>
      </c>
      <c r="AX88" s="99">
        <f t="shared" si="31"/>
        <v>0</v>
      </c>
      <c r="AY88" s="99">
        <f t="shared" si="31"/>
        <v>0</v>
      </c>
      <c r="AZ88" s="99">
        <f t="shared" si="31"/>
        <v>0</v>
      </c>
      <c r="BA88" s="99">
        <f t="shared" si="31"/>
        <v>0</v>
      </c>
      <c r="BB88" s="99">
        <f t="shared" si="31"/>
        <v>0</v>
      </c>
      <c r="BC88" s="99">
        <f t="shared" si="31"/>
        <v>0</v>
      </c>
      <c r="BD88" s="99">
        <f t="shared" si="31"/>
        <v>0</v>
      </c>
      <c r="BE88" s="99">
        <f t="shared" si="31"/>
        <v>0</v>
      </c>
      <c r="BF88" s="99">
        <f t="shared" si="31"/>
        <v>0</v>
      </c>
      <c r="BG88" s="99">
        <f t="shared" si="31"/>
        <v>0</v>
      </c>
      <c r="BH88" s="99">
        <f t="shared" si="31"/>
        <v>0</v>
      </c>
      <c r="BI88" s="99">
        <f t="shared" si="31"/>
        <v>0</v>
      </c>
      <c r="BJ88" s="99">
        <f t="shared" si="31"/>
        <v>0</v>
      </c>
    </row>
    <row r="89" spans="1:62">
      <c r="A89" s="6" t="s">
        <v>111</v>
      </c>
      <c r="C89" s="81">
        <f>C50-C69</f>
        <v>3977596.0498511959</v>
      </c>
      <c r="D89" s="81">
        <f t="shared" ref="D89:BJ89" si="32">D50-D69</f>
        <v>3934859.2640779549</v>
      </c>
      <c r="E89" s="81">
        <f t="shared" si="32"/>
        <v>3901236.9060930405</v>
      </c>
      <c r="F89" s="81">
        <f t="shared" si="32"/>
        <v>3872279.5475270911</v>
      </c>
      <c r="G89" s="81">
        <f t="shared" si="32"/>
        <v>3848117.6178618213</v>
      </c>
      <c r="H89" s="81">
        <f t="shared" si="32"/>
        <v>3827391.2586944969</v>
      </c>
      <c r="I89" s="81">
        <f t="shared" si="32"/>
        <v>3810872.6823744662</v>
      </c>
      <c r="J89" s="81">
        <f t="shared" si="32"/>
        <v>3798706.0348805948</v>
      </c>
      <c r="K89" s="81">
        <f t="shared" si="32"/>
        <v>3790752.2628123867</v>
      </c>
      <c r="L89" s="81">
        <f t="shared" si="32"/>
        <v>3786588.9843713529</v>
      </c>
      <c r="M89" s="81">
        <f t="shared" si="32"/>
        <v>3786372.8642129675</v>
      </c>
      <c r="N89" s="81">
        <f t="shared" si="32"/>
        <v>3779935.3253863677</v>
      </c>
      <c r="O89" s="81">
        <f t="shared" si="32"/>
        <v>11113009.125884727</v>
      </c>
      <c r="P89" s="81">
        <f t="shared" si="32"/>
        <v>9680184.2438184042</v>
      </c>
      <c r="Q89" s="81">
        <f t="shared" si="32"/>
        <v>9471358.3931928445</v>
      </c>
      <c r="R89" s="81">
        <f t="shared" si="32"/>
        <v>7138808.7606547866</v>
      </c>
      <c r="S89" s="81">
        <f t="shared" si="32"/>
        <v>6039730.1197591145</v>
      </c>
      <c r="T89" s="81">
        <f t="shared" si="32"/>
        <v>5971338.1606845669</v>
      </c>
      <c r="U89" s="81">
        <f t="shared" si="32"/>
        <v>3797468.7403060524</v>
      </c>
      <c r="V89" s="81">
        <f t="shared" si="32"/>
        <v>2845679.8808535901</v>
      </c>
      <c r="W89" s="81">
        <f t="shared" si="32"/>
        <v>2888495.4957167185</v>
      </c>
      <c r="X89" s="81">
        <f t="shared" si="32"/>
        <v>2913430.4446847807</v>
      </c>
      <c r="Y89" s="81">
        <f t="shared" si="32"/>
        <v>2936592.5918864282</v>
      </c>
      <c r="Z89" s="81">
        <f t="shared" si="32"/>
        <v>2938564.2867764342</v>
      </c>
      <c r="AA89" s="81">
        <f t="shared" si="32"/>
        <v>10491532.026779328</v>
      </c>
      <c r="AB89" s="81">
        <f t="shared" si="32"/>
        <v>9622842.3728133384</v>
      </c>
      <c r="AC89" s="81">
        <f t="shared" si="32"/>
        <v>9506375.7286577523</v>
      </c>
      <c r="AD89" s="81">
        <f t="shared" si="32"/>
        <v>7288417.5465974826</v>
      </c>
      <c r="AE89" s="81">
        <f t="shared" si="32"/>
        <v>6308676.5825307602</v>
      </c>
      <c r="AF89" s="81">
        <f t="shared" si="32"/>
        <v>6327932.5098390402</v>
      </c>
      <c r="AG89" s="81">
        <f t="shared" si="32"/>
        <v>4222261.266842939</v>
      </c>
      <c r="AH89" s="81">
        <f t="shared" si="32"/>
        <v>3443559.8687349642</v>
      </c>
      <c r="AI89" s="81">
        <f t="shared" si="32"/>
        <v>3574510.6161135836</v>
      </c>
      <c r="AJ89" s="81">
        <f t="shared" si="32"/>
        <v>3681124.6465607714</v>
      </c>
      <c r="AK89" s="81">
        <f t="shared" si="32"/>
        <v>3784214.436286848</v>
      </c>
      <c r="AL89" s="81">
        <f t="shared" si="32"/>
        <v>3863780.1159658339</v>
      </c>
      <c r="AM89" s="81">
        <f t="shared" si="32"/>
        <v>6630471.6699487669</v>
      </c>
      <c r="AN89" s="81">
        <f t="shared" si="32"/>
        <v>6083067.806889656</v>
      </c>
      <c r="AO89" s="81">
        <f t="shared" si="32"/>
        <v>6215798.5799148548</v>
      </c>
      <c r="AP89" s="81">
        <f t="shared" si="32"/>
        <v>4226323.8433970883</v>
      </c>
      <c r="AQ89" s="81">
        <f t="shared" si="32"/>
        <v>3519152.0656447904</v>
      </c>
      <c r="AR89" s="81">
        <f t="shared" si="32"/>
        <v>3770804.0314605357</v>
      </c>
      <c r="AS89" s="81">
        <f t="shared" si="32"/>
        <v>1916801.4005788984</v>
      </c>
      <c r="AT89" s="81">
        <f t="shared" si="32"/>
        <v>1432826.000436591</v>
      </c>
      <c r="AU89" s="81">
        <f t="shared" si="32"/>
        <v>1808275.2635628739</v>
      </c>
      <c r="AV89" s="81">
        <f t="shared" si="32"/>
        <v>2178684.0898690028</v>
      </c>
      <c r="AW89" s="81">
        <f t="shared" si="32"/>
        <v>2524133.0418135216</v>
      </c>
      <c r="AX89" s="81">
        <f t="shared" si="32"/>
        <v>2865333.1299811928</v>
      </c>
      <c r="AY89" s="81">
        <f t="shared" si="32"/>
        <v>6000515.841403354</v>
      </c>
      <c r="AZ89" s="81">
        <f t="shared" si="32"/>
        <v>6129866.3090428645</v>
      </c>
      <c r="BA89" s="81">
        <f t="shared" si="32"/>
        <v>6057053.0077528898</v>
      </c>
      <c r="BB89" s="81">
        <f t="shared" si="32"/>
        <v>4313129.2280181684</v>
      </c>
      <c r="BC89" s="81">
        <f t="shared" si="32"/>
        <v>3889052.4465857623</v>
      </c>
      <c r="BD89" s="81">
        <f t="shared" si="32"/>
        <v>4386766.334192724</v>
      </c>
      <c r="BE89" s="81">
        <f t="shared" si="32"/>
        <v>2777668.0857734131</v>
      </c>
      <c r="BF89" s="81">
        <f t="shared" si="32"/>
        <v>2526160.2323568109</v>
      </c>
      <c r="BG89" s="81">
        <f t="shared" si="32"/>
        <v>3148006.6508176588</v>
      </c>
      <c r="BH89" s="81">
        <f t="shared" si="32"/>
        <v>3763402.7210982088</v>
      </c>
      <c r="BI89" s="81">
        <f t="shared" si="32"/>
        <v>4353003.9968964681</v>
      </c>
      <c r="BJ89" s="81">
        <f t="shared" si="32"/>
        <v>4940948.4277995136</v>
      </c>
    </row>
    <row r="90" spans="1:62">
      <c r="A90" s="6" t="s">
        <v>112</v>
      </c>
      <c r="C90" s="9">
        <f>C50/C69</f>
        <v>27.633657240398382</v>
      </c>
      <c r="D90" s="9">
        <f t="shared" ref="D90:BJ90" si="33">D50/D69</f>
        <v>36.508781029172184</v>
      </c>
      <c r="E90" s="9">
        <f t="shared" si="33"/>
        <v>36.34672259292131</v>
      </c>
      <c r="F90" s="9">
        <f t="shared" si="33"/>
        <v>36.175542091575316</v>
      </c>
      <c r="G90" s="9">
        <f t="shared" si="33"/>
        <v>36.088962283436608</v>
      </c>
      <c r="H90" s="9">
        <f t="shared" si="33"/>
        <v>35.836662095698564</v>
      </c>
      <c r="I90" s="9">
        <f t="shared" si="33"/>
        <v>35.764966227917547</v>
      </c>
      <c r="J90" s="9">
        <f t="shared" si="33"/>
        <v>35.774699397584492</v>
      </c>
      <c r="K90" s="9">
        <f t="shared" si="33"/>
        <v>35.819549839555059</v>
      </c>
      <c r="L90" s="9">
        <f t="shared" si="33"/>
        <v>35.849911722470914</v>
      </c>
      <c r="M90" s="9">
        <f t="shared" si="33"/>
        <v>35.95967330476293</v>
      </c>
      <c r="N90" s="9">
        <f t="shared" si="33"/>
        <v>11.04870659871859</v>
      </c>
      <c r="O90" s="9">
        <f t="shared" si="33"/>
        <v>30.749682229571917</v>
      </c>
      <c r="P90" s="9">
        <f t="shared" si="33"/>
        <v>23.592448450888085</v>
      </c>
      <c r="Q90" s="9">
        <f t="shared" si="33"/>
        <v>11.157054994927908</v>
      </c>
      <c r="R90" s="9">
        <f t="shared" si="33"/>
        <v>6.8322956516762634</v>
      </c>
      <c r="S90" s="9">
        <f t="shared" si="33"/>
        <v>5.623656313829037</v>
      </c>
      <c r="T90" s="9">
        <f t="shared" si="33"/>
        <v>4.3118685139983013</v>
      </c>
      <c r="U90" s="9">
        <f t="shared" si="33"/>
        <v>2.8246113310581413</v>
      </c>
      <c r="V90" s="9">
        <f t="shared" si="33"/>
        <v>2.2829070583738411</v>
      </c>
      <c r="W90" s="9">
        <f t="shared" si="33"/>
        <v>2.158141611743301</v>
      </c>
      <c r="X90" s="9">
        <f t="shared" si="33"/>
        <v>2.0478123367474108</v>
      </c>
      <c r="Y90" s="9">
        <f t="shared" si="33"/>
        <v>1.9530052566386191</v>
      </c>
      <c r="Z90" s="9">
        <f t="shared" si="33"/>
        <v>1.8336239511008039</v>
      </c>
      <c r="AA90" s="9">
        <f t="shared" si="33"/>
        <v>3.7408448084564538</v>
      </c>
      <c r="AB90" s="9">
        <f t="shared" si="33"/>
        <v>3.4839432360184501</v>
      </c>
      <c r="AC90" s="9">
        <f t="shared" si="33"/>
        <v>3.2519635054759708</v>
      </c>
      <c r="AD90" s="9">
        <f t="shared" si="33"/>
        <v>2.6770041864984981</v>
      </c>
      <c r="AE90" s="9">
        <f t="shared" si="33"/>
        <v>2.4526486613093521</v>
      </c>
      <c r="AF90" s="9">
        <f t="shared" si="33"/>
        <v>2.3546165899059437</v>
      </c>
      <c r="AG90" s="9">
        <f t="shared" si="33"/>
        <v>1.8807084088133355</v>
      </c>
      <c r="AH90" s="9">
        <f t="shared" si="33"/>
        <v>1.716106267628196</v>
      </c>
      <c r="AI90" s="9">
        <f t="shared" si="33"/>
        <v>1.7246830436106693</v>
      </c>
      <c r="AJ90" s="9">
        <f t="shared" si="33"/>
        <v>1.7268240576469271</v>
      </c>
      <c r="AK90" s="9">
        <f t="shared" si="33"/>
        <v>1.7252332036517752</v>
      </c>
      <c r="AL90" s="9">
        <f t="shared" si="33"/>
        <v>1.7046557421009689</v>
      </c>
      <c r="AM90" s="9">
        <f t="shared" si="33"/>
        <v>2.1752442377553276</v>
      </c>
      <c r="AN90" s="9">
        <f t="shared" si="33"/>
        <v>2.0864176871604445</v>
      </c>
      <c r="AO90" s="9">
        <f t="shared" si="33"/>
        <v>2.0723396679406862</v>
      </c>
      <c r="AP90" s="9">
        <f t="shared" si="33"/>
        <v>1.7315601509720733</v>
      </c>
      <c r="AQ90" s="9">
        <f t="shared" si="33"/>
        <v>1.6238158711721513</v>
      </c>
      <c r="AR90" s="9">
        <f t="shared" si="33"/>
        <v>1.6481247490504882</v>
      </c>
      <c r="AS90" s="9">
        <f t="shared" si="33"/>
        <v>1.3306673931022421</v>
      </c>
      <c r="AT90" s="9">
        <f t="shared" si="33"/>
        <v>1.2522262349778046</v>
      </c>
      <c r="AU90" s="9">
        <f t="shared" si="33"/>
        <v>1.3194608592931356</v>
      </c>
      <c r="AV90" s="9">
        <f t="shared" si="33"/>
        <v>1.3857162608510276</v>
      </c>
      <c r="AW90" s="9">
        <f t="shared" si="33"/>
        <v>1.4461478850055771</v>
      </c>
      <c r="AX90" s="9">
        <f t="shared" si="33"/>
        <v>1.4966765700592533</v>
      </c>
      <c r="AY90" s="9">
        <f t="shared" si="33"/>
        <v>2.0363966361247412</v>
      </c>
      <c r="AZ90" s="9">
        <f t="shared" si="33"/>
        <v>2.1506514497542946</v>
      </c>
      <c r="BA90" s="9">
        <f t="shared" si="33"/>
        <v>2.0176779516360734</v>
      </c>
      <c r="BB90" s="9">
        <f t="shared" si="33"/>
        <v>1.7270836165671712</v>
      </c>
      <c r="BC90" s="9">
        <f t="shared" si="33"/>
        <v>1.6696516046153675</v>
      </c>
      <c r="BD90" s="9">
        <f t="shared" si="33"/>
        <v>1.7335792641932555</v>
      </c>
      <c r="BE90" s="9">
        <f t="shared" si="33"/>
        <v>1.4661920636045154</v>
      </c>
      <c r="BF90" s="9">
        <f t="shared" si="33"/>
        <v>1.4182736582710385</v>
      </c>
      <c r="BG90" s="9">
        <f t="shared" si="33"/>
        <v>1.5230398256383142</v>
      </c>
      <c r="BH90" s="9">
        <f t="shared" si="33"/>
        <v>1.6265882529927373</v>
      </c>
      <c r="BI90" s="9">
        <f t="shared" si="33"/>
        <v>1.7262328035142647</v>
      </c>
      <c r="BJ90" s="9">
        <f t="shared" si="33"/>
        <v>1.8256521861168311</v>
      </c>
    </row>
    <row r="91" spans="1:62">
      <c r="A91" s="6" t="s">
        <v>113</v>
      </c>
      <c r="C91" s="81">
        <f>C64+C65+C72</f>
        <v>0</v>
      </c>
      <c r="D91" s="81">
        <f t="shared" ref="D91:BJ91" si="34">D64+D65+D72</f>
        <v>0</v>
      </c>
      <c r="E91" s="81">
        <f t="shared" si="34"/>
        <v>0</v>
      </c>
      <c r="F91" s="81">
        <f t="shared" si="34"/>
        <v>0</v>
      </c>
      <c r="G91" s="81">
        <f t="shared" si="34"/>
        <v>0</v>
      </c>
      <c r="H91" s="81">
        <f t="shared" si="34"/>
        <v>0</v>
      </c>
      <c r="I91" s="81">
        <f t="shared" si="34"/>
        <v>0</v>
      </c>
      <c r="J91" s="81">
        <f t="shared" si="34"/>
        <v>0</v>
      </c>
      <c r="K91" s="81">
        <f t="shared" si="34"/>
        <v>0</v>
      </c>
      <c r="L91" s="81">
        <f t="shared" si="34"/>
        <v>0</v>
      </c>
      <c r="M91" s="81">
        <f t="shared" si="34"/>
        <v>0</v>
      </c>
      <c r="N91" s="81">
        <f t="shared" si="34"/>
        <v>0</v>
      </c>
      <c r="O91" s="81">
        <f t="shared" si="34"/>
        <v>14000000</v>
      </c>
      <c r="P91" s="81">
        <f t="shared" si="34"/>
        <v>14000000</v>
      </c>
      <c r="Q91" s="81">
        <f t="shared" si="34"/>
        <v>14000000</v>
      </c>
      <c r="R91" s="81">
        <f t="shared" si="34"/>
        <v>14000000</v>
      </c>
      <c r="S91" s="81">
        <f t="shared" si="34"/>
        <v>14000000</v>
      </c>
      <c r="T91" s="81">
        <f t="shared" si="34"/>
        <v>14000000</v>
      </c>
      <c r="U91" s="81">
        <f t="shared" si="34"/>
        <v>14000000</v>
      </c>
      <c r="V91" s="81">
        <f t="shared" si="34"/>
        <v>14000000</v>
      </c>
      <c r="W91" s="81">
        <f t="shared" si="34"/>
        <v>14000000</v>
      </c>
      <c r="X91" s="81">
        <f t="shared" si="34"/>
        <v>14000000</v>
      </c>
      <c r="Y91" s="81">
        <f t="shared" si="34"/>
        <v>14000000</v>
      </c>
      <c r="Z91" s="81">
        <f t="shared" si="34"/>
        <v>14000000</v>
      </c>
      <c r="AA91" s="81">
        <f t="shared" si="34"/>
        <v>23708333.333333332</v>
      </c>
      <c r="AB91" s="81">
        <f t="shared" si="34"/>
        <v>23416666.666666664</v>
      </c>
      <c r="AC91" s="81">
        <f t="shared" si="34"/>
        <v>23124999.999999996</v>
      </c>
      <c r="AD91" s="81">
        <f t="shared" si="34"/>
        <v>22833333.333333328</v>
      </c>
      <c r="AE91" s="81">
        <f t="shared" si="34"/>
        <v>22541666.66666666</v>
      </c>
      <c r="AF91" s="81">
        <f t="shared" si="34"/>
        <v>22249999.999999993</v>
      </c>
      <c r="AG91" s="81">
        <f t="shared" si="34"/>
        <v>21958333.333333325</v>
      </c>
      <c r="AH91" s="81">
        <f t="shared" si="34"/>
        <v>21666666.666666657</v>
      </c>
      <c r="AI91" s="81">
        <f t="shared" si="34"/>
        <v>21374999.999999989</v>
      </c>
      <c r="AJ91" s="81">
        <f t="shared" si="34"/>
        <v>21083333.333333321</v>
      </c>
      <c r="AK91" s="81">
        <f t="shared" si="34"/>
        <v>20791666.666666653</v>
      </c>
      <c r="AL91" s="81">
        <f t="shared" si="34"/>
        <v>20499999.999999985</v>
      </c>
      <c r="AM91" s="81">
        <f t="shared" si="34"/>
        <v>25066840.277777765</v>
      </c>
      <c r="AN91" s="81">
        <f t="shared" si="34"/>
        <v>24633680.555555545</v>
      </c>
      <c r="AO91" s="81">
        <f t="shared" si="34"/>
        <v>24200520.833333325</v>
      </c>
      <c r="AP91" s="81">
        <f t="shared" si="34"/>
        <v>23767361.111111104</v>
      </c>
      <c r="AQ91" s="81">
        <f t="shared" si="34"/>
        <v>23334201.388888884</v>
      </c>
      <c r="AR91" s="81">
        <f t="shared" si="34"/>
        <v>22901041.666666664</v>
      </c>
      <c r="AS91" s="81">
        <f t="shared" si="34"/>
        <v>22467881.94444444</v>
      </c>
      <c r="AT91" s="81">
        <f t="shared" si="34"/>
        <v>22034722.222222224</v>
      </c>
      <c r="AU91" s="81">
        <f t="shared" si="34"/>
        <v>21601562.500000004</v>
      </c>
      <c r="AV91" s="81">
        <f t="shared" si="34"/>
        <v>21168402.777777784</v>
      </c>
      <c r="AW91" s="81">
        <f t="shared" si="34"/>
        <v>20735243.055555563</v>
      </c>
      <c r="AX91" s="81">
        <f t="shared" si="34"/>
        <v>20302083.333333343</v>
      </c>
      <c r="AY91" s="81">
        <f t="shared" si="34"/>
        <v>24870099.103009269</v>
      </c>
      <c r="AZ91" s="81">
        <f t="shared" si="34"/>
        <v>24438114.872685194</v>
      </c>
      <c r="BA91" s="81">
        <f t="shared" si="34"/>
        <v>24006130.642361119</v>
      </c>
      <c r="BB91" s="81">
        <f t="shared" si="34"/>
        <v>23574146.412037045</v>
      </c>
      <c r="BC91" s="81">
        <f t="shared" si="34"/>
        <v>23142162.18171297</v>
      </c>
      <c r="BD91" s="81">
        <f t="shared" si="34"/>
        <v>22710177.951388896</v>
      </c>
      <c r="BE91" s="81">
        <f t="shared" si="34"/>
        <v>22278193.721064821</v>
      </c>
      <c r="BF91" s="81">
        <f t="shared" si="34"/>
        <v>21846209.490740746</v>
      </c>
      <c r="BG91" s="81">
        <f t="shared" si="34"/>
        <v>21414225.260416672</v>
      </c>
      <c r="BH91" s="81">
        <f t="shared" si="34"/>
        <v>20982241.030092597</v>
      </c>
      <c r="BI91" s="81">
        <f t="shared" si="34"/>
        <v>20550256.799768522</v>
      </c>
      <c r="BJ91" s="81">
        <f t="shared" si="34"/>
        <v>20118272.569444448</v>
      </c>
    </row>
    <row r="92" spans="1:62">
      <c r="A92" s="6" t="s">
        <v>114</v>
      </c>
      <c r="C92" s="9">
        <f>C91/C84</f>
        <v>0</v>
      </c>
      <c r="D92" s="9">
        <f t="shared" ref="D92:BJ92" si="35">D91/D84</f>
        <v>0</v>
      </c>
      <c r="E92" s="9">
        <f t="shared" si="35"/>
        <v>0</v>
      </c>
      <c r="F92" s="9">
        <f t="shared" si="35"/>
        <v>0</v>
      </c>
      <c r="G92" s="9">
        <f t="shared" si="35"/>
        <v>0</v>
      </c>
      <c r="H92" s="9">
        <f t="shared" si="35"/>
        <v>0</v>
      </c>
      <c r="I92" s="9">
        <f t="shared" si="35"/>
        <v>0</v>
      </c>
      <c r="J92" s="9">
        <f t="shared" si="35"/>
        <v>0</v>
      </c>
      <c r="K92" s="9">
        <f t="shared" si="35"/>
        <v>0</v>
      </c>
      <c r="L92" s="9">
        <f t="shared" si="35"/>
        <v>0</v>
      </c>
      <c r="M92" s="9">
        <f t="shared" si="35"/>
        <v>0</v>
      </c>
      <c r="N92" s="9">
        <f t="shared" si="35"/>
        <v>0</v>
      </c>
      <c r="O92" s="9">
        <f t="shared" si="35"/>
        <v>0.82357188343747956</v>
      </c>
      <c r="P92" s="9">
        <f t="shared" si="35"/>
        <v>0.8293549604559417</v>
      </c>
      <c r="Q92" s="9">
        <f t="shared" si="35"/>
        <v>0.8328444129049668</v>
      </c>
      <c r="R92" s="9">
        <f t="shared" si="35"/>
        <v>0.74545288677350352</v>
      </c>
      <c r="S92" s="9">
        <f t="shared" si="35"/>
        <v>0.74559129549312375</v>
      </c>
      <c r="T92" s="9">
        <f t="shared" si="35"/>
        <v>0.74463181355614805</v>
      </c>
      <c r="U92" s="9">
        <f t="shared" si="35"/>
        <v>0.67065099280682594</v>
      </c>
      <c r="V92" s="9">
        <f t="shared" si="35"/>
        <v>0.66878222696820044</v>
      </c>
      <c r="W92" s="9">
        <f t="shared" si="35"/>
        <v>0.6662074998301839</v>
      </c>
      <c r="X92" s="9">
        <f t="shared" si="35"/>
        <v>0.66393620087588157</v>
      </c>
      <c r="Y92" s="9">
        <f t="shared" si="35"/>
        <v>0.66207895811602568</v>
      </c>
      <c r="Z92" s="9">
        <f t="shared" si="35"/>
        <v>0.66061599706221563</v>
      </c>
      <c r="AA92" s="9">
        <f t="shared" si="35"/>
        <v>1.0163938242348292</v>
      </c>
      <c r="AB92" s="9">
        <f t="shared" si="35"/>
        <v>1.000501773382555</v>
      </c>
      <c r="AC92" s="9">
        <f t="shared" si="35"/>
        <v>0.98361401612698773</v>
      </c>
      <c r="AD92" s="9">
        <f t="shared" si="35"/>
        <v>0.88956390903393567</v>
      </c>
      <c r="AE92" s="9">
        <f t="shared" si="35"/>
        <v>0.87288380537032406</v>
      </c>
      <c r="AF92" s="9">
        <f t="shared" si="35"/>
        <v>0.85554240435862394</v>
      </c>
      <c r="AG92" s="9">
        <f t="shared" si="35"/>
        <v>0.77760882943840615</v>
      </c>
      <c r="AH92" s="9">
        <f t="shared" si="35"/>
        <v>0.76111437653320257</v>
      </c>
      <c r="AI92" s="9">
        <f t="shared" si="35"/>
        <v>0.74441193307378339</v>
      </c>
      <c r="AJ92" s="9">
        <f t="shared" si="35"/>
        <v>0.72841704207182989</v>
      </c>
      <c r="AK92" s="9">
        <f t="shared" si="35"/>
        <v>0.71306134513817399</v>
      </c>
      <c r="AL92" s="9">
        <f t="shared" si="35"/>
        <v>0.6983099682905588</v>
      </c>
      <c r="AM92" s="9">
        <f t="shared" si="35"/>
        <v>0.79228435152395671</v>
      </c>
      <c r="AN92" s="9">
        <f t="shared" si="35"/>
        <v>0.77197506297444762</v>
      </c>
      <c r="AO92" s="9">
        <f t="shared" si="35"/>
        <v>0.75145621607186075</v>
      </c>
      <c r="AP92" s="9">
        <f t="shared" si="35"/>
        <v>0.6879204770757561</v>
      </c>
      <c r="AQ92" s="9">
        <f t="shared" si="35"/>
        <v>0.66858651569588157</v>
      </c>
      <c r="AR92" s="9">
        <f t="shared" si="35"/>
        <v>0.64928754918391973</v>
      </c>
      <c r="AS92" s="9">
        <f t="shared" si="35"/>
        <v>0.59615729695161213</v>
      </c>
      <c r="AT92" s="9">
        <f t="shared" si="35"/>
        <v>0.57810528375556924</v>
      </c>
      <c r="AU92" s="9">
        <f t="shared" si="35"/>
        <v>0.56024101568788953</v>
      </c>
      <c r="AV92" s="9">
        <f t="shared" si="35"/>
        <v>0.54304728378393474</v>
      </c>
      <c r="AW92" s="9">
        <f t="shared" si="35"/>
        <v>0.52647866219355111</v>
      </c>
      <c r="AX92" s="9">
        <f t="shared" si="35"/>
        <v>0.51048090298891946</v>
      </c>
      <c r="AY92" s="9">
        <f t="shared" si="35"/>
        <v>0.58902666275458659</v>
      </c>
      <c r="AZ92" s="9">
        <f t="shared" si="35"/>
        <v>0.57279083431089128</v>
      </c>
      <c r="BA92" s="9">
        <f t="shared" si="35"/>
        <v>0.55662587087860582</v>
      </c>
      <c r="BB92" s="9">
        <f t="shared" si="35"/>
        <v>0.51654280535511599</v>
      </c>
      <c r="BC92" s="9">
        <f t="shared" si="35"/>
        <v>0.50127876485015588</v>
      </c>
      <c r="BD92" s="9">
        <f t="shared" si="35"/>
        <v>0.4861974313605209</v>
      </c>
      <c r="BE92" s="9">
        <f t="shared" si="35"/>
        <v>0.45191765888099666</v>
      </c>
      <c r="BF92" s="9">
        <f t="shared" si="35"/>
        <v>0.43783338624910018</v>
      </c>
      <c r="BG92" s="9">
        <f t="shared" si="35"/>
        <v>0.42398860782748843</v>
      </c>
      <c r="BH92" s="9">
        <f t="shared" si="35"/>
        <v>0.41065274141268832</v>
      </c>
      <c r="BI92" s="9">
        <f t="shared" si="35"/>
        <v>0.39778745540965033</v>
      </c>
      <c r="BJ92" s="9">
        <f t="shared" si="35"/>
        <v>0.38532961566093649</v>
      </c>
    </row>
    <row r="93" spans="1:62">
      <c r="A93" s="112" t="s">
        <v>342</v>
      </c>
      <c r="B93" s="113"/>
      <c r="C93" s="114">
        <f>C91/(C41*12)</f>
        <v>0</v>
      </c>
      <c r="D93" s="114">
        <f t="shared" ref="D93:BJ93" si="36">D91/(D41*12)</f>
        <v>0</v>
      </c>
      <c r="E93" s="114">
        <f t="shared" si="36"/>
        <v>0</v>
      </c>
      <c r="F93" s="114">
        <f t="shared" si="36"/>
        <v>0</v>
      </c>
      <c r="G93" s="114">
        <f t="shared" si="36"/>
        <v>0</v>
      </c>
      <c r="H93" s="114">
        <f t="shared" si="36"/>
        <v>0</v>
      </c>
      <c r="I93" s="114">
        <f t="shared" si="36"/>
        <v>0</v>
      </c>
      <c r="J93" s="114">
        <f t="shared" si="36"/>
        <v>0</v>
      </c>
      <c r="K93" s="114">
        <f t="shared" si="36"/>
        <v>0</v>
      </c>
      <c r="L93" s="114">
        <f t="shared" si="36"/>
        <v>0</v>
      </c>
      <c r="M93" s="114">
        <f t="shared" si="36"/>
        <v>0</v>
      </c>
      <c r="N93" s="114">
        <f t="shared" si="36"/>
        <v>0</v>
      </c>
      <c r="O93" s="114">
        <f t="shared" si="36"/>
        <v>11.567792617389671</v>
      </c>
      <c r="P93" s="114">
        <f t="shared" si="36"/>
        <v>5.0681133532748701</v>
      </c>
      <c r="Q93" s="114">
        <f t="shared" si="36"/>
        <v>4.1795271450018712</v>
      </c>
      <c r="R93" s="114">
        <f t="shared" si="36"/>
        <v>4.4234144954292818</v>
      </c>
      <c r="S93" s="114">
        <f t="shared" si="36"/>
        <v>2.9856468937910736</v>
      </c>
      <c r="T93" s="114">
        <f t="shared" si="36"/>
        <v>2.6968697121951291</v>
      </c>
      <c r="U93" s="114">
        <f t="shared" si="36"/>
        <v>2.8287752157380952</v>
      </c>
      <c r="V93" s="114">
        <f t="shared" si="36"/>
        <v>2.2068740890076426</v>
      </c>
      <c r="W93" s="114">
        <f t="shared" si="36"/>
        <v>2.0673003394402074</v>
      </c>
      <c r="X93" s="114">
        <f t="shared" si="36"/>
        <v>2.1150245008385284</v>
      </c>
      <c r="Y93" s="114">
        <f t="shared" si="36"/>
        <v>2.1889630747734552</v>
      </c>
      <c r="Z93" s="114">
        <f t="shared" si="36"/>
        <v>2.2647088336863481</v>
      </c>
      <c r="AA93" s="114">
        <f t="shared" si="36"/>
        <v>3.6032112627479536</v>
      </c>
      <c r="AB93" s="114">
        <f t="shared" si="36"/>
        <v>2.8035502441481972</v>
      </c>
      <c r="AC93" s="114">
        <f t="shared" si="36"/>
        <v>2.6171106934605506</v>
      </c>
      <c r="AD93" s="114">
        <f t="shared" si="36"/>
        <v>2.6654001985051208</v>
      </c>
      <c r="AE93" s="114">
        <f t="shared" si="36"/>
        <v>2.1952108790280671</v>
      </c>
      <c r="AF93" s="114">
        <f t="shared" si="36"/>
        <v>2.0702608823535944</v>
      </c>
      <c r="AG93" s="114">
        <f t="shared" si="36"/>
        <v>2.1086568088528637</v>
      </c>
      <c r="AH93" s="114">
        <f t="shared" si="36"/>
        <v>1.7940795936045484</v>
      </c>
      <c r="AI93" s="114">
        <f t="shared" si="36"/>
        <v>1.7227480332429466</v>
      </c>
      <c r="AJ93" s="114">
        <f t="shared" si="36"/>
        <v>1.7431774423713007</v>
      </c>
      <c r="AK93" s="114">
        <f t="shared" si="36"/>
        <v>1.7622867424677706</v>
      </c>
      <c r="AL93" s="114">
        <f t="shared" si="36"/>
        <v>1.7825483363274228</v>
      </c>
      <c r="AM93" s="114">
        <f t="shared" si="36"/>
        <v>2.1188106246303704</v>
      </c>
      <c r="AN93" s="114">
        <f t="shared" si="36"/>
        <v>1.7786191989985121</v>
      </c>
      <c r="AO93" s="114">
        <f t="shared" si="36"/>
        <v>1.6939007529213093</v>
      </c>
      <c r="AP93" s="114">
        <f t="shared" si="36"/>
        <v>1.7005309930085459</v>
      </c>
      <c r="AQ93" s="114">
        <f t="shared" si="36"/>
        <v>1.4745941741667918</v>
      </c>
      <c r="AR93" s="114">
        <f t="shared" si="36"/>
        <v>1.4155815416247024</v>
      </c>
      <c r="AS93" s="114">
        <f t="shared" si="36"/>
        <v>1.421585003801304</v>
      </c>
      <c r="AT93" s="114">
        <f t="shared" si="36"/>
        <v>1.2440085929903941</v>
      </c>
      <c r="AU93" s="114">
        <f t="shared" si="36"/>
        <v>1.2010528544923269</v>
      </c>
      <c r="AV93" s="114">
        <f t="shared" si="36"/>
        <v>1.2004159799814924</v>
      </c>
      <c r="AW93" s="114">
        <f t="shared" si="36"/>
        <v>1.1997247272462082</v>
      </c>
      <c r="AX93" s="114">
        <f t="shared" si="36"/>
        <v>1.1979999188267931</v>
      </c>
      <c r="AY93" s="114">
        <f t="shared" si="36"/>
        <v>1.4666363337523509</v>
      </c>
      <c r="AZ93" s="114">
        <f t="shared" si="36"/>
        <v>1.2844847946354057</v>
      </c>
      <c r="BA93" s="114">
        <f t="shared" si="36"/>
        <v>1.2358797728179407</v>
      </c>
      <c r="BB93" s="114">
        <f t="shared" si="36"/>
        <v>1.2350501816463964</v>
      </c>
      <c r="BC93" s="114">
        <f t="shared" si="36"/>
        <v>1.0940070618429507</v>
      </c>
      <c r="BD93" s="114">
        <f t="shared" si="36"/>
        <v>1.058013000803413</v>
      </c>
      <c r="BE93" s="114">
        <f t="shared" si="36"/>
        <v>1.0578650424976743</v>
      </c>
      <c r="BF93" s="114">
        <f t="shared" si="36"/>
        <v>0.94931426408663933</v>
      </c>
      <c r="BG93" s="114">
        <f t="shared" si="36"/>
        <v>0.92126967435819151</v>
      </c>
      <c r="BH93" s="114">
        <f t="shared" si="36"/>
        <v>0.91802038950540776</v>
      </c>
      <c r="BI93" s="114">
        <f t="shared" si="36"/>
        <v>0.9142101635053812</v>
      </c>
      <c r="BJ93" s="114">
        <f t="shared" si="36"/>
        <v>0.90709033119994265</v>
      </c>
    </row>
    <row r="95" spans="1:62" s="116" customFormat="1">
      <c r="A95" s="115" t="s">
        <v>126</v>
      </c>
    </row>
    <row r="96" spans="1:62" s="116" customFormat="1">
      <c r="A96" s="115" t="s">
        <v>45</v>
      </c>
    </row>
    <row r="97" spans="1:62">
      <c r="A97" s="117" t="s">
        <v>159</v>
      </c>
    </row>
    <row r="98" spans="1:62">
      <c r="A98" s="118" t="s">
        <v>125</v>
      </c>
      <c r="C98" s="81">
        <f>Assumptions!H6</f>
        <v>11000</v>
      </c>
      <c r="D98" s="99">
        <f>C101</f>
        <v>10945</v>
      </c>
      <c r="E98" s="99">
        <f t="shared" ref="E98:M98" si="37">D101</f>
        <v>10891.65</v>
      </c>
      <c r="F98" s="99">
        <f t="shared" si="37"/>
        <v>10839.9005</v>
      </c>
      <c r="G98" s="99">
        <f t="shared" si="37"/>
        <v>10789.703485</v>
      </c>
      <c r="H98" s="99">
        <f t="shared" si="37"/>
        <v>10741.01238045</v>
      </c>
      <c r="I98" s="99">
        <f t="shared" si="37"/>
        <v>10693.7820090365</v>
      </c>
      <c r="J98" s="99">
        <f t="shared" si="37"/>
        <v>10647.968548765406</v>
      </c>
      <c r="K98" s="99">
        <f t="shared" si="37"/>
        <v>10603.529492302443</v>
      </c>
      <c r="L98" s="99">
        <f t="shared" si="37"/>
        <v>10560.42360753337</v>
      </c>
      <c r="M98" s="99">
        <f t="shared" si="37"/>
        <v>10518.610899307369</v>
      </c>
      <c r="N98" s="99">
        <f>M101</f>
        <v>10478.052572328148</v>
      </c>
      <c r="O98" s="99">
        <f>N101</f>
        <v>10438.710995158304</v>
      </c>
      <c r="P98" s="99">
        <f>O101</f>
        <v>18458.882998636891</v>
      </c>
      <c r="Q98" s="99">
        <f t="shared" ref="Q98:BJ98" si="38">P101</f>
        <v>17905.116508677784</v>
      </c>
      <c r="R98" s="99">
        <f t="shared" si="38"/>
        <v>17367.963013417451</v>
      </c>
      <c r="S98" s="99">
        <f t="shared" si="38"/>
        <v>25180.257456348263</v>
      </c>
      <c r="T98" s="99">
        <f t="shared" si="38"/>
        <v>24424.849732657814</v>
      </c>
      <c r="U98" s="99">
        <f t="shared" si="38"/>
        <v>23692.10424067808</v>
      </c>
      <c r="V98" s="99">
        <f t="shared" si="38"/>
        <v>31314.674446791068</v>
      </c>
      <c r="W98" s="99">
        <f t="shared" si="38"/>
        <v>30375.234213387335</v>
      </c>
      <c r="X98" s="99">
        <f t="shared" si="38"/>
        <v>29463.977186985714</v>
      </c>
      <c r="Y98" s="99">
        <f t="shared" si="38"/>
        <v>28580.057871376142</v>
      </c>
      <c r="Z98" s="99">
        <f t="shared" si="38"/>
        <v>27722.656135234858</v>
      </c>
      <c r="AA98" s="99">
        <f t="shared" si="38"/>
        <v>26890.976451177812</v>
      </c>
      <c r="AB98" s="99">
        <f t="shared" si="38"/>
        <v>34417.580490975815</v>
      </c>
      <c r="AC98" s="99">
        <f t="shared" si="38"/>
        <v>33385.053076246542</v>
      </c>
      <c r="AD98" s="99">
        <f t="shared" si="38"/>
        <v>32383.501483959146</v>
      </c>
      <c r="AE98" s="99">
        <f t="shared" si="38"/>
        <v>39745.329772773708</v>
      </c>
      <c r="AF98" s="99">
        <f t="shared" si="38"/>
        <v>38552.969879590499</v>
      </c>
      <c r="AG98" s="99">
        <f t="shared" si="38"/>
        <v>37396.380783202781</v>
      </c>
      <c r="AH98" s="99">
        <f t="shared" si="38"/>
        <v>44607.822693040034</v>
      </c>
      <c r="AI98" s="99">
        <f t="shared" si="38"/>
        <v>43269.588012248831</v>
      </c>
      <c r="AJ98" s="99">
        <f t="shared" si="38"/>
        <v>41971.500371881368</v>
      </c>
      <c r="AK98" s="99">
        <f t="shared" si="38"/>
        <v>40712.355360724927</v>
      </c>
      <c r="AL98" s="99">
        <f t="shared" si="38"/>
        <v>39490.98469990318</v>
      </c>
      <c r="AM98" s="99">
        <f t="shared" si="38"/>
        <v>38306.255158906082</v>
      </c>
      <c r="AN98" s="99">
        <f t="shared" si="38"/>
        <v>45490.400837472233</v>
      </c>
      <c r="AO98" s="99">
        <f t="shared" si="38"/>
        <v>44125.688812348068</v>
      </c>
      <c r="AP98" s="99">
        <f t="shared" si="38"/>
        <v>42801.918147977623</v>
      </c>
      <c r="AQ98" s="99">
        <f t="shared" si="38"/>
        <v>49851.193936871634</v>
      </c>
      <c r="AR98" s="99">
        <f t="shared" si="38"/>
        <v>48355.658118765488</v>
      </c>
      <c r="AS98" s="99">
        <f t="shared" si="38"/>
        <v>46904.988375202527</v>
      </c>
      <c r="AT98" s="99">
        <f t="shared" si="38"/>
        <v>53831.172057279786</v>
      </c>
      <c r="AU98" s="99">
        <f t="shared" si="38"/>
        <v>52216.236895561393</v>
      </c>
      <c r="AV98" s="99">
        <f t="shared" si="38"/>
        <v>50649.749788694549</v>
      </c>
      <c r="AW98" s="99">
        <f t="shared" si="38"/>
        <v>49130.257295033713</v>
      </c>
      <c r="AX98" s="99">
        <f t="shared" si="38"/>
        <v>47656.3495761827</v>
      </c>
      <c r="AY98" s="99">
        <f t="shared" si="38"/>
        <v>46226.65908889722</v>
      </c>
      <c r="AZ98" s="99">
        <f t="shared" si="38"/>
        <v>53173.192649563636</v>
      </c>
      <c r="BA98" s="99">
        <f t="shared" si="38"/>
        <v>51577.996870076728</v>
      </c>
      <c r="BB98" s="99">
        <f t="shared" si="38"/>
        <v>50030.656963974427</v>
      </c>
      <c r="BC98" s="99">
        <f t="shared" si="38"/>
        <v>56863.070588388531</v>
      </c>
      <c r="BD98" s="99">
        <f t="shared" si="38"/>
        <v>55157.178470736879</v>
      </c>
      <c r="BE98" s="99">
        <f t="shared" si="38"/>
        <v>53502.463116614774</v>
      </c>
      <c r="BF98" s="99">
        <f t="shared" si="38"/>
        <v>60230.722556449669</v>
      </c>
      <c r="BG98" s="99">
        <f t="shared" si="38"/>
        <v>58423.800879756178</v>
      </c>
      <c r="BH98" s="99">
        <f t="shared" si="38"/>
        <v>56671.086853363493</v>
      </c>
      <c r="BI98" s="99">
        <f t="shared" si="38"/>
        <v>54970.954247762587</v>
      </c>
      <c r="BJ98" s="99">
        <f t="shared" si="38"/>
        <v>53321.825620329713</v>
      </c>
    </row>
    <row r="99" spans="1:62">
      <c r="A99" s="119" t="s">
        <v>115</v>
      </c>
      <c r="O99" s="65">
        <f>VLOOKUP(Assumptions!$G$6,Acquired_Subscribers,'Financial Statements &amp; Detail'!O5+1)/3</f>
        <v>8333.3333333333339</v>
      </c>
      <c r="P99" s="65">
        <f>Assumptions!$F$14/12</f>
        <v>0</v>
      </c>
      <c r="Q99" s="7"/>
      <c r="R99" s="65">
        <f>VLOOKUP(Assumptions!$G$6,Acquired_Subscribers,'Financial Statements &amp; Detail'!R5+1)/3</f>
        <v>8333.3333333333339</v>
      </c>
      <c r="S99" s="7"/>
      <c r="T99" s="7"/>
      <c r="U99" s="65">
        <f>VLOOKUP(Assumptions!$G$6,Acquired_Subscribers,'Financial Statements &amp; Detail'!U5+1)/3</f>
        <v>8333.3333333333339</v>
      </c>
      <c r="V99" s="7"/>
      <c r="W99" s="7"/>
      <c r="X99" s="7"/>
      <c r="Y99" s="7"/>
      <c r="Z99" s="7"/>
      <c r="AA99" s="65">
        <f>VLOOKUP(Assumptions!$G$6,Acquired_Subscribers,'Financial Statements &amp; Detail'!AA5+1)/3</f>
        <v>8333.3333333333339</v>
      </c>
      <c r="AB99" s="7"/>
      <c r="AC99" s="7"/>
      <c r="AD99" s="65">
        <f>VLOOKUP(Assumptions!$G$6,Acquired_Subscribers,'Financial Statements &amp; Detail'!AD5+1)/3</f>
        <v>8333.3333333333339</v>
      </c>
      <c r="AE99" s="7"/>
      <c r="AF99" s="7"/>
      <c r="AG99" s="65">
        <f>VLOOKUP(Assumptions!$G$6,Acquired_Subscribers,'Financial Statements &amp; Detail'!AG5+1)/3</f>
        <v>8333.3333333333339</v>
      </c>
      <c r="AH99" s="7"/>
      <c r="AI99" s="7"/>
      <c r="AJ99" s="7"/>
      <c r="AK99" s="7"/>
      <c r="AL99" s="7"/>
      <c r="AM99" s="65">
        <f>VLOOKUP(Assumptions!$G$6,Acquired_Subscribers,'Financial Statements &amp; Detail'!AM5+1)/3</f>
        <v>8333.3333333333339</v>
      </c>
      <c r="AN99" s="7"/>
      <c r="AO99" s="7"/>
      <c r="AP99" s="65">
        <f>VLOOKUP(Assumptions!$G$6,Acquired_Subscribers,'Financial Statements &amp; Detail'!AP5+1)/3</f>
        <v>8333.3333333333339</v>
      </c>
      <c r="AQ99" s="7"/>
      <c r="AR99" s="7"/>
      <c r="AS99" s="65">
        <f>VLOOKUP(Assumptions!$G$6,Acquired_Subscribers,'Financial Statements &amp; Detail'!AS5+1)/3</f>
        <v>8333.3333333333339</v>
      </c>
      <c r="AT99" s="7"/>
      <c r="AU99" s="7"/>
      <c r="AV99" s="7"/>
      <c r="AW99" s="7"/>
      <c r="AX99" s="7"/>
      <c r="AY99" s="65">
        <f>VLOOKUP(Assumptions!$G$6,Acquired_Subscribers,'Financial Statements &amp; Detail'!AY5+1)/3</f>
        <v>8333.3333333333339</v>
      </c>
      <c r="AZ99" s="7"/>
      <c r="BA99" s="7"/>
      <c r="BB99" s="65">
        <f>VLOOKUP(Assumptions!$G$6,Acquired_Subscribers,'Financial Statements &amp; Detail'!BB5+1)/3</f>
        <v>8333.3333333333339</v>
      </c>
      <c r="BC99" s="7"/>
      <c r="BD99" s="7"/>
      <c r="BE99" s="65">
        <f>VLOOKUP(Assumptions!$G$6,Acquired_Subscribers,'Financial Statements &amp; Detail'!BE5+1)/3</f>
        <v>8333.3333333333339</v>
      </c>
      <c r="BF99" s="7"/>
      <c r="BG99" s="7"/>
      <c r="BH99" s="7"/>
      <c r="BI99" s="7"/>
      <c r="BJ99" s="7"/>
    </row>
    <row r="100" spans="1:62">
      <c r="A100" s="118" t="s">
        <v>3</v>
      </c>
      <c r="C100" s="81">
        <f>Cable_Attrition*'Financial Statements &amp; Detail'!C98</f>
        <v>330</v>
      </c>
      <c r="D100" s="81">
        <f>Cable_Attrition*'Financial Statements &amp; Detail'!D98</f>
        <v>328.34999999999997</v>
      </c>
      <c r="E100" s="81">
        <f>Cable_Attrition*'Financial Statements &amp; Detail'!E98</f>
        <v>326.74949999999995</v>
      </c>
      <c r="F100" s="81">
        <f>Cable_Attrition*'Financial Statements &amp; Detail'!F98</f>
        <v>325.19701499999996</v>
      </c>
      <c r="G100" s="81">
        <f>Cable_Attrition*'Financial Statements &amp; Detail'!G98</f>
        <v>323.69110454999998</v>
      </c>
      <c r="H100" s="81">
        <f>Cable_Attrition*'Financial Statements &amp; Detail'!H98</f>
        <v>322.2303714135</v>
      </c>
      <c r="I100" s="81">
        <f>Cable_Attrition*'Financial Statements &amp; Detail'!I98</f>
        <v>320.81346027109498</v>
      </c>
      <c r="J100" s="81">
        <f>Cable_Attrition*'Financial Statements &amp; Detail'!J98</f>
        <v>319.43905646296218</v>
      </c>
      <c r="K100" s="81">
        <f>Cable_Attrition*'Financial Statements &amp; Detail'!K98</f>
        <v>318.10588476907327</v>
      </c>
      <c r="L100" s="81">
        <f>Cable_Attrition*'Financial Statements &amp; Detail'!L98</f>
        <v>316.81270822600112</v>
      </c>
      <c r="M100" s="81">
        <f>Cable_Attrition*'Financial Statements &amp; Detail'!M98</f>
        <v>315.55832697922102</v>
      </c>
      <c r="N100" s="81">
        <f>Cable_Attrition*'Financial Statements &amp; Detail'!N98</f>
        <v>314.34157716984441</v>
      </c>
      <c r="O100" s="81">
        <f>Cable_Attrition*'Financial Statements &amp; Detail'!O98</f>
        <v>313.16132985474911</v>
      </c>
      <c r="P100" s="81">
        <f>Cable_Attrition*'Financial Statements &amp; Detail'!P98</f>
        <v>553.76648995910671</v>
      </c>
      <c r="Q100" s="81">
        <f>Cable_Attrition*'Financial Statements &amp; Detail'!Q98</f>
        <v>537.15349526033344</v>
      </c>
      <c r="R100" s="81">
        <f>Cable_Attrition*'Financial Statements &amp; Detail'!R98</f>
        <v>521.03889040252352</v>
      </c>
      <c r="S100" s="81">
        <f>Cable_Attrition*'Financial Statements &amp; Detail'!S98</f>
        <v>755.40772369044782</v>
      </c>
      <c r="T100" s="81">
        <f>Cable_Attrition*'Financial Statements &amp; Detail'!T98</f>
        <v>732.74549197973442</v>
      </c>
      <c r="U100" s="81">
        <f>Cable_Attrition*'Financial Statements &amp; Detail'!U98</f>
        <v>710.76312722034231</v>
      </c>
      <c r="V100" s="81">
        <f>Cable_Attrition*'Financial Statements &amp; Detail'!V98</f>
        <v>939.44023340373201</v>
      </c>
      <c r="W100" s="81">
        <f>Cable_Attrition*'Financial Statements &amp; Detail'!W98</f>
        <v>911.25702640162001</v>
      </c>
      <c r="X100" s="81">
        <f>Cable_Attrition*'Financial Statements &amp; Detail'!X98</f>
        <v>883.91931560957141</v>
      </c>
      <c r="Y100" s="81">
        <f>Cable_Attrition*'Financial Statements &amp; Detail'!Y98</f>
        <v>857.40173614128423</v>
      </c>
      <c r="Z100" s="81">
        <f>Cable_Attrition*'Financial Statements &amp; Detail'!Z98</f>
        <v>831.67968405704573</v>
      </c>
      <c r="AA100" s="81">
        <f>Cable_Attrition*'Financial Statements &amp; Detail'!AA98</f>
        <v>806.72929353533436</v>
      </c>
      <c r="AB100" s="81">
        <f>Cable_Attrition*'Financial Statements &amp; Detail'!AB98</f>
        <v>1032.5274147292744</v>
      </c>
      <c r="AC100" s="81">
        <f>Cable_Attrition*'Financial Statements &amp; Detail'!AC98</f>
        <v>1001.5515922873963</v>
      </c>
      <c r="AD100" s="81">
        <f>Cable_Attrition*'Financial Statements &amp; Detail'!AD98</f>
        <v>971.5050445187743</v>
      </c>
      <c r="AE100" s="81">
        <f>Cable_Attrition*'Financial Statements &amp; Detail'!AE98</f>
        <v>1192.3598931832112</v>
      </c>
      <c r="AF100" s="81">
        <f>Cable_Attrition*'Financial Statements &amp; Detail'!AF98</f>
        <v>1156.589096387715</v>
      </c>
      <c r="AG100" s="81">
        <f>Cable_Attrition*'Financial Statements &amp; Detail'!AG98</f>
        <v>1121.8914234960835</v>
      </c>
      <c r="AH100" s="81">
        <f>Cable_Attrition*'Financial Statements &amp; Detail'!AH98</f>
        <v>1338.2346807912011</v>
      </c>
      <c r="AI100" s="81">
        <f>Cable_Attrition*'Financial Statements &amp; Detail'!AI98</f>
        <v>1298.0876403674649</v>
      </c>
      <c r="AJ100" s="81">
        <f>Cable_Attrition*'Financial Statements &amp; Detail'!AJ98</f>
        <v>1259.1450111564409</v>
      </c>
      <c r="AK100" s="81">
        <f>Cable_Attrition*'Financial Statements &amp; Detail'!AK98</f>
        <v>1221.3706608217478</v>
      </c>
      <c r="AL100" s="81">
        <f>Cable_Attrition*'Financial Statements &amp; Detail'!AL98</f>
        <v>1184.7295409970955</v>
      </c>
      <c r="AM100" s="81">
        <f>Cable_Attrition*'Financial Statements &amp; Detail'!AM98</f>
        <v>1149.1876547671825</v>
      </c>
      <c r="AN100" s="81">
        <f>Cable_Attrition*'Financial Statements &amp; Detail'!AN98</f>
        <v>1364.712025124167</v>
      </c>
      <c r="AO100" s="81">
        <f>Cable_Attrition*'Financial Statements &amp; Detail'!AO98</f>
        <v>1323.7706643704421</v>
      </c>
      <c r="AP100" s="81">
        <f>Cable_Attrition*'Financial Statements &amp; Detail'!AP98</f>
        <v>1284.0575444393287</v>
      </c>
      <c r="AQ100" s="81">
        <f>Cable_Attrition*'Financial Statements &amp; Detail'!AQ98</f>
        <v>1495.535818106149</v>
      </c>
      <c r="AR100" s="81">
        <f>Cable_Attrition*'Financial Statements &amp; Detail'!AR98</f>
        <v>1450.6697435629646</v>
      </c>
      <c r="AS100" s="81">
        <f>Cable_Attrition*'Financial Statements &amp; Detail'!AS98</f>
        <v>1407.1496512560757</v>
      </c>
      <c r="AT100" s="81">
        <f>Cable_Attrition*'Financial Statements &amp; Detail'!AT98</f>
        <v>1614.9351617183936</v>
      </c>
      <c r="AU100" s="81">
        <f>Cable_Attrition*'Financial Statements &amp; Detail'!AU98</f>
        <v>1566.4871068668417</v>
      </c>
      <c r="AV100" s="81">
        <f>Cable_Attrition*'Financial Statements &amp; Detail'!AV98</f>
        <v>1519.4924936608363</v>
      </c>
      <c r="AW100" s="81">
        <f>Cable_Attrition*'Financial Statements &amp; Detail'!AW98</f>
        <v>1473.9077188510114</v>
      </c>
      <c r="AX100" s="81">
        <f>Cable_Attrition*'Financial Statements &amp; Detail'!AX98</f>
        <v>1429.6904872854809</v>
      </c>
      <c r="AY100" s="81">
        <f>Cable_Attrition*'Financial Statements &amp; Detail'!AY98</f>
        <v>1386.7997726669166</v>
      </c>
      <c r="AZ100" s="81">
        <f>Cable_Attrition*'Financial Statements &amp; Detail'!AZ98</f>
        <v>1595.195779486909</v>
      </c>
      <c r="BA100" s="81">
        <f>Cable_Attrition*'Financial Statements &amp; Detail'!BA98</f>
        <v>1547.3399061023017</v>
      </c>
      <c r="BB100" s="81">
        <f>Cable_Attrition*'Financial Statements &amp; Detail'!BB98</f>
        <v>1500.9197089192328</v>
      </c>
      <c r="BC100" s="81">
        <f>Cable_Attrition*'Financial Statements &amp; Detail'!BC98</f>
        <v>1705.8921176516558</v>
      </c>
      <c r="BD100" s="81">
        <f>Cable_Attrition*'Financial Statements &amp; Detail'!BD98</f>
        <v>1654.7153541221062</v>
      </c>
      <c r="BE100" s="81">
        <f>Cable_Attrition*'Financial Statements &amp; Detail'!BE98</f>
        <v>1605.0738934984431</v>
      </c>
      <c r="BF100" s="81">
        <f>Cable_Attrition*'Financial Statements &amp; Detail'!BF98</f>
        <v>1806.9216766934901</v>
      </c>
      <c r="BG100" s="81">
        <f>Cable_Attrition*'Financial Statements &amp; Detail'!BG98</f>
        <v>1752.7140263926854</v>
      </c>
      <c r="BH100" s="81">
        <f>Cable_Attrition*'Financial Statements &amp; Detail'!BH98</f>
        <v>1700.1326056009048</v>
      </c>
      <c r="BI100" s="81">
        <f>Cable_Attrition*'Financial Statements &amp; Detail'!BI98</f>
        <v>1649.1286274328775</v>
      </c>
      <c r="BJ100" s="81">
        <f>Cable_Attrition*'Financial Statements &amp; Detail'!BJ98</f>
        <v>1599.6547686098913</v>
      </c>
    </row>
    <row r="101" spans="1:62">
      <c r="A101" s="118" t="s">
        <v>116</v>
      </c>
      <c r="C101" s="81">
        <f t="shared" ref="C101:N101" si="39">C98+C105-C100</f>
        <v>10945</v>
      </c>
      <c r="D101" s="81">
        <f t="shared" si="39"/>
        <v>10891.65</v>
      </c>
      <c r="E101" s="81">
        <f t="shared" si="39"/>
        <v>10839.9005</v>
      </c>
      <c r="F101" s="81">
        <f t="shared" si="39"/>
        <v>10789.703485</v>
      </c>
      <c r="G101" s="81">
        <f t="shared" si="39"/>
        <v>10741.01238045</v>
      </c>
      <c r="H101" s="81">
        <f t="shared" si="39"/>
        <v>10693.7820090365</v>
      </c>
      <c r="I101" s="81">
        <f t="shared" si="39"/>
        <v>10647.968548765406</v>
      </c>
      <c r="J101" s="81">
        <f t="shared" si="39"/>
        <v>10603.529492302443</v>
      </c>
      <c r="K101" s="81">
        <f t="shared" si="39"/>
        <v>10560.42360753337</v>
      </c>
      <c r="L101" s="81">
        <f t="shared" si="39"/>
        <v>10518.610899307369</v>
      </c>
      <c r="M101" s="81">
        <f t="shared" si="39"/>
        <v>10478.052572328148</v>
      </c>
      <c r="N101" s="81">
        <f t="shared" si="39"/>
        <v>10438.710995158304</v>
      </c>
      <c r="O101" s="81">
        <f>O98+O99-O100</f>
        <v>18458.882998636891</v>
      </c>
      <c r="P101" s="81">
        <f>P98+P99-P100</f>
        <v>17905.116508677784</v>
      </c>
      <c r="Q101" s="81">
        <f t="shared" ref="Q101:BJ101" si="40">Q98+Q99-Q100</f>
        <v>17367.963013417451</v>
      </c>
      <c r="R101" s="81">
        <f t="shared" si="40"/>
        <v>25180.257456348263</v>
      </c>
      <c r="S101" s="81">
        <f t="shared" si="40"/>
        <v>24424.849732657814</v>
      </c>
      <c r="T101" s="81">
        <f t="shared" si="40"/>
        <v>23692.10424067808</v>
      </c>
      <c r="U101" s="81">
        <f t="shared" si="40"/>
        <v>31314.674446791068</v>
      </c>
      <c r="V101" s="81">
        <f t="shared" si="40"/>
        <v>30375.234213387335</v>
      </c>
      <c r="W101" s="81">
        <f t="shared" si="40"/>
        <v>29463.977186985714</v>
      </c>
      <c r="X101" s="81">
        <f t="shared" si="40"/>
        <v>28580.057871376142</v>
      </c>
      <c r="Y101" s="81">
        <f t="shared" si="40"/>
        <v>27722.656135234858</v>
      </c>
      <c r="Z101" s="81">
        <f t="shared" si="40"/>
        <v>26890.976451177812</v>
      </c>
      <c r="AA101" s="81">
        <f t="shared" si="40"/>
        <v>34417.580490975815</v>
      </c>
      <c r="AB101" s="81">
        <f t="shared" si="40"/>
        <v>33385.053076246542</v>
      </c>
      <c r="AC101" s="81">
        <f t="shared" si="40"/>
        <v>32383.501483959146</v>
      </c>
      <c r="AD101" s="81">
        <f t="shared" si="40"/>
        <v>39745.329772773708</v>
      </c>
      <c r="AE101" s="81">
        <f t="shared" si="40"/>
        <v>38552.969879590499</v>
      </c>
      <c r="AF101" s="81">
        <f t="shared" si="40"/>
        <v>37396.380783202781</v>
      </c>
      <c r="AG101" s="81">
        <f t="shared" si="40"/>
        <v>44607.822693040034</v>
      </c>
      <c r="AH101" s="81">
        <f t="shared" si="40"/>
        <v>43269.588012248831</v>
      </c>
      <c r="AI101" s="81">
        <f t="shared" si="40"/>
        <v>41971.500371881368</v>
      </c>
      <c r="AJ101" s="81">
        <f t="shared" si="40"/>
        <v>40712.355360724927</v>
      </c>
      <c r="AK101" s="81">
        <f t="shared" si="40"/>
        <v>39490.98469990318</v>
      </c>
      <c r="AL101" s="81">
        <f t="shared" si="40"/>
        <v>38306.255158906082</v>
      </c>
      <c r="AM101" s="81">
        <f t="shared" si="40"/>
        <v>45490.400837472233</v>
      </c>
      <c r="AN101" s="81">
        <f t="shared" si="40"/>
        <v>44125.688812348068</v>
      </c>
      <c r="AO101" s="81">
        <f t="shared" si="40"/>
        <v>42801.918147977623</v>
      </c>
      <c r="AP101" s="81">
        <f t="shared" si="40"/>
        <v>49851.193936871634</v>
      </c>
      <c r="AQ101" s="81">
        <f t="shared" si="40"/>
        <v>48355.658118765488</v>
      </c>
      <c r="AR101" s="81">
        <f t="shared" si="40"/>
        <v>46904.988375202527</v>
      </c>
      <c r="AS101" s="81">
        <f t="shared" si="40"/>
        <v>53831.172057279786</v>
      </c>
      <c r="AT101" s="81">
        <f t="shared" si="40"/>
        <v>52216.236895561393</v>
      </c>
      <c r="AU101" s="81">
        <f t="shared" si="40"/>
        <v>50649.749788694549</v>
      </c>
      <c r="AV101" s="81">
        <f t="shared" si="40"/>
        <v>49130.257295033713</v>
      </c>
      <c r="AW101" s="81">
        <f t="shared" si="40"/>
        <v>47656.3495761827</v>
      </c>
      <c r="AX101" s="81">
        <f t="shared" si="40"/>
        <v>46226.65908889722</v>
      </c>
      <c r="AY101" s="81">
        <f t="shared" si="40"/>
        <v>53173.192649563636</v>
      </c>
      <c r="AZ101" s="81">
        <f t="shared" si="40"/>
        <v>51577.996870076728</v>
      </c>
      <c r="BA101" s="81">
        <f t="shared" si="40"/>
        <v>50030.656963974427</v>
      </c>
      <c r="BB101" s="81">
        <f t="shared" si="40"/>
        <v>56863.070588388531</v>
      </c>
      <c r="BC101" s="81">
        <f t="shared" si="40"/>
        <v>55157.178470736879</v>
      </c>
      <c r="BD101" s="81">
        <f t="shared" si="40"/>
        <v>53502.463116614774</v>
      </c>
      <c r="BE101" s="81">
        <f t="shared" si="40"/>
        <v>60230.722556449669</v>
      </c>
      <c r="BF101" s="81">
        <f t="shared" si="40"/>
        <v>58423.800879756178</v>
      </c>
      <c r="BG101" s="81">
        <f t="shared" si="40"/>
        <v>56671.086853363493</v>
      </c>
      <c r="BH101" s="81">
        <f t="shared" si="40"/>
        <v>54970.954247762587</v>
      </c>
      <c r="BI101" s="81">
        <f t="shared" si="40"/>
        <v>53321.825620329713</v>
      </c>
      <c r="BJ101" s="81">
        <f t="shared" si="40"/>
        <v>51722.17085171982</v>
      </c>
    </row>
    <row r="102" spans="1:62">
      <c r="A102" s="118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</row>
    <row r="103" spans="1:62">
      <c r="A103" s="102" t="s">
        <v>171</v>
      </c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</row>
    <row r="104" spans="1:62">
      <c r="A104" s="118" t="s">
        <v>125</v>
      </c>
      <c r="C104" s="81">
        <v>0</v>
      </c>
      <c r="D104" s="81">
        <f>C107</f>
        <v>275</v>
      </c>
      <c r="E104" s="81">
        <f t="shared" ref="E104:BJ104" si="41">D107</f>
        <v>541.75</v>
      </c>
      <c r="F104" s="81">
        <f t="shared" si="41"/>
        <v>800.49749999999995</v>
      </c>
      <c r="G104" s="81">
        <f t="shared" si="41"/>
        <v>1051.482575</v>
      </c>
      <c r="H104" s="81">
        <f t="shared" si="41"/>
        <v>1294.93809775</v>
      </c>
      <c r="I104" s="81">
        <f t="shared" si="41"/>
        <v>1531.0899548175</v>
      </c>
      <c r="J104" s="81">
        <f t="shared" si="41"/>
        <v>1760.1572561729749</v>
      </c>
      <c r="K104" s="81">
        <f t="shared" si="41"/>
        <v>1982.3525384877858</v>
      </c>
      <c r="L104" s="81">
        <f t="shared" si="41"/>
        <v>2197.8819623331524</v>
      </c>
      <c r="M104" s="81">
        <f t="shared" si="41"/>
        <v>2406.9455034631578</v>
      </c>
      <c r="N104" s="81">
        <f t="shared" si="41"/>
        <v>2609.7371383592631</v>
      </c>
      <c r="O104" s="81">
        <f t="shared" si="41"/>
        <v>2806.4450242084854</v>
      </c>
      <c r="P104" s="81">
        <f t="shared" si="41"/>
        <v>2997.2516734822307</v>
      </c>
      <c r="Q104" s="81">
        <f t="shared" si="41"/>
        <v>3182.3341232777639</v>
      </c>
      <c r="R104" s="81">
        <f t="shared" si="41"/>
        <v>3361.8640995794308</v>
      </c>
      <c r="S104" s="81">
        <f t="shared" si="41"/>
        <v>3536.0081765920477</v>
      </c>
      <c r="T104" s="81">
        <f t="shared" si="41"/>
        <v>3704.9279312942863</v>
      </c>
      <c r="U104" s="81">
        <f t="shared" si="41"/>
        <v>3868.7800933554577</v>
      </c>
      <c r="V104" s="81">
        <f t="shared" si="41"/>
        <v>4027.7166905547933</v>
      </c>
      <c r="W104" s="81">
        <f t="shared" si="41"/>
        <v>4181.885189838149</v>
      </c>
      <c r="X104" s="81">
        <f t="shared" si="41"/>
        <v>4331.4286341430043</v>
      </c>
      <c r="Y104" s="81">
        <f t="shared" si="41"/>
        <v>4476.4857751187137</v>
      </c>
      <c r="Z104" s="81">
        <f t="shared" si="41"/>
        <v>4617.1912018651519</v>
      </c>
      <c r="AA104" s="81">
        <f t="shared" si="41"/>
        <v>4753.6754658091977</v>
      </c>
      <c r="AB104" s="81">
        <f t="shared" si="41"/>
        <v>5211.0652018349219</v>
      </c>
      <c r="AC104" s="81">
        <f t="shared" si="41"/>
        <v>5654.7332457798739</v>
      </c>
      <c r="AD104" s="81">
        <f t="shared" si="41"/>
        <v>6085.0912484064775</v>
      </c>
      <c r="AE104" s="81">
        <f t="shared" si="41"/>
        <v>6502.5385109542831</v>
      </c>
      <c r="AF104" s="81">
        <f t="shared" si="41"/>
        <v>6907.4623556256547</v>
      </c>
      <c r="AG104" s="81">
        <f t="shared" si="41"/>
        <v>7300.2384849568853</v>
      </c>
      <c r="AH104" s="81">
        <f t="shared" si="41"/>
        <v>7681.231330408179</v>
      </c>
      <c r="AI104" s="81">
        <f t="shared" si="41"/>
        <v>8050.7943904959347</v>
      </c>
      <c r="AJ104" s="81">
        <f t="shared" si="41"/>
        <v>8409.2705587810578</v>
      </c>
      <c r="AK104" s="81">
        <f t="shared" si="41"/>
        <v>8756.9924420176267</v>
      </c>
      <c r="AL104" s="81">
        <f t="shared" si="41"/>
        <v>9094.2826687570978</v>
      </c>
      <c r="AM104" s="81">
        <f t="shared" si="41"/>
        <v>9421.4541886943844</v>
      </c>
      <c r="AN104" s="81">
        <f t="shared" si="41"/>
        <v>10155.477229700218</v>
      </c>
      <c r="AO104" s="81">
        <f t="shared" si="41"/>
        <v>10867.479579475877</v>
      </c>
      <c r="AP104" s="81">
        <f t="shared" si="41"/>
        <v>11558.121858758268</v>
      </c>
      <c r="AQ104" s="81">
        <f t="shared" si="41"/>
        <v>12228.044869662186</v>
      </c>
      <c r="AR104" s="81">
        <f t="shared" si="41"/>
        <v>12877.870190238986</v>
      </c>
      <c r="AS104" s="81">
        <f t="shared" si="41"/>
        <v>13508.200751198483</v>
      </c>
      <c r="AT104" s="81">
        <f t="shared" si="41"/>
        <v>14119.621395329195</v>
      </c>
      <c r="AU104" s="81">
        <f t="shared" si="41"/>
        <v>14712.699420135985</v>
      </c>
      <c r="AV104" s="81">
        <f t="shared" si="41"/>
        <v>15287.985104198571</v>
      </c>
      <c r="AW104" s="81">
        <f t="shared" si="41"/>
        <v>15846.01221773928</v>
      </c>
      <c r="AX104" s="81">
        <f t="shared" si="41"/>
        <v>16387.298517873769</v>
      </c>
      <c r="AY104" s="81">
        <f t="shared" si="41"/>
        <v>16912.346229004223</v>
      </c>
      <c r="AZ104" s="81">
        <f t="shared" si="41"/>
        <v>17838.309175467428</v>
      </c>
      <c r="BA104" s="81">
        <f t="shared" si="41"/>
        <v>18736.493233536738</v>
      </c>
      <c r="BB104" s="81">
        <f t="shared" si="41"/>
        <v>19607.731769863967</v>
      </c>
      <c r="BC104" s="81">
        <f t="shared" si="41"/>
        <v>20452.833150101382</v>
      </c>
      <c r="BD104" s="81">
        <f t="shared" si="41"/>
        <v>21272.581488931672</v>
      </c>
      <c r="BE104" s="81">
        <f t="shared" si="41"/>
        <v>22067.737377597055</v>
      </c>
      <c r="BF104" s="81">
        <f t="shared" si="41"/>
        <v>22839.038589602475</v>
      </c>
      <c r="BG104" s="81">
        <f t="shared" si="41"/>
        <v>23587.200765247733</v>
      </c>
      <c r="BH104" s="81">
        <f t="shared" si="41"/>
        <v>24312.918075623635</v>
      </c>
      <c r="BI104" s="81">
        <f t="shared" si="41"/>
        <v>25016.863866688258</v>
      </c>
      <c r="BJ104" s="81">
        <f t="shared" si="41"/>
        <v>25699.691284020941</v>
      </c>
    </row>
    <row r="105" spans="1:62">
      <c r="A105" s="118" t="s">
        <v>115</v>
      </c>
      <c r="C105" s="81">
        <f>VLOOKUP(Assumptions!$G$10,Organic_Sub_Adds,'Financial Statements &amp; Detail'!C5+1)/12</f>
        <v>275</v>
      </c>
      <c r="D105" s="81">
        <f>VLOOKUP(Assumptions!$G$10,Organic_Sub_Adds,'Financial Statements &amp; Detail'!D5+1)/12</f>
        <v>275</v>
      </c>
      <c r="E105" s="81">
        <f>VLOOKUP(Assumptions!$G$10,Organic_Sub_Adds,'Financial Statements &amp; Detail'!E5+1)/12</f>
        <v>275</v>
      </c>
      <c r="F105" s="81">
        <f>VLOOKUP(Assumptions!$G$10,Organic_Sub_Adds,'Financial Statements &amp; Detail'!F5+1)/12</f>
        <v>275</v>
      </c>
      <c r="G105" s="81">
        <f>VLOOKUP(Assumptions!$G$10,Organic_Sub_Adds,'Financial Statements &amp; Detail'!G5+1)/12</f>
        <v>275</v>
      </c>
      <c r="H105" s="81">
        <f>VLOOKUP(Assumptions!$G$10,Organic_Sub_Adds,'Financial Statements &amp; Detail'!H5+1)/12</f>
        <v>275</v>
      </c>
      <c r="I105" s="81">
        <f>VLOOKUP(Assumptions!$G$10,Organic_Sub_Adds,'Financial Statements &amp; Detail'!I5+1)/12</f>
        <v>275</v>
      </c>
      <c r="J105" s="81">
        <f>VLOOKUP(Assumptions!$G$10,Organic_Sub_Adds,'Financial Statements &amp; Detail'!J5+1)/12</f>
        <v>275</v>
      </c>
      <c r="K105" s="81">
        <f>VLOOKUP(Assumptions!$G$10,Organic_Sub_Adds,'Financial Statements &amp; Detail'!K5+1)/12</f>
        <v>275</v>
      </c>
      <c r="L105" s="81">
        <f>VLOOKUP(Assumptions!$G$10,Organic_Sub_Adds,'Financial Statements &amp; Detail'!L5+1)/12</f>
        <v>275</v>
      </c>
      <c r="M105" s="81">
        <f>VLOOKUP(Assumptions!$G$10,Organic_Sub_Adds,'Financial Statements &amp; Detail'!M5+1)/12</f>
        <v>275</v>
      </c>
      <c r="N105" s="81">
        <f>VLOOKUP(Assumptions!$G$10,Organic_Sub_Adds,'Financial Statements &amp; Detail'!N5+1)/12</f>
        <v>275</v>
      </c>
      <c r="O105" s="81">
        <f>VLOOKUP(Assumptions!$G$10,Organic_Sub_Adds,'Financial Statements &amp; Detail'!O5+1)/12</f>
        <v>275</v>
      </c>
      <c r="P105" s="81">
        <f>VLOOKUP(Assumptions!$G$10,Organic_Sub_Adds,'Financial Statements &amp; Detail'!P5+1)/12</f>
        <v>275</v>
      </c>
      <c r="Q105" s="81">
        <f>VLOOKUP(Assumptions!$G$10,Organic_Sub_Adds,'Financial Statements &amp; Detail'!Q5+1)/12</f>
        <v>275</v>
      </c>
      <c r="R105" s="81">
        <f>VLOOKUP(Assumptions!$G$10,Organic_Sub_Adds,'Financial Statements &amp; Detail'!R5+1)/12</f>
        <v>275</v>
      </c>
      <c r="S105" s="81">
        <f>VLOOKUP(Assumptions!$G$10,Organic_Sub_Adds,'Financial Statements &amp; Detail'!S5+1)/12</f>
        <v>275</v>
      </c>
      <c r="T105" s="81">
        <f>VLOOKUP(Assumptions!$G$10,Organic_Sub_Adds,'Financial Statements &amp; Detail'!T5+1)/12</f>
        <v>275</v>
      </c>
      <c r="U105" s="81">
        <f>VLOOKUP(Assumptions!$G$10,Organic_Sub_Adds,'Financial Statements &amp; Detail'!U5+1)/12</f>
        <v>275</v>
      </c>
      <c r="V105" s="81">
        <f>VLOOKUP(Assumptions!$G$10,Organic_Sub_Adds,'Financial Statements &amp; Detail'!V5+1)/12</f>
        <v>275</v>
      </c>
      <c r="W105" s="81">
        <f>VLOOKUP(Assumptions!$G$10,Organic_Sub_Adds,'Financial Statements &amp; Detail'!W5+1)/12</f>
        <v>275</v>
      </c>
      <c r="X105" s="81">
        <f>VLOOKUP(Assumptions!$G$10,Organic_Sub_Adds,'Financial Statements &amp; Detail'!X5+1)/12</f>
        <v>275</v>
      </c>
      <c r="Y105" s="81">
        <f>VLOOKUP(Assumptions!$G$10,Organic_Sub_Adds,'Financial Statements &amp; Detail'!Y5+1)/12</f>
        <v>275</v>
      </c>
      <c r="Z105" s="81">
        <f>VLOOKUP(Assumptions!$G$10,Organic_Sub_Adds,'Financial Statements &amp; Detail'!Z5+1)/12</f>
        <v>275</v>
      </c>
      <c r="AA105" s="81">
        <f>VLOOKUP(Assumptions!$G$10,Organic_Sub_Adds,'Financial Statements &amp; Detail'!AA5+1)/12</f>
        <v>600</v>
      </c>
      <c r="AB105" s="81">
        <f>VLOOKUP(Assumptions!$G$10,Organic_Sub_Adds,'Financial Statements &amp; Detail'!AB5+1)/12</f>
        <v>600</v>
      </c>
      <c r="AC105" s="81">
        <f>VLOOKUP(Assumptions!$G$10,Organic_Sub_Adds,'Financial Statements &amp; Detail'!AC5+1)/12</f>
        <v>600</v>
      </c>
      <c r="AD105" s="81">
        <f>VLOOKUP(Assumptions!$G$10,Organic_Sub_Adds,'Financial Statements &amp; Detail'!AD5+1)/12</f>
        <v>600</v>
      </c>
      <c r="AE105" s="81">
        <f>VLOOKUP(Assumptions!$G$10,Organic_Sub_Adds,'Financial Statements &amp; Detail'!AE5+1)/12</f>
        <v>600</v>
      </c>
      <c r="AF105" s="81">
        <f>VLOOKUP(Assumptions!$G$10,Organic_Sub_Adds,'Financial Statements &amp; Detail'!AF5+1)/12</f>
        <v>600</v>
      </c>
      <c r="AG105" s="81">
        <f>VLOOKUP(Assumptions!$G$10,Organic_Sub_Adds,'Financial Statements &amp; Detail'!AG5+1)/12</f>
        <v>600</v>
      </c>
      <c r="AH105" s="81">
        <f>VLOOKUP(Assumptions!$G$10,Organic_Sub_Adds,'Financial Statements &amp; Detail'!AH5+1)/12</f>
        <v>600</v>
      </c>
      <c r="AI105" s="81">
        <f>VLOOKUP(Assumptions!$G$10,Organic_Sub_Adds,'Financial Statements &amp; Detail'!AI5+1)/12</f>
        <v>600</v>
      </c>
      <c r="AJ105" s="81">
        <f>VLOOKUP(Assumptions!$G$10,Organic_Sub_Adds,'Financial Statements &amp; Detail'!AJ5+1)/12</f>
        <v>600</v>
      </c>
      <c r="AK105" s="81">
        <f>VLOOKUP(Assumptions!$G$10,Organic_Sub_Adds,'Financial Statements &amp; Detail'!AK5+1)/12</f>
        <v>600</v>
      </c>
      <c r="AL105" s="81">
        <f>VLOOKUP(Assumptions!$G$10,Organic_Sub_Adds,'Financial Statements &amp; Detail'!AL5+1)/12</f>
        <v>600</v>
      </c>
      <c r="AM105" s="81">
        <f>VLOOKUP(Assumptions!$G$10,Organic_Sub_Adds,'Financial Statements &amp; Detail'!AM5+1)/12</f>
        <v>1016.6666666666666</v>
      </c>
      <c r="AN105" s="81">
        <f>VLOOKUP(Assumptions!$G$10,Organic_Sub_Adds,'Financial Statements &amp; Detail'!AN5+1)/12</f>
        <v>1016.6666666666666</v>
      </c>
      <c r="AO105" s="81">
        <f>VLOOKUP(Assumptions!$G$10,Organic_Sub_Adds,'Financial Statements &amp; Detail'!AO5+1)/12</f>
        <v>1016.6666666666666</v>
      </c>
      <c r="AP105" s="81">
        <f>VLOOKUP(Assumptions!$G$10,Organic_Sub_Adds,'Financial Statements &amp; Detail'!AP5+1)/12</f>
        <v>1016.6666666666666</v>
      </c>
      <c r="AQ105" s="81">
        <f>VLOOKUP(Assumptions!$G$10,Organic_Sub_Adds,'Financial Statements &amp; Detail'!AQ5+1)/12</f>
        <v>1016.6666666666666</v>
      </c>
      <c r="AR105" s="81">
        <f>VLOOKUP(Assumptions!$G$10,Organic_Sub_Adds,'Financial Statements &amp; Detail'!AR5+1)/12</f>
        <v>1016.6666666666666</v>
      </c>
      <c r="AS105" s="81">
        <f>VLOOKUP(Assumptions!$G$10,Organic_Sub_Adds,'Financial Statements &amp; Detail'!AS5+1)/12</f>
        <v>1016.6666666666666</v>
      </c>
      <c r="AT105" s="81">
        <f>VLOOKUP(Assumptions!$G$10,Organic_Sub_Adds,'Financial Statements &amp; Detail'!AT5+1)/12</f>
        <v>1016.6666666666666</v>
      </c>
      <c r="AU105" s="81">
        <f>VLOOKUP(Assumptions!$G$10,Organic_Sub_Adds,'Financial Statements &amp; Detail'!AU5+1)/12</f>
        <v>1016.6666666666666</v>
      </c>
      <c r="AV105" s="81">
        <f>VLOOKUP(Assumptions!$G$10,Organic_Sub_Adds,'Financial Statements &amp; Detail'!AV5+1)/12</f>
        <v>1016.6666666666666</v>
      </c>
      <c r="AW105" s="81">
        <f>VLOOKUP(Assumptions!$G$10,Organic_Sub_Adds,'Financial Statements &amp; Detail'!AW5+1)/12</f>
        <v>1016.6666666666666</v>
      </c>
      <c r="AX105" s="81">
        <f>VLOOKUP(Assumptions!$G$10,Organic_Sub_Adds,'Financial Statements &amp; Detail'!AX5+1)/12</f>
        <v>1016.6666666666666</v>
      </c>
      <c r="AY105" s="81">
        <f>VLOOKUP(Assumptions!$G$10,Organic_Sub_Adds,'Financial Statements &amp; Detail'!AY5+1)/12</f>
        <v>1433.3333333333333</v>
      </c>
      <c r="AZ105" s="81">
        <f>VLOOKUP(Assumptions!$G$10,Organic_Sub_Adds,'Financial Statements &amp; Detail'!AZ5+1)/12</f>
        <v>1433.3333333333333</v>
      </c>
      <c r="BA105" s="81">
        <f>VLOOKUP(Assumptions!$G$10,Organic_Sub_Adds,'Financial Statements &amp; Detail'!BA5+1)/12</f>
        <v>1433.3333333333333</v>
      </c>
      <c r="BB105" s="81">
        <f>VLOOKUP(Assumptions!$G$10,Organic_Sub_Adds,'Financial Statements &amp; Detail'!BB5+1)/12</f>
        <v>1433.3333333333333</v>
      </c>
      <c r="BC105" s="81">
        <f>VLOOKUP(Assumptions!$G$10,Organic_Sub_Adds,'Financial Statements &amp; Detail'!BC5+1)/12</f>
        <v>1433.3333333333333</v>
      </c>
      <c r="BD105" s="81">
        <f>VLOOKUP(Assumptions!$G$10,Organic_Sub_Adds,'Financial Statements &amp; Detail'!BD5+1)/12</f>
        <v>1433.3333333333333</v>
      </c>
      <c r="BE105" s="81">
        <f>VLOOKUP(Assumptions!$G$10,Organic_Sub_Adds,'Financial Statements &amp; Detail'!BE5+1)/12</f>
        <v>1433.3333333333333</v>
      </c>
      <c r="BF105" s="81">
        <f>VLOOKUP(Assumptions!$G$10,Organic_Sub_Adds,'Financial Statements &amp; Detail'!BF5+1)/12</f>
        <v>1433.3333333333333</v>
      </c>
      <c r="BG105" s="81">
        <f>VLOOKUP(Assumptions!$G$10,Organic_Sub_Adds,'Financial Statements &amp; Detail'!BG5+1)/12</f>
        <v>1433.3333333333333</v>
      </c>
      <c r="BH105" s="81">
        <f>VLOOKUP(Assumptions!$G$10,Organic_Sub_Adds,'Financial Statements &amp; Detail'!BH5+1)/12</f>
        <v>1433.3333333333333</v>
      </c>
      <c r="BI105" s="81">
        <f>VLOOKUP(Assumptions!$G$10,Organic_Sub_Adds,'Financial Statements &amp; Detail'!BI5+1)/12</f>
        <v>1433.3333333333333</v>
      </c>
      <c r="BJ105" s="81">
        <f>VLOOKUP(Assumptions!$G$10,Organic_Sub_Adds,'Financial Statements &amp; Detail'!BJ5+1)/12</f>
        <v>1433.3333333333333</v>
      </c>
    </row>
    <row r="106" spans="1:62">
      <c r="A106" s="118" t="s">
        <v>3</v>
      </c>
      <c r="C106" s="81">
        <f>Cable_Attrition*'Financial Statements &amp; Detail'!C104</f>
        <v>0</v>
      </c>
      <c r="D106" s="81">
        <f>Cable_Attrition*'Financial Statements &amp; Detail'!D104</f>
        <v>8.25</v>
      </c>
      <c r="E106" s="81">
        <f>Cable_Attrition*'Financial Statements &amp; Detail'!E104</f>
        <v>16.252499999999998</v>
      </c>
      <c r="F106" s="81">
        <f>Cable_Attrition*'Financial Statements &amp; Detail'!F104</f>
        <v>24.014924999999998</v>
      </c>
      <c r="G106" s="81">
        <f>Cable_Attrition*'Financial Statements &amp; Detail'!G104</f>
        <v>31.54447725</v>
      </c>
      <c r="H106" s="81">
        <f>Cable_Attrition*'Financial Statements &amp; Detail'!H104</f>
        <v>38.848142932499997</v>
      </c>
      <c r="I106" s="81">
        <f>Cable_Attrition*'Financial Statements &amp; Detail'!I104</f>
        <v>45.932698644524997</v>
      </c>
      <c r="J106" s="81">
        <f>Cable_Attrition*'Financial Statements &amp; Detail'!J104</f>
        <v>52.804717685189246</v>
      </c>
      <c r="K106" s="81">
        <f>Cable_Attrition*'Financial Statements &amp; Detail'!K104</f>
        <v>59.470576154633569</v>
      </c>
      <c r="L106" s="81">
        <f>Cable_Attrition*'Financial Statements &amp; Detail'!L104</f>
        <v>65.936458869994567</v>
      </c>
      <c r="M106" s="81">
        <f>Cable_Attrition*'Financial Statements &amp; Detail'!M104</f>
        <v>72.208365103894735</v>
      </c>
      <c r="N106" s="81">
        <f>Cable_Attrition*'Financial Statements &amp; Detail'!N104</f>
        <v>78.292114150777891</v>
      </c>
      <c r="O106" s="81">
        <f>Cable_Attrition*'Financial Statements &amp; Detail'!O104</f>
        <v>84.193350726254565</v>
      </c>
      <c r="P106" s="81">
        <f>Cable_Attrition*'Financial Statements &amp; Detail'!P104</f>
        <v>89.91755020446692</v>
      </c>
      <c r="Q106" s="81">
        <f>Cable_Attrition*'Financial Statements &amp; Detail'!Q104</f>
        <v>95.470023698332909</v>
      </c>
      <c r="R106" s="81">
        <f>Cable_Attrition*'Financial Statements &amp; Detail'!R104</f>
        <v>100.85592298738293</v>
      </c>
      <c r="S106" s="81">
        <f>Cable_Attrition*'Financial Statements &amp; Detail'!S104</f>
        <v>106.08024529776142</v>
      </c>
      <c r="T106" s="81">
        <f>Cable_Attrition*'Financial Statements &amp; Detail'!T104</f>
        <v>111.14783793882859</v>
      </c>
      <c r="U106" s="81">
        <f>Cable_Attrition*'Financial Statements &amp; Detail'!U104</f>
        <v>116.06340280066372</v>
      </c>
      <c r="V106" s="81">
        <f>Cable_Attrition*'Financial Statements &amp; Detail'!V104</f>
        <v>120.8315007166438</v>
      </c>
      <c r="W106" s="81">
        <f>Cable_Attrition*'Financial Statements &amp; Detail'!W104</f>
        <v>125.45655569514446</v>
      </c>
      <c r="X106" s="81">
        <f>Cable_Attrition*'Financial Statements &amp; Detail'!X104</f>
        <v>129.94285902429013</v>
      </c>
      <c r="Y106" s="81">
        <f>Cable_Attrition*'Financial Statements &amp; Detail'!Y104</f>
        <v>134.2945732535614</v>
      </c>
      <c r="Z106" s="81">
        <f>Cable_Attrition*'Financial Statements &amp; Detail'!Z104</f>
        <v>138.51573605595456</v>
      </c>
      <c r="AA106" s="81">
        <f>Cable_Attrition*'Financial Statements &amp; Detail'!AA104</f>
        <v>142.61026397427594</v>
      </c>
      <c r="AB106" s="81">
        <f>Cable_Attrition*'Financial Statements &amp; Detail'!AB104</f>
        <v>156.33195605504764</v>
      </c>
      <c r="AC106" s="81">
        <f>Cable_Attrition*'Financial Statements &amp; Detail'!AC104</f>
        <v>169.64199737339621</v>
      </c>
      <c r="AD106" s="81">
        <f>Cable_Attrition*'Financial Statements &amp; Detail'!AD104</f>
        <v>182.55273745219432</v>
      </c>
      <c r="AE106" s="81">
        <f>Cable_Attrition*'Financial Statements &amp; Detail'!AE104</f>
        <v>195.07615532862849</v>
      </c>
      <c r="AF106" s="81">
        <f>Cable_Attrition*'Financial Statements &amp; Detail'!AF104</f>
        <v>207.22387066876962</v>
      </c>
      <c r="AG106" s="81">
        <f>Cable_Attrition*'Financial Statements &amp; Detail'!AG104</f>
        <v>219.00715454870655</v>
      </c>
      <c r="AH106" s="81">
        <f>Cable_Attrition*'Financial Statements &amp; Detail'!AH104</f>
        <v>230.43693991224535</v>
      </c>
      <c r="AI106" s="81">
        <f>Cable_Attrition*'Financial Statements &amp; Detail'!AI104</f>
        <v>241.52383171487804</v>
      </c>
      <c r="AJ106" s="81">
        <f>Cable_Attrition*'Financial Statements &amp; Detail'!AJ104</f>
        <v>252.27811676343174</v>
      </c>
      <c r="AK106" s="81">
        <f>Cable_Attrition*'Financial Statements &amp; Detail'!AK104</f>
        <v>262.70977326052878</v>
      </c>
      <c r="AL106" s="81">
        <f>Cable_Attrition*'Financial Statements &amp; Detail'!AL104</f>
        <v>272.82848006271291</v>
      </c>
      <c r="AM106" s="81">
        <f>Cable_Attrition*'Financial Statements &amp; Detail'!AM104</f>
        <v>282.6436256608315</v>
      </c>
      <c r="AN106" s="81">
        <f>Cable_Attrition*'Financial Statements &amp; Detail'!AN104</f>
        <v>304.66431689100654</v>
      </c>
      <c r="AO106" s="81">
        <f>Cable_Attrition*'Financial Statements &amp; Detail'!AO104</f>
        <v>326.02438738427634</v>
      </c>
      <c r="AP106" s="81">
        <f>Cable_Attrition*'Financial Statements &amp; Detail'!AP104</f>
        <v>346.74365576274801</v>
      </c>
      <c r="AQ106" s="81">
        <f>Cable_Attrition*'Financial Statements &amp; Detail'!AQ104</f>
        <v>366.84134608986557</v>
      </c>
      <c r="AR106" s="81">
        <f>Cable_Attrition*'Financial Statements &amp; Detail'!AR104</f>
        <v>386.33610570716957</v>
      </c>
      <c r="AS106" s="81">
        <f>Cable_Attrition*'Financial Statements &amp; Detail'!AS104</f>
        <v>405.24602253595447</v>
      </c>
      <c r="AT106" s="81">
        <f>Cable_Attrition*'Financial Statements &amp; Detail'!AT104</f>
        <v>423.58864185987585</v>
      </c>
      <c r="AU106" s="81">
        <f>Cable_Attrition*'Financial Statements &amp; Detail'!AU104</f>
        <v>441.38098260407952</v>
      </c>
      <c r="AV106" s="81">
        <f>Cable_Attrition*'Financial Statements &amp; Detail'!AV104</f>
        <v>458.63955312595709</v>
      </c>
      <c r="AW106" s="81">
        <f>Cable_Attrition*'Financial Statements &amp; Detail'!AW104</f>
        <v>475.38036653217841</v>
      </c>
      <c r="AX106" s="81">
        <f>Cable_Attrition*'Financial Statements &amp; Detail'!AX104</f>
        <v>491.61895553621304</v>
      </c>
      <c r="AY106" s="81">
        <f>Cable_Attrition*'Financial Statements &amp; Detail'!AY104</f>
        <v>507.37038687012665</v>
      </c>
      <c r="AZ106" s="81">
        <f>Cable_Attrition*'Financial Statements &amp; Detail'!AZ104</f>
        <v>535.14927526402278</v>
      </c>
      <c r="BA106" s="81">
        <f>Cable_Attrition*'Financial Statements &amp; Detail'!BA104</f>
        <v>562.09479700610211</v>
      </c>
      <c r="BB106" s="81">
        <f>Cable_Attrition*'Financial Statements &amp; Detail'!BB104</f>
        <v>588.23195309591904</v>
      </c>
      <c r="BC106" s="81">
        <f>Cable_Attrition*'Financial Statements &amp; Detail'!BC104</f>
        <v>613.58499450304146</v>
      </c>
      <c r="BD106" s="81">
        <f>Cable_Attrition*'Financial Statements &amp; Detail'!BD104</f>
        <v>638.17744466795011</v>
      </c>
      <c r="BE106" s="81">
        <f>Cable_Attrition*'Financial Statements &amp; Detail'!BE104</f>
        <v>662.03212132791168</v>
      </c>
      <c r="BF106" s="81">
        <f>Cable_Attrition*'Financial Statements &amp; Detail'!BF104</f>
        <v>685.17115768807423</v>
      </c>
      <c r="BG106" s="81">
        <f>Cable_Attrition*'Financial Statements &amp; Detail'!BG104</f>
        <v>707.61602295743194</v>
      </c>
      <c r="BH106" s="81">
        <f>Cable_Attrition*'Financial Statements &amp; Detail'!BH104</f>
        <v>729.38754226870901</v>
      </c>
      <c r="BI106" s="81">
        <f>Cable_Attrition*'Financial Statements &amp; Detail'!BI104</f>
        <v>750.50591600064774</v>
      </c>
      <c r="BJ106" s="81">
        <f>Cable_Attrition*'Financial Statements &amp; Detail'!BJ104</f>
        <v>770.99073852062816</v>
      </c>
    </row>
    <row r="107" spans="1:62">
      <c r="A107" s="118" t="s">
        <v>116</v>
      </c>
      <c r="C107" s="81">
        <f>C104+C105-C106</f>
        <v>275</v>
      </c>
      <c r="D107" s="81">
        <f t="shared" ref="D107:BJ107" si="42">D104+D105-D106</f>
        <v>541.75</v>
      </c>
      <c r="E107" s="81">
        <f t="shared" si="42"/>
        <v>800.49749999999995</v>
      </c>
      <c r="F107" s="81">
        <f t="shared" si="42"/>
        <v>1051.482575</v>
      </c>
      <c r="G107" s="81">
        <f t="shared" si="42"/>
        <v>1294.93809775</v>
      </c>
      <c r="H107" s="81">
        <f t="shared" si="42"/>
        <v>1531.0899548175</v>
      </c>
      <c r="I107" s="81">
        <f t="shared" si="42"/>
        <v>1760.1572561729749</v>
      </c>
      <c r="J107" s="81">
        <f t="shared" si="42"/>
        <v>1982.3525384877858</v>
      </c>
      <c r="K107" s="81">
        <f t="shared" si="42"/>
        <v>2197.8819623331524</v>
      </c>
      <c r="L107" s="81">
        <f t="shared" si="42"/>
        <v>2406.9455034631578</v>
      </c>
      <c r="M107" s="81">
        <f t="shared" si="42"/>
        <v>2609.7371383592631</v>
      </c>
      <c r="N107" s="81">
        <f t="shared" si="42"/>
        <v>2806.4450242084854</v>
      </c>
      <c r="O107" s="81">
        <f t="shared" si="42"/>
        <v>2997.2516734822307</v>
      </c>
      <c r="P107" s="81">
        <f t="shared" si="42"/>
        <v>3182.3341232777639</v>
      </c>
      <c r="Q107" s="81">
        <f t="shared" si="42"/>
        <v>3361.8640995794308</v>
      </c>
      <c r="R107" s="81">
        <f t="shared" si="42"/>
        <v>3536.0081765920477</v>
      </c>
      <c r="S107" s="81">
        <f t="shared" si="42"/>
        <v>3704.9279312942863</v>
      </c>
      <c r="T107" s="81">
        <f t="shared" si="42"/>
        <v>3868.7800933554577</v>
      </c>
      <c r="U107" s="81">
        <f t="shared" si="42"/>
        <v>4027.7166905547933</v>
      </c>
      <c r="V107" s="81">
        <f t="shared" si="42"/>
        <v>4181.885189838149</v>
      </c>
      <c r="W107" s="81">
        <f t="shared" si="42"/>
        <v>4331.4286341430043</v>
      </c>
      <c r="X107" s="81">
        <f t="shared" si="42"/>
        <v>4476.4857751187137</v>
      </c>
      <c r="Y107" s="81">
        <f t="shared" si="42"/>
        <v>4617.1912018651519</v>
      </c>
      <c r="Z107" s="81">
        <f t="shared" si="42"/>
        <v>4753.6754658091977</v>
      </c>
      <c r="AA107" s="81">
        <f t="shared" si="42"/>
        <v>5211.0652018349219</v>
      </c>
      <c r="AB107" s="81">
        <f t="shared" si="42"/>
        <v>5654.7332457798739</v>
      </c>
      <c r="AC107" s="81">
        <f t="shared" si="42"/>
        <v>6085.0912484064775</v>
      </c>
      <c r="AD107" s="81">
        <f t="shared" si="42"/>
        <v>6502.5385109542831</v>
      </c>
      <c r="AE107" s="81">
        <f t="shared" si="42"/>
        <v>6907.4623556256547</v>
      </c>
      <c r="AF107" s="81">
        <f t="shared" si="42"/>
        <v>7300.2384849568853</v>
      </c>
      <c r="AG107" s="81">
        <f t="shared" si="42"/>
        <v>7681.231330408179</v>
      </c>
      <c r="AH107" s="81">
        <f t="shared" si="42"/>
        <v>8050.7943904959347</v>
      </c>
      <c r="AI107" s="81">
        <f t="shared" si="42"/>
        <v>8409.2705587810578</v>
      </c>
      <c r="AJ107" s="81">
        <f t="shared" si="42"/>
        <v>8756.9924420176267</v>
      </c>
      <c r="AK107" s="81">
        <f t="shared" si="42"/>
        <v>9094.2826687570978</v>
      </c>
      <c r="AL107" s="81">
        <f t="shared" si="42"/>
        <v>9421.4541886943844</v>
      </c>
      <c r="AM107" s="81">
        <f t="shared" si="42"/>
        <v>10155.477229700218</v>
      </c>
      <c r="AN107" s="81">
        <f t="shared" si="42"/>
        <v>10867.479579475877</v>
      </c>
      <c r="AO107" s="81">
        <f t="shared" si="42"/>
        <v>11558.121858758268</v>
      </c>
      <c r="AP107" s="81">
        <f t="shared" si="42"/>
        <v>12228.044869662186</v>
      </c>
      <c r="AQ107" s="81">
        <f t="shared" si="42"/>
        <v>12877.870190238986</v>
      </c>
      <c r="AR107" s="81">
        <f t="shared" si="42"/>
        <v>13508.200751198483</v>
      </c>
      <c r="AS107" s="81">
        <f t="shared" si="42"/>
        <v>14119.621395329195</v>
      </c>
      <c r="AT107" s="81">
        <f t="shared" si="42"/>
        <v>14712.699420135985</v>
      </c>
      <c r="AU107" s="81">
        <f t="shared" si="42"/>
        <v>15287.985104198571</v>
      </c>
      <c r="AV107" s="81">
        <f t="shared" si="42"/>
        <v>15846.01221773928</v>
      </c>
      <c r="AW107" s="81">
        <f t="shared" si="42"/>
        <v>16387.298517873769</v>
      </c>
      <c r="AX107" s="81">
        <f t="shared" si="42"/>
        <v>16912.346229004223</v>
      </c>
      <c r="AY107" s="81">
        <f t="shared" si="42"/>
        <v>17838.309175467428</v>
      </c>
      <c r="AZ107" s="81">
        <f t="shared" si="42"/>
        <v>18736.493233536738</v>
      </c>
      <c r="BA107" s="81">
        <f t="shared" si="42"/>
        <v>19607.731769863967</v>
      </c>
      <c r="BB107" s="81">
        <f t="shared" si="42"/>
        <v>20452.833150101382</v>
      </c>
      <c r="BC107" s="81">
        <f t="shared" si="42"/>
        <v>21272.581488931672</v>
      </c>
      <c r="BD107" s="81">
        <f t="shared" si="42"/>
        <v>22067.737377597055</v>
      </c>
      <c r="BE107" s="81">
        <f t="shared" si="42"/>
        <v>22839.038589602475</v>
      </c>
      <c r="BF107" s="81">
        <f t="shared" si="42"/>
        <v>23587.200765247733</v>
      </c>
      <c r="BG107" s="81">
        <f t="shared" si="42"/>
        <v>24312.918075623635</v>
      </c>
      <c r="BH107" s="81">
        <f t="shared" si="42"/>
        <v>25016.863866688258</v>
      </c>
      <c r="BI107" s="81">
        <f t="shared" si="42"/>
        <v>25699.691284020941</v>
      </c>
      <c r="BJ107" s="81">
        <f t="shared" si="42"/>
        <v>26362.033878833645</v>
      </c>
    </row>
    <row r="108" spans="1:62">
      <c r="A108" s="118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</row>
    <row r="109" spans="1:62">
      <c r="A109" s="118" t="s">
        <v>160</v>
      </c>
      <c r="C109" s="81">
        <f>C98+C104</f>
        <v>11000</v>
      </c>
      <c r="D109" s="81">
        <f t="shared" ref="D109:BJ109" si="43">D98+D104</f>
        <v>11220</v>
      </c>
      <c r="E109" s="81">
        <f t="shared" si="43"/>
        <v>11433.4</v>
      </c>
      <c r="F109" s="81">
        <f t="shared" si="43"/>
        <v>11640.397999999999</v>
      </c>
      <c r="G109" s="81">
        <f t="shared" si="43"/>
        <v>11841.18606</v>
      </c>
      <c r="H109" s="81">
        <f t="shared" si="43"/>
        <v>12035.9504782</v>
      </c>
      <c r="I109" s="81">
        <f t="shared" si="43"/>
        <v>12224.871963854001</v>
      </c>
      <c r="J109" s="81">
        <f t="shared" si="43"/>
        <v>12408.125804938381</v>
      </c>
      <c r="K109" s="81">
        <f t="shared" si="43"/>
        <v>12585.882030790228</v>
      </c>
      <c r="L109" s="81">
        <f t="shared" si="43"/>
        <v>12758.305569866523</v>
      </c>
      <c r="M109" s="81">
        <f t="shared" si="43"/>
        <v>12925.556402770526</v>
      </c>
      <c r="N109" s="81">
        <f t="shared" si="43"/>
        <v>13087.789710687412</v>
      </c>
      <c r="O109" s="81">
        <f t="shared" si="43"/>
        <v>13245.15601936679</v>
      </c>
      <c r="P109" s="81">
        <f t="shared" si="43"/>
        <v>21456.134672119122</v>
      </c>
      <c r="Q109" s="81">
        <f t="shared" si="43"/>
        <v>21087.450631955548</v>
      </c>
      <c r="R109" s="81">
        <f t="shared" si="43"/>
        <v>20729.827112996882</v>
      </c>
      <c r="S109" s="81">
        <f t="shared" si="43"/>
        <v>28716.265632940311</v>
      </c>
      <c r="T109" s="81">
        <f t="shared" si="43"/>
        <v>28129.7776639521</v>
      </c>
      <c r="U109" s="81">
        <f t="shared" si="43"/>
        <v>27560.884334033537</v>
      </c>
      <c r="V109" s="81">
        <f t="shared" si="43"/>
        <v>35342.391137345861</v>
      </c>
      <c r="W109" s="81">
        <f t="shared" si="43"/>
        <v>34557.119403225486</v>
      </c>
      <c r="X109" s="81">
        <f t="shared" si="43"/>
        <v>33795.405821128719</v>
      </c>
      <c r="Y109" s="81">
        <f t="shared" si="43"/>
        <v>33056.543646494858</v>
      </c>
      <c r="Z109" s="81">
        <f t="shared" si="43"/>
        <v>32339.847337100011</v>
      </c>
      <c r="AA109" s="81">
        <f t="shared" si="43"/>
        <v>31644.651916987008</v>
      </c>
      <c r="AB109" s="81">
        <f t="shared" si="43"/>
        <v>39628.645692810736</v>
      </c>
      <c r="AC109" s="81">
        <f t="shared" si="43"/>
        <v>39039.786322026419</v>
      </c>
      <c r="AD109" s="81">
        <f t="shared" si="43"/>
        <v>38468.592732365621</v>
      </c>
      <c r="AE109" s="81">
        <f t="shared" si="43"/>
        <v>46247.868283727992</v>
      </c>
      <c r="AF109" s="81">
        <f t="shared" si="43"/>
        <v>45460.432235216154</v>
      </c>
      <c r="AG109" s="81">
        <f t="shared" si="43"/>
        <v>44696.619268159666</v>
      </c>
      <c r="AH109" s="81">
        <f t="shared" si="43"/>
        <v>52289.054023448211</v>
      </c>
      <c r="AI109" s="81">
        <f t="shared" si="43"/>
        <v>51320.382402744763</v>
      </c>
      <c r="AJ109" s="81">
        <f t="shared" si="43"/>
        <v>50380.770930662424</v>
      </c>
      <c r="AK109" s="81">
        <f t="shared" si="43"/>
        <v>49469.347802742552</v>
      </c>
      <c r="AL109" s="81">
        <f t="shared" si="43"/>
        <v>48585.267368660279</v>
      </c>
      <c r="AM109" s="81">
        <f t="shared" si="43"/>
        <v>47727.709347600467</v>
      </c>
      <c r="AN109" s="81">
        <f t="shared" si="43"/>
        <v>55645.878067172453</v>
      </c>
      <c r="AO109" s="81">
        <f t="shared" si="43"/>
        <v>54993.168391823943</v>
      </c>
      <c r="AP109" s="81">
        <f t="shared" si="43"/>
        <v>54360.040006735893</v>
      </c>
      <c r="AQ109" s="81">
        <f t="shared" si="43"/>
        <v>62079.238806533816</v>
      </c>
      <c r="AR109" s="81">
        <f t="shared" si="43"/>
        <v>61233.528309004476</v>
      </c>
      <c r="AS109" s="81">
        <f t="shared" si="43"/>
        <v>60413.189126401012</v>
      </c>
      <c r="AT109" s="81">
        <f t="shared" si="43"/>
        <v>67950.793452608981</v>
      </c>
      <c r="AU109" s="81">
        <f t="shared" si="43"/>
        <v>66928.936315697385</v>
      </c>
      <c r="AV109" s="81">
        <f t="shared" si="43"/>
        <v>65937.734892893117</v>
      </c>
      <c r="AW109" s="81">
        <f t="shared" si="43"/>
        <v>64976.269512772997</v>
      </c>
      <c r="AX109" s="81">
        <f t="shared" si="43"/>
        <v>64043.648094056465</v>
      </c>
      <c r="AY109" s="81">
        <f t="shared" si="43"/>
        <v>63139.005317901443</v>
      </c>
      <c r="AZ109" s="81">
        <f t="shared" si="43"/>
        <v>71011.501825031068</v>
      </c>
      <c r="BA109" s="81">
        <f t="shared" si="43"/>
        <v>70314.490103613469</v>
      </c>
      <c r="BB109" s="81">
        <f t="shared" si="43"/>
        <v>69638.388733838394</v>
      </c>
      <c r="BC109" s="81">
        <f t="shared" si="43"/>
        <v>77315.903738489913</v>
      </c>
      <c r="BD109" s="81">
        <f t="shared" si="43"/>
        <v>76429.759959668547</v>
      </c>
      <c r="BE109" s="81">
        <f t="shared" si="43"/>
        <v>75570.200494211836</v>
      </c>
      <c r="BF109" s="81">
        <f t="shared" si="43"/>
        <v>83069.761146052144</v>
      </c>
      <c r="BG109" s="81">
        <f t="shared" si="43"/>
        <v>82011.001645003911</v>
      </c>
      <c r="BH109" s="81">
        <f t="shared" si="43"/>
        <v>80984.004928987124</v>
      </c>
      <c r="BI109" s="81">
        <f t="shared" si="43"/>
        <v>79987.818114450842</v>
      </c>
      <c r="BJ109" s="81">
        <f t="shared" si="43"/>
        <v>79021.516904350661</v>
      </c>
    </row>
    <row r="110" spans="1:62">
      <c r="A110" s="118"/>
    </row>
    <row r="111" spans="1:62">
      <c r="A111" s="102" t="s">
        <v>118</v>
      </c>
    </row>
    <row r="112" spans="1:62">
      <c r="A112" s="118" t="s">
        <v>23</v>
      </c>
      <c r="C112" s="99">
        <f t="shared" ref="C112:AH112" si="44">C109*with_Voice*(1-Attrition_Voice)</f>
        <v>2681.25</v>
      </c>
      <c r="D112" s="99">
        <f t="shared" si="44"/>
        <v>2734.875</v>
      </c>
      <c r="E112" s="99">
        <f t="shared" si="44"/>
        <v>2786.8912499999997</v>
      </c>
      <c r="F112" s="99">
        <f t="shared" si="44"/>
        <v>2837.3470124999999</v>
      </c>
      <c r="G112" s="99">
        <f t="shared" si="44"/>
        <v>2886.2891021249998</v>
      </c>
      <c r="H112" s="99">
        <f t="shared" si="44"/>
        <v>2933.7629290612499</v>
      </c>
      <c r="I112" s="99">
        <f t="shared" si="44"/>
        <v>2979.8125411894125</v>
      </c>
      <c r="J112" s="99">
        <f t="shared" si="44"/>
        <v>3024.4806649537304</v>
      </c>
      <c r="K112" s="99">
        <f t="shared" si="44"/>
        <v>3067.808745005118</v>
      </c>
      <c r="L112" s="99">
        <f t="shared" si="44"/>
        <v>3109.8369826549647</v>
      </c>
      <c r="M112" s="99">
        <f t="shared" si="44"/>
        <v>3150.6043731753157</v>
      </c>
      <c r="N112" s="99">
        <f t="shared" si="44"/>
        <v>3190.1487419800565</v>
      </c>
      <c r="O112" s="99">
        <f t="shared" si="44"/>
        <v>3228.5067797206552</v>
      </c>
      <c r="P112" s="99">
        <f t="shared" si="44"/>
        <v>5229.9328263290363</v>
      </c>
      <c r="Q112" s="99">
        <f t="shared" si="44"/>
        <v>5140.0660915391645</v>
      </c>
      <c r="R112" s="99">
        <f t="shared" si="44"/>
        <v>5052.89535879299</v>
      </c>
      <c r="S112" s="99">
        <f t="shared" si="44"/>
        <v>6999.5897480292006</v>
      </c>
      <c r="T112" s="99">
        <f t="shared" si="44"/>
        <v>6856.6333055883242</v>
      </c>
      <c r="U112" s="99">
        <f t="shared" si="44"/>
        <v>6717.9655564206741</v>
      </c>
      <c r="V112" s="99">
        <f t="shared" si="44"/>
        <v>8614.7078397280529</v>
      </c>
      <c r="W112" s="99">
        <f t="shared" si="44"/>
        <v>8423.2978545362112</v>
      </c>
      <c r="X112" s="99">
        <f t="shared" si="44"/>
        <v>8237.6301689001248</v>
      </c>
      <c r="Y112" s="99">
        <f t="shared" si="44"/>
        <v>8057.5325138331218</v>
      </c>
      <c r="Z112" s="99">
        <f t="shared" si="44"/>
        <v>7882.8377884181273</v>
      </c>
      <c r="AA112" s="99">
        <f t="shared" si="44"/>
        <v>7713.3839047655829</v>
      </c>
      <c r="AB112" s="99">
        <f t="shared" si="44"/>
        <v>9659.4823876226164</v>
      </c>
      <c r="AC112" s="99">
        <f t="shared" si="44"/>
        <v>9515.9479159939401</v>
      </c>
      <c r="AD112" s="99">
        <f t="shared" si="44"/>
        <v>9376.7194785141201</v>
      </c>
      <c r="AE112" s="99">
        <f t="shared" si="44"/>
        <v>11272.917894158698</v>
      </c>
      <c r="AF112" s="99">
        <f t="shared" si="44"/>
        <v>11080.980357333938</v>
      </c>
      <c r="AG112" s="99">
        <f t="shared" si="44"/>
        <v>10894.800946613917</v>
      </c>
      <c r="AH112" s="99">
        <f t="shared" si="44"/>
        <v>12745.456918215501</v>
      </c>
      <c r="AI112" s="99">
        <f t="shared" ref="AI112:BJ112" si="45">AI109*with_Voice*(1-Attrition_Voice)</f>
        <v>12509.343210669036</v>
      </c>
      <c r="AJ112" s="99">
        <f t="shared" si="45"/>
        <v>12280.312914348966</v>
      </c>
      <c r="AK112" s="99">
        <f t="shared" si="45"/>
        <v>12058.153526918497</v>
      </c>
      <c r="AL112" s="99">
        <f t="shared" si="45"/>
        <v>11842.658921110942</v>
      </c>
      <c r="AM112" s="99">
        <f t="shared" si="45"/>
        <v>11633.629153477614</v>
      </c>
      <c r="AN112" s="99">
        <f t="shared" si="45"/>
        <v>13563.682778873284</v>
      </c>
      <c r="AO112" s="99">
        <f t="shared" si="45"/>
        <v>13404.584795507086</v>
      </c>
      <c r="AP112" s="99">
        <f t="shared" si="45"/>
        <v>13250.259751641874</v>
      </c>
      <c r="AQ112" s="99">
        <f t="shared" si="45"/>
        <v>15131.814459092617</v>
      </c>
      <c r="AR112" s="99">
        <f t="shared" si="45"/>
        <v>14925.67252531984</v>
      </c>
      <c r="AS112" s="99">
        <f t="shared" si="45"/>
        <v>14725.714849560247</v>
      </c>
      <c r="AT112" s="99">
        <f t="shared" si="45"/>
        <v>16563.005904073438</v>
      </c>
      <c r="AU112" s="99">
        <f t="shared" si="45"/>
        <v>16313.928226951237</v>
      </c>
      <c r="AV112" s="99">
        <f t="shared" si="45"/>
        <v>16072.322880142698</v>
      </c>
      <c r="AW112" s="99">
        <f t="shared" si="45"/>
        <v>15837.965693738417</v>
      </c>
      <c r="AX112" s="99">
        <f t="shared" si="45"/>
        <v>15610.639222926264</v>
      </c>
      <c r="AY112" s="99">
        <f t="shared" si="45"/>
        <v>15390.132546238476</v>
      </c>
      <c r="AZ112" s="99">
        <f t="shared" si="45"/>
        <v>17309.053569851323</v>
      </c>
      <c r="BA112" s="99">
        <f t="shared" si="45"/>
        <v>17139.156962755784</v>
      </c>
      <c r="BB112" s="99">
        <f t="shared" si="45"/>
        <v>16974.35725387311</v>
      </c>
      <c r="BC112" s="99">
        <f t="shared" si="45"/>
        <v>18845.751536256917</v>
      </c>
      <c r="BD112" s="99">
        <f t="shared" si="45"/>
        <v>18629.753990169207</v>
      </c>
      <c r="BE112" s="99">
        <f t="shared" si="45"/>
        <v>18420.236370464136</v>
      </c>
      <c r="BF112" s="99">
        <f t="shared" si="45"/>
        <v>20248.254279350211</v>
      </c>
      <c r="BG112" s="99">
        <f t="shared" si="45"/>
        <v>19990.181650969702</v>
      </c>
      <c r="BH112" s="99">
        <f t="shared" si="45"/>
        <v>19739.851201440611</v>
      </c>
      <c r="BI112" s="99">
        <f t="shared" si="45"/>
        <v>19497.030665397393</v>
      </c>
      <c r="BJ112" s="99">
        <f t="shared" si="45"/>
        <v>19261.494745435473</v>
      </c>
    </row>
    <row r="113" spans="1:62">
      <c r="A113" s="118" t="s">
        <v>22</v>
      </c>
      <c r="C113" s="99">
        <f t="shared" ref="C113:AH113" si="46">C109*with_Data*(1-Attrition_Data)</f>
        <v>3811.4999999999995</v>
      </c>
      <c r="D113" s="99">
        <f t="shared" si="46"/>
        <v>3887.7299999999996</v>
      </c>
      <c r="E113" s="99">
        <f t="shared" si="46"/>
        <v>3961.6730999999995</v>
      </c>
      <c r="F113" s="99">
        <f t="shared" si="46"/>
        <v>4033.3979069999991</v>
      </c>
      <c r="G113" s="99">
        <f t="shared" si="46"/>
        <v>4102.9709697899998</v>
      </c>
      <c r="H113" s="99">
        <f t="shared" si="46"/>
        <v>4170.4568406962999</v>
      </c>
      <c r="I113" s="99">
        <f t="shared" si="46"/>
        <v>4235.918135475411</v>
      </c>
      <c r="J113" s="99">
        <f t="shared" si="46"/>
        <v>4299.4155914111489</v>
      </c>
      <c r="K113" s="99">
        <f t="shared" si="46"/>
        <v>4361.0081236688138</v>
      </c>
      <c r="L113" s="99">
        <f t="shared" si="46"/>
        <v>4420.7528799587499</v>
      </c>
      <c r="M113" s="99">
        <f t="shared" si="46"/>
        <v>4478.7052935599868</v>
      </c>
      <c r="N113" s="99">
        <f t="shared" si="46"/>
        <v>4534.9191347531878</v>
      </c>
      <c r="O113" s="99">
        <f t="shared" si="46"/>
        <v>4589.4465607105922</v>
      </c>
      <c r="P113" s="99">
        <f t="shared" si="46"/>
        <v>7434.5506638892748</v>
      </c>
      <c r="Q113" s="99">
        <f t="shared" si="46"/>
        <v>7306.801643972597</v>
      </c>
      <c r="R113" s="99">
        <f t="shared" si="46"/>
        <v>7182.8850946534185</v>
      </c>
      <c r="S113" s="99">
        <f t="shared" si="46"/>
        <v>9950.1860418138167</v>
      </c>
      <c r="T113" s="99">
        <f t="shared" si="46"/>
        <v>9746.967960559401</v>
      </c>
      <c r="U113" s="99">
        <f t="shared" si="46"/>
        <v>9549.846421742619</v>
      </c>
      <c r="V113" s="99">
        <f t="shared" si="46"/>
        <v>12246.13852909034</v>
      </c>
      <c r="W113" s="99">
        <f t="shared" si="46"/>
        <v>11974.041873217629</v>
      </c>
      <c r="X113" s="99">
        <f t="shared" si="46"/>
        <v>11710.1081170211</v>
      </c>
      <c r="Y113" s="99">
        <f t="shared" si="46"/>
        <v>11454.092373510468</v>
      </c>
      <c r="Z113" s="99">
        <f t="shared" si="46"/>
        <v>11205.757102305153</v>
      </c>
      <c r="AA113" s="99">
        <f t="shared" si="46"/>
        <v>10964.871889235998</v>
      </c>
      <c r="AB113" s="99">
        <f t="shared" si="46"/>
        <v>13731.32573255892</v>
      </c>
      <c r="AC113" s="99">
        <f t="shared" si="46"/>
        <v>13527.285960582154</v>
      </c>
      <c r="AD113" s="99">
        <f t="shared" si="46"/>
        <v>13329.367381764687</v>
      </c>
      <c r="AE113" s="99">
        <f t="shared" si="46"/>
        <v>16024.886360311748</v>
      </c>
      <c r="AF113" s="99">
        <f t="shared" si="46"/>
        <v>15752.039769502397</v>
      </c>
      <c r="AG113" s="99">
        <f t="shared" si="46"/>
        <v>15487.378576417323</v>
      </c>
      <c r="AH113" s="99">
        <f t="shared" si="46"/>
        <v>18118.157219124805</v>
      </c>
      <c r="AI113" s="99">
        <f t="shared" ref="AI113:BJ113" si="47">AI109*with_Data*(1-Attrition_Data)</f>
        <v>17782.512502551057</v>
      </c>
      <c r="AJ113" s="99">
        <f t="shared" si="47"/>
        <v>17456.937127474528</v>
      </c>
      <c r="AK113" s="99">
        <f t="shared" si="47"/>
        <v>17141.129013650294</v>
      </c>
      <c r="AL113" s="99">
        <f t="shared" si="47"/>
        <v>16834.795143240786</v>
      </c>
      <c r="AM113" s="99">
        <f t="shared" si="47"/>
        <v>16537.651288943562</v>
      </c>
      <c r="AN113" s="99">
        <f t="shared" si="47"/>
        <v>19281.296750275254</v>
      </c>
      <c r="AO113" s="99">
        <f t="shared" si="47"/>
        <v>19055.132847766996</v>
      </c>
      <c r="AP113" s="99">
        <f t="shared" si="47"/>
        <v>18835.753862333986</v>
      </c>
      <c r="AQ113" s="99">
        <f t="shared" si="47"/>
        <v>21510.456246463964</v>
      </c>
      <c r="AR113" s="99">
        <f t="shared" si="47"/>
        <v>21217.417559070047</v>
      </c>
      <c r="AS113" s="99">
        <f t="shared" si="47"/>
        <v>20933.170032297949</v>
      </c>
      <c r="AT113" s="99">
        <f t="shared" si="47"/>
        <v>23544.949931329011</v>
      </c>
      <c r="AU113" s="99">
        <f t="shared" si="47"/>
        <v>23190.876433389141</v>
      </c>
      <c r="AV113" s="99">
        <f t="shared" si="47"/>
        <v>22847.425140387462</v>
      </c>
      <c r="AW113" s="99">
        <f t="shared" si="47"/>
        <v>22514.277386175843</v>
      </c>
      <c r="AX113" s="99">
        <f t="shared" si="47"/>
        <v>22191.124064590564</v>
      </c>
      <c r="AY113" s="99">
        <f t="shared" si="47"/>
        <v>21877.66534265285</v>
      </c>
      <c r="AZ113" s="99">
        <f t="shared" si="47"/>
        <v>24605.485382373263</v>
      </c>
      <c r="BA113" s="99">
        <f t="shared" si="47"/>
        <v>24363.970820902065</v>
      </c>
      <c r="BB113" s="99">
        <f t="shared" si="47"/>
        <v>24129.701696275002</v>
      </c>
      <c r="BC113" s="99">
        <f t="shared" si="47"/>
        <v>26789.960645386753</v>
      </c>
      <c r="BD113" s="99">
        <f t="shared" si="47"/>
        <v>26482.911826025149</v>
      </c>
      <c r="BE113" s="99">
        <f t="shared" si="47"/>
        <v>26185.074471244399</v>
      </c>
      <c r="BF113" s="99">
        <f t="shared" si="47"/>
        <v>28783.672237107065</v>
      </c>
      <c r="BG113" s="99">
        <f t="shared" si="47"/>
        <v>28416.812069993852</v>
      </c>
      <c r="BH113" s="99">
        <f t="shared" si="47"/>
        <v>28060.957707894038</v>
      </c>
      <c r="BI113" s="99">
        <f t="shared" si="47"/>
        <v>27715.778976657213</v>
      </c>
      <c r="BJ113" s="99">
        <f t="shared" si="47"/>
        <v>27380.955607357504</v>
      </c>
    </row>
    <row r="114" spans="1:62">
      <c r="A114" s="118" t="s">
        <v>117</v>
      </c>
      <c r="C114" s="99">
        <f t="shared" ref="C114:AH114" si="48">C109*with_Voice___Data*(1-Attrition_Voice)</f>
        <v>2145</v>
      </c>
      <c r="D114" s="99">
        <f t="shared" si="48"/>
        <v>2187.9</v>
      </c>
      <c r="E114" s="99">
        <f t="shared" si="48"/>
        <v>2229.5129999999999</v>
      </c>
      <c r="F114" s="99">
        <f t="shared" si="48"/>
        <v>2269.87761</v>
      </c>
      <c r="G114" s="99">
        <f t="shared" si="48"/>
        <v>2309.0312816999999</v>
      </c>
      <c r="H114" s="99">
        <f t="shared" si="48"/>
        <v>2347.010343249</v>
      </c>
      <c r="I114" s="99">
        <f t="shared" si="48"/>
        <v>2383.85003295153</v>
      </c>
      <c r="J114" s="99">
        <f t="shared" si="48"/>
        <v>2419.5845319629843</v>
      </c>
      <c r="K114" s="99">
        <f t="shared" si="48"/>
        <v>2454.2469960040944</v>
      </c>
      <c r="L114" s="99">
        <f t="shared" si="48"/>
        <v>2487.8695861239721</v>
      </c>
      <c r="M114" s="99">
        <f t="shared" si="48"/>
        <v>2520.4834985402526</v>
      </c>
      <c r="N114" s="99">
        <f t="shared" si="48"/>
        <v>2552.1189935840453</v>
      </c>
      <c r="O114" s="99">
        <f t="shared" si="48"/>
        <v>2582.8054237765241</v>
      </c>
      <c r="P114" s="99">
        <f t="shared" si="48"/>
        <v>4183.946261063229</v>
      </c>
      <c r="Q114" s="99">
        <f t="shared" si="48"/>
        <v>4112.0528732313314</v>
      </c>
      <c r="R114" s="99">
        <f t="shared" si="48"/>
        <v>4042.3162870343917</v>
      </c>
      <c r="S114" s="99">
        <f t="shared" si="48"/>
        <v>5599.671798423361</v>
      </c>
      <c r="T114" s="99">
        <f t="shared" si="48"/>
        <v>5485.3066444706592</v>
      </c>
      <c r="U114" s="99">
        <f t="shared" si="48"/>
        <v>5374.3724451365397</v>
      </c>
      <c r="V114" s="99">
        <f t="shared" si="48"/>
        <v>6891.7662717824433</v>
      </c>
      <c r="W114" s="99">
        <f t="shared" si="48"/>
        <v>6738.6382836289704</v>
      </c>
      <c r="X114" s="99">
        <f t="shared" si="48"/>
        <v>6590.1041351201002</v>
      </c>
      <c r="Y114" s="99">
        <f t="shared" si="48"/>
        <v>6446.0260110664976</v>
      </c>
      <c r="Z114" s="99">
        <f t="shared" si="48"/>
        <v>6306.2702307345025</v>
      </c>
      <c r="AA114" s="99">
        <f t="shared" si="48"/>
        <v>6170.7071238124663</v>
      </c>
      <c r="AB114" s="99">
        <f t="shared" si="48"/>
        <v>7727.5859100980933</v>
      </c>
      <c r="AC114" s="99">
        <f t="shared" si="48"/>
        <v>7612.7583327951515</v>
      </c>
      <c r="AD114" s="99">
        <f t="shared" si="48"/>
        <v>7501.3755828112962</v>
      </c>
      <c r="AE114" s="99">
        <f t="shared" si="48"/>
        <v>9018.3343153269579</v>
      </c>
      <c r="AF114" s="99">
        <f t="shared" si="48"/>
        <v>8864.7842858671502</v>
      </c>
      <c r="AG114" s="99">
        <f t="shared" si="48"/>
        <v>8715.8407572911347</v>
      </c>
      <c r="AH114" s="99">
        <f t="shared" si="48"/>
        <v>10196.365534572402</v>
      </c>
      <c r="AI114" s="99">
        <f t="shared" ref="AI114:BJ114" si="49">AI109*with_Voice___Data*(1-Attrition_Voice)</f>
        <v>10007.474568535228</v>
      </c>
      <c r="AJ114" s="99">
        <f t="shared" si="49"/>
        <v>9824.2503314791738</v>
      </c>
      <c r="AK114" s="99">
        <f t="shared" si="49"/>
        <v>9646.5228215347979</v>
      </c>
      <c r="AL114" s="99">
        <f t="shared" si="49"/>
        <v>9474.1271368887537</v>
      </c>
      <c r="AM114" s="99">
        <f t="shared" si="49"/>
        <v>9306.903322782091</v>
      </c>
      <c r="AN114" s="99">
        <f t="shared" si="49"/>
        <v>10850.946223098628</v>
      </c>
      <c r="AO114" s="99">
        <f t="shared" si="49"/>
        <v>10723.66783640567</v>
      </c>
      <c r="AP114" s="99">
        <f t="shared" si="49"/>
        <v>10600.2078013135</v>
      </c>
      <c r="AQ114" s="99">
        <f t="shared" si="49"/>
        <v>12105.451567274094</v>
      </c>
      <c r="AR114" s="99">
        <f t="shared" si="49"/>
        <v>11940.538020255874</v>
      </c>
      <c r="AS114" s="99">
        <f t="shared" si="49"/>
        <v>11780.571879648198</v>
      </c>
      <c r="AT114" s="99">
        <f t="shared" si="49"/>
        <v>13250.404723258753</v>
      </c>
      <c r="AU114" s="99">
        <f t="shared" si="49"/>
        <v>13051.142581560991</v>
      </c>
      <c r="AV114" s="99">
        <f t="shared" si="49"/>
        <v>12857.858304114159</v>
      </c>
      <c r="AW114" s="99">
        <f t="shared" si="49"/>
        <v>12670.372554990734</v>
      </c>
      <c r="AX114" s="99">
        <f t="shared" si="49"/>
        <v>12488.511378341011</v>
      </c>
      <c r="AY114" s="99">
        <f t="shared" si="49"/>
        <v>12312.106036990781</v>
      </c>
      <c r="AZ114" s="99">
        <f t="shared" si="49"/>
        <v>13847.242855881059</v>
      </c>
      <c r="BA114" s="99">
        <f t="shared" si="49"/>
        <v>13711.325570204626</v>
      </c>
      <c r="BB114" s="99">
        <f t="shared" si="49"/>
        <v>13579.485803098489</v>
      </c>
      <c r="BC114" s="99">
        <f t="shared" si="49"/>
        <v>15076.601229005533</v>
      </c>
      <c r="BD114" s="99">
        <f t="shared" si="49"/>
        <v>14903.803192135369</v>
      </c>
      <c r="BE114" s="99">
        <f t="shared" si="49"/>
        <v>14736.189096371309</v>
      </c>
      <c r="BF114" s="99">
        <f t="shared" si="49"/>
        <v>16198.603423480168</v>
      </c>
      <c r="BG114" s="99">
        <f t="shared" si="49"/>
        <v>15992.145320775762</v>
      </c>
      <c r="BH114" s="99">
        <f t="shared" si="49"/>
        <v>15791.880961152488</v>
      </c>
      <c r="BI114" s="99">
        <f t="shared" si="49"/>
        <v>15597.624532317916</v>
      </c>
      <c r="BJ114" s="99">
        <f t="shared" si="49"/>
        <v>15409.19579634838</v>
      </c>
    </row>
    <row r="115" spans="1:62">
      <c r="A115" s="118" t="s">
        <v>121</v>
      </c>
      <c r="C115" s="99">
        <f t="shared" ref="C115:AH115" si="50">C112+C114</f>
        <v>4826.25</v>
      </c>
      <c r="D115" s="99">
        <f t="shared" si="50"/>
        <v>4922.7749999999996</v>
      </c>
      <c r="E115" s="99">
        <f t="shared" si="50"/>
        <v>5016.4042499999996</v>
      </c>
      <c r="F115" s="99">
        <f t="shared" si="50"/>
        <v>5107.2246224999999</v>
      </c>
      <c r="G115" s="99">
        <f t="shared" si="50"/>
        <v>5195.3203838249992</v>
      </c>
      <c r="H115" s="99">
        <f t="shared" si="50"/>
        <v>5280.7732723102499</v>
      </c>
      <c r="I115" s="99">
        <f t="shared" si="50"/>
        <v>5363.6625741409425</v>
      </c>
      <c r="J115" s="99">
        <f t="shared" si="50"/>
        <v>5444.0651969167147</v>
      </c>
      <c r="K115" s="99">
        <f t="shared" si="50"/>
        <v>5522.0557410092124</v>
      </c>
      <c r="L115" s="99">
        <f t="shared" si="50"/>
        <v>5597.7065687789363</v>
      </c>
      <c r="M115" s="99">
        <f t="shared" si="50"/>
        <v>5671.0878717155683</v>
      </c>
      <c r="N115" s="99">
        <f t="shared" si="50"/>
        <v>5742.2677355641017</v>
      </c>
      <c r="O115" s="99">
        <f t="shared" si="50"/>
        <v>5811.3122034971793</v>
      </c>
      <c r="P115" s="99">
        <f t="shared" si="50"/>
        <v>9413.8790873922662</v>
      </c>
      <c r="Q115" s="99">
        <f t="shared" si="50"/>
        <v>9252.1189647704959</v>
      </c>
      <c r="R115" s="99">
        <f t="shared" si="50"/>
        <v>9095.2116458273813</v>
      </c>
      <c r="S115" s="99">
        <f t="shared" si="50"/>
        <v>12599.261546452562</v>
      </c>
      <c r="T115" s="99">
        <f t="shared" si="50"/>
        <v>12341.939950058983</v>
      </c>
      <c r="U115" s="99">
        <f t="shared" si="50"/>
        <v>12092.338001557215</v>
      </c>
      <c r="V115" s="99">
        <f t="shared" si="50"/>
        <v>15506.474111510495</v>
      </c>
      <c r="W115" s="99">
        <f t="shared" si="50"/>
        <v>15161.936138165182</v>
      </c>
      <c r="X115" s="99">
        <f t="shared" si="50"/>
        <v>14827.734304020225</v>
      </c>
      <c r="Y115" s="99">
        <f t="shared" si="50"/>
        <v>14503.558524899619</v>
      </c>
      <c r="Z115" s="99">
        <f t="shared" si="50"/>
        <v>14189.108019152631</v>
      </c>
      <c r="AA115" s="99">
        <f t="shared" si="50"/>
        <v>13884.091028578048</v>
      </c>
      <c r="AB115" s="99">
        <f t="shared" si="50"/>
        <v>17387.068297720711</v>
      </c>
      <c r="AC115" s="99">
        <f t="shared" si="50"/>
        <v>17128.706248789091</v>
      </c>
      <c r="AD115" s="99">
        <f t="shared" si="50"/>
        <v>16878.095061325417</v>
      </c>
      <c r="AE115" s="99">
        <f t="shared" si="50"/>
        <v>20291.252209485654</v>
      </c>
      <c r="AF115" s="99">
        <f t="shared" si="50"/>
        <v>19945.764643201088</v>
      </c>
      <c r="AG115" s="99">
        <f t="shared" si="50"/>
        <v>19610.64170390505</v>
      </c>
      <c r="AH115" s="99">
        <f t="shared" si="50"/>
        <v>22941.822452787903</v>
      </c>
      <c r="AI115" s="99">
        <f t="shared" ref="AI115:BJ115" si="51">AI112+AI114</f>
        <v>22516.817779204262</v>
      </c>
      <c r="AJ115" s="99">
        <f t="shared" si="51"/>
        <v>22104.56324582814</v>
      </c>
      <c r="AK115" s="99">
        <f t="shared" si="51"/>
        <v>21704.676348453293</v>
      </c>
      <c r="AL115" s="99">
        <f t="shared" si="51"/>
        <v>21316.786057999696</v>
      </c>
      <c r="AM115" s="99">
        <f t="shared" si="51"/>
        <v>20940.532476259705</v>
      </c>
      <c r="AN115" s="99">
        <f t="shared" si="51"/>
        <v>24414.629001971913</v>
      </c>
      <c r="AO115" s="99">
        <f t="shared" si="51"/>
        <v>24128.252631912757</v>
      </c>
      <c r="AP115" s="99">
        <f t="shared" si="51"/>
        <v>23850.467552955372</v>
      </c>
      <c r="AQ115" s="99">
        <f t="shared" si="51"/>
        <v>27237.266026366713</v>
      </c>
      <c r="AR115" s="99">
        <f t="shared" si="51"/>
        <v>26866.210545575712</v>
      </c>
      <c r="AS115" s="99">
        <f t="shared" si="51"/>
        <v>26506.286729208445</v>
      </c>
      <c r="AT115" s="99">
        <f t="shared" si="51"/>
        <v>29813.410627332189</v>
      </c>
      <c r="AU115" s="99">
        <f t="shared" si="51"/>
        <v>29365.070808512228</v>
      </c>
      <c r="AV115" s="99">
        <f t="shared" si="51"/>
        <v>28930.181184256857</v>
      </c>
      <c r="AW115" s="99">
        <f t="shared" si="51"/>
        <v>28508.338248729153</v>
      </c>
      <c r="AX115" s="99">
        <f t="shared" si="51"/>
        <v>28099.150601267276</v>
      </c>
      <c r="AY115" s="99">
        <f t="shared" si="51"/>
        <v>27702.238583229257</v>
      </c>
      <c r="AZ115" s="99">
        <f t="shared" si="51"/>
        <v>31156.296425732384</v>
      </c>
      <c r="BA115" s="99">
        <f t="shared" si="51"/>
        <v>30850.48253296041</v>
      </c>
      <c r="BB115" s="99">
        <f t="shared" si="51"/>
        <v>30553.8430569716</v>
      </c>
      <c r="BC115" s="99">
        <f t="shared" si="51"/>
        <v>33922.352765262447</v>
      </c>
      <c r="BD115" s="99">
        <f t="shared" si="51"/>
        <v>33533.557182304576</v>
      </c>
      <c r="BE115" s="99">
        <f t="shared" si="51"/>
        <v>33156.425466835441</v>
      </c>
      <c r="BF115" s="99">
        <f t="shared" si="51"/>
        <v>36446.857702830377</v>
      </c>
      <c r="BG115" s="99">
        <f t="shared" si="51"/>
        <v>35982.326971745468</v>
      </c>
      <c r="BH115" s="99">
        <f t="shared" si="51"/>
        <v>35531.7321625931</v>
      </c>
      <c r="BI115" s="99">
        <f t="shared" si="51"/>
        <v>35094.655197715307</v>
      </c>
      <c r="BJ115" s="99">
        <f t="shared" si="51"/>
        <v>34670.690541783857</v>
      </c>
    </row>
    <row r="116" spans="1:62">
      <c r="A116" s="118" t="s">
        <v>172</v>
      </c>
      <c r="C116" s="99">
        <f>C113+C114</f>
        <v>5956.5</v>
      </c>
      <c r="D116" s="99">
        <f t="shared" ref="D116:BJ116" si="52">D113+D114</f>
        <v>6075.6299999999992</v>
      </c>
      <c r="E116" s="99">
        <f t="shared" si="52"/>
        <v>6191.186099999999</v>
      </c>
      <c r="F116" s="99">
        <f t="shared" si="52"/>
        <v>6303.2755169999991</v>
      </c>
      <c r="G116" s="99">
        <f t="shared" si="52"/>
        <v>6412.0022514899993</v>
      </c>
      <c r="H116" s="99">
        <f t="shared" si="52"/>
        <v>6517.4671839453003</v>
      </c>
      <c r="I116" s="99">
        <f t="shared" si="52"/>
        <v>6619.768168426941</v>
      </c>
      <c r="J116" s="99">
        <f t="shared" si="52"/>
        <v>6719.0001233741332</v>
      </c>
      <c r="K116" s="99">
        <f t="shared" si="52"/>
        <v>6815.2551196729082</v>
      </c>
      <c r="L116" s="99">
        <f t="shared" si="52"/>
        <v>6908.622466082722</v>
      </c>
      <c r="M116" s="99">
        <f t="shared" si="52"/>
        <v>6999.1887921002399</v>
      </c>
      <c r="N116" s="99">
        <f t="shared" si="52"/>
        <v>7087.0381283372335</v>
      </c>
      <c r="O116" s="99">
        <f t="shared" si="52"/>
        <v>7172.2519844871167</v>
      </c>
      <c r="P116" s="99">
        <f t="shared" si="52"/>
        <v>11618.496924952504</v>
      </c>
      <c r="Q116" s="99">
        <f t="shared" si="52"/>
        <v>11418.854517203928</v>
      </c>
      <c r="R116" s="99">
        <f t="shared" si="52"/>
        <v>11225.20138168781</v>
      </c>
      <c r="S116" s="99">
        <f t="shared" si="52"/>
        <v>15549.857840237179</v>
      </c>
      <c r="T116" s="99">
        <f t="shared" si="52"/>
        <v>15232.274605030059</v>
      </c>
      <c r="U116" s="99">
        <f t="shared" si="52"/>
        <v>14924.218866879159</v>
      </c>
      <c r="V116" s="99">
        <f t="shared" si="52"/>
        <v>19137.904800872784</v>
      </c>
      <c r="W116" s="99">
        <f t="shared" si="52"/>
        <v>18712.6801568466</v>
      </c>
      <c r="X116" s="99">
        <f t="shared" si="52"/>
        <v>18300.212252141202</v>
      </c>
      <c r="Y116" s="99">
        <f t="shared" si="52"/>
        <v>17900.118384576966</v>
      </c>
      <c r="Z116" s="99">
        <f t="shared" si="52"/>
        <v>17512.027333039656</v>
      </c>
      <c r="AA116" s="99">
        <f t="shared" si="52"/>
        <v>17135.579013048464</v>
      </c>
      <c r="AB116" s="99">
        <f t="shared" si="52"/>
        <v>21458.911642657014</v>
      </c>
      <c r="AC116" s="99">
        <f t="shared" si="52"/>
        <v>21140.044293377305</v>
      </c>
      <c r="AD116" s="99">
        <f t="shared" si="52"/>
        <v>20830.742964575984</v>
      </c>
      <c r="AE116" s="99">
        <f t="shared" si="52"/>
        <v>25043.220675638706</v>
      </c>
      <c r="AF116" s="99">
        <f t="shared" si="52"/>
        <v>24616.824055369547</v>
      </c>
      <c r="AG116" s="99">
        <f t="shared" si="52"/>
        <v>24203.219333708457</v>
      </c>
      <c r="AH116" s="99">
        <f t="shared" si="52"/>
        <v>28314.522753697209</v>
      </c>
      <c r="AI116" s="99">
        <f t="shared" si="52"/>
        <v>27789.987071086285</v>
      </c>
      <c r="AJ116" s="99">
        <f t="shared" si="52"/>
        <v>27281.187458953704</v>
      </c>
      <c r="AK116" s="99">
        <f t="shared" si="52"/>
        <v>26787.65183518509</v>
      </c>
      <c r="AL116" s="99">
        <f t="shared" si="52"/>
        <v>26308.92228012954</v>
      </c>
      <c r="AM116" s="99">
        <f t="shared" si="52"/>
        <v>25844.554611725653</v>
      </c>
      <c r="AN116" s="99">
        <f t="shared" si="52"/>
        <v>30132.242973373883</v>
      </c>
      <c r="AO116" s="99">
        <f t="shared" si="52"/>
        <v>29778.800684172667</v>
      </c>
      <c r="AP116" s="99">
        <f t="shared" si="52"/>
        <v>29435.961663647486</v>
      </c>
      <c r="AQ116" s="99">
        <f t="shared" si="52"/>
        <v>33615.907813738057</v>
      </c>
      <c r="AR116" s="99">
        <f t="shared" si="52"/>
        <v>33157.955579325921</v>
      </c>
      <c r="AS116" s="99">
        <f t="shared" si="52"/>
        <v>32713.741911946148</v>
      </c>
      <c r="AT116" s="99">
        <f t="shared" si="52"/>
        <v>36795.354654587762</v>
      </c>
      <c r="AU116" s="99">
        <f t="shared" si="52"/>
        <v>36242.019014950129</v>
      </c>
      <c r="AV116" s="99">
        <f t="shared" si="52"/>
        <v>35705.28344450162</v>
      </c>
      <c r="AW116" s="99">
        <f t="shared" si="52"/>
        <v>35184.649941166579</v>
      </c>
      <c r="AX116" s="99">
        <f t="shared" si="52"/>
        <v>34679.635442931576</v>
      </c>
      <c r="AY116" s="99">
        <f t="shared" si="52"/>
        <v>34189.771379643629</v>
      </c>
      <c r="AZ116" s="99">
        <f t="shared" si="52"/>
        <v>38452.72823825432</v>
      </c>
      <c r="BA116" s="99">
        <f t="shared" si="52"/>
        <v>38075.296391106691</v>
      </c>
      <c r="BB116" s="99">
        <f t="shared" si="52"/>
        <v>37709.187499373489</v>
      </c>
      <c r="BC116" s="99">
        <f t="shared" si="52"/>
        <v>41866.561874392282</v>
      </c>
      <c r="BD116" s="99">
        <f t="shared" si="52"/>
        <v>41386.715018160518</v>
      </c>
      <c r="BE116" s="99">
        <f t="shared" si="52"/>
        <v>40921.263567615708</v>
      </c>
      <c r="BF116" s="99">
        <f t="shared" si="52"/>
        <v>44982.275660587235</v>
      </c>
      <c r="BG116" s="99">
        <f t="shared" si="52"/>
        <v>44408.957390769618</v>
      </c>
      <c r="BH116" s="99">
        <f t="shared" si="52"/>
        <v>43852.838669046527</v>
      </c>
      <c r="BI116" s="99">
        <f t="shared" si="52"/>
        <v>43313.403508975127</v>
      </c>
      <c r="BJ116" s="99">
        <f t="shared" si="52"/>
        <v>42790.151403705881</v>
      </c>
    </row>
    <row r="117" spans="1:62">
      <c r="A117" s="118"/>
      <c r="C117" s="9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  <c r="AH117" s="99"/>
      <c r="AI117" s="99"/>
      <c r="AJ117" s="99"/>
      <c r="AK117" s="99"/>
      <c r="AL117" s="99"/>
      <c r="AM117" s="99"/>
      <c r="AN117" s="99"/>
      <c r="AO117" s="99"/>
      <c r="AP117" s="99"/>
      <c r="AQ117" s="99"/>
      <c r="AR117" s="99"/>
      <c r="AS117" s="99"/>
      <c r="AT117" s="99"/>
      <c r="AU117" s="99"/>
      <c r="AV117" s="99"/>
      <c r="AW117" s="99"/>
      <c r="AX117" s="99"/>
      <c r="AY117" s="99"/>
      <c r="AZ117" s="99"/>
      <c r="BA117" s="99"/>
      <c r="BB117" s="99"/>
      <c r="BC117" s="99"/>
      <c r="BD117" s="99"/>
      <c r="BE117" s="99"/>
      <c r="BF117" s="99"/>
      <c r="BG117" s="99"/>
      <c r="BH117" s="99"/>
      <c r="BI117" s="99"/>
      <c r="BJ117" s="99"/>
    </row>
    <row r="118" spans="1:62">
      <c r="A118" s="102" t="s">
        <v>122</v>
      </c>
    </row>
    <row r="119" spans="1:62">
      <c r="A119" s="118" t="s">
        <v>21</v>
      </c>
      <c r="C119" s="81">
        <f t="shared" ref="C119:AH119" si="53">C109*ARPU_Cable</f>
        <v>159500</v>
      </c>
      <c r="D119" s="81">
        <f t="shared" si="53"/>
        <v>162690</v>
      </c>
      <c r="E119" s="81">
        <f t="shared" si="53"/>
        <v>165784.29999999999</v>
      </c>
      <c r="F119" s="81">
        <f t="shared" si="53"/>
        <v>168785.77099999998</v>
      </c>
      <c r="G119" s="81">
        <f t="shared" si="53"/>
        <v>171697.19787</v>
      </c>
      <c r="H119" s="81">
        <f t="shared" si="53"/>
        <v>174521.2819339</v>
      </c>
      <c r="I119" s="81">
        <f t="shared" si="53"/>
        <v>177260.643475883</v>
      </c>
      <c r="J119" s="81">
        <f t="shared" si="53"/>
        <v>179917.82417160654</v>
      </c>
      <c r="K119" s="81">
        <f t="shared" si="53"/>
        <v>182495.28944645831</v>
      </c>
      <c r="L119" s="81">
        <f t="shared" si="53"/>
        <v>184995.43076306459</v>
      </c>
      <c r="M119" s="81">
        <f t="shared" si="53"/>
        <v>187420.56784017262</v>
      </c>
      <c r="N119" s="81">
        <f t="shared" si="53"/>
        <v>189772.95080496746</v>
      </c>
      <c r="O119" s="81">
        <f t="shared" si="53"/>
        <v>192054.76228081845</v>
      </c>
      <c r="P119" s="81">
        <f t="shared" si="53"/>
        <v>311113.95274572726</v>
      </c>
      <c r="Q119" s="81">
        <f t="shared" si="53"/>
        <v>305768.03416335542</v>
      </c>
      <c r="R119" s="81">
        <f t="shared" si="53"/>
        <v>300582.4931384548</v>
      </c>
      <c r="S119" s="81">
        <f t="shared" si="53"/>
        <v>416385.85167763452</v>
      </c>
      <c r="T119" s="81">
        <f t="shared" si="53"/>
        <v>407881.77612730546</v>
      </c>
      <c r="U119" s="81">
        <f t="shared" si="53"/>
        <v>399632.82284348627</v>
      </c>
      <c r="V119" s="81">
        <f t="shared" si="53"/>
        <v>512464.67149151501</v>
      </c>
      <c r="W119" s="81">
        <f t="shared" si="53"/>
        <v>501078.23134676955</v>
      </c>
      <c r="X119" s="81">
        <f t="shared" si="53"/>
        <v>490033.38440636644</v>
      </c>
      <c r="Y119" s="81">
        <f t="shared" si="53"/>
        <v>479319.88287417544</v>
      </c>
      <c r="Z119" s="81">
        <f t="shared" si="53"/>
        <v>468927.78638795018</v>
      </c>
      <c r="AA119" s="81">
        <f t="shared" si="53"/>
        <v>458847.45279631164</v>
      </c>
      <c r="AB119" s="81">
        <f t="shared" si="53"/>
        <v>574615.36254575569</v>
      </c>
      <c r="AC119" s="81">
        <f t="shared" si="53"/>
        <v>566076.90166938305</v>
      </c>
      <c r="AD119" s="81">
        <f t="shared" si="53"/>
        <v>557794.5946193015</v>
      </c>
      <c r="AE119" s="81">
        <f t="shared" si="53"/>
        <v>670594.0901140559</v>
      </c>
      <c r="AF119" s="81">
        <f t="shared" si="53"/>
        <v>659176.2674106342</v>
      </c>
      <c r="AG119" s="81">
        <f t="shared" si="53"/>
        <v>648100.97938831511</v>
      </c>
      <c r="AH119" s="81">
        <f t="shared" si="53"/>
        <v>758191.28333999903</v>
      </c>
      <c r="AI119" s="81">
        <f t="shared" ref="AI119:BJ119" si="54">AI109*ARPU_Cable</f>
        <v>744145.54483979905</v>
      </c>
      <c r="AJ119" s="81">
        <f t="shared" si="54"/>
        <v>730521.17849460512</v>
      </c>
      <c r="AK119" s="81">
        <f t="shared" si="54"/>
        <v>717305.54313976702</v>
      </c>
      <c r="AL119" s="81">
        <f t="shared" si="54"/>
        <v>704486.37684557401</v>
      </c>
      <c r="AM119" s="81">
        <f t="shared" si="54"/>
        <v>692051.78554020682</v>
      </c>
      <c r="AN119" s="81">
        <f t="shared" si="54"/>
        <v>806865.23197400058</v>
      </c>
      <c r="AO119" s="81">
        <f t="shared" si="54"/>
        <v>797400.94168144721</v>
      </c>
      <c r="AP119" s="81">
        <f t="shared" si="54"/>
        <v>788220.58009767043</v>
      </c>
      <c r="AQ119" s="81">
        <f t="shared" si="54"/>
        <v>900148.96269474039</v>
      </c>
      <c r="AR119" s="81">
        <f t="shared" si="54"/>
        <v>887886.16048056493</v>
      </c>
      <c r="AS119" s="81">
        <f t="shared" si="54"/>
        <v>875991.24233281473</v>
      </c>
      <c r="AT119" s="81">
        <f t="shared" si="54"/>
        <v>985286.50506283017</v>
      </c>
      <c r="AU119" s="81">
        <f t="shared" si="54"/>
        <v>970469.57657761208</v>
      </c>
      <c r="AV119" s="81">
        <f t="shared" si="54"/>
        <v>956097.1559469502</v>
      </c>
      <c r="AW119" s="81">
        <f t="shared" si="54"/>
        <v>942155.90793520841</v>
      </c>
      <c r="AX119" s="81">
        <f t="shared" si="54"/>
        <v>928632.89736381872</v>
      </c>
      <c r="AY119" s="81">
        <f t="shared" si="54"/>
        <v>915515.57710957096</v>
      </c>
      <c r="AZ119" s="81">
        <f t="shared" si="54"/>
        <v>1029666.7764629505</v>
      </c>
      <c r="BA119" s="81">
        <f t="shared" si="54"/>
        <v>1019560.1065023954</v>
      </c>
      <c r="BB119" s="81">
        <f t="shared" si="54"/>
        <v>1009756.6366406567</v>
      </c>
      <c r="BC119" s="81">
        <f t="shared" si="54"/>
        <v>1121080.6042081038</v>
      </c>
      <c r="BD119" s="81">
        <f t="shared" si="54"/>
        <v>1108231.5194151939</v>
      </c>
      <c r="BE119" s="81">
        <f t="shared" si="54"/>
        <v>1095767.9071660717</v>
      </c>
      <c r="BF119" s="81">
        <f t="shared" si="54"/>
        <v>1204511.5366177561</v>
      </c>
      <c r="BG119" s="81">
        <f t="shared" si="54"/>
        <v>1189159.5238525567</v>
      </c>
      <c r="BH119" s="81">
        <f t="shared" si="54"/>
        <v>1174268.0714703132</v>
      </c>
      <c r="BI119" s="81">
        <f t="shared" si="54"/>
        <v>1159823.3626595372</v>
      </c>
      <c r="BJ119" s="81">
        <f t="shared" si="54"/>
        <v>1145811.9951130846</v>
      </c>
    </row>
    <row r="120" spans="1:62">
      <c r="A120" s="118" t="s">
        <v>23</v>
      </c>
      <c r="C120" s="81">
        <f t="shared" ref="C120:AH120" si="55">C112*ARPU_Voice</f>
        <v>53625</v>
      </c>
      <c r="D120" s="81">
        <f t="shared" si="55"/>
        <v>54697.5</v>
      </c>
      <c r="E120" s="81">
        <f t="shared" si="55"/>
        <v>55737.824999999997</v>
      </c>
      <c r="F120" s="81">
        <f t="shared" si="55"/>
        <v>56746.94025</v>
      </c>
      <c r="G120" s="81">
        <f t="shared" si="55"/>
        <v>57725.782042499995</v>
      </c>
      <c r="H120" s="81">
        <f t="shared" si="55"/>
        <v>58675.258581224996</v>
      </c>
      <c r="I120" s="81">
        <f t="shared" si="55"/>
        <v>59596.25082378825</v>
      </c>
      <c r="J120" s="81">
        <f t="shared" si="55"/>
        <v>60489.613299074612</v>
      </c>
      <c r="K120" s="81">
        <f t="shared" si="55"/>
        <v>61356.174900102356</v>
      </c>
      <c r="L120" s="81">
        <f t="shared" si="55"/>
        <v>62196.739653099292</v>
      </c>
      <c r="M120" s="81">
        <f t="shared" si="55"/>
        <v>63012.087463506316</v>
      </c>
      <c r="N120" s="81">
        <f t="shared" si="55"/>
        <v>63802.974839601127</v>
      </c>
      <c r="O120" s="81">
        <f t="shared" si="55"/>
        <v>64570.135594413106</v>
      </c>
      <c r="P120" s="81">
        <f t="shared" si="55"/>
        <v>104598.65652658073</v>
      </c>
      <c r="Q120" s="81">
        <f t="shared" si="55"/>
        <v>102801.32183078329</v>
      </c>
      <c r="R120" s="81">
        <f t="shared" si="55"/>
        <v>101057.9071758598</v>
      </c>
      <c r="S120" s="81">
        <f t="shared" si="55"/>
        <v>139991.79496058403</v>
      </c>
      <c r="T120" s="81">
        <f t="shared" si="55"/>
        <v>137132.66611176648</v>
      </c>
      <c r="U120" s="81">
        <f t="shared" si="55"/>
        <v>134359.31112841348</v>
      </c>
      <c r="V120" s="81">
        <f t="shared" si="55"/>
        <v>172294.15679456107</v>
      </c>
      <c r="W120" s="81">
        <f t="shared" si="55"/>
        <v>168465.95709072423</v>
      </c>
      <c r="X120" s="81">
        <f t="shared" si="55"/>
        <v>164752.6033780025</v>
      </c>
      <c r="Y120" s="81">
        <f t="shared" si="55"/>
        <v>161150.65027666243</v>
      </c>
      <c r="Z120" s="81">
        <f t="shared" si="55"/>
        <v>157656.75576836255</v>
      </c>
      <c r="AA120" s="81">
        <f t="shared" si="55"/>
        <v>154267.67809531165</v>
      </c>
      <c r="AB120" s="81">
        <f t="shared" si="55"/>
        <v>193189.64775245232</v>
      </c>
      <c r="AC120" s="81">
        <f t="shared" si="55"/>
        <v>190318.95831987879</v>
      </c>
      <c r="AD120" s="81">
        <f t="shared" si="55"/>
        <v>187534.38957028239</v>
      </c>
      <c r="AE120" s="81">
        <f t="shared" si="55"/>
        <v>225458.35788317397</v>
      </c>
      <c r="AF120" s="81">
        <f t="shared" si="55"/>
        <v>221619.60714667875</v>
      </c>
      <c r="AG120" s="81">
        <f t="shared" si="55"/>
        <v>217896.01893227836</v>
      </c>
      <c r="AH120" s="81">
        <f t="shared" si="55"/>
        <v>254909.13836431003</v>
      </c>
      <c r="AI120" s="81">
        <f t="shared" ref="AI120:BJ120" si="56">AI112*ARPU_Voice</f>
        <v>250186.86421338073</v>
      </c>
      <c r="AJ120" s="81">
        <f t="shared" si="56"/>
        <v>245606.25828697931</v>
      </c>
      <c r="AK120" s="81">
        <f t="shared" si="56"/>
        <v>241163.07053836994</v>
      </c>
      <c r="AL120" s="81">
        <f t="shared" si="56"/>
        <v>236853.17842221883</v>
      </c>
      <c r="AM120" s="81">
        <f t="shared" si="56"/>
        <v>232672.58306955226</v>
      </c>
      <c r="AN120" s="81">
        <f t="shared" si="56"/>
        <v>271273.65557746566</v>
      </c>
      <c r="AO120" s="81">
        <f t="shared" si="56"/>
        <v>268091.69591014169</v>
      </c>
      <c r="AP120" s="81">
        <f t="shared" si="56"/>
        <v>265005.19503283745</v>
      </c>
      <c r="AQ120" s="81">
        <f t="shared" si="56"/>
        <v>302636.28918185236</v>
      </c>
      <c r="AR120" s="81">
        <f t="shared" si="56"/>
        <v>298513.45050639682</v>
      </c>
      <c r="AS120" s="81">
        <f t="shared" si="56"/>
        <v>294514.29699120496</v>
      </c>
      <c r="AT120" s="81">
        <f t="shared" si="56"/>
        <v>331260.11808146874</v>
      </c>
      <c r="AU120" s="81">
        <f t="shared" si="56"/>
        <v>326278.56453902472</v>
      </c>
      <c r="AV120" s="81">
        <f t="shared" si="56"/>
        <v>321446.45760285394</v>
      </c>
      <c r="AW120" s="81">
        <f t="shared" si="56"/>
        <v>316759.31387476833</v>
      </c>
      <c r="AX120" s="81">
        <f t="shared" si="56"/>
        <v>312212.78445852525</v>
      </c>
      <c r="AY120" s="81">
        <f t="shared" si="56"/>
        <v>307802.65092476952</v>
      </c>
      <c r="AZ120" s="81">
        <f t="shared" si="56"/>
        <v>346181.07139702648</v>
      </c>
      <c r="BA120" s="81">
        <f t="shared" si="56"/>
        <v>342783.13925511565</v>
      </c>
      <c r="BB120" s="81">
        <f t="shared" si="56"/>
        <v>339487.14507746219</v>
      </c>
      <c r="BC120" s="81">
        <f t="shared" si="56"/>
        <v>376915.03072513838</v>
      </c>
      <c r="BD120" s="81">
        <f t="shared" si="56"/>
        <v>372595.07980338414</v>
      </c>
      <c r="BE120" s="81">
        <f t="shared" si="56"/>
        <v>368404.7274092827</v>
      </c>
      <c r="BF120" s="81">
        <f t="shared" si="56"/>
        <v>404965.0855870042</v>
      </c>
      <c r="BG120" s="81">
        <f t="shared" si="56"/>
        <v>399803.63301939401</v>
      </c>
      <c r="BH120" s="81">
        <f t="shared" si="56"/>
        <v>394797.02402881224</v>
      </c>
      <c r="BI120" s="81">
        <f t="shared" si="56"/>
        <v>389940.61330794788</v>
      </c>
      <c r="BJ120" s="81">
        <f t="shared" si="56"/>
        <v>385229.89490870945</v>
      </c>
    </row>
    <row r="121" spans="1:62">
      <c r="A121" s="118" t="s">
        <v>22</v>
      </c>
      <c r="C121" s="81">
        <f t="shared" ref="C121:AH121" si="57">C113*ARPU_Data</f>
        <v>152459.99999999997</v>
      </c>
      <c r="D121" s="81">
        <f t="shared" si="57"/>
        <v>155509.19999999998</v>
      </c>
      <c r="E121" s="81">
        <f t="shared" si="57"/>
        <v>158466.92399999997</v>
      </c>
      <c r="F121" s="81">
        <f t="shared" si="57"/>
        <v>161335.91627999998</v>
      </c>
      <c r="G121" s="81">
        <f t="shared" si="57"/>
        <v>164118.83879159999</v>
      </c>
      <c r="H121" s="81">
        <f t="shared" si="57"/>
        <v>166818.273627852</v>
      </c>
      <c r="I121" s="81">
        <f t="shared" si="57"/>
        <v>169436.72541901644</v>
      </c>
      <c r="J121" s="81">
        <f t="shared" si="57"/>
        <v>171976.62365644594</v>
      </c>
      <c r="K121" s="81">
        <f t="shared" si="57"/>
        <v>174440.32494675255</v>
      </c>
      <c r="L121" s="81">
        <f t="shared" si="57"/>
        <v>176830.11519834999</v>
      </c>
      <c r="M121" s="81">
        <f t="shared" si="57"/>
        <v>179148.21174239946</v>
      </c>
      <c r="N121" s="81">
        <f t="shared" si="57"/>
        <v>181396.76539012752</v>
      </c>
      <c r="O121" s="81">
        <f t="shared" si="57"/>
        <v>183577.86242842369</v>
      </c>
      <c r="P121" s="81">
        <f t="shared" si="57"/>
        <v>297382.02655557101</v>
      </c>
      <c r="Q121" s="81">
        <f t="shared" si="57"/>
        <v>292272.06575890386</v>
      </c>
      <c r="R121" s="81">
        <f t="shared" si="57"/>
        <v>287315.40378613677</v>
      </c>
      <c r="S121" s="81">
        <f t="shared" si="57"/>
        <v>398007.44167255267</v>
      </c>
      <c r="T121" s="81">
        <f t="shared" si="57"/>
        <v>389878.71842237603</v>
      </c>
      <c r="U121" s="81">
        <f t="shared" si="57"/>
        <v>381993.85686970479</v>
      </c>
      <c r="V121" s="81">
        <f t="shared" si="57"/>
        <v>489845.54116361361</v>
      </c>
      <c r="W121" s="81">
        <f t="shared" si="57"/>
        <v>478961.67492870521</v>
      </c>
      <c r="X121" s="81">
        <f t="shared" si="57"/>
        <v>468404.32468084397</v>
      </c>
      <c r="Y121" s="81">
        <f t="shared" si="57"/>
        <v>458163.6949404187</v>
      </c>
      <c r="Z121" s="81">
        <f t="shared" si="57"/>
        <v>448230.28409220616</v>
      </c>
      <c r="AA121" s="81">
        <f t="shared" si="57"/>
        <v>438594.8755694399</v>
      </c>
      <c r="AB121" s="81">
        <f t="shared" si="57"/>
        <v>549253.02930235676</v>
      </c>
      <c r="AC121" s="81">
        <f t="shared" si="57"/>
        <v>541091.43842328619</v>
      </c>
      <c r="AD121" s="81">
        <f t="shared" si="57"/>
        <v>533174.69527058746</v>
      </c>
      <c r="AE121" s="81">
        <f t="shared" si="57"/>
        <v>640995.45441246987</v>
      </c>
      <c r="AF121" s="81">
        <f t="shared" si="57"/>
        <v>630081.5907800959</v>
      </c>
      <c r="AG121" s="81">
        <f t="shared" si="57"/>
        <v>619495.1430566929</v>
      </c>
      <c r="AH121" s="81">
        <f t="shared" si="57"/>
        <v>724726.28876499226</v>
      </c>
      <c r="AI121" s="81">
        <f t="shared" ref="AI121:BJ121" si="58">AI113*ARPU_Data</f>
        <v>711300.50010204222</v>
      </c>
      <c r="AJ121" s="81">
        <f t="shared" si="58"/>
        <v>698277.48509898107</v>
      </c>
      <c r="AK121" s="81">
        <f t="shared" si="58"/>
        <v>685645.16054601176</v>
      </c>
      <c r="AL121" s="81">
        <f t="shared" si="58"/>
        <v>673391.80572963145</v>
      </c>
      <c r="AM121" s="81">
        <f t="shared" si="58"/>
        <v>661506.05155774252</v>
      </c>
      <c r="AN121" s="81">
        <f t="shared" si="58"/>
        <v>771251.87001101021</v>
      </c>
      <c r="AO121" s="81">
        <f t="shared" si="58"/>
        <v>762205.31391067989</v>
      </c>
      <c r="AP121" s="81">
        <f t="shared" si="58"/>
        <v>753430.15449335938</v>
      </c>
      <c r="AQ121" s="81">
        <f t="shared" si="58"/>
        <v>860418.24985855853</v>
      </c>
      <c r="AR121" s="81">
        <f t="shared" si="58"/>
        <v>848696.70236280188</v>
      </c>
      <c r="AS121" s="81">
        <f t="shared" si="58"/>
        <v>837326.80129191792</v>
      </c>
      <c r="AT121" s="81">
        <f t="shared" si="58"/>
        <v>941797.99725316046</v>
      </c>
      <c r="AU121" s="81">
        <f t="shared" si="58"/>
        <v>927635.05733556568</v>
      </c>
      <c r="AV121" s="81">
        <f t="shared" si="58"/>
        <v>913897.00561549852</v>
      </c>
      <c r="AW121" s="81">
        <f t="shared" si="58"/>
        <v>900571.09544703376</v>
      </c>
      <c r="AX121" s="81">
        <f t="shared" si="58"/>
        <v>887644.96258362255</v>
      </c>
      <c r="AY121" s="81">
        <f t="shared" si="58"/>
        <v>875106.613706114</v>
      </c>
      <c r="AZ121" s="81">
        <f t="shared" si="58"/>
        <v>984219.41529493057</v>
      </c>
      <c r="BA121" s="81">
        <f t="shared" si="58"/>
        <v>974558.83283608255</v>
      </c>
      <c r="BB121" s="81">
        <f t="shared" si="58"/>
        <v>965188.06785100012</v>
      </c>
      <c r="BC121" s="81">
        <f t="shared" si="58"/>
        <v>1071598.4258154701</v>
      </c>
      <c r="BD121" s="81">
        <f t="shared" si="58"/>
        <v>1059316.4730410059</v>
      </c>
      <c r="BE121" s="81">
        <f t="shared" si="58"/>
        <v>1047402.978849776</v>
      </c>
      <c r="BF121" s="81">
        <f t="shared" si="58"/>
        <v>1151346.8894842826</v>
      </c>
      <c r="BG121" s="81">
        <f t="shared" si="58"/>
        <v>1136672.482799754</v>
      </c>
      <c r="BH121" s="81">
        <f t="shared" si="58"/>
        <v>1122438.3083157616</v>
      </c>
      <c r="BI121" s="81">
        <f t="shared" si="58"/>
        <v>1108631.1590662885</v>
      </c>
      <c r="BJ121" s="81">
        <f t="shared" si="58"/>
        <v>1095238.2242943002</v>
      </c>
    </row>
    <row r="122" spans="1:62">
      <c r="A122" s="118" t="s">
        <v>117</v>
      </c>
      <c r="C122" s="81">
        <f t="shared" ref="C122:AH122" si="59">C114*ARPU_Voice_Data</f>
        <v>107250</v>
      </c>
      <c r="D122" s="81">
        <f t="shared" si="59"/>
        <v>109395</v>
      </c>
      <c r="E122" s="81">
        <f t="shared" si="59"/>
        <v>111475.65</v>
      </c>
      <c r="F122" s="81">
        <f t="shared" si="59"/>
        <v>113493.8805</v>
      </c>
      <c r="G122" s="81">
        <f t="shared" si="59"/>
        <v>115451.56408499999</v>
      </c>
      <c r="H122" s="81">
        <f t="shared" si="59"/>
        <v>117350.51716245001</v>
      </c>
      <c r="I122" s="81">
        <f t="shared" si="59"/>
        <v>119192.5016475765</v>
      </c>
      <c r="J122" s="81">
        <f t="shared" si="59"/>
        <v>120979.22659814922</v>
      </c>
      <c r="K122" s="81">
        <f t="shared" si="59"/>
        <v>122712.34980020471</v>
      </c>
      <c r="L122" s="81">
        <f t="shared" si="59"/>
        <v>124393.4793061986</v>
      </c>
      <c r="M122" s="81">
        <f t="shared" si="59"/>
        <v>126024.17492701263</v>
      </c>
      <c r="N122" s="81">
        <f t="shared" si="59"/>
        <v>127605.94967920227</v>
      </c>
      <c r="O122" s="81">
        <f t="shared" si="59"/>
        <v>129140.2711888262</v>
      </c>
      <c r="P122" s="81">
        <f t="shared" si="59"/>
        <v>209197.31305316146</v>
      </c>
      <c r="Q122" s="81">
        <f t="shared" si="59"/>
        <v>205602.64366156657</v>
      </c>
      <c r="R122" s="81">
        <f t="shared" si="59"/>
        <v>202115.8143517196</v>
      </c>
      <c r="S122" s="81">
        <f t="shared" si="59"/>
        <v>279983.58992116805</v>
      </c>
      <c r="T122" s="81">
        <f t="shared" si="59"/>
        <v>274265.33222353295</v>
      </c>
      <c r="U122" s="81">
        <f t="shared" si="59"/>
        <v>268718.62225682696</v>
      </c>
      <c r="V122" s="81">
        <f t="shared" si="59"/>
        <v>344588.31358912215</v>
      </c>
      <c r="W122" s="81">
        <f t="shared" si="59"/>
        <v>336931.91418144852</v>
      </c>
      <c r="X122" s="81">
        <f t="shared" si="59"/>
        <v>329505.20675600501</v>
      </c>
      <c r="Y122" s="81">
        <f t="shared" si="59"/>
        <v>322301.30055332487</v>
      </c>
      <c r="Z122" s="81">
        <f t="shared" si="59"/>
        <v>315313.5115367251</v>
      </c>
      <c r="AA122" s="81">
        <f t="shared" si="59"/>
        <v>308535.35619062331</v>
      </c>
      <c r="AB122" s="81">
        <f t="shared" si="59"/>
        <v>386379.29550490464</v>
      </c>
      <c r="AC122" s="81">
        <f t="shared" si="59"/>
        <v>380637.91663975758</v>
      </c>
      <c r="AD122" s="81">
        <f t="shared" si="59"/>
        <v>375068.77914056479</v>
      </c>
      <c r="AE122" s="81">
        <f t="shared" si="59"/>
        <v>450916.71576634789</v>
      </c>
      <c r="AF122" s="81">
        <f t="shared" si="59"/>
        <v>443239.21429335751</v>
      </c>
      <c r="AG122" s="81">
        <f t="shared" si="59"/>
        <v>435792.03786455671</v>
      </c>
      <c r="AH122" s="81">
        <f t="shared" si="59"/>
        <v>509818.27672862011</v>
      </c>
      <c r="AI122" s="81">
        <f t="shared" ref="AI122:BJ122" si="60">AI114*ARPU_Voice_Data</f>
        <v>500373.7284267614</v>
      </c>
      <c r="AJ122" s="81">
        <f t="shared" si="60"/>
        <v>491212.51657395868</v>
      </c>
      <c r="AK122" s="81">
        <f t="shared" si="60"/>
        <v>482326.14107673988</v>
      </c>
      <c r="AL122" s="81">
        <f t="shared" si="60"/>
        <v>473706.35684443766</v>
      </c>
      <c r="AM122" s="81">
        <f t="shared" si="60"/>
        <v>465345.16613910452</v>
      </c>
      <c r="AN122" s="81">
        <f t="shared" si="60"/>
        <v>542547.31115493143</v>
      </c>
      <c r="AO122" s="81">
        <f t="shared" si="60"/>
        <v>536183.39182028349</v>
      </c>
      <c r="AP122" s="81">
        <f t="shared" si="60"/>
        <v>530010.39006567502</v>
      </c>
      <c r="AQ122" s="81">
        <f t="shared" si="60"/>
        <v>605272.57836370473</v>
      </c>
      <c r="AR122" s="81">
        <f t="shared" si="60"/>
        <v>597026.90101279365</v>
      </c>
      <c r="AS122" s="81">
        <f t="shared" si="60"/>
        <v>589028.59398240992</v>
      </c>
      <c r="AT122" s="81">
        <f t="shared" si="60"/>
        <v>662520.2361629376</v>
      </c>
      <c r="AU122" s="81">
        <f t="shared" si="60"/>
        <v>652557.12907804956</v>
      </c>
      <c r="AV122" s="81">
        <f t="shared" si="60"/>
        <v>642892.91520570801</v>
      </c>
      <c r="AW122" s="81">
        <f t="shared" si="60"/>
        <v>633518.62774953665</v>
      </c>
      <c r="AX122" s="81">
        <f t="shared" si="60"/>
        <v>624425.56891705049</v>
      </c>
      <c r="AY122" s="81">
        <f t="shared" si="60"/>
        <v>615605.30184953904</v>
      </c>
      <c r="AZ122" s="81">
        <f t="shared" si="60"/>
        <v>692362.14279405295</v>
      </c>
      <c r="BA122" s="81">
        <f t="shared" si="60"/>
        <v>685566.27851023129</v>
      </c>
      <c r="BB122" s="81">
        <f t="shared" si="60"/>
        <v>678974.29015492438</v>
      </c>
      <c r="BC122" s="81">
        <f t="shared" si="60"/>
        <v>753830.06145027664</v>
      </c>
      <c r="BD122" s="81">
        <f t="shared" si="60"/>
        <v>745190.1596067684</v>
      </c>
      <c r="BE122" s="81">
        <f t="shared" si="60"/>
        <v>736809.4548185654</v>
      </c>
      <c r="BF122" s="81">
        <f t="shared" si="60"/>
        <v>809930.1711740084</v>
      </c>
      <c r="BG122" s="81">
        <f t="shared" si="60"/>
        <v>799607.26603878813</v>
      </c>
      <c r="BH122" s="81">
        <f t="shared" si="60"/>
        <v>789594.04805762437</v>
      </c>
      <c r="BI122" s="81">
        <f t="shared" si="60"/>
        <v>779881.22661589575</v>
      </c>
      <c r="BJ122" s="81">
        <f t="shared" si="60"/>
        <v>770459.78981741902</v>
      </c>
    </row>
    <row r="123" spans="1:62">
      <c r="A123" s="118" t="s">
        <v>66</v>
      </c>
      <c r="C123" s="99">
        <f>SUM(C119:C122)</f>
        <v>472835</v>
      </c>
      <c r="D123" s="99">
        <f t="shared" ref="D123:BJ123" si="61">SUM(D119:D122)</f>
        <v>482291.69999999995</v>
      </c>
      <c r="E123" s="99">
        <f t="shared" si="61"/>
        <v>491464.69900000002</v>
      </c>
      <c r="F123" s="99">
        <f t="shared" si="61"/>
        <v>500362.50802999991</v>
      </c>
      <c r="G123" s="99">
        <f t="shared" si="61"/>
        <v>508993.38278909994</v>
      </c>
      <c r="H123" s="99">
        <f t="shared" si="61"/>
        <v>517365.33130542701</v>
      </c>
      <c r="I123" s="99">
        <f t="shared" si="61"/>
        <v>525486.12136626418</v>
      </c>
      <c r="J123" s="99">
        <f t="shared" si="61"/>
        <v>533363.28772527631</v>
      </c>
      <c r="K123" s="99">
        <f t="shared" si="61"/>
        <v>541004.13909351791</v>
      </c>
      <c r="L123" s="99">
        <f t="shared" si="61"/>
        <v>548415.76492071245</v>
      </c>
      <c r="M123" s="99">
        <f t="shared" si="61"/>
        <v>555605.04197309108</v>
      </c>
      <c r="N123" s="99">
        <f t="shared" si="61"/>
        <v>562578.64071389835</v>
      </c>
      <c r="O123" s="99">
        <f t="shared" si="61"/>
        <v>569343.03149248147</v>
      </c>
      <c r="P123" s="99">
        <f t="shared" si="61"/>
        <v>922291.94888104044</v>
      </c>
      <c r="Q123" s="99">
        <f t="shared" si="61"/>
        <v>906444.06541460915</v>
      </c>
      <c r="R123" s="99">
        <f t="shared" si="61"/>
        <v>891071.61845217086</v>
      </c>
      <c r="S123" s="99">
        <f t="shared" si="61"/>
        <v>1234368.6782319392</v>
      </c>
      <c r="T123" s="99">
        <f t="shared" si="61"/>
        <v>1209158.492884981</v>
      </c>
      <c r="U123" s="99">
        <f t="shared" si="61"/>
        <v>1184704.6130984314</v>
      </c>
      <c r="V123" s="99">
        <f t="shared" si="61"/>
        <v>1519192.6830388119</v>
      </c>
      <c r="W123" s="99">
        <f t="shared" si="61"/>
        <v>1485437.7775476475</v>
      </c>
      <c r="X123" s="99">
        <f t="shared" si="61"/>
        <v>1452695.5192212178</v>
      </c>
      <c r="Y123" s="99">
        <f t="shared" si="61"/>
        <v>1420935.5286445816</v>
      </c>
      <c r="Z123" s="99">
        <f t="shared" si="61"/>
        <v>1390128.337785244</v>
      </c>
      <c r="AA123" s="99">
        <f t="shared" si="61"/>
        <v>1360245.3626516864</v>
      </c>
      <c r="AB123" s="99">
        <f t="shared" si="61"/>
        <v>1703437.3351054692</v>
      </c>
      <c r="AC123" s="99">
        <f t="shared" si="61"/>
        <v>1678125.2150523055</v>
      </c>
      <c r="AD123" s="99">
        <f t="shared" si="61"/>
        <v>1653572.4586007362</v>
      </c>
      <c r="AE123" s="99">
        <f t="shared" si="61"/>
        <v>1987964.6181760477</v>
      </c>
      <c r="AF123" s="99">
        <f t="shared" si="61"/>
        <v>1954116.6796307662</v>
      </c>
      <c r="AG123" s="99">
        <f t="shared" si="61"/>
        <v>1921284.1792418433</v>
      </c>
      <c r="AH123" s="99">
        <f t="shared" si="61"/>
        <v>2247644.9871979216</v>
      </c>
      <c r="AI123" s="99">
        <f t="shared" si="61"/>
        <v>2206006.6375819836</v>
      </c>
      <c r="AJ123" s="99">
        <f t="shared" si="61"/>
        <v>2165617.4384545241</v>
      </c>
      <c r="AK123" s="99">
        <f t="shared" si="61"/>
        <v>2126439.9153008885</v>
      </c>
      <c r="AL123" s="99">
        <f t="shared" si="61"/>
        <v>2088437.7178418622</v>
      </c>
      <c r="AM123" s="99">
        <f t="shared" si="61"/>
        <v>2051575.586306606</v>
      </c>
      <c r="AN123" s="99">
        <f t="shared" si="61"/>
        <v>2391938.068717408</v>
      </c>
      <c r="AO123" s="99">
        <f t="shared" si="61"/>
        <v>2363881.3433225523</v>
      </c>
      <c r="AP123" s="99">
        <f t="shared" si="61"/>
        <v>2336666.3196895425</v>
      </c>
      <c r="AQ123" s="99">
        <f t="shared" si="61"/>
        <v>2668476.0800988562</v>
      </c>
      <c r="AR123" s="99">
        <f t="shared" si="61"/>
        <v>2632123.214362557</v>
      </c>
      <c r="AS123" s="99">
        <f t="shared" si="61"/>
        <v>2596860.9345983472</v>
      </c>
      <c r="AT123" s="99">
        <f t="shared" si="61"/>
        <v>2920864.856560397</v>
      </c>
      <c r="AU123" s="99">
        <f t="shared" si="61"/>
        <v>2876940.3275302523</v>
      </c>
      <c r="AV123" s="99">
        <f t="shared" si="61"/>
        <v>2834333.534371011</v>
      </c>
      <c r="AW123" s="99">
        <f t="shared" si="61"/>
        <v>2793004.945006547</v>
      </c>
      <c r="AX123" s="99">
        <f t="shared" si="61"/>
        <v>2752916.2133230171</v>
      </c>
      <c r="AY123" s="99">
        <f t="shared" si="61"/>
        <v>2714030.1435899935</v>
      </c>
      <c r="AZ123" s="99">
        <f t="shared" si="61"/>
        <v>3052429.4059489607</v>
      </c>
      <c r="BA123" s="99">
        <f t="shared" si="61"/>
        <v>3022468.3571038246</v>
      </c>
      <c r="BB123" s="99">
        <f t="shared" si="61"/>
        <v>2993406.1397240432</v>
      </c>
      <c r="BC123" s="99">
        <f t="shared" si="61"/>
        <v>3323424.1221989887</v>
      </c>
      <c r="BD123" s="99">
        <f t="shared" si="61"/>
        <v>3285333.2318663523</v>
      </c>
      <c r="BE123" s="99">
        <f t="shared" si="61"/>
        <v>3248385.0682436959</v>
      </c>
      <c r="BF123" s="99">
        <f t="shared" si="61"/>
        <v>3570753.6828630511</v>
      </c>
      <c r="BG123" s="99">
        <f t="shared" si="61"/>
        <v>3525242.9057104927</v>
      </c>
      <c r="BH123" s="99">
        <f t="shared" si="61"/>
        <v>3481097.4518725118</v>
      </c>
      <c r="BI123" s="99">
        <f t="shared" si="61"/>
        <v>3438276.3616496688</v>
      </c>
      <c r="BJ123" s="99">
        <f t="shared" si="61"/>
        <v>3396739.9041335131</v>
      </c>
    </row>
    <row r="124" spans="1:62">
      <c r="A124" s="118"/>
      <c r="C124" s="99"/>
    </row>
    <row r="125" spans="1:62">
      <c r="A125" s="102" t="s">
        <v>123</v>
      </c>
      <c r="C125" s="99"/>
    </row>
    <row r="126" spans="1:62">
      <c r="A126" s="118" t="s">
        <v>19</v>
      </c>
      <c r="C126" s="81">
        <f t="shared" ref="C126:AH126" si="62">C115*Minutes_Roaming*Rev_Minute_Roaming</f>
        <v>4.82625E-9</v>
      </c>
      <c r="D126" s="81">
        <f t="shared" si="62"/>
        <v>4.9227749999999991E-9</v>
      </c>
      <c r="E126" s="81">
        <f t="shared" si="62"/>
        <v>5.016404249999999E-9</v>
      </c>
      <c r="F126" s="81">
        <f t="shared" si="62"/>
        <v>5.1072246224999995E-9</v>
      </c>
      <c r="G126" s="81">
        <f t="shared" si="62"/>
        <v>5.1953203838249992E-9</v>
      </c>
      <c r="H126" s="81">
        <f t="shared" si="62"/>
        <v>5.2807732723102497E-9</v>
      </c>
      <c r="I126" s="81">
        <f t="shared" si="62"/>
        <v>5.363662574140942E-9</v>
      </c>
      <c r="J126" s="81">
        <f t="shared" si="62"/>
        <v>5.444065196916714E-9</v>
      </c>
      <c r="K126" s="81">
        <f t="shared" si="62"/>
        <v>5.5220557410092119E-9</v>
      </c>
      <c r="L126" s="81">
        <f t="shared" si="62"/>
        <v>5.5977065687789362E-9</v>
      </c>
      <c r="M126" s="81">
        <f t="shared" si="62"/>
        <v>5.6710878717155671E-9</v>
      </c>
      <c r="N126" s="81">
        <f t="shared" si="62"/>
        <v>5.7422677355641014E-9</v>
      </c>
      <c r="O126" s="81">
        <f t="shared" si="62"/>
        <v>5.8113122034971792E-9</v>
      </c>
      <c r="P126" s="81">
        <f t="shared" si="62"/>
        <v>9.4138790873922656E-9</v>
      </c>
      <c r="Q126" s="81">
        <f t="shared" si="62"/>
        <v>9.2521189647704958E-9</v>
      </c>
      <c r="R126" s="81">
        <f t="shared" si="62"/>
        <v>9.0952116458273802E-9</v>
      </c>
      <c r="S126" s="81">
        <f t="shared" si="62"/>
        <v>1.2599261546452562E-8</v>
      </c>
      <c r="T126" s="81">
        <f t="shared" si="62"/>
        <v>1.2341939950058982E-8</v>
      </c>
      <c r="U126" s="81">
        <f t="shared" si="62"/>
        <v>1.2092338001557214E-8</v>
      </c>
      <c r="V126" s="81">
        <f t="shared" si="62"/>
        <v>1.5506474111510493E-8</v>
      </c>
      <c r="W126" s="81">
        <f t="shared" si="62"/>
        <v>1.5161936138165182E-8</v>
      </c>
      <c r="X126" s="81">
        <f t="shared" si="62"/>
        <v>1.4827734304020224E-8</v>
      </c>
      <c r="Y126" s="81">
        <f t="shared" si="62"/>
        <v>1.4503558524899617E-8</v>
      </c>
      <c r="Z126" s="81">
        <f t="shared" si="62"/>
        <v>1.4189108019152629E-8</v>
      </c>
      <c r="AA126" s="81">
        <f t="shared" si="62"/>
        <v>1.3884091028578046E-8</v>
      </c>
      <c r="AB126" s="81">
        <f t="shared" si="62"/>
        <v>1.7387068297720709E-8</v>
      </c>
      <c r="AC126" s="81">
        <f t="shared" si="62"/>
        <v>1.7128706248789091E-8</v>
      </c>
      <c r="AD126" s="81">
        <f t="shared" si="62"/>
        <v>1.6878095061325415E-8</v>
      </c>
      <c r="AE126" s="81">
        <f t="shared" si="62"/>
        <v>2.0291252209485651E-8</v>
      </c>
      <c r="AF126" s="81">
        <f t="shared" si="62"/>
        <v>1.9945764643201086E-8</v>
      </c>
      <c r="AG126" s="81">
        <f t="shared" si="62"/>
        <v>1.961064170390505E-8</v>
      </c>
      <c r="AH126" s="81">
        <f t="shared" si="62"/>
        <v>2.2941822452787901E-8</v>
      </c>
      <c r="AI126" s="81">
        <f t="shared" ref="AI126:BJ126" si="63">AI115*Minutes_Roaming*Rev_Minute_Roaming</f>
        <v>2.251681777920426E-8</v>
      </c>
      <c r="AJ126" s="81">
        <f t="shared" si="63"/>
        <v>2.210456324582814E-8</v>
      </c>
      <c r="AK126" s="81">
        <f t="shared" si="63"/>
        <v>2.1704676348453291E-8</v>
      </c>
      <c r="AL126" s="81">
        <f t="shared" si="63"/>
        <v>2.1316786057999694E-8</v>
      </c>
      <c r="AM126" s="81">
        <f t="shared" si="63"/>
        <v>2.0940532476259702E-8</v>
      </c>
      <c r="AN126" s="81">
        <f t="shared" si="63"/>
        <v>2.4414629001971911E-8</v>
      </c>
      <c r="AO126" s="81">
        <f t="shared" si="63"/>
        <v>2.4128252631912758E-8</v>
      </c>
      <c r="AP126" s="81">
        <f t="shared" si="63"/>
        <v>2.3850467552955369E-8</v>
      </c>
      <c r="AQ126" s="81">
        <f t="shared" si="63"/>
        <v>2.7237266026366709E-8</v>
      </c>
      <c r="AR126" s="81">
        <f t="shared" si="63"/>
        <v>2.6866210545575709E-8</v>
      </c>
      <c r="AS126" s="81">
        <f t="shared" si="63"/>
        <v>2.6506286729208442E-8</v>
      </c>
      <c r="AT126" s="81">
        <f t="shared" si="63"/>
        <v>2.9813410627332184E-8</v>
      </c>
      <c r="AU126" s="81">
        <f t="shared" si="63"/>
        <v>2.9365070808512226E-8</v>
      </c>
      <c r="AV126" s="81">
        <f t="shared" si="63"/>
        <v>2.8930181184256854E-8</v>
      </c>
      <c r="AW126" s="81">
        <f t="shared" si="63"/>
        <v>2.8508338248729152E-8</v>
      </c>
      <c r="AX126" s="81">
        <f t="shared" si="63"/>
        <v>2.8099150601267274E-8</v>
      </c>
      <c r="AY126" s="81">
        <f t="shared" si="63"/>
        <v>2.7702238583229253E-8</v>
      </c>
      <c r="AZ126" s="81">
        <f t="shared" si="63"/>
        <v>3.1156296425732384E-8</v>
      </c>
      <c r="BA126" s="81">
        <f t="shared" si="63"/>
        <v>3.0850482532960406E-8</v>
      </c>
      <c r="BB126" s="81">
        <f t="shared" si="63"/>
        <v>3.0553843056971598E-8</v>
      </c>
      <c r="BC126" s="81">
        <f t="shared" si="63"/>
        <v>3.3922352765262442E-8</v>
      </c>
      <c r="BD126" s="81">
        <f t="shared" si="63"/>
        <v>3.3533557182304574E-8</v>
      </c>
      <c r="BE126" s="81">
        <f t="shared" si="63"/>
        <v>3.3156425466835442E-8</v>
      </c>
      <c r="BF126" s="81">
        <f t="shared" si="63"/>
        <v>3.6446857702830372E-8</v>
      </c>
      <c r="BG126" s="81">
        <f t="shared" si="63"/>
        <v>3.5982326971745462E-8</v>
      </c>
      <c r="BH126" s="81">
        <f t="shared" si="63"/>
        <v>3.5531732162593094E-8</v>
      </c>
      <c r="BI126" s="81">
        <f t="shared" si="63"/>
        <v>3.5094655197715301E-8</v>
      </c>
      <c r="BJ126" s="81">
        <f t="shared" si="63"/>
        <v>3.467069054178386E-8</v>
      </c>
    </row>
    <row r="127" spans="1:62">
      <c r="A127" s="118" t="s">
        <v>15</v>
      </c>
      <c r="C127" s="81">
        <f t="shared" ref="C127:AH127" si="64">C115*Minutes_International_Minutes*Rev_Minutes_International_Calls</f>
        <v>19305</v>
      </c>
      <c r="D127" s="81">
        <f t="shared" si="64"/>
        <v>19691.100000000002</v>
      </c>
      <c r="E127" s="81">
        <f t="shared" si="64"/>
        <v>20065.616999999998</v>
      </c>
      <c r="F127" s="81">
        <f t="shared" si="64"/>
        <v>20428.89849</v>
      </c>
      <c r="G127" s="81">
        <f t="shared" si="64"/>
        <v>20781.281535299997</v>
      </c>
      <c r="H127" s="81">
        <f t="shared" si="64"/>
        <v>21123.093089241</v>
      </c>
      <c r="I127" s="81">
        <f t="shared" si="64"/>
        <v>21454.650296563774</v>
      </c>
      <c r="J127" s="81">
        <f t="shared" si="64"/>
        <v>21776.260787666863</v>
      </c>
      <c r="K127" s="81">
        <f t="shared" si="64"/>
        <v>22088.22296403685</v>
      </c>
      <c r="L127" s="81">
        <f t="shared" si="64"/>
        <v>22390.826275115745</v>
      </c>
      <c r="M127" s="81">
        <f t="shared" si="64"/>
        <v>22684.351486862273</v>
      </c>
      <c r="N127" s="81">
        <f t="shared" si="64"/>
        <v>22969.07094225641</v>
      </c>
      <c r="O127" s="81">
        <f t="shared" si="64"/>
        <v>23245.248813988717</v>
      </c>
      <c r="P127" s="81">
        <f t="shared" si="64"/>
        <v>37655.516349569072</v>
      </c>
      <c r="Q127" s="81">
        <f t="shared" si="64"/>
        <v>37008.475859081984</v>
      </c>
      <c r="R127" s="81">
        <f t="shared" si="64"/>
        <v>36380.846583309525</v>
      </c>
      <c r="S127" s="81">
        <f t="shared" si="64"/>
        <v>50397.04618581025</v>
      </c>
      <c r="T127" s="81">
        <f t="shared" si="64"/>
        <v>49367.75980023593</v>
      </c>
      <c r="U127" s="81">
        <f t="shared" si="64"/>
        <v>48369.352006228866</v>
      </c>
      <c r="V127" s="81">
        <f t="shared" si="64"/>
        <v>62025.896446041988</v>
      </c>
      <c r="W127" s="81">
        <f t="shared" si="64"/>
        <v>60647.744552660726</v>
      </c>
      <c r="X127" s="81">
        <f t="shared" si="64"/>
        <v>59310.9372160809</v>
      </c>
      <c r="Y127" s="81">
        <f t="shared" si="64"/>
        <v>58014.234099598478</v>
      </c>
      <c r="Z127" s="81">
        <f t="shared" si="64"/>
        <v>56756.432076610523</v>
      </c>
      <c r="AA127" s="81">
        <f t="shared" si="64"/>
        <v>55536.3641143122</v>
      </c>
      <c r="AB127" s="81">
        <f t="shared" si="64"/>
        <v>69548.273190882857</v>
      </c>
      <c r="AC127" s="81">
        <f t="shared" si="64"/>
        <v>68514.824995156363</v>
      </c>
      <c r="AD127" s="81">
        <f t="shared" si="64"/>
        <v>67512.380245301669</v>
      </c>
      <c r="AE127" s="81">
        <f t="shared" si="64"/>
        <v>81165.008837942616</v>
      </c>
      <c r="AF127" s="81">
        <f t="shared" si="64"/>
        <v>79783.058572804352</v>
      </c>
      <c r="AG127" s="81">
        <f t="shared" si="64"/>
        <v>78442.566815620201</v>
      </c>
      <c r="AH127" s="81">
        <f t="shared" si="64"/>
        <v>91767.289811151626</v>
      </c>
      <c r="AI127" s="81">
        <f t="shared" ref="AI127:BJ127" si="65">AI115*Minutes_International_Minutes*Rev_Minutes_International_Calls</f>
        <v>90067.27111681705</v>
      </c>
      <c r="AJ127" s="81">
        <f t="shared" si="65"/>
        <v>88418.252983312574</v>
      </c>
      <c r="AK127" s="81">
        <f t="shared" si="65"/>
        <v>86818.705393813187</v>
      </c>
      <c r="AL127" s="81">
        <f t="shared" si="65"/>
        <v>85267.144231998784</v>
      </c>
      <c r="AM127" s="81">
        <f t="shared" si="65"/>
        <v>83762.129905038819</v>
      </c>
      <c r="AN127" s="81">
        <f t="shared" si="65"/>
        <v>97658.516007887665</v>
      </c>
      <c r="AO127" s="81">
        <f t="shared" si="65"/>
        <v>96513.010527651044</v>
      </c>
      <c r="AP127" s="81">
        <f t="shared" si="65"/>
        <v>95401.870211821501</v>
      </c>
      <c r="AQ127" s="81">
        <f t="shared" si="65"/>
        <v>108949.06410546685</v>
      </c>
      <c r="AR127" s="81">
        <f t="shared" si="65"/>
        <v>107464.84218230285</v>
      </c>
      <c r="AS127" s="81">
        <f t="shared" si="65"/>
        <v>106025.14691683378</v>
      </c>
      <c r="AT127" s="81">
        <f t="shared" si="65"/>
        <v>119253.64250932877</v>
      </c>
      <c r="AU127" s="81">
        <f t="shared" si="65"/>
        <v>117460.28323404893</v>
      </c>
      <c r="AV127" s="81">
        <f t="shared" si="65"/>
        <v>115720.72473702743</v>
      </c>
      <c r="AW127" s="81">
        <f t="shared" si="65"/>
        <v>114033.35299491661</v>
      </c>
      <c r="AX127" s="81">
        <f t="shared" si="65"/>
        <v>112396.60240506912</v>
      </c>
      <c r="AY127" s="81">
        <f t="shared" si="65"/>
        <v>110808.95433291703</v>
      </c>
      <c r="AZ127" s="81">
        <f t="shared" si="65"/>
        <v>124625.18570292954</v>
      </c>
      <c r="BA127" s="81">
        <f t="shared" si="65"/>
        <v>123401.93013184164</v>
      </c>
      <c r="BB127" s="81">
        <f t="shared" si="65"/>
        <v>122215.37222788642</v>
      </c>
      <c r="BC127" s="81">
        <f t="shared" si="65"/>
        <v>135689.41106104979</v>
      </c>
      <c r="BD127" s="81">
        <f t="shared" si="65"/>
        <v>134134.2287292183</v>
      </c>
      <c r="BE127" s="81">
        <f t="shared" si="65"/>
        <v>132625.70186734176</v>
      </c>
      <c r="BF127" s="81">
        <f t="shared" si="65"/>
        <v>145787.43081132151</v>
      </c>
      <c r="BG127" s="81">
        <f t="shared" si="65"/>
        <v>143929.30788698187</v>
      </c>
      <c r="BH127" s="81">
        <f t="shared" si="65"/>
        <v>142126.9286503724</v>
      </c>
      <c r="BI127" s="81">
        <f t="shared" si="65"/>
        <v>140378.62079086123</v>
      </c>
      <c r="BJ127" s="81">
        <f t="shared" si="65"/>
        <v>138682.76216713546</v>
      </c>
    </row>
    <row r="128" spans="1:62">
      <c r="A128" s="118" t="s">
        <v>134</v>
      </c>
      <c r="C128" s="81">
        <f t="shared" ref="C128:N128" si="66">C115*Termination_Minutes_Subscriber*Termination_Revenue_Minute</f>
        <v>482.625</v>
      </c>
      <c r="D128" s="81">
        <f t="shared" si="66"/>
        <v>492.27750000000003</v>
      </c>
      <c r="E128" s="81">
        <f t="shared" si="66"/>
        <v>501.64042499999999</v>
      </c>
      <c r="F128" s="81">
        <f t="shared" si="66"/>
        <v>510.72246224999998</v>
      </c>
      <c r="G128" s="81">
        <f t="shared" si="66"/>
        <v>519.53203838249988</v>
      </c>
      <c r="H128" s="81">
        <f t="shared" si="66"/>
        <v>528.07732723102504</v>
      </c>
      <c r="I128" s="81">
        <f t="shared" si="66"/>
        <v>536.36625741409432</v>
      </c>
      <c r="J128" s="81">
        <f t="shared" si="66"/>
        <v>544.40651969167152</v>
      </c>
      <c r="K128" s="81">
        <f t="shared" si="66"/>
        <v>552.20557410092124</v>
      </c>
      <c r="L128" s="81">
        <f t="shared" si="66"/>
        <v>559.77065687789366</v>
      </c>
      <c r="M128" s="81">
        <f t="shared" si="66"/>
        <v>567.10878717155686</v>
      </c>
      <c r="N128" s="81">
        <f t="shared" si="66"/>
        <v>574.22677355641019</v>
      </c>
      <c r="O128" s="81">
        <f t="shared" ref="O128:Z128" si="67">O115*Termination_Minutes_Subscriber*Termination_Revenue_Minute*(1+Increase_per_Year)</f>
        <v>697.3574644196616</v>
      </c>
      <c r="P128" s="81">
        <f t="shared" si="67"/>
        <v>1129.665490487072</v>
      </c>
      <c r="Q128" s="81">
        <f t="shared" si="67"/>
        <v>1110.2542757724596</v>
      </c>
      <c r="R128" s="81">
        <f t="shared" si="67"/>
        <v>1091.4253974992857</v>
      </c>
      <c r="S128" s="81">
        <f t="shared" si="67"/>
        <v>1511.9113855743074</v>
      </c>
      <c r="T128" s="81">
        <f t="shared" si="67"/>
        <v>1481.0327940070777</v>
      </c>
      <c r="U128" s="81">
        <f t="shared" si="67"/>
        <v>1451.0805601868658</v>
      </c>
      <c r="V128" s="81">
        <f t="shared" si="67"/>
        <v>1860.7768933812595</v>
      </c>
      <c r="W128" s="81">
        <f t="shared" si="67"/>
        <v>1819.4323365798216</v>
      </c>
      <c r="X128" s="81">
        <f t="shared" si="67"/>
        <v>1779.328116482427</v>
      </c>
      <c r="Y128" s="81">
        <f t="shared" si="67"/>
        <v>1740.4270229879542</v>
      </c>
      <c r="Z128" s="81">
        <f t="shared" si="67"/>
        <v>1702.6929622983155</v>
      </c>
      <c r="AA128" s="81">
        <f t="shared" ref="AA128:AL128" si="68">AA115*Termination_Minutes_Subscriber*Termination_Revenue_Minute*(1+Increase_per_Year)^2</f>
        <v>1999.309108115239</v>
      </c>
      <c r="AB128" s="81">
        <f t="shared" si="68"/>
        <v>2503.7378348717825</v>
      </c>
      <c r="AC128" s="81">
        <f t="shared" si="68"/>
        <v>2466.5336998256294</v>
      </c>
      <c r="AD128" s="81">
        <f t="shared" si="68"/>
        <v>2430.44568883086</v>
      </c>
      <c r="AE128" s="81">
        <f t="shared" si="68"/>
        <v>2921.9403181659341</v>
      </c>
      <c r="AF128" s="81">
        <f t="shared" si="68"/>
        <v>2872.1901086209564</v>
      </c>
      <c r="AG128" s="81">
        <f t="shared" si="68"/>
        <v>2823.9324053623268</v>
      </c>
      <c r="AH128" s="81">
        <f t="shared" si="68"/>
        <v>3303.6224332014581</v>
      </c>
      <c r="AI128" s="81">
        <f t="shared" si="68"/>
        <v>3242.4217602054136</v>
      </c>
      <c r="AJ128" s="81">
        <f t="shared" si="68"/>
        <v>3183.0571073992519</v>
      </c>
      <c r="AK128" s="81">
        <f t="shared" si="68"/>
        <v>3125.4733941772743</v>
      </c>
      <c r="AL128" s="81">
        <f t="shared" si="68"/>
        <v>3069.6171923519564</v>
      </c>
      <c r="AM128" s="81">
        <f t="shared" ref="AM128:AX128" si="69">AM115*Termination_Minutes_Subscriber*Termination_Revenue_Minute*(1+Increase_per_Year)^3</f>
        <v>3618.5240118976772</v>
      </c>
      <c r="AN128" s="81">
        <f t="shared" si="69"/>
        <v>4218.8478915407459</v>
      </c>
      <c r="AO128" s="81">
        <f t="shared" si="69"/>
        <v>4169.3620547945247</v>
      </c>
      <c r="AP128" s="81">
        <f t="shared" si="69"/>
        <v>4121.3607931506886</v>
      </c>
      <c r="AQ128" s="81">
        <f t="shared" si="69"/>
        <v>4706.5995693561672</v>
      </c>
      <c r="AR128" s="81">
        <f t="shared" si="69"/>
        <v>4642.4811822754837</v>
      </c>
      <c r="AS128" s="81">
        <f t="shared" si="69"/>
        <v>4580.2863468072192</v>
      </c>
      <c r="AT128" s="81">
        <f t="shared" si="69"/>
        <v>5151.7573564030026</v>
      </c>
      <c r="AU128" s="81">
        <f t="shared" si="69"/>
        <v>5074.284235710913</v>
      </c>
      <c r="AV128" s="81">
        <f t="shared" si="69"/>
        <v>4999.1353086395848</v>
      </c>
      <c r="AW128" s="81">
        <f t="shared" si="69"/>
        <v>4926.2408493803978</v>
      </c>
      <c r="AX128" s="81">
        <f t="shared" si="69"/>
        <v>4855.5332238989859</v>
      </c>
      <c r="AY128" s="81">
        <f t="shared" ref="AY128:BJ128" si="70">AY115*Termination_Minutes_Subscriber*Termination_Revenue_Minute*(1+Increase_per_Year)^4</f>
        <v>5744.336192618418</v>
      </c>
      <c r="AZ128" s="81">
        <f t="shared" si="70"/>
        <v>6460.5696268398669</v>
      </c>
      <c r="BA128" s="81">
        <f t="shared" si="70"/>
        <v>6397.1560580346704</v>
      </c>
      <c r="BB128" s="81">
        <f t="shared" si="70"/>
        <v>6335.644896293632</v>
      </c>
      <c r="BC128" s="81">
        <f t="shared" si="70"/>
        <v>7034.1390694048214</v>
      </c>
      <c r="BD128" s="81">
        <f t="shared" si="70"/>
        <v>6953.5184173226762</v>
      </c>
      <c r="BE128" s="81">
        <f t="shared" si="70"/>
        <v>6875.3163848029963</v>
      </c>
      <c r="BF128" s="81">
        <f t="shared" si="70"/>
        <v>7557.6204132589064</v>
      </c>
      <c r="BG128" s="81">
        <f t="shared" si="70"/>
        <v>7461.2953208611398</v>
      </c>
      <c r="BH128" s="81">
        <f t="shared" si="70"/>
        <v>7367.859981235305</v>
      </c>
      <c r="BI128" s="81">
        <f t="shared" si="70"/>
        <v>7277.2277017982451</v>
      </c>
      <c r="BJ128" s="81">
        <f t="shared" si="70"/>
        <v>7189.3143907443009</v>
      </c>
    </row>
    <row r="129" spans="1:62">
      <c r="A129" s="118" t="s">
        <v>66</v>
      </c>
      <c r="C129" s="81">
        <f>SUM(C126:C128)</f>
        <v>19787.625000004828</v>
      </c>
      <c r="D129" s="81">
        <f t="shared" ref="D129:BJ129" si="71">SUM(D126:D128)</f>
        <v>20183.377500004925</v>
      </c>
      <c r="E129" s="81">
        <f t="shared" si="71"/>
        <v>20567.257425005017</v>
      </c>
      <c r="F129" s="81">
        <f t="shared" si="71"/>
        <v>20939.620952255107</v>
      </c>
      <c r="G129" s="81">
        <f t="shared" si="71"/>
        <v>21300.81357368769</v>
      </c>
      <c r="H129" s="81">
        <f t="shared" si="71"/>
        <v>21651.170416477307</v>
      </c>
      <c r="I129" s="81">
        <f t="shared" si="71"/>
        <v>21991.016553983231</v>
      </c>
      <c r="J129" s="81">
        <f t="shared" si="71"/>
        <v>22320.667307363976</v>
      </c>
      <c r="K129" s="81">
        <f t="shared" si="71"/>
        <v>22640.428538143293</v>
      </c>
      <c r="L129" s="81">
        <f t="shared" si="71"/>
        <v>22950.596931999236</v>
      </c>
      <c r="M129" s="81">
        <f t="shared" si="71"/>
        <v>23251.460274039502</v>
      </c>
      <c r="N129" s="81">
        <f t="shared" si="71"/>
        <v>23543.29771581856</v>
      </c>
      <c r="O129" s="81">
        <f t="shared" si="71"/>
        <v>23942.60627841419</v>
      </c>
      <c r="P129" s="81">
        <f t="shared" si="71"/>
        <v>38785.181840065561</v>
      </c>
      <c r="Q129" s="81">
        <f t="shared" si="71"/>
        <v>38118.730134863697</v>
      </c>
      <c r="R129" s="81">
        <f t="shared" si="71"/>
        <v>37472.271980817903</v>
      </c>
      <c r="S129" s="81">
        <f t="shared" si="71"/>
        <v>51908.957571397157</v>
      </c>
      <c r="T129" s="81">
        <f t="shared" si="71"/>
        <v>50848.792594255348</v>
      </c>
      <c r="U129" s="81">
        <f t="shared" si="71"/>
        <v>49820.432566427822</v>
      </c>
      <c r="V129" s="81">
        <f t="shared" si="71"/>
        <v>63886.673339438756</v>
      </c>
      <c r="W129" s="81">
        <f t="shared" si="71"/>
        <v>62467.176889255708</v>
      </c>
      <c r="X129" s="81">
        <f t="shared" si="71"/>
        <v>61090.265332578158</v>
      </c>
      <c r="Y129" s="81">
        <f t="shared" si="71"/>
        <v>59754.661122600934</v>
      </c>
      <c r="Z129" s="81">
        <f t="shared" si="71"/>
        <v>58459.125038923026</v>
      </c>
      <c r="AA129" s="81">
        <f t="shared" si="71"/>
        <v>57535.673222441321</v>
      </c>
      <c r="AB129" s="81">
        <f t="shared" si="71"/>
        <v>72052.011025772023</v>
      </c>
      <c r="AC129" s="81">
        <f t="shared" si="71"/>
        <v>70981.358694999115</v>
      </c>
      <c r="AD129" s="81">
        <f t="shared" si="71"/>
        <v>69942.825934149412</v>
      </c>
      <c r="AE129" s="81">
        <f t="shared" si="71"/>
        <v>84086.949156128831</v>
      </c>
      <c r="AF129" s="81">
        <f t="shared" si="71"/>
        <v>82655.248681445257</v>
      </c>
      <c r="AG129" s="81">
        <f t="shared" si="71"/>
        <v>81266.499221002145</v>
      </c>
      <c r="AH129" s="81">
        <f t="shared" si="71"/>
        <v>95070.912244376028</v>
      </c>
      <c r="AI129" s="81">
        <f t="shared" si="71"/>
        <v>93309.692877044974</v>
      </c>
      <c r="AJ129" s="81">
        <f t="shared" si="71"/>
        <v>91601.310090733925</v>
      </c>
      <c r="AK129" s="81">
        <f t="shared" si="71"/>
        <v>89944.17878801217</v>
      </c>
      <c r="AL129" s="81">
        <f t="shared" si="71"/>
        <v>88336.76142437206</v>
      </c>
      <c r="AM129" s="81">
        <f t="shared" si="71"/>
        <v>87380.653916957439</v>
      </c>
      <c r="AN129" s="81">
        <f t="shared" si="71"/>
        <v>101877.36389945283</v>
      </c>
      <c r="AO129" s="81">
        <f t="shared" si="71"/>
        <v>100682.37258246969</v>
      </c>
      <c r="AP129" s="81">
        <f t="shared" si="71"/>
        <v>99523.231004996036</v>
      </c>
      <c r="AQ129" s="81">
        <f t="shared" si="71"/>
        <v>113655.66367485026</v>
      </c>
      <c r="AR129" s="81">
        <f t="shared" si="71"/>
        <v>112107.3233646052</v>
      </c>
      <c r="AS129" s="81">
        <f t="shared" si="71"/>
        <v>110605.4332636675</v>
      </c>
      <c r="AT129" s="81">
        <f t="shared" si="71"/>
        <v>124405.39986576159</v>
      </c>
      <c r="AU129" s="81">
        <f t="shared" si="71"/>
        <v>122534.56746978921</v>
      </c>
      <c r="AV129" s="81">
        <f t="shared" si="71"/>
        <v>120719.86004569594</v>
      </c>
      <c r="AW129" s="81">
        <f t="shared" si="71"/>
        <v>118959.59384432551</v>
      </c>
      <c r="AX129" s="81">
        <f t="shared" si="71"/>
        <v>117252.1356289962</v>
      </c>
      <c r="AY129" s="81">
        <f t="shared" si="71"/>
        <v>116553.29052556315</v>
      </c>
      <c r="AZ129" s="81">
        <f t="shared" si="71"/>
        <v>131085.75532980057</v>
      </c>
      <c r="BA129" s="81">
        <f t="shared" si="71"/>
        <v>129799.08618990716</v>
      </c>
      <c r="BB129" s="81">
        <f t="shared" si="71"/>
        <v>128551.0171242106</v>
      </c>
      <c r="BC129" s="81">
        <f t="shared" si="71"/>
        <v>142723.55013048855</v>
      </c>
      <c r="BD129" s="81">
        <f t="shared" si="71"/>
        <v>141087.74714657452</v>
      </c>
      <c r="BE129" s="81">
        <f t="shared" si="71"/>
        <v>139501.01825217792</v>
      </c>
      <c r="BF129" s="81">
        <f t="shared" si="71"/>
        <v>153345.05122461685</v>
      </c>
      <c r="BG129" s="81">
        <f t="shared" si="71"/>
        <v>151390.60320787897</v>
      </c>
      <c r="BH129" s="81">
        <f t="shared" si="71"/>
        <v>149494.78863164323</v>
      </c>
      <c r="BI129" s="81">
        <f t="shared" si="71"/>
        <v>147655.84849269458</v>
      </c>
      <c r="BJ129" s="81">
        <f t="shared" si="71"/>
        <v>145872.07655791444</v>
      </c>
    </row>
    <row r="130" spans="1:62">
      <c r="A130" s="118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</row>
    <row r="131" spans="1:62">
      <c r="A131" s="120" t="s">
        <v>223</v>
      </c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</row>
    <row r="132" spans="1:62">
      <c r="A132" s="121" t="s">
        <v>224</v>
      </c>
      <c r="C132" s="81">
        <f>C109</f>
        <v>11000</v>
      </c>
      <c r="D132" s="81">
        <f t="shared" ref="D132:BJ132" si="72">D109</f>
        <v>11220</v>
      </c>
      <c r="E132" s="81">
        <f t="shared" si="72"/>
        <v>11433.4</v>
      </c>
      <c r="F132" s="81">
        <f t="shared" si="72"/>
        <v>11640.397999999999</v>
      </c>
      <c r="G132" s="81">
        <f t="shared" si="72"/>
        <v>11841.18606</v>
      </c>
      <c r="H132" s="81">
        <f t="shared" si="72"/>
        <v>12035.9504782</v>
      </c>
      <c r="I132" s="81">
        <f t="shared" si="72"/>
        <v>12224.871963854001</v>
      </c>
      <c r="J132" s="81">
        <f t="shared" si="72"/>
        <v>12408.125804938381</v>
      </c>
      <c r="K132" s="81">
        <f t="shared" si="72"/>
        <v>12585.882030790228</v>
      </c>
      <c r="L132" s="81">
        <f t="shared" si="72"/>
        <v>12758.305569866523</v>
      </c>
      <c r="M132" s="81">
        <f t="shared" si="72"/>
        <v>12925.556402770526</v>
      </c>
      <c r="N132" s="81">
        <f t="shared" si="72"/>
        <v>13087.789710687412</v>
      </c>
      <c r="O132" s="81">
        <f t="shared" si="72"/>
        <v>13245.15601936679</v>
      </c>
      <c r="P132" s="81">
        <f t="shared" si="72"/>
        <v>21456.134672119122</v>
      </c>
      <c r="Q132" s="81">
        <f t="shared" si="72"/>
        <v>21087.450631955548</v>
      </c>
      <c r="R132" s="81">
        <f t="shared" si="72"/>
        <v>20729.827112996882</v>
      </c>
      <c r="S132" s="81">
        <f t="shared" si="72"/>
        <v>28716.265632940311</v>
      </c>
      <c r="T132" s="81">
        <f t="shared" si="72"/>
        <v>28129.7776639521</v>
      </c>
      <c r="U132" s="81">
        <f t="shared" si="72"/>
        <v>27560.884334033537</v>
      </c>
      <c r="V132" s="81">
        <f t="shared" si="72"/>
        <v>35342.391137345861</v>
      </c>
      <c r="W132" s="81">
        <f t="shared" si="72"/>
        <v>34557.119403225486</v>
      </c>
      <c r="X132" s="81">
        <f t="shared" si="72"/>
        <v>33795.405821128719</v>
      </c>
      <c r="Y132" s="81">
        <f t="shared" si="72"/>
        <v>33056.543646494858</v>
      </c>
      <c r="Z132" s="81">
        <f t="shared" si="72"/>
        <v>32339.847337100011</v>
      </c>
      <c r="AA132" s="81">
        <f t="shared" si="72"/>
        <v>31644.651916987008</v>
      </c>
      <c r="AB132" s="81">
        <f t="shared" si="72"/>
        <v>39628.645692810736</v>
      </c>
      <c r="AC132" s="81">
        <f t="shared" si="72"/>
        <v>39039.786322026419</v>
      </c>
      <c r="AD132" s="81">
        <f t="shared" si="72"/>
        <v>38468.592732365621</v>
      </c>
      <c r="AE132" s="81">
        <f t="shared" si="72"/>
        <v>46247.868283727992</v>
      </c>
      <c r="AF132" s="81">
        <f t="shared" si="72"/>
        <v>45460.432235216154</v>
      </c>
      <c r="AG132" s="81">
        <f t="shared" si="72"/>
        <v>44696.619268159666</v>
      </c>
      <c r="AH132" s="81">
        <f t="shared" si="72"/>
        <v>52289.054023448211</v>
      </c>
      <c r="AI132" s="81">
        <f t="shared" si="72"/>
        <v>51320.382402744763</v>
      </c>
      <c r="AJ132" s="81">
        <f t="shared" si="72"/>
        <v>50380.770930662424</v>
      </c>
      <c r="AK132" s="81">
        <f t="shared" si="72"/>
        <v>49469.347802742552</v>
      </c>
      <c r="AL132" s="81">
        <f t="shared" si="72"/>
        <v>48585.267368660279</v>
      </c>
      <c r="AM132" s="81">
        <f t="shared" si="72"/>
        <v>47727.709347600467</v>
      </c>
      <c r="AN132" s="81">
        <f t="shared" si="72"/>
        <v>55645.878067172453</v>
      </c>
      <c r="AO132" s="81">
        <f t="shared" si="72"/>
        <v>54993.168391823943</v>
      </c>
      <c r="AP132" s="81">
        <f t="shared" si="72"/>
        <v>54360.040006735893</v>
      </c>
      <c r="AQ132" s="81">
        <f t="shared" si="72"/>
        <v>62079.238806533816</v>
      </c>
      <c r="AR132" s="81">
        <f t="shared" si="72"/>
        <v>61233.528309004476</v>
      </c>
      <c r="AS132" s="81">
        <f t="shared" si="72"/>
        <v>60413.189126401012</v>
      </c>
      <c r="AT132" s="81">
        <f t="shared" si="72"/>
        <v>67950.793452608981</v>
      </c>
      <c r="AU132" s="81">
        <f t="shared" si="72"/>
        <v>66928.936315697385</v>
      </c>
      <c r="AV132" s="81">
        <f t="shared" si="72"/>
        <v>65937.734892893117</v>
      </c>
      <c r="AW132" s="81">
        <f t="shared" si="72"/>
        <v>64976.269512772997</v>
      </c>
      <c r="AX132" s="81">
        <f t="shared" si="72"/>
        <v>64043.648094056465</v>
      </c>
      <c r="AY132" s="81">
        <f t="shared" si="72"/>
        <v>63139.005317901443</v>
      </c>
      <c r="AZ132" s="81">
        <f t="shared" si="72"/>
        <v>71011.501825031068</v>
      </c>
      <c r="BA132" s="81">
        <f t="shared" si="72"/>
        <v>70314.490103613469</v>
      </c>
      <c r="BB132" s="81">
        <f t="shared" si="72"/>
        <v>69638.388733838394</v>
      </c>
      <c r="BC132" s="81">
        <f t="shared" si="72"/>
        <v>77315.903738489913</v>
      </c>
      <c r="BD132" s="81">
        <f t="shared" si="72"/>
        <v>76429.759959668547</v>
      </c>
      <c r="BE132" s="81">
        <f t="shared" si="72"/>
        <v>75570.200494211836</v>
      </c>
      <c r="BF132" s="81">
        <f t="shared" si="72"/>
        <v>83069.761146052144</v>
      </c>
      <c r="BG132" s="81">
        <f t="shared" si="72"/>
        <v>82011.001645003911</v>
      </c>
      <c r="BH132" s="81">
        <f t="shared" si="72"/>
        <v>80984.004928987124</v>
      </c>
      <c r="BI132" s="81">
        <f t="shared" si="72"/>
        <v>79987.818114450842</v>
      </c>
      <c r="BJ132" s="81">
        <f t="shared" si="72"/>
        <v>79021.516904350661</v>
      </c>
    </row>
    <row r="133" spans="1:62">
      <c r="A133" s="121" t="s">
        <v>45</v>
      </c>
      <c r="C133" s="81">
        <f t="shared" ref="C133:AH133" si="73">C132*Advertising_Revenue_per_Sub</f>
        <v>11000</v>
      </c>
      <c r="D133" s="81">
        <f t="shared" si="73"/>
        <v>11220</v>
      </c>
      <c r="E133" s="81">
        <f t="shared" si="73"/>
        <v>11433.4</v>
      </c>
      <c r="F133" s="81">
        <f t="shared" si="73"/>
        <v>11640.397999999999</v>
      </c>
      <c r="G133" s="81">
        <f t="shared" si="73"/>
        <v>11841.18606</v>
      </c>
      <c r="H133" s="81">
        <f t="shared" si="73"/>
        <v>12035.9504782</v>
      </c>
      <c r="I133" s="81">
        <f t="shared" si="73"/>
        <v>12224.871963854001</v>
      </c>
      <c r="J133" s="81">
        <f t="shared" si="73"/>
        <v>12408.125804938381</v>
      </c>
      <c r="K133" s="81">
        <f t="shared" si="73"/>
        <v>12585.882030790228</v>
      </c>
      <c r="L133" s="81">
        <f t="shared" si="73"/>
        <v>12758.305569866523</v>
      </c>
      <c r="M133" s="81">
        <f t="shared" si="73"/>
        <v>12925.556402770526</v>
      </c>
      <c r="N133" s="81">
        <f t="shared" si="73"/>
        <v>13087.789710687412</v>
      </c>
      <c r="O133" s="81">
        <f t="shared" si="73"/>
        <v>13245.15601936679</v>
      </c>
      <c r="P133" s="81">
        <f t="shared" si="73"/>
        <v>21456.134672119122</v>
      </c>
      <c r="Q133" s="81">
        <f t="shared" si="73"/>
        <v>21087.450631955548</v>
      </c>
      <c r="R133" s="81">
        <f t="shared" si="73"/>
        <v>20729.827112996882</v>
      </c>
      <c r="S133" s="81">
        <f t="shared" si="73"/>
        <v>28716.265632940311</v>
      </c>
      <c r="T133" s="81">
        <f t="shared" si="73"/>
        <v>28129.7776639521</v>
      </c>
      <c r="U133" s="81">
        <f t="shared" si="73"/>
        <v>27560.884334033537</v>
      </c>
      <c r="V133" s="81">
        <f t="shared" si="73"/>
        <v>35342.391137345861</v>
      </c>
      <c r="W133" s="81">
        <f t="shared" si="73"/>
        <v>34557.119403225486</v>
      </c>
      <c r="X133" s="81">
        <f t="shared" si="73"/>
        <v>33795.405821128719</v>
      </c>
      <c r="Y133" s="81">
        <f t="shared" si="73"/>
        <v>33056.543646494858</v>
      </c>
      <c r="Z133" s="81">
        <f t="shared" si="73"/>
        <v>32339.847337100011</v>
      </c>
      <c r="AA133" s="81">
        <f t="shared" si="73"/>
        <v>31644.651916987008</v>
      </c>
      <c r="AB133" s="81">
        <f t="shared" si="73"/>
        <v>39628.645692810736</v>
      </c>
      <c r="AC133" s="81">
        <f t="shared" si="73"/>
        <v>39039.786322026419</v>
      </c>
      <c r="AD133" s="81">
        <f t="shared" si="73"/>
        <v>38468.592732365621</v>
      </c>
      <c r="AE133" s="81">
        <f t="shared" si="73"/>
        <v>46247.868283727992</v>
      </c>
      <c r="AF133" s="81">
        <f t="shared" si="73"/>
        <v>45460.432235216154</v>
      </c>
      <c r="AG133" s="81">
        <f t="shared" si="73"/>
        <v>44696.619268159666</v>
      </c>
      <c r="AH133" s="81">
        <f t="shared" si="73"/>
        <v>52289.054023448211</v>
      </c>
      <c r="AI133" s="81">
        <f t="shared" ref="AI133:BJ133" si="74">AI132*Advertising_Revenue_per_Sub</f>
        <v>51320.382402744763</v>
      </c>
      <c r="AJ133" s="81">
        <f t="shared" si="74"/>
        <v>50380.770930662424</v>
      </c>
      <c r="AK133" s="81">
        <f t="shared" si="74"/>
        <v>49469.347802742552</v>
      </c>
      <c r="AL133" s="81">
        <f t="shared" si="74"/>
        <v>48585.267368660279</v>
      </c>
      <c r="AM133" s="81">
        <f t="shared" si="74"/>
        <v>47727.709347600467</v>
      </c>
      <c r="AN133" s="81">
        <f t="shared" si="74"/>
        <v>55645.878067172453</v>
      </c>
      <c r="AO133" s="81">
        <f t="shared" si="74"/>
        <v>54993.168391823943</v>
      </c>
      <c r="AP133" s="81">
        <f t="shared" si="74"/>
        <v>54360.040006735893</v>
      </c>
      <c r="AQ133" s="81">
        <f t="shared" si="74"/>
        <v>62079.238806533816</v>
      </c>
      <c r="AR133" s="81">
        <f t="shared" si="74"/>
        <v>61233.528309004476</v>
      </c>
      <c r="AS133" s="81">
        <f t="shared" si="74"/>
        <v>60413.189126401012</v>
      </c>
      <c r="AT133" s="81">
        <f t="shared" si="74"/>
        <v>67950.793452608981</v>
      </c>
      <c r="AU133" s="81">
        <f t="shared" si="74"/>
        <v>66928.936315697385</v>
      </c>
      <c r="AV133" s="81">
        <f t="shared" si="74"/>
        <v>65937.734892893117</v>
      </c>
      <c r="AW133" s="81">
        <f t="shared" si="74"/>
        <v>64976.269512772997</v>
      </c>
      <c r="AX133" s="81">
        <f t="shared" si="74"/>
        <v>64043.648094056465</v>
      </c>
      <c r="AY133" s="81">
        <f t="shared" si="74"/>
        <v>63139.005317901443</v>
      </c>
      <c r="AZ133" s="81">
        <f t="shared" si="74"/>
        <v>71011.501825031068</v>
      </c>
      <c r="BA133" s="81">
        <f t="shared" si="74"/>
        <v>70314.490103613469</v>
      </c>
      <c r="BB133" s="81">
        <f t="shared" si="74"/>
        <v>69638.388733838394</v>
      </c>
      <c r="BC133" s="81">
        <f t="shared" si="74"/>
        <v>77315.903738489913</v>
      </c>
      <c r="BD133" s="81">
        <f t="shared" si="74"/>
        <v>76429.759959668547</v>
      </c>
      <c r="BE133" s="81">
        <f t="shared" si="74"/>
        <v>75570.200494211836</v>
      </c>
      <c r="BF133" s="81">
        <f t="shared" si="74"/>
        <v>83069.761146052144</v>
      </c>
      <c r="BG133" s="81">
        <f t="shared" si="74"/>
        <v>82011.001645003911</v>
      </c>
      <c r="BH133" s="81">
        <f t="shared" si="74"/>
        <v>80984.004928987124</v>
      </c>
      <c r="BI133" s="81">
        <f t="shared" si="74"/>
        <v>79987.818114450842</v>
      </c>
      <c r="BJ133" s="81">
        <f t="shared" si="74"/>
        <v>79021.516904350661</v>
      </c>
    </row>
    <row r="134" spans="1:62">
      <c r="A134" s="118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</row>
    <row r="135" spans="1:62">
      <c r="A135" s="120" t="s">
        <v>262</v>
      </c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</row>
    <row r="136" spans="1:62">
      <c r="A136" s="118" t="s">
        <v>264</v>
      </c>
      <c r="C136" s="81">
        <f>C105</f>
        <v>275</v>
      </c>
      <c r="D136" s="81">
        <f t="shared" ref="D136:BJ136" si="75">D105</f>
        <v>275</v>
      </c>
      <c r="E136" s="81">
        <f t="shared" si="75"/>
        <v>275</v>
      </c>
      <c r="F136" s="81">
        <f t="shared" si="75"/>
        <v>275</v>
      </c>
      <c r="G136" s="81">
        <f t="shared" si="75"/>
        <v>275</v>
      </c>
      <c r="H136" s="81">
        <f t="shared" si="75"/>
        <v>275</v>
      </c>
      <c r="I136" s="81">
        <f t="shared" si="75"/>
        <v>275</v>
      </c>
      <c r="J136" s="81">
        <f t="shared" si="75"/>
        <v>275</v>
      </c>
      <c r="K136" s="81">
        <f t="shared" si="75"/>
        <v>275</v>
      </c>
      <c r="L136" s="81">
        <f t="shared" si="75"/>
        <v>275</v>
      </c>
      <c r="M136" s="81">
        <f t="shared" si="75"/>
        <v>275</v>
      </c>
      <c r="N136" s="81">
        <f t="shared" si="75"/>
        <v>275</v>
      </c>
      <c r="O136" s="81">
        <f t="shared" si="75"/>
        <v>275</v>
      </c>
      <c r="P136" s="81">
        <f t="shared" si="75"/>
        <v>275</v>
      </c>
      <c r="Q136" s="81">
        <f t="shared" si="75"/>
        <v>275</v>
      </c>
      <c r="R136" s="81">
        <f t="shared" si="75"/>
        <v>275</v>
      </c>
      <c r="S136" s="81">
        <f t="shared" si="75"/>
        <v>275</v>
      </c>
      <c r="T136" s="81">
        <f t="shared" si="75"/>
        <v>275</v>
      </c>
      <c r="U136" s="81">
        <f t="shared" si="75"/>
        <v>275</v>
      </c>
      <c r="V136" s="81">
        <f t="shared" si="75"/>
        <v>275</v>
      </c>
      <c r="W136" s="81">
        <f t="shared" si="75"/>
        <v>275</v>
      </c>
      <c r="X136" s="81">
        <f t="shared" si="75"/>
        <v>275</v>
      </c>
      <c r="Y136" s="81">
        <f t="shared" si="75"/>
        <v>275</v>
      </c>
      <c r="Z136" s="81">
        <f t="shared" si="75"/>
        <v>275</v>
      </c>
      <c r="AA136" s="81">
        <f t="shared" si="75"/>
        <v>600</v>
      </c>
      <c r="AB136" s="81">
        <f t="shared" si="75"/>
        <v>600</v>
      </c>
      <c r="AC136" s="81">
        <f t="shared" si="75"/>
        <v>600</v>
      </c>
      <c r="AD136" s="81">
        <f t="shared" si="75"/>
        <v>600</v>
      </c>
      <c r="AE136" s="81">
        <f t="shared" si="75"/>
        <v>600</v>
      </c>
      <c r="AF136" s="81">
        <f t="shared" si="75"/>
        <v>600</v>
      </c>
      <c r="AG136" s="81">
        <f t="shared" si="75"/>
        <v>600</v>
      </c>
      <c r="AH136" s="81">
        <f t="shared" si="75"/>
        <v>600</v>
      </c>
      <c r="AI136" s="81">
        <f t="shared" si="75"/>
        <v>600</v>
      </c>
      <c r="AJ136" s="81">
        <f t="shared" si="75"/>
        <v>600</v>
      </c>
      <c r="AK136" s="81">
        <f t="shared" si="75"/>
        <v>600</v>
      </c>
      <c r="AL136" s="81">
        <f t="shared" si="75"/>
        <v>600</v>
      </c>
      <c r="AM136" s="81">
        <f t="shared" si="75"/>
        <v>1016.6666666666666</v>
      </c>
      <c r="AN136" s="81">
        <f t="shared" si="75"/>
        <v>1016.6666666666666</v>
      </c>
      <c r="AO136" s="81">
        <f t="shared" si="75"/>
        <v>1016.6666666666666</v>
      </c>
      <c r="AP136" s="81">
        <f t="shared" si="75"/>
        <v>1016.6666666666666</v>
      </c>
      <c r="AQ136" s="81">
        <f t="shared" si="75"/>
        <v>1016.6666666666666</v>
      </c>
      <c r="AR136" s="81">
        <f t="shared" si="75"/>
        <v>1016.6666666666666</v>
      </c>
      <c r="AS136" s="81">
        <f t="shared" si="75"/>
        <v>1016.6666666666666</v>
      </c>
      <c r="AT136" s="81">
        <f t="shared" si="75"/>
        <v>1016.6666666666666</v>
      </c>
      <c r="AU136" s="81">
        <f t="shared" si="75"/>
        <v>1016.6666666666666</v>
      </c>
      <c r="AV136" s="81">
        <f t="shared" si="75"/>
        <v>1016.6666666666666</v>
      </c>
      <c r="AW136" s="81">
        <f t="shared" si="75"/>
        <v>1016.6666666666666</v>
      </c>
      <c r="AX136" s="81">
        <f t="shared" si="75"/>
        <v>1016.6666666666666</v>
      </c>
      <c r="AY136" s="81">
        <f t="shared" si="75"/>
        <v>1433.3333333333333</v>
      </c>
      <c r="AZ136" s="81">
        <f t="shared" si="75"/>
        <v>1433.3333333333333</v>
      </c>
      <c r="BA136" s="81">
        <f t="shared" si="75"/>
        <v>1433.3333333333333</v>
      </c>
      <c r="BB136" s="81">
        <f t="shared" si="75"/>
        <v>1433.3333333333333</v>
      </c>
      <c r="BC136" s="81">
        <f t="shared" si="75"/>
        <v>1433.3333333333333</v>
      </c>
      <c r="BD136" s="81">
        <f t="shared" si="75"/>
        <v>1433.3333333333333</v>
      </c>
      <c r="BE136" s="81">
        <f t="shared" si="75"/>
        <v>1433.3333333333333</v>
      </c>
      <c r="BF136" s="81">
        <f t="shared" si="75"/>
        <v>1433.3333333333333</v>
      </c>
      <c r="BG136" s="81">
        <f t="shared" si="75"/>
        <v>1433.3333333333333</v>
      </c>
      <c r="BH136" s="81">
        <f t="shared" si="75"/>
        <v>1433.3333333333333</v>
      </c>
      <c r="BI136" s="81">
        <f t="shared" si="75"/>
        <v>1433.3333333333333</v>
      </c>
      <c r="BJ136" s="81">
        <f t="shared" si="75"/>
        <v>1433.3333333333333</v>
      </c>
    </row>
    <row r="137" spans="1:62">
      <c r="A137" s="118" t="s">
        <v>45</v>
      </c>
      <c r="C137" s="81">
        <f t="shared" ref="C137:AH137" si="76">C136*Installation_Fee_Cable</f>
        <v>0</v>
      </c>
      <c r="D137" s="81">
        <f t="shared" si="76"/>
        <v>0</v>
      </c>
      <c r="E137" s="81">
        <f t="shared" si="76"/>
        <v>0</v>
      </c>
      <c r="F137" s="81">
        <f t="shared" si="76"/>
        <v>0</v>
      </c>
      <c r="G137" s="81">
        <f t="shared" si="76"/>
        <v>0</v>
      </c>
      <c r="H137" s="81">
        <f t="shared" si="76"/>
        <v>0</v>
      </c>
      <c r="I137" s="81">
        <f t="shared" si="76"/>
        <v>0</v>
      </c>
      <c r="J137" s="81">
        <f t="shared" si="76"/>
        <v>0</v>
      </c>
      <c r="K137" s="81">
        <f t="shared" si="76"/>
        <v>0</v>
      </c>
      <c r="L137" s="81">
        <f t="shared" si="76"/>
        <v>0</v>
      </c>
      <c r="M137" s="81">
        <f t="shared" si="76"/>
        <v>0</v>
      </c>
      <c r="N137" s="81">
        <f t="shared" si="76"/>
        <v>0</v>
      </c>
      <c r="O137" s="81">
        <f t="shared" si="76"/>
        <v>0</v>
      </c>
      <c r="P137" s="81">
        <f t="shared" si="76"/>
        <v>0</v>
      </c>
      <c r="Q137" s="81">
        <f t="shared" si="76"/>
        <v>0</v>
      </c>
      <c r="R137" s="81">
        <f t="shared" si="76"/>
        <v>0</v>
      </c>
      <c r="S137" s="81">
        <f t="shared" si="76"/>
        <v>0</v>
      </c>
      <c r="T137" s="81">
        <f t="shared" si="76"/>
        <v>0</v>
      </c>
      <c r="U137" s="81">
        <f t="shared" si="76"/>
        <v>0</v>
      </c>
      <c r="V137" s="81">
        <f t="shared" si="76"/>
        <v>0</v>
      </c>
      <c r="W137" s="81">
        <f t="shared" si="76"/>
        <v>0</v>
      </c>
      <c r="X137" s="81">
        <f t="shared" si="76"/>
        <v>0</v>
      </c>
      <c r="Y137" s="81">
        <f t="shared" si="76"/>
        <v>0</v>
      </c>
      <c r="Z137" s="81">
        <f t="shared" si="76"/>
        <v>0</v>
      </c>
      <c r="AA137" s="81">
        <f t="shared" si="76"/>
        <v>0</v>
      </c>
      <c r="AB137" s="81">
        <f t="shared" si="76"/>
        <v>0</v>
      </c>
      <c r="AC137" s="81">
        <f t="shared" si="76"/>
        <v>0</v>
      </c>
      <c r="AD137" s="81">
        <f t="shared" si="76"/>
        <v>0</v>
      </c>
      <c r="AE137" s="81">
        <f t="shared" si="76"/>
        <v>0</v>
      </c>
      <c r="AF137" s="81">
        <f t="shared" si="76"/>
        <v>0</v>
      </c>
      <c r="AG137" s="81">
        <f t="shared" si="76"/>
        <v>0</v>
      </c>
      <c r="AH137" s="81">
        <f t="shared" si="76"/>
        <v>0</v>
      </c>
      <c r="AI137" s="81">
        <f t="shared" ref="AI137:BJ137" si="77">AI136*Installation_Fee_Cable</f>
        <v>0</v>
      </c>
      <c r="AJ137" s="81">
        <f t="shared" si="77"/>
        <v>0</v>
      </c>
      <c r="AK137" s="81">
        <f t="shared" si="77"/>
        <v>0</v>
      </c>
      <c r="AL137" s="81">
        <f t="shared" si="77"/>
        <v>0</v>
      </c>
      <c r="AM137" s="81">
        <f t="shared" si="77"/>
        <v>0</v>
      </c>
      <c r="AN137" s="81">
        <f t="shared" si="77"/>
        <v>0</v>
      </c>
      <c r="AO137" s="81">
        <f t="shared" si="77"/>
        <v>0</v>
      </c>
      <c r="AP137" s="81">
        <f t="shared" si="77"/>
        <v>0</v>
      </c>
      <c r="AQ137" s="81">
        <f t="shared" si="77"/>
        <v>0</v>
      </c>
      <c r="AR137" s="81">
        <f t="shared" si="77"/>
        <v>0</v>
      </c>
      <c r="AS137" s="81">
        <f t="shared" si="77"/>
        <v>0</v>
      </c>
      <c r="AT137" s="81">
        <f t="shared" si="77"/>
        <v>0</v>
      </c>
      <c r="AU137" s="81">
        <f t="shared" si="77"/>
        <v>0</v>
      </c>
      <c r="AV137" s="81">
        <f t="shared" si="77"/>
        <v>0</v>
      </c>
      <c r="AW137" s="81">
        <f t="shared" si="77"/>
        <v>0</v>
      </c>
      <c r="AX137" s="81">
        <f t="shared" si="77"/>
        <v>0</v>
      </c>
      <c r="AY137" s="81">
        <f t="shared" si="77"/>
        <v>0</v>
      </c>
      <c r="AZ137" s="81">
        <f t="shared" si="77"/>
        <v>0</v>
      </c>
      <c r="BA137" s="81">
        <f t="shared" si="77"/>
        <v>0</v>
      </c>
      <c r="BB137" s="81">
        <f t="shared" si="77"/>
        <v>0</v>
      </c>
      <c r="BC137" s="81">
        <f t="shared" si="77"/>
        <v>0</v>
      </c>
      <c r="BD137" s="81">
        <f t="shared" si="77"/>
        <v>0</v>
      </c>
      <c r="BE137" s="81">
        <f t="shared" si="77"/>
        <v>0</v>
      </c>
      <c r="BF137" s="81">
        <f t="shared" si="77"/>
        <v>0</v>
      </c>
      <c r="BG137" s="81">
        <f t="shared" si="77"/>
        <v>0</v>
      </c>
      <c r="BH137" s="81">
        <f t="shared" si="77"/>
        <v>0</v>
      </c>
      <c r="BI137" s="81">
        <f t="shared" si="77"/>
        <v>0</v>
      </c>
      <c r="BJ137" s="81">
        <f t="shared" si="77"/>
        <v>0</v>
      </c>
    </row>
    <row r="138" spans="1:62">
      <c r="A138" s="118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</row>
    <row r="139" spans="1:62">
      <c r="A139" s="6" t="s">
        <v>124</v>
      </c>
      <c r="C139" s="75">
        <f>C123+C129+C133+C137</f>
        <v>503622.62500000483</v>
      </c>
      <c r="D139" s="75">
        <f t="shared" ref="D139:BJ139" si="78">D123+D129+D133+D137</f>
        <v>513695.0775000049</v>
      </c>
      <c r="E139" s="75">
        <f t="shared" si="78"/>
        <v>523465.35642500507</v>
      </c>
      <c r="F139" s="75">
        <f t="shared" si="78"/>
        <v>532942.52698225505</v>
      </c>
      <c r="G139" s="75">
        <f t="shared" si="78"/>
        <v>542135.3824227876</v>
      </c>
      <c r="H139" s="75">
        <f t="shared" si="78"/>
        <v>551052.45220010425</v>
      </c>
      <c r="I139" s="75">
        <f t="shared" si="78"/>
        <v>559702.00988410134</v>
      </c>
      <c r="J139" s="75">
        <f t="shared" si="78"/>
        <v>568092.08083757863</v>
      </c>
      <c r="K139" s="75">
        <f t="shared" si="78"/>
        <v>576230.4496624514</v>
      </c>
      <c r="L139" s="75">
        <f t="shared" si="78"/>
        <v>584124.6674225782</v>
      </c>
      <c r="M139" s="75">
        <f t="shared" si="78"/>
        <v>591782.05864990118</v>
      </c>
      <c r="N139" s="75">
        <f t="shared" si="78"/>
        <v>599209.72814040422</v>
      </c>
      <c r="O139" s="75">
        <f t="shared" si="78"/>
        <v>606530.79379026243</v>
      </c>
      <c r="P139" s="75">
        <f t="shared" si="78"/>
        <v>982533.26539322513</v>
      </c>
      <c r="Q139" s="75">
        <f t="shared" si="78"/>
        <v>965650.24618142832</v>
      </c>
      <c r="R139" s="75">
        <f t="shared" si="78"/>
        <v>949273.71754598559</v>
      </c>
      <c r="S139" s="75">
        <f t="shared" si="78"/>
        <v>1314993.9014362765</v>
      </c>
      <c r="T139" s="75">
        <f t="shared" si="78"/>
        <v>1288137.0631431886</v>
      </c>
      <c r="U139" s="75">
        <f t="shared" si="78"/>
        <v>1262085.9299988928</v>
      </c>
      <c r="V139" s="75">
        <f t="shared" si="78"/>
        <v>1618421.7475155967</v>
      </c>
      <c r="W139" s="75">
        <f t="shared" si="78"/>
        <v>1582462.0738401287</v>
      </c>
      <c r="X139" s="75">
        <f t="shared" si="78"/>
        <v>1547581.1903749248</v>
      </c>
      <c r="Y139" s="75">
        <f t="shared" si="78"/>
        <v>1513746.7334136774</v>
      </c>
      <c r="Z139" s="75">
        <f t="shared" si="78"/>
        <v>1480927.3101612669</v>
      </c>
      <c r="AA139" s="75">
        <f t="shared" si="78"/>
        <v>1449425.6877911147</v>
      </c>
      <c r="AB139" s="75">
        <f t="shared" si="78"/>
        <v>1815117.9918240518</v>
      </c>
      <c r="AC139" s="75">
        <f t="shared" si="78"/>
        <v>1788146.360069331</v>
      </c>
      <c r="AD139" s="75">
        <f t="shared" si="78"/>
        <v>1761983.8772672513</v>
      </c>
      <c r="AE139" s="75">
        <f t="shared" si="78"/>
        <v>2118299.4356159046</v>
      </c>
      <c r="AF139" s="75">
        <f t="shared" si="78"/>
        <v>2082232.3605474276</v>
      </c>
      <c r="AG139" s="75">
        <f t="shared" si="78"/>
        <v>2047247.2977310051</v>
      </c>
      <c r="AH139" s="75">
        <f t="shared" si="78"/>
        <v>2395004.9534657458</v>
      </c>
      <c r="AI139" s="75">
        <f t="shared" si="78"/>
        <v>2350636.7128617731</v>
      </c>
      <c r="AJ139" s="75">
        <f t="shared" si="78"/>
        <v>2307599.5194759206</v>
      </c>
      <c r="AK139" s="75">
        <f t="shared" si="78"/>
        <v>2265853.4418916432</v>
      </c>
      <c r="AL139" s="75">
        <f t="shared" si="78"/>
        <v>2225359.7466348945</v>
      </c>
      <c r="AM139" s="75">
        <f t="shared" si="78"/>
        <v>2186683.9495711639</v>
      </c>
      <c r="AN139" s="75">
        <f t="shared" si="78"/>
        <v>2549461.3106840332</v>
      </c>
      <c r="AO139" s="75">
        <f t="shared" si="78"/>
        <v>2519556.8842968456</v>
      </c>
      <c r="AP139" s="75">
        <f t="shared" si="78"/>
        <v>2490549.5907012746</v>
      </c>
      <c r="AQ139" s="75">
        <f t="shared" si="78"/>
        <v>2844210.9825802404</v>
      </c>
      <c r="AR139" s="75">
        <f t="shared" si="78"/>
        <v>2805464.0660361666</v>
      </c>
      <c r="AS139" s="75">
        <f t="shared" si="78"/>
        <v>2767879.5569884158</v>
      </c>
      <c r="AT139" s="75">
        <f t="shared" si="78"/>
        <v>3113221.0498787672</v>
      </c>
      <c r="AU139" s="75">
        <f t="shared" si="78"/>
        <v>3066403.8313157391</v>
      </c>
      <c r="AV139" s="75">
        <f t="shared" si="78"/>
        <v>3020991.1293096002</v>
      </c>
      <c r="AW139" s="75">
        <f t="shared" si="78"/>
        <v>2976940.8083636458</v>
      </c>
      <c r="AX139" s="75">
        <f t="shared" si="78"/>
        <v>2934211.9970460702</v>
      </c>
      <c r="AY139" s="75">
        <f t="shared" si="78"/>
        <v>2893722.4394334578</v>
      </c>
      <c r="AZ139" s="75">
        <f t="shared" si="78"/>
        <v>3254526.6631037924</v>
      </c>
      <c r="BA139" s="75">
        <f t="shared" si="78"/>
        <v>3222581.9333973452</v>
      </c>
      <c r="BB139" s="75">
        <f t="shared" si="78"/>
        <v>3191595.5455820919</v>
      </c>
      <c r="BC139" s="75">
        <f t="shared" si="78"/>
        <v>3543463.5760679669</v>
      </c>
      <c r="BD139" s="75">
        <f t="shared" si="78"/>
        <v>3502850.738972595</v>
      </c>
      <c r="BE139" s="75">
        <f t="shared" si="78"/>
        <v>3463456.2869900856</v>
      </c>
      <c r="BF139" s="75">
        <f t="shared" si="78"/>
        <v>3807168.4952337202</v>
      </c>
      <c r="BG139" s="75">
        <f t="shared" si="78"/>
        <v>3758644.5105633754</v>
      </c>
      <c r="BH139" s="75">
        <f t="shared" si="78"/>
        <v>3711576.2454331419</v>
      </c>
      <c r="BI139" s="75">
        <f t="shared" si="78"/>
        <v>3665920.028256814</v>
      </c>
      <c r="BJ139" s="75">
        <f t="shared" si="78"/>
        <v>3621633.4975957782</v>
      </c>
    </row>
    <row r="140" spans="1:62">
      <c r="C140" s="100"/>
    </row>
    <row r="141" spans="1:62">
      <c r="A141" s="122" t="s">
        <v>46</v>
      </c>
    </row>
    <row r="142" spans="1:62">
      <c r="A142" s="102" t="s">
        <v>127</v>
      </c>
    </row>
    <row r="143" spans="1:62">
      <c r="A143" s="118" t="s">
        <v>128</v>
      </c>
      <c r="C143" s="81">
        <f t="shared" ref="C143:AH143" si="79">C115*Minutes_Terminating_Off_Net*Cost_Local_Termination_Off_Net</f>
        <v>30888</v>
      </c>
      <c r="D143" s="81">
        <f t="shared" si="79"/>
        <v>31505.760000000002</v>
      </c>
      <c r="E143" s="81">
        <f t="shared" si="79"/>
        <v>32104.9872</v>
      </c>
      <c r="F143" s="81">
        <f t="shared" si="79"/>
        <v>32686.237583999999</v>
      </c>
      <c r="G143" s="81">
        <f t="shared" si="79"/>
        <v>33250.050456479992</v>
      </c>
      <c r="H143" s="81">
        <f t="shared" si="79"/>
        <v>33796.948942785602</v>
      </c>
      <c r="I143" s="81">
        <f t="shared" si="79"/>
        <v>34327.440474502037</v>
      </c>
      <c r="J143" s="81">
        <f t="shared" si="79"/>
        <v>34842.017260266977</v>
      </c>
      <c r="K143" s="81">
        <f t="shared" si="79"/>
        <v>35341.156742458959</v>
      </c>
      <c r="L143" s="81">
        <f t="shared" si="79"/>
        <v>35825.322040185194</v>
      </c>
      <c r="M143" s="81">
        <f t="shared" si="79"/>
        <v>36294.962378979639</v>
      </c>
      <c r="N143" s="81">
        <f t="shared" si="79"/>
        <v>36750.513507610252</v>
      </c>
      <c r="O143" s="81">
        <f t="shared" si="79"/>
        <v>37192.398102381951</v>
      </c>
      <c r="P143" s="81">
        <f t="shared" si="79"/>
        <v>60248.826159310513</v>
      </c>
      <c r="Q143" s="81">
        <f t="shared" si="79"/>
        <v>59213.561374531178</v>
      </c>
      <c r="R143" s="81">
        <f t="shared" si="79"/>
        <v>58209.354533295242</v>
      </c>
      <c r="S143" s="81">
        <f t="shared" si="79"/>
        <v>80635.2738972964</v>
      </c>
      <c r="T143" s="81">
        <f t="shared" si="79"/>
        <v>78988.415680377482</v>
      </c>
      <c r="U143" s="81">
        <f t="shared" si="79"/>
        <v>77390.963209966183</v>
      </c>
      <c r="V143" s="81">
        <f t="shared" si="79"/>
        <v>99241.434313667181</v>
      </c>
      <c r="W143" s="81">
        <f t="shared" si="79"/>
        <v>97036.391284257159</v>
      </c>
      <c r="X143" s="81">
        <f t="shared" si="79"/>
        <v>94897.499545729443</v>
      </c>
      <c r="Y143" s="81">
        <f t="shared" si="79"/>
        <v>92822.774559357553</v>
      </c>
      <c r="Z143" s="81">
        <f t="shared" si="79"/>
        <v>90810.291322576828</v>
      </c>
      <c r="AA143" s="81">
        <f t="shared" si="79"/>
        <v>88858.182582899521</v>
      </c>
      <c r="AB143" s="81">
        <f t="shared" si="79"/>
        <v>111277.23710541255</v>
      </c>
      <c r="AC143" s="81">
        <f t="shared" si="79"/>
        <v>109623.71999225019</v>
      </c>
      <c r="AD143" s="81">
        <f t="shared" si="79"/>
        <v>108019.80839248266</v>
      </c>
      <c r="AE143" s="81">
        <f t="shared" si="79"/>
        <v>129864.01414070818</v>
      </c>
      <c r="AF143" s="81">
        <f t="shared" si="79"/>
        <v>127652.89371648696</v>
      </c>
      <c r="AG143" s="81">
        <f t="shared" si="79"/>
        <v>125508.10690499231</v>
      </c>
      <c r="AH143" s="81">
        <f t="shared" si="79"/>
        <v>146827.6636978426</v>
      </c>
      <c r="AI143" s="81">
        <f t="shared" ref="AI143:BJ143" si="80">AI115*Minutes_Terminating_Off_Net*Cost_Local_Termination_Off_Net</f>
        <v>144107.63378690727</v>
      </c>
      <c r="AJ143" s="81">
        <f t="shared" si="80"/>
        <v>141469.20477330009</v>
      </c>
      <c r="AK143" s="81">
        <f t="shared" si="80"/>
        <v>138909.92863010109</v>
      </c>
      <c r="AL143" s="81">
        <f t="shared" si="80"/>
        <v>136427.43077119807</v>
      </c>
      <c r="AM143" s="81">
        <f t="shared" si="80"/>
        <v>134019.40784806211</v>
      </c>
      <c r="AN143" s="81">
        <f t="shared" si="80"/>
        <v>156253.62561262024</v>
      </c>
      <c r="AO143" s="81">
        <f t="shared" si="80"/>
        <v>154420.81684424166</v>
      </c>
      <c r="AP143" s="81">
        <f t="shared" si="80"/>
        <v>152642.9923389144</v>
      </c>
      <c r="AQ143" s="81">
        <f t="shared" si="80"/>
        <v>174318.50256874695</v>
      </c>
      <c r="AR143" s="81">
        <f t="shared" si="80"/>
        <v>171943.74749168457</v>
      </c>
      <c r="AS143" s="81">
        <f t="shared" si="80"/>
        <v>169640.23506693405</v>
      </c>
      <c r="AT143" s="81">
        <f t="shared" si="80"/>
        <v>190805.82801492602</v>
      </c>
      <c r="AU143" s="81">
        <f t="shared" si="80"/>
        <v>187936.45317447826</v>
      </c>
      <c r="AV143" s="81">
        <f t="shared" si="80"/>
        <v>185153.15957924389</v>
      </c>
      <c r="AW143" s="81">
        <f t="shared" si="80"/>
        <v>182453.3647918666</v>
      </c>
      <c r="AX143" s="81">
        <f t="shared" si="80"/>
        <v>179834.56384811059</v>
      </c>
      <c r="AY143" s="81">
        <f t="shared" si="80"/>
        <v>177294.32693266723</v>
      </c>
      <c r="AZ143" s="81">
        <f t="shared" si="80"/>
        <v>199400.29712468726</v>
      </c>
      <c r="BA143" s="81">
        <f t="shared" si="80"/>
        <v>197443.08821094662</v>
      </c>
      <c r="BB143" s="81">
        <f t="shared" si="80"/>
        <v>195544.59556461827</v>
      </c>
      <c r="BC143" s="81">
        <f t="shared" si="80"/>
        <v>217103.05769767967</v>
      </c>
      <c r="BD143" s="81">
        <f t="shared" si="80"/>
        <v>214614.76596674928</v>
      </c>
      <c r="BE143" s="81">
        <f t="shared" si="80"/>
        <v>212201.12298774681</v>
      </c>
      <c r="BF143" s="81">
        <f t="shared" si="80"/>
        <v>233259.8892981144</v>
      </c>
      <c r="BG143" s="81">
        <f t="shared" si="80"/>
        <v>230286.89261917101</v>
      </c>
      <c r="BH143" s="81">
        <f t="shared" si="80"/>
        <v>227403.08584059586</v>
      </c>
      <c r="BI143" s="81">
        <f t="shared" si="80"/>
        <v>224605.79326537796</v>
      </c>
      <c r="BJ143" s="81">
        <f t="shared" si="80"/>
        <v>221892.41946741671</v>
      </c>
    </row>
    <row r="144" spans="1:62">
      <c r="A144" s="118" t="s">
        <v>129</v>
      </c>
      <c r="C144" s="81"/>
      <c r="D144" s="81">
        <f t="shared" ref="D144:AH144" si="81">D115*Minutes_Roaming*Cost_Roaming_Other_Net</f>
        <v>7.3841624999999983E-5</v>
      </c>
      <c r="E144" s="81">
        <f t="shared" si="81"/>
        <v>7.5246063749999994E-5</v>
      </c>
      <c r="F144" s="81">
        <f t="shared" si="81"/>
        <v>7.6608369337499992E-5</v>
      </c>
      <c r="G144" s="81">
        <f t="shared" si="81"/>
        <v>7.7929805757374985E-5</v>
      </c>
      <c r="H144" s="81">
        <f t="shared" si="81"/>
        <v>7.921159908465375E-5</v>
      </c>
      <c r="I144" s="81">
        <f t="shared" si="81"/>
        <v>8.0454938612114124E-5</v>
      </c>
      <c r="J144" s="81">
        <f t="shared" si="81"/>
        <v>8.166097795375071E-5</v>
      </c>
      <c r="K144" s="81">
        <f t="shared" si="81"/>
        <v>8.2830836115138176E-5</v>
      </c>
      <c r="L144" s="81">
        <f t="shared" si="81"/>
        <v>8.396559853168404E-5</v>
      </c>
      <c r="M144" s="81">
        <f t="shared" si="81"/>
        <v>8.5066318075733519E-5</v>
      </c>
      <c r="N144" s="81">
        <f t="shared" si="81"/>
        <v>8.6134016033461518E-5</v>
      </c>
      <c r="O144" s="81">
        <f t="shared" si="81"/>
        <v>8.7169683052457686E-5</v>
      </c>
      <c r="P144" s="81">
        <f t="shared" si="81"/>
        <v>1.4120818631088396E-4</v>
      </c>
      <c r="Q144" s="81">
        <f t="shared" si="81"/>
        <v>1.3878178447155744E-4</v>
      </c>
      <c r="R144" s="81">
        <f t="shared" si="81"/>
        <v>1.3642817468741068E-4</v>
      </c>
      <c r="S144" s="81">
        <f t="shared" si="81"/>
        <v>1.8898892319678843E-4</v>
      </c>
      <c r="T144" s="81">
        <f t="shared" si="81"/>
        <v>1.8512909925088474E-4</v>
      </c>
      <c r="U144" s="81">
        <f t="shared" si="81"/>
        <v>1.813850700233582E-4</v>
      </c>
      <c r="V144" s="81">
        <f t="shared" si="81"/>
        <v>2.3259711167265742E-4</v>
      </c>
      <c r="W144" s="81">
        <f t="shared" si="81"/>
        <v>2.2742904207247771E-4</v>
      </c>
      <c r="X144" s="81">
        <f t="shared" si="81"/>
        <v>2.2241601456030337E-4</v>
      </c>
      <c r="Y144" s="81">
        <f t="shared" si="81"/>
        <v>2.1755337787349426E-4</v>
      </c>
      <c r="Z144" s="81">
        <f t="shared" si="81"/>
        <v>2.1283662028728943E-4</v>
      </c>
      <c r="AA144" s="81">
        <f t="shared" si="81"/>
        <v>2.082613654286707E-4</v>
      </c>
      <c r="AB144" s="81">
        <f t="shared" si="81"/>
        <v>2.6080602446581065E-4</v>
      </c>
      <c r="AC144" s="81">
        <f t="shared" si="81"/>
        <v>2.5693059373183637E-4</v>
      </c>
      <c r="AD144" s="81">
        <f t="shared" si="81"/>
        <v>2.5317142591988124E-4</v>
      </c>
      <c r="AE144" s="81">
        <f t="shared" si="81"/>
        <v>3.0436878314228481E-4</v>
      </c>
      <c r="AF144" s="81">
        <f t="shared" si="81"/>
        <v>2.9918646964801628E-4</v>
      </c>
      <c r="AG144" s="81">
        <f t="shared" si="81"/>
        <v>2.9415962555857575E-4</v>
      </c>
      <c r="AH144" s="81">
        <f t="shared" si="81"/>
        <v>3.4412733679181851E-4</v>
      </c>
      <c r="AI144" s="81">
        <f t="shared" ref="AI144:BJ144" si="82">AI115*Minutes_Roaming*Cost_Roaming_Other_Net</f>
        <v>3.3775226668806391E-4</v>
      </c>
      <c r="AJ144" s="81">
        <f t="shared" si="82"/>
        <v>3.3156844868742209E-4</v>
      </c>
      <c r="AK144" s="81">
        <f t="shared" si="82"/>
        <v>3.2557014522679941E-4</v>
      </c>
      <c r="AL144" s="81">
        <f t="shared" si="82"/>
        <v>3.1975179086999542E-4</v>
      </c>
      <c r="AM144" s="81">
        <f t="shared" si="82"/>
        <v>3.1410798714389554E-4</v>
      </c>
      <c r="AN144" s="81">
        <f t="shared" si="82"/>
        <v>3.662194350295787E-4</v>
      </c>
      <c r="AO144" s="81">
        <f t="shared" si="82"/>
        <v>3.6192378947869135E-4</v>
      </c>
      <c r="AP144" s="81">
        <f t="shared" si="82"/>
        <v>3.5775701329433053E-4</v>
      </c>
      <c r="AQ144" s="81">
        <f t="shared" si="82"/>
        <v>4.0855899039550064E-4</v>
      </c>
      <c r="AR144" s="81">
        <f t="shared" si="82"/>
        <v>4.0299315818363566E-4</v>
      </c>
      <c r="AS144" s="81">
        <f t="shared" si="82"/>
        <v>3.9759430093812666E-4</v>
      </c>
      <c r="AT144" s="81">
        <f t="shared" si="82"/>
        <v>4.4720115940998282E-4</v>
      </c>
      <c r="AU144" s="81">
        <f t="shared" si="82"/>
        <v>4.404760621276834E-4</v>
      </c>
      <c r="AV144" s="81">
        <f t="shared" si="82"/>
        <v>4.3395271776385284E-4</v>
      </c>
      <c r="AW144" s="81">
        <f t="shared" si="82"/>
        <v>4.2762507373093726E-4</v>
      </c>
      <c r="AX144" s="81">
        <f t="shared" si="82"/>
        <v>4.2148725901900911E-4</v>
      </c>
      <c r="AY144" s="81">
        <f t="shared" si="82"/>
        <v>4.1553357874843882E-4</v>
      </c>
      <c r="AZ144" s="81">
        <f t="shared" si="82"/>
        <v>4.6734444638598575E-4</v>
      </c>
      <c r="BA144" s="81">
        <f t="shared" si="82"/>
        <v>4.6275723799440608E-4</v>
      </c>
      <c r="BB144" s="81">
        <f t="shared" si="82"/>
        <v>4.5830764585457395E-4</v>
      </c>
      <c r="BC144" s="81">
        <f t="shared" si="82"/>
        <v>5.0883529147893671E-4</v>
      </c>
      <c r="BD144" s="81">
        <f t="shared" si="82"/>
        <v>5.0300335773456855E-4</v>
      </c>
      <c r="BE144" s="81">
        <f t="shared" si="82"/>
        <v>4.9734638200253157E-4</v>
      </c>
      <c r="BF144" s="81">
        <f t="shared" si="82"/>
        <v>5.4670286554245567E-4</v>
      </c>
      <c r="BG144" s="81">
        <f t="shared" si="82"/>
        <v>5.3973490457618191E-4</v>
      </c>
      <c r="BH144" s="81">
        <f t="shared" si="82"/>
        <v>5.3297598243889639E-4</v>
      </c>
      <c r="BI144" s="81">
        <f t="shared" si="82"/>
        <v>5.2641982796572959E-4</v>
      </c>
      <c r="BJ144" s="81">
        <f t="shared" si="82"/>
        <v>5.2006035812675788E-4</v>
      </c>
    </row>
    <row r="145" spans="1:62">
      <c r="A145" s="118" t="s">
        <v>130</v>
      </c>
      <c r="C145" s="81">
        <f t="shared" ref="C145:AH145" si="83">C115*Minutes_International_Minutes*Rev_Minutes_International_Calls</f>
        <v>19305</v>
      </c>
      <c r="D145" s="81">
        <f t="shared" si="83"/>
        <v>19691.100000000002</v>
      </c>
      <c r="E145" s="81">
        <f t="shared" si="83"/>
        <v>20065.616999999998</v>
      </c>
      <c r="F145" s="81">
        <f t="shared" si="83"/>
        <v>20428.89849</v>
      </c>
      <c r="G145" s="81">
        <f t="shared" si="83"/>
        <v>20781.281535299997</v>
      </c>
      <c r="H145" s="81">
        <f t="shared" si="83"/>
        <v>21123.093089241</v>
      </c>
      <c r="I145" s="81">
        <f t="shared" si="83"/>
        <v>21454.650296563774</v>
      </c>
      <c r="J145" s="81">
        <f t="shared" si="83"/>
        <v>21776.260787666863</v>
      </c>
      <c r="K145" s="81">
        <f t="shared" si="83"/>
        <v>22088.22296403685</v>
      </c>
      <c r="L145" s="81">
        <f t="shared" si="83"/>
        <v>22390.826275115745</v>
      </c>
      <c r="M145" s="81">
        <f t="shared" si="83"/>
        <v>22684.351486862273</v>
      </c>
      <c r="N145" s="81">
        <f t="shared" si="83"/>
        <v>22969.07094225641</v>
      </c>
      <c r="O145" s="81">
        <f t="shared" si="83"/>
        <v>23245.248813988717</v>
      </c>
      <c r="P145" s="81">
        <f t="shared" si="83"/>
        <v>37655.516349569072</v>
      </c>
      <c r="Q145" s="81">
        <f t="shared" si="83"/>
        <v>37008.475859081984</v>
      </c>
      <c r="R145" s="81">
        <f t="shared" si="83"/>
        <v>36380.846583309525</v>
      </c>
      <c r="S145" s="81">
        <f t="shared" si="83"/>
        <v>50397.04618581025</v>
      </c>
      <c r="T145" s="81">
        <f t="shared" si="83"/>
        <v>49367.75980023593</v>
      </c>
      <c r="U145" s="81">
        <f t="shared" si="83"/>
        <v>48369.352006228866</v>
      </c>
      <c r="V145" s="81">
        <f t="shared" si="83"/>
        <v>62025.896446041988</v>
      </c>
      <c r="W145" s="81">
        <f t="shared" si="83"/>
        <v>60647.744552660726</v>
      </c>
      <c r="X145" s="81">
        <f t="shared" si="83"/>
        <v>59310.9372160809</v>
      </c>
      <c r="Y145" s="81">
        <f t="shared" si="83"/>
        <v>58014.234099598478</v>
      </c>
      <c r="Z145" s="81">
        <f t="shared" si="83"/>
        <v>56756.432076610523</v>
      </c>
      <c r="AA145" s="81">
        <f t="shared" si="83"/>
        <v>55536.3641143122</v>
      </c>
      <c r="AB145" s="81">
        <f t="shared" si="83"/>
        <v>69548.273190882857</v>
      </c>
      <c r="AC145" s="81">
        <f t="shared" si="83"/>
        <v>68514.824995156363</v>
      </c>
      <c r="AD145" s="81">
        <f t="shared" si="83"/>
        <v>67512.380245301669</v>
      </c>
      <c r="AE145" s="81">
        <f t="shared" si="83"/>
        <v>81165.008837942616</v>
      </c>
      <c r="AF145" s="81">
        <f t="shared" si="83"/>
        <v>79783.058572804352</v>
      </c>
      <c r="AG145" s="81">
        <f t="shared" si="83"/>
        <v>78442.566815620201</v>
      </c>
      <c r="AH145" s="81">
        <f t="shared" si="83"/>
        <v>91767.289811151626</v>
      </c>
      <c r="AI145" s="81">
        <f t="shared" ref="AI145:BJ145" si="84">AI115*Minutes_International_Minutes*Rev_Minutes_International_Calls</f>
        <v>90067.27111681705</v>
      </c>
      <c r="AJ145" s="81">
        <f t="shared" si="84"/>
        <v>88418.252983312574</v>
      </c>
      <c r="AK145" s="81">
        <f t="shared" si="84"/>
        <v>86818.705393813187</v>
      </c>
      <c r="AL145" s="81">
        <f t="shared" si="84"/>
        <v>85267.144231998784</v>
      </c>
      <c r="AM145" s="81">
        <f t="shared" si="84"/>
        <v>83762.129905038819</v>
      </c>
      <c r="AN145" s="81">
        <f t="shared" si="84"/>
        <v>97658.516007887665</v>
      </c>
      <c r="AO145" s="81">
        <f t="shared" si="84"/>
        <v>96513.010527651044</v>
      </c>
      <c r="AP145" s="81">
        <f t="shared" si="84"/>
        <v>95401.870211821501</v>
      </c>
      <c r="AQ145" s="81">
        <f t="shared" si="84"/>
        <v>108949.06410546685</v>
      </c>
      <c r="AR145" s="81">
        <f t="shared" si="84"/>
        <v>107464.84218230285</v>
      </c>
      <c r="AS145" s="81">
        <f t="shared" si="84"/>
        <v>106025.14691683378</v>
      </c>
      <c r="AT145" s="81">
        <f t="shared" si="84"/>
        <v>119253.64250932877</v>
      </c>
      <c r="AU145" s="81">
        <f t="shared" si="84"/>
        <v>117460.28323404893</v>
      </c>
      <c r="AV145" s="81">
        <f t="shared" si="84"/>
        <v>115720.72473702743</v>
      </c>
      <c r="AW145" s="81">
        <f t="shared" si="84"/>
        <v>114033.35299491661</v>
      </c>
      <c r="AX145" s="81">
        <f t="shared" si="84"/>
        <v>112396.60240506912</v>
      </c>
      <c r="AY145" s="81">
        <f t="shared" si="84"/>
        <v>110808.95433291703</v>
      </c>
      <c r="AZ145" s="81">
        <f t="shared" si="84"/>
        <v>124625.18570292954</v>
      </c>
      <c r="BA145" s="81">
        <f t="shared" si="84"/>
        <v>123401.93013184164</v>
      </c>
      <c r="BB145" s="81">
        <f t="shared" si="84"/>
        <v>122215.37222788642</v>
      </c>
      <c r="BC145" s="81">
        <f t="shared" si="84"/>
        <v>135689.41106104979</v>
      </c>
      <c r="BD145" s="81">
        <f t="shared" si="84"/>
        <v>134134.2287292183</v>
      </c>
      <c r="BE145" s="81">
        <f t="shared" si="84"/>
        <v>132625.70186734176</v>
      </c>
      <c r="BF145" s="81">
        <f t="shared" si="84"/>
        <v>145787.43081132151</v>
      </c>
      <c r="BG145" s="81">
        <f t="shared" si="84"/>
        <v>143929.30788698187</v>
      </c>
      <c r="BH145" s="81">
        <f t="shared" si="84"/>
        <v>142126.9286503724</v>
      </c>
      <c r="BI145" s="81">
        <f t="shared" si="84"/>
        <v>140378.62079086123</v>
      </c>
      <c r="BJ145" s="81">
        <f t="shared" si="84"/>
        <v>138682.76216713546</v>
      </c>
    </row>
    <row r="146" spans="1:62">
      <c r="A146" s="118" t="s">
        <v>164</v>
      </c>
      <c r="C146" s="81">
        <f t="shared" ref="C146:AH146" si="85">C115*Subs_Terminating_On_Net*Local_Termination_On_Net</f>
        <v>0</v>
      </c>
      <c r="D146" s="81">
        <f t="shared" si="85"/>
        <v>0</v>
      </c>
      <c r="E146" s="81">
        <f t="shared" si="85"/>
        <v>0</v>
      </c>
      <c r="F146" s="81">
        <f t="shared" si="85"/>
        <v>0</v>
      </c>
      <c r="G146" s="81">
        <f t="shared" si="85"/>
        <v>0</v>
      </c>
      <c r="H146" s="81">
        <f t="shared" si="85"/>
        <v>0</v>
      </c>
      <c r="I146" s="81">
        <f t="shared" si="85"/>
        <v>0</v>
      </c>
      <c r="J146" s="81">
        <f t="shared" si="85"/>
        <v>0</v>
      </c>
      <c r="K146" s="81">
        <f t="shared" si="85"/>
        <v>0</v>
      </c>
      <c r="L146" s="81">
        <f t="shared" si="85"/>
        <v>0</v>
      </c>
      <c r="M146" s="81">
        <f t="shared" si="85"/>
        <v>0</v>
      </c>
      <c r="N146" s="81">
        <f t="shared" si="85"/>
        <v>0</v>
      </c>
      <c r="O146" s="81">
        <f t="shared" si="85"/>
        <v>0</v>
      </c>
      <c r="P146" s="81">
        <f t="shared" si="85"/>
        <v>0</v>
      </c>
      <c r="Q146" s="81">
        <f t="shared" si="85"/>
        <v>0</v>
      </c>
      <c r="R146" s="81">
        <f t="shared" si="85"/>
        <v>0</v>
      </c>
      <c r="S146" s="81">
        <f t="shared" si="85"/>
        <v>0</v>
      </c>
      <c r="T146" s="81">
        <f t="shared" si="85"/>
        <v>0</v>
      </c>
      <c r="U146" s="81">
        <f t="shared" si="85"/>
        <v>0</v>
      </c>
      <c r="V146" s="81">
        <f t="shared" si="85"/>
        <v>0</v>
      </c>
      <c r="W146" s="81">
        <f t="shared" si="85"/>
        <v>0</v>
      </c>
      <c r="X146" s="81">
        <f t="shared" si="85"/>
        <v>0</v>
      </c>
      <c r="Y146" s="81">
        <f t="shared" si="85"/>
        <v>0</v>
      </c>
      <c r="Z146" s="81">
        <f t="shared" si="85"/>
        <v>0</v>
      </c>
      <c r="AA146" s="81">
        <f t="shared" si="85"/>
        <v>0</v>
      </c>
      <c r="AB146" s="81">
        <f t="shared" si="85"/>
        <v>0</v>
      </c>
      <c r="AC146" s="81">
        <f t="shared" si="85"/>
        <v>0</v>
      </c>
      <c r="AD146" s="81">
        <f t="shared" si="85"/>
        <v>0</v>
      </c>
      <c r="AE146" s="81">
        <f t="shared" si="85"/>
        <v>0</v>
      </c>
      <c r="AF146" s="81">
        <f t="shared" si="85"/>
        <v>0</v>
      </c>
      <c r="AG146" s="81">
        <f t="shared" si="85"/>
        <v>0</v>
      </c>
      <c r="AH146" s="81">
        <f t="shared" si="85"/>
        <v>0</v>
      </c>
      <c r="AI146" s="81">
        <f t="shared" ref="AI146:BJ146" si="86">AI115*Subs_Terminating_On_Net*Local_Termination_On_Net</f>
        <v>0</v>
      </c>
      <c r="AJ146" s="81">
        <f t="shared" si="86"/>
        <v>0</v>
      </c>
      <c r="AK146" s="81">
        <f t="shared" si="86"/>
        <v>0</v>
      </c>
      <c r="AL146" s="81">
        <f t="shared" si="86"/>
        <v>0</v>
      </c>
      <c r="AM146" s="81">
        <f t="shared" si="86"/>
        <v>0</v>
      </c>
      <c r="AN146" s="81">
        <f t="shared" si="86"/>
        <v>0</v>
      </c>
      <c r="AO146" s="81">
        <f t="shared" si="86"/>
        <v>0</v>
      </c>
      <c r="AP146" s="81">
        <f t="shared" si="86"/>
        <v>0</v>
      </c>
      <c r="AQ146" s="81">
        <f t="shared" si="86"/>
        <v>0</v>
      </c>
      <c r="AR146" s="81">
        <f t="shared" si="86"/>
        <v>0</v>
      </c>
      <c r="AS146" s="81">
        <f t="shared" si="86"/>
        <v>0</v>
      </c>
      <c r="AT146" s="81">
        <f t="shared" si="86"/>
        <v>0</v>
      </c>
      <c r="AU146" s="81">
        <f t="shared" si="86"/>
        <v>0</v>
      </c>
      <c r="AV146" s="81">
        <f t="shared" si="86"/>
        <v>0</v>
      </c>
      <c r="AW146" s="81">
        <f t="shared" si="86"/>
        <v>0</v>
      </c>
      <c r="AX146" s="81">
        <f t="shared" si="86"/>
        <v>0</v>
      </c>
      <c r="AY146" s="81">
        <f t="shared" si="86"/>
        <v>0</v>
      </c>
      <c r="AZ146" s="81">
        <f t="shared" si="86"/>
        <v>0</v>
      </c>
      <c r="BA146" s="81">
        <f t="shared" si="86"/>
        <v>0</v>
      </c>
      <c r="BB146" s="81">
        <f t="shared" si="86"/>
        <v>0</v>
      </c>
      <c r="BC146" s="81">
        <f t="shared" si="86"/>
        <v>0</v>
      </c>
      <c r="BD146" s="81">
        <f t="shared" si="86"/>
        <v>0</v>
      </c>
      <c r="BE146" s="81">
        <f t="shared" si="86"/>
        <v>0</v>
      </c>
      <c r="BF146" s="81">
        <f t="shared" si="86"/>
        <v>0</v>
      </c>
      <c r="BG146" s="81">
        <f t="shared" si="86"/>
        <v>0</v>
      </c>
      <c r="BH146" s="81">
        <f t="shared" si="86"/>
        <v>0</v>
      </c>
      <c r="BI146" s="81">
        <f t="shared" si="86"/>
        <v>0</v>
      </c>
      <c r="BJ146" s="81">
        <f t="shared" si="86"/>
        <v>0</v>
      </c>
    </row>
    <row r="147" spans="1:62">
      <c r="A147" s="118" t="s">
        <v>66</v>
      </c>
      <c r="C147" s="81">
        <f>SUM(C143:C146)</f>
        <v>50193</v>
      </c>
      <c r="D147" s="81">
        <f t="shared" ref="D147:BJ147" si="87">SUM(D143:D146)</f>
        <v>51196.860073841628</v>
      </c>
      <c r="E147" s="81">
        <f t="shared" si="87"/>
        <v>52170.604275246063</v>
      </c>
      <c r="F147" s="81">
        <f t="shared" si="87"/>
        <v>53115.136150608363</v>
      </c>
      <c r="G147" s="81">
        <f t="shared" si="87"/>
        <v>54031.332069709795</v>
      </c>
      <c r="H147" s="81">
        <f t="shared" si="87"/>
        <v>54920.042111238203</v>
      </c>
      <c r="I147" s="81">
        <f t="shared" si="87"/>
        <v>55782.090851520756</v>
      </c>
      <c r="J147" s="81">
        <f t="shared" si="87"/>
        <v>56618.278129594815</v>
      </c>
      <c r="K147" s="81">
        <f t="shared" si="87"/>
        <v>57429.379789326646</v>
      </c>
      <c r="L147" s="81">
        <f t="shared" si="87"/>
        <v>58216.148399266538</v>
      </c>
      <c r="M147" s="81">
        <f t="shared" si="87"/>
        <v>58979.313950908232</v>
      </c>
      <c r="N147" s="81">
        <f t="shared" si="87"/>
        <v>59719.584536000679</v>
      </c>
      <c r="O147" s="81">
        <f t="shared" si="87"/>
        <v>60437.647003540347</v>
      </c>
      <c r="P147" s="81">
        <f t="shared" si="87"/>
        <v>97904.342650087769</v>
      </c>
      <c r="Q147" s="81">
        <f t="shared" si="87"/>
        <v>96222.037372394945</v>
      </c>
      <c r="R147" s="81">
        <f t="shared" si="87"/>
        <v>94590.201253032952</v>
      </c>
      <c r="S147" s="81">
        <f t="shared" si="87"/>
        <v>131032.32027209557</v>
      </c>
      <c r="T147" s="81">
        <f t="shared" si="87"/>
        <v>128356.17566574251</v>
      </c>
      <c r="U147" s="81">
        <f t="shared" si="87"/>
        <v>125760.31539758013</v>
      </c>
      <c r="V147" s="81">
        <f t="shared" si="87"/>
        <v>161267.33099230629</v>
      </c>
      <c r="W147" s="81">
        <f t="shared" si="87"/>
        <v>157684.13606434694</v>
      </c>
      <c r="X147" s="81">
        <f t="shared" si="87"/>
        <v>154208.43698422634</v>
      </c>
      <c r="Y147" s="81">
        <f t="shared" si="87"/>
        <v>150837.00887650941</v>
      </c>
      <c r="Z147" s="81">
        <f t="shared" si="87"/>
        <v>147566.72361202398</v>
      </c>
      <c r="AA147" s="81">
        <f t="shared" si="87"/>
        <v>144394.54690547308</v>
      </c>
      <c r="AB147" s="81">
        <f t="shared" si="87"/>
        <v>180825.51055710146</v>
      </c>
      <c r="AC147" s="81">
        <f t="shared" si="87"/>
        <v>178138.54524433715</v>
      </c>
      <c r="AD147" s="81">
        <f t="shared" si="87"/>
        <v>175532.18889095576</v>
      </c>
      <c r="AE147" s="81">
        <f t="shared" si="87"/>
        <v>211029.0232830196</v>
      </c>
      <c r="AF147" s="81">
        <f t="shared" si="87"/>
        <v>207435.95258847778</v>
      </c>
      <c r="AG147" s="81">
        <f t="shared" si="87"/>
        <v>203950.67401477214</v>
      </c>
      <c r="AH147" s="81">
        <f t="shared" si="87"/>
        <v>238594.95385312155</v>
      </c>
      <c r="AI147" s="81">
        <f t="shared" si="87"/>
        <v>234174.9052414766</v>
      </c>
      <c r="AJ147" s="81">
        <f t="shared" si="87"/>
        <v>229887.4580881811</v>
      </c>
      <c r="AK147" s="81">
        <f t="shared" si="87"/>
        <v>225728.6343494844</v>
      </c>
      <c r="AL147" s="81">
        <f t="shared" si="87"/>
        <v>221694.57532294863</v>
      </c>
      <c r="AM147" s="81">
        <f t="shared" si="87"/>
        <v>217781.53806720889</v>
      </c>
      <c r="AN147" s="81">
        <f t="shared" si="87"/>
        <v>253912.14198672734</v>
      </c>
      <c r="AO147" s="81">
        <f t="shared" si="87"/>
        <v>250933.82773381652</v>
      </c>
      <c r="AP147" s="81">
        <f t="shared" si="87"/>
        <v>248044.86290849291</v>
      </c>
      <c r="AQ147" s="81">
        <f t="shared" si="87"/>
        <v>283267.56708277279</v>
      </c>
      <c r="AR147" s="81">
        <f t="shared" si="87"/>
        <v>279408.59007698053</v>
      </c>
      <c r="AS147" s="81">
        <f t="shared" si="87"/>
        <v>275665.38238136214</v>
      </c>
      <c r="AT147" s="81">
        <f t="shared" si="87"/>
        <v>310059.47097145597</v>
      </c>
      <c r="AU147" s="81">
        <f t="shared" si="87"/>
        <v>305396.73684900324</v>
      </c>
      <c r="AV147" s="81">
        <f t="shared" si="87"/>
        <v>300873.88475022407</v>
      </c>
      <c r="AW147" s="81">
        <f t="shared" si="87"/>
        <v>296486.71821440826</v>
      </c>
      <c r="AX147" s="81">
        <f t="shared" si="87"/>
        <v>292231.16667466698</v>
      </c>
      <c r="AY147" s="81">
        <f t="shared" si="87"/>
        <v>288103.28168111783</v>
      </c>
      <c r="AZ147" s="81">
        <f t="shared" si="87"/>
        <v>324025.48329496128</v>
      </c>
      <c r="BA147" s="81">
        <f t="shared" si="87"/>
        <v>320845.01880554552</v>
      </c>
      <c r="BB147" s="81">
        <f t="shared" si="87"/>
        <v>317759.96825081232</v>
      </c>
      <c r="BC147" s="81">
        <f t="shared" si="87"/>
        <v>352792.46926756471</v>
      </c>
      <c r="BD147" s="81">
        <f t="shared" si="87"/>
        <v>348748.99519897095</v>
      </c>
      <c r="BE147" s="81">
        <f t="shared" si="87"/>
        <v>344826.825352435</v>
      </c>
      <c r="BF147" s="81">
        <f t="shared" si="87"/>
        <v>379047.32065613876</v>
      </c>
      <c r="BG147" s="81">
        <f t="shared" si="87"/>
        <v>374216.20104588778</v>
      </c>
      <c r="BH147" s="81">
        <f t="shared" si="87"/>
        <v>369530.0150239442</v>
      </c>
      <c r="BI147" s="81">
        <f t="shared" si="87"/>
        <v>364984.41458265902</v>
      </c>
      <c r="BJ147" s="81">
        <f t="shared" si="87"/>
        <v>360575.1821546125</v>
      </c>
    </row>
    <row r="148" spans="1:62">
      <c r="A148" s="82"/>
    </row>
    <row r="149" spans="1:62">
      <c r="A149" s="102" t="s">
        <v>135</v>
      </c>
    </row>
    <row r="150" spans="1:62">
      <c r="A150" s="118" t="s">
        <v>136</v>
      </c>
      <c r="C150" s="99">
        <f t="shared" ref="C150:N150" si="88">C109*Cost_per_Subscriber_Cable</f>
        <v>165000</v>
      </c>
      <c r="D150" s="99">
        <f t="shared" si="88"/>
        <v>168300</v>
      </c>
      <c r="E150" s="99">
        <f t="shared" si="88"/>
        <v>171501</v>
      </c>
      <c r="F150" s="99">
        <f t="shared" si="88"/>
        <v>174605.97</v>
      </c>
      <c r="G150" s="99">
        <f t="shared" si="88"/>
        <v>177617.79089999999</v>
      </c>
      <c r="H150" s="99">
        <f t="shared" si="88"/>
        <v>180539.25717300002</v>
      </c>
      <c r="I150" s="99">
        <f t="shared" si="88"/>
        <v>183373.07945781</v>
      </c>
      <c r="J150" s="99">
        <f t="shared" si="88"/>
        <v>186121.88707407573</v>
      </c>
      <c r="K150" s="99">
        <f t="shared" si="88"/>
        <v>188788.23046185341</v>
      </c>
      <c r="L150" s="99">
        <f t="shared" si="88"/>
        <v>191374.58354799784</v>
      </c>
      <c r="M150" s="99">
        <f t="shared" si="88"/>
        <v>193883.3460415579</v>
      </c>
      <c r="N150" s="99">
        <f t="shared" si="88"/>
        <v>196316.84566031117</v>
      </c>
      <c r="O150" s="99">
        <f t="shared" ref="O150:Z150" si="89">O109*Cost_per_Subscriber_Cable*(1-Annual_Reduction_Starting_Year_2)</f>
        <v>158941.87223240151</v>
      </c>
      <c r="P150" s="99">
        <f t="shared" si="89"/>
        <v>257473.61606542949</v>
      </c>
      <c r="Q150" s="99">
        <f t="shared" si="89"/>
        <v>253049.40758346661</v>
      </c>
      <c r="R150" s="99">
        <f t="shared" si="89"/>
        <v>248757.92535596259</v>
      </c>
      <c r="S150" s="99">
        <f t="shared" si="89"/>
        <v>344595.18759528373</v>
      </c>
      <c r="T150" s="99">
        <f t="shared" si="89"/>
        <v>337557.33196742524</v>
      </c>
      <c r="U150" s="99">
        <f t="shared" si="89"/>
        <v>330730.61200840247</v>
      </c>
      <c r="V150" s="99">
        <f t="shared" si="89"/>
        <v>424108.69364815042</v>
      </c>
      <c r="W150" s="99">
        <f t="shared" si="89"/>
        <v>414685.43283870583</v>
      </c>
      <c r="X150" s="99">
        <f t="shared" si="89"/>
        <v>405544.86985354463</v>
      </c>
      <c r="Y150" s="99">
        <f t="shared" si="89"/>
        <v>396678.5237579383</v>
      </c>
      <c r="Z150" s="99">
        <f t="shared" si="89"/>
        <v>388078.16804520017</v>
      </c>
      <c r="AA150" s="99">
        <f t="shared" ref="AA150:AL150" si="90">AA109*Cost_per_Subscriber_Cable*(1-Annual_Reduction_Starting_Year_2)^2</f>
        <v>303788.6584030753</v>
      </c>
      <c r="AB150" s="99">
        <f t="shared" si="90"/>
        <v>380434.99865098315</v>
      </c>
      <c r="AC150" s="99">
        <f t="shared" si="90"/>
        <v>374781.94869145373</v>
      </c>
      <c r="AD150" s="99">
        <f t="shared" si="90"/>
        <v>369298.49023071007</v>
      </c>
      <c r="AE150" s="99">
        <f t="shared" si="90"/>
        <v>443979.53552378877</v>
      </c>
      <c r="AF150" s="99">
        <f t="shared" si="90"/>
        <v>436420.14945807518</v>
      </c>
      <c r="AG150" s="99">
        <f t="shared" si="90"/>
        <v>429087.54497433291</v>
      </c>
      <c r="AH150" s="99">
        <f t="shared" si="90"/>
        <v>501974.9186251029</v>
      </c>
      <c r="AI150" s="99">
        <f t="shared" si="90"/>
        <v>492675.67106634984</v>
      </c>
      <c r="AJ150" s="99">
        <f t="shared" si="90"/>
        <v>483655.40093435935</v>
      </c>
      <c r="AK150" s="99">
        <f t="shared" si="90"/>
        <v>474905.73890632862</v>
      </c>
      <c r="AL150" s="99">
        <f t="shared" si="90"/>
        <v>466418.56673913874</v>
      </c>
      <c r="AM150" s="99">
        <f t="shared" ref="AM150:AX150" si="91">AM109*Cost_per_Subscriber_Cable*(1-Annual_Reduction_Starting_Year_2)^3</f>
        <v>366548.80778957164</v>
      </c>
      <c r="AN150" s="99">
        <f t="shared" si="91"/>
        <v>427360.34355588449</v>
      </c>
      <c r="AO150" s="99">
        <f t="shared" si="91"/>
        <v>422347.53324920795</v>
      </c>
      <c r="AP150" s="99">
        <f t="shared" si="91"/>
        <v>417485.10725173174</v>
      </c>
      <c r="AQ150" s="99">
        <f t="shared" si="91"/>
        <v>476768.55403417978</v>
      </c>
      <c r="AR150" s="99">
        <f t="shared" si="91"/>
        <v>470273.49741315446</v>
      </c>
      <c r="AS150" s="99">
        <f t="shared" si="91"/>
        <v>463973.29249075992</v>
      </c>
      <c r="AT150" s="99">
        <f t="shared" si="91"/>
        <v>521862.09371603711</v>
      </c>
      <c r="AU150" s="99">
        <f t="shared" si="91"/>
        <v>514014.23090455605</v>
      </c>
      <c r="AV150" s="99">
        <f t="shared" si="91"/>
        <v>506401.80397741927</v>
      </c>
      <c r="AW150" s="99">
        <f t="shared" si="91"/>
        <v>499017.74985809671</v>
      </c>
      <c r="AX150" s="99">
        <f t="shared" si="91"/>
        <v>491855.21736235381</v>
      </c>
      <c r="AY150" s="99">
        <f t="shared" ref="AY150:BJ150" si="92">AY109*Cost_per_Subscriber_Cable*(1-Annual_Reduction_Starting_Year_2)^4</f>
        <v>387926.04867318663</v>
      </c>
      <c r="AZ150" s="99">
        <f t="shared" si="92"/>
        <v>436294.66721299104</v>
      </c>
      <c r="BA150" s="99">
        <f t="shared" si="92"/>
        <v>432012.22719660128</v>
      </c>
      <c r="BB150" s="99">
        <f t="shared" si="92"/>
        <v>427858.26038070326</v>
      </c>
      <c r="BC150" s="99">
        <f t="shared" si="92"/>
        <v>475028.91256928229</v>
      </c>
      <c r="BD150" s="99">
        <f t="shared" si="92"/>
        <v>469584.44519220374</v>
      </c>
      <c r="BE150" s="99">
        <f t="shared" si="92"/>
        <v>464303.31183643773</v>
      </c>
      <c r="BF150" s="99">
        <f t="shared" si="92"/>
        <v>510380.61248134467</v>
      </c>
      <c r="BG150" s="99">
        <f t="shared" si="92"/>
        <v>503875.59410690423</v>
      </c>
      <c r="BH150" s="99">
        <f t="shared" si="92"/>
        <v>497565.72628369718</v>
      </c>
      <c r="BI150" s="99">
        <f t="shared" si="92"/>
        <v>491445.15449518617</v>
      </c>
      <c r="BJ150" s="99">
        <f t="shared" si="92"/>
        <v>485508.19986033073</v>
      </c>
    </row>
    <row r="151" spans="1:62">
      <c r="A151" s="118" t="s">
        <v>162</v>
      </c>
    </row>
    <row r="152" spans="1:62">
      <c r="A152" s="118"/>
    </row>
    <row r="153" spans="1:62">
      <c r="A153" s="102" t="s">
        <v>137</v>
      </c>
    </row>
    <row r="154" spans="1:62">
      <c r="A154" s="118" t="s">
        <v>138</v>
      </c>
      <c r="C154" s="123">
        <v>0</v>
      </c>
      <c r="D154" s="123">
        <v>0</v>
      </c>
      <c r="E154" s="123">
        <v>0</v>
      </c>
      <c r="F154" s="123">
        <v>0</v>
      </c>
      <c r="G154" s="123">
        <v>0</v>
      </c>
      <c r="H154" s="123">
        <v>0</v>
      </c>
      <c r="I154" s="123">
        <v>0</v>
      </c>
      <c r="J154" s="123">
        <v>0</v>
      </c>
      <c r="K154" s="123">
        <v>0</v>
      </c>
      <c r="L154" s="123">
        <v>0</v>
      </c>
      <c r="M154" s="123">
        <v>0</v>
      </c>
      <c r="N154" s="123">
        <v>0</v>
      </c>
      <c r="O154" s="123">
        <v>0</v>
      </c>
      <c r="P154" s="123">
        <v>0</v>
      </c>
      <c r="Q154" s="123">
        <v>0</v>
      </c>
      <c r="R154" s="123">
        <v>0</v>
      </c>
      <c r="S154" s="123">
        <v>0</v>
      </c>
      <c r="T154" s="123">
        <v>0</v>
      </c>
      <c r="U154" s="123">
        <v>0</v>
      </c>
      <c r="V154" s="123">
        <v>0</v>
      </c>
      <c r="W154" s="123">
        <v>0</v>
      </c>
      <c r="X154" s="123">
        <v>0</v>
      </c>
      <c r="Y154" s="123">
        <v>0</v>
      </c>
      <c r="Z154" s="123">
        <v>0</v>
      </c>
      <c r="AA154" s="123">
        <v>0</v>
      </c>
      <c r="AB154" s="123">
        <v>0</v>
      </c>
      <c r="AC154" s="123">
        <v>0</v>
      </c>
      <c r="AD154" s="123">
        <v>0</v>
      </c>
      <c r="AE154" s="123">
        <v>0</v>
      </c>
      <c r="AF154" s="123">
        <v>0</v>
      </c>
      <c r="AG154" s="123">
        <v>0</v>
      </c>
      <c r="AH154" s="123">
        <v>0</v>
      </c>
      <c r="AI154" s="123">
        <v>0</v>
      </c>
      <c r="AJ154" s="123">
        <v>0</v>
      </c>
      <c r="AK154" s="123">
        <v>0</v>
      </c>
      <c r="AL154" s="123">
        <v>0</v>
      </c>
      <c r="AM154" s="123">
        <v>0</v>
      </c>
      <c r="AN154" s="123">
        <v>0</v>
      </c>
      <c r="AO154" s="123">
        <v>0</v>
      </c>
      <c r="AP154" s="123">
        <v>0</v>
      </c>
      <c r="AQ154" s="123">
        <v>0</v>
      </c>
      <c r="AR154" s="123">
        <v>0</v>
      </c>
      <c r="AS154" s="123">
        <v>0</v>
      </c>
      <c r="AT154" s="123">
        <v>0</v>
      </c>
      <c r="AU154" s="123">
        <v>0</v>
      </c>
      <c r="AV154" s="123">
        <v>0</v>
      </c>
      <c r="AW154" s="123">
        <v>0</v>
      </c>
      <c r="AX154" s="123">
        <v>0</v>
      </c>
      <c r="AY154" s="123">
        <v>0</v>
      </c>
      <c r="AZ154" s="123">
        <v>0</v>
      </c>
      <c r="BA154" s="123">
        <v>0</v>
      </c>
      <c r="BB154" s="123">
        <v>0</v>
      </c>
      <c r="BC154" s="123">
        <v>0</v>
      </c>
      <c r="BD154" s="123">
        <v>0</v>
      </c>
      <c r="BE154" s="123">
        <v>0</v>
      </c>
      <c r="BF154" s="123">
        <v>0</v>
      </c>
      <c r="BG154" s="123">
        <v>0</v>
      </c>
      <c r="BH154" s="123">
        <v>0</v>
      </c>
      <c r="BI154" s="123">
        <v>0</v>
      </c>
      <c r="BJ154" s="123">
        <v>0</v>
      </c>
    </row>
    <row r="155" spans="1:62">
      <c r="A155" s="82"/>
    </row>
    <row r="156" spans="1:62">
      <c r="A156" s="102" t="s">
        <v>139</v>
      </c>
      <c r="C156" s="99">
        <f>C147+C150+C154</f>
        <v>215193</v>
      </c>
      <c r="D156" s="99">
        <f t="shared" ref="D156:BJ156" si="93">D147+D150+D154</f>
        <v>219496.86007384164</v>
      </c>
      <c r="E156" s="99">
        <f t="shared" si="93"/>
        <v>223671.60427524606</v>
      </c>
      <c r="F156" s="99">
        <f t="shared" si="93"/>
        <v>227721.10615060836</v>
      </c>
      <c r="G156" s="99">
        <f t="shared" si="93"/>
        <v>231649.1229697098</v>
      </c>
      <c r="H156" s="99">
        <f t="shared" si="93"/>
        <v>235459.29928423822</v>
      </c>
      <c r="I156" s="99">
        <f t="shared" si="93"/>
        <v>239155.17030933074</v>
      </c>
      <c r="J156" s="99">
        <f t="shared" si="93"/>
        <v>242740.16520367053</v>
      </c>
      <c r="K156" s="99">
        <f t="shared" si="93"/>
        <v>246217.61025118007</v>
      </c>
      <c r="L156" s="99">
        <f t="shared" si="93"/>
        <v>249590.73194726437</v>
      </c>
      <c r="M156" s="99">
        <f t="shared" si="93"/>
        <v>252862.65999246613</v>
      </c>
      <c r="N156" s="99">
        <f t="shared" si="93"/>
        <v>256036.43019631185</v>
      </c>
      <c r="O156" s="99">
        <f t="shared" si="93"/>
        <v>219379.51923594187</v>
      </c>
      <c r="P156" s="99">
        <f t="shared" si="93"/>
        <v>355377.95871551725</v>
      </c>
      <c r="Q156" s="99">
        <f t="shared" si="93"/>
        <v>349271.44495586155</v>
      </c>
      <c r="R156" s="99">
        <f t="shared" si="93"/>
        <v>343348.12660899555</v>
      </c>
      <c r="S156" s="99">
        <f t="shared" si="93"/>
        <v>475627.50786737929</v>
      </c>
      <c r="T156" s="99">
        <f t="shared" si="93"/>
        <v>465913.50763316778</v>
      </c>
      <c r="U156" s="99">
        <f t="shared" si="93"/>
        <v>456490.92740598263</v>
      </c>
      <c r="V156" s="99">
        <f t="shared" si="93"/>
        <v>585376.02464045677</v>
      </c>
      <c r="W156" s="99">
        <f t="shared" si="93"/>
        <v>572369.56890305271</v>
      </c>
      <c r="X156" s="99">
        <f t="shared" si="93"/>
        <v>559753.30683777097</v>
      </c>
      <c r="Y156" s="99">
        <f t="shared" si="93"/>
        <v>547515.53263444768</v>
      </c>
      <c r="Z156" s="99">
        <f t="shared" si="93"/>
        <v>535644.89165722416</v>
      </c>
      <c r="AA156" s="99">
        <f t="shared" si="93"/>
        <v>448183.20530854841</v>
      </c>
      <c r="AB156" s="99">
        <f t="shared" si="93"/>
        <v>561260.50920808455</v>
      </c>
      <c r="AC156" s="99">
        <f t="shared" si="93"/>
        <v>552920.49393579084</v>
      </c>
      <c r="AD156" s="99">
        <f t="shared" si="93"/>
        <v>544830.67912166589</v>
      </c>
      <c r="AE156" s="99">
        <f t="shared" si="93"/>
        <v>655008.55880680843</v>
      </c>
      <c r="AF156" s="99">
        <f t="shared" si="93"/>
        <v>643856.10204655293</v>
      </c>
      <c r="AG156" s="99">
        <f t="shared" si="93"/>
        <v>633038.21898910508</v>
      </c>
      <c r="AH156" s="99">
        <f t="shared" si="93"/>
        <v>740569.87247822445</v>
      </c>
      <c r="AI156" s="99">
        <f t="shared" si="93"/>
        <v>726850.57630782644</v>
      </c>
      <c r="AJ156" s="99">
        <f t="shared" si="93"/>
        <v>713542.85902254051</v>
      </c>
      <c r="AK156" s="99">
        <f t="shared" si="93"/>
        <v>700634.37325581303</v>
      </c>
      <c r="AL156" s="99">
        <f t="shared" si="93"/>
        <v>688113.14206208731</v>
      </c>
      <c r="AM156" s="99">
        <f t="shared" si="93"/>
        <v>584330.34585678054</v>
      </c>
      <c r="AN156" s="99">
        <f t="shared" si="93"/>
        <v>681272.4855426118</v>
      </c>
      <c r="AO156" s="99">
        <f t="shared" si="93"/>
        <v>673281.36098302447</v>
      </c>
      <c r="AP156" s="99">
        <f t="shared" si="93"/>
        <v>665529.97016022471</v>
      </c>
      <c r="AQ156" s="99">
        <f t="shared" si="93"/>
        <v>760036.1211169525</v>
      </c>
      <c r="AR156" s="99">
        <f t="shared" si="93"/>
        <v>749682.08749013499</v>
      </c>
      <c r="AS156" s="99">
        <f t="shared" si="93"/>
        <v>739638.67487212201</v>
      </c>
      <c r="AT156" s="99">
        <f t="shared" si="93"/>
        <v>831921.56468749302</v>
      </c>
      <c r="AU156" s="99">
        <f t="shared" si="93"/>
        <v>819410.96775355935</v>
      </c>
      <c r="AV156" s="99">
        <f t="shared" si="93"/>
        <v>807275.68872764334</v>
      </c>
      <c r="AW156" s="99">
        <f t="shared" si="93"/>
        <v>795504.46807250497</v>
      </c>
      <c r="AX156" s="99">
        <f t="shared" si="93"/>
        <v>784086.38403702085</v>
      </c>
      <c r="AY156" s="99">
        <f t="shared" si="93"/>
        <v>676029.33035430452</v>
      </c>
      <c r="AZ156" s="99">
        <f t="shared" si="93"/>
        <v>760320.15050795232</v>
      </c>
      <c r="BA156" s="99">
        <f t="shared" si="93"/>
        <v>752857.24600214674</v>
      </c>
      <c r="BB156" s="99">
        <f t="shared" si="93"/>
        <v>745618.22863151552</v>
      </c>
      <c r="BC156" s="99">
        <f t="shared" si="93"/>
        <v>827821.38183684694</v>
      </c>
      <c r="BD156" s="99">
        <f t="shared" si="93"/>
        <v>818333.44039117475</v>
      </c>
      <c r="BE156" s="99">
        <f t="shared" si="93"/>
        <v>809130.13718887279</v>
      </c>
      <c r="BF156" s="99">
        <f t="shared" si="93"/>
        <v>889427.93313748343</v>
      </c>
      <c r="BG156" s="99">
        <f t="shared" si="93"/>
        <v>878091.79515279201</v>
      </c>
      <c r="BH156" s="99">
        <f t="shared" si="93"/>
        <v>867095.74130764138</v>
      </c>
      <c r="BI156" s="99">
        <f t="shared" si="93"/>
        <v>856429.5690778452</v>
      </c>
      <c r="BJ156" s="99">
        <f t="shared" si="93"/>
        <v>846083.38201494329</v>
      </c>
    </row>
    <row r="157" spans="1:62">
      <c r="A157" s="82"/>
    </row>
    <row r="158" spans="1:62">
      <c r="A158" s="102" t="s">
        <v>142</v>
      </c>
    </row>
    <row r="159" spans="1:62">
      <c r="A159" s="118" t="s">
        <v>166</v>
      </c>
      <c r="C159" s="75">
        <f t="shared" ref="C159:AH159" si="94">ROUNDUP(C115/Voice_subscribers_Trunk,0)*Carrier_Interconnections</f>
        <v>4</v>
      </c>
      <c r="D159" s="75">
        <f t="shared" si="94"/>
        <v>4</v>
      </c>
      <c r="E159" s="75">
        <f t="shared" si="94"/>
        <v>8</v>
      </c>
      <c r="F159" s="75">
        <f t="shared" si="94"/>
        <v>8</v>
      </c>
      <c r="G159" s="75">
        <f t="shared" si="94"/>
        <v>8</v>
      </c>
      <c r="H159" s="75">
        <f t="shared" si="94"/>
        <v>8</v>
      </c>
      <c r="I159" s="75">
        <f t="shared" si="94"/>
        <v>8</v>
      </c>
      <c r="J159" s="75">
        <f t="shared" si="94"/>
        <v>8</v>
      </c>
      <c r="K159" s="75">
        <f t="shared" si="94"/>
        <v>8</v>
      </c>
      <c r="L159" s="75">
        <f t="shared" si="94"/>
        <v>8</v>
      </c>
      <c r="M159" s="75">
        <f t="shared" si="94"/>
        <v>8</v>
      </c>
      <c r="N159" s="75">
        <f t="shared" si="94"/>
        <v>8</v>
      </c>
      <c r="O159" s="75">
        <f t="shared" si="94"/>
        <v>8</v>
      </c>
      <c r="P159" s="75">
        <f t="shared" si="94"/>
        <v>8</v>
      </c>
      <c r="Q159" s="75">
        <f t="shared" si="94"/>
        <v>8</v>
      </c>
      <c r="R159" s="75">
        <f t="shared" si="94"/>
        <v>8</v>
      </c>
      <c r="S159" s="75">
        <f t="shared" si="94"/>
        <v>12</v>
      </c>
      <c r="T159" s="75">
        <f t="shared" si="94"/>
        <v>12</v>
      </c>
      <c r="U159" s="75">
        <f t="shared" si="94"/>
        <v>12</v>
      </c>
      <c r="V159" s="75">
        <f t="shared" si="94"/>
        <v>16</v>
      </c>
      <c r="W159" s="75">
        <f t="shared" si="94"/>
        <v>16</v>
      </c>
      <c r="X159" s="75">
        <f t="shared" si="94"/>
        <v>12</v>
      </c>
      <c r="Y159" s="75">
        <f t="shared" si="94"/>
        <v>12</v>
      </c>
      <c r="Z159" s="75">
        <f t="shared" si="94"/>
        <v>12</v>
      </c>
      <c r="AA159" s="75">
        <f t="shared" si="94"/>
        <v>12</v>
      </c>
      <c r="AB159" s="75">
        <f t="shared" si="94"/>
        <v>16</v>
      </c>
      <c r="AC159" s="75">
        <f t="shared" si="94"/>
        <v>16</v>
      </c>
      <c r="AD159" s="75">
        <f t="shared" si="94"/>
        <v>16</v>
      </c>
      <c r="AE159" s="75">
        <f t="shared" si="94"/>
        <v>20</v>
      </c>
      <c r="AF159" s="75">
        <f t="shared" si="94"/>
        <v>16</v>
      </c>
      <c r="AG159" s="75">
        <f t="shared" si="94"/>
        <v>16</v>
      </c>
      <c r="AH159" s="75">
        <f t="shared" si="94"/>
        <v>20</v>
      </c>
      <c r="AI159" s="75">
        <f t="shared" ref="AI159:BJ159" si="95">ROUNDUP(AI115/Voice_subscribers_Trunk,0)*Carrier_Interconnections</f>
        <v>20</v>
      </c>
      <c r="AJ159" s="75">
        <f t="shared" si="95"/>
        <v>20</v>
      </c>
      <c r="AK159" s="75">
        <f t="shared" si="95"/>
        <v>20</v>
      </c>
      <c r="AL159" s="75">
        <f t="shared" si="95"/>
        <v>20</v>
      </c>
      <c r="AM159" s="75">
        <f t="shared" si="95"/>
        <v>20</v>
      </c>
      <c r="AN159" s="75">
        <f t="shared" si="95"/>
        <v>20</v>
      </c>
      <c r="AO159" s="75">
        <f t="shared" si="95"/>
        <v>20</v>
      </c>
      <c r="AP159" s="75">
        <f t="shared" si="95"/>
        <v>20</v>
      </c>
      <c r="AQ159" s="75">
        <f t="shared" si="95"/>
        <v>24</v>
      </c>
      <c r="AR159" s="75">
        <f t="shared" si="95"/>
        <v>24</v>
      </c>
      <c r="AS159" s="75">
        <f t="shared" si="95"/>
        <v>24</v>
      </c>
      <c r="AT159" s="75">
        <f t="shared" si="95"/>
        <v>24</v>
      </c>
      <c r="AU159" s="75">
        <f t="shared" si="95"/>
        <v>24</v>
      </c>
      <c r="AV159" s="75">
        <f t="shared" si="95"/>
        <v>24</v>
      </c>
      <c r="AW159" s="75">
        <f t="shared" si="95"/>
        <v>24</v>
      </c>
      <c r="AX159" s="75">
        <f t="shared" si="95"/>
        <v>24</v>
      </c>
      <c r="AY159" s="75">
        <f t="shared" si="95"/>
        <v>24</v>
      </c>
      <c r="AZ159" s="75">
        <f t="shared" si="95"/>
        <v>28</v>
      </c>
      <c r="BA159" s="75">
        <f t="shared" si="95"/>
        <v>28</v>
      </c>
      <c r="BB159" s="75">
        <f t="shared" si="95"/>
        <v>28</v>
      </c>
      <c r="BC159" s="75">
        <f t="shared" si="95"/>
        <v>28</v>
      </c>
      <c r="BD159" s="75">
        <f t="shared" si="95"/>
        <v>28</v>
      </c>
      <c r="BE159" s="75">
        <f t="shared" si="95"/>
        <v>28</v>
      </c>
      <c r="BF159" s="75">
        <f t="shared" si="95"/>
        <v>32</v>
      </c>
      <c r="BG159" s="75">
        <f t="shared" si="95"/>
        <v>32</v>
      </c>
      <c r="BH159" s="75">
        <f t="shared" si="95"/>
        <v>32</v>
      </c>
      <c r="BI159" s="75">
        <f t="shared" si="95"/>
        <v>32</v>
      </c>
      <c r="BJ159" s="75">
        <f t="shared" si="95"/>
        <v>28</v>
      </c>
    </row>
    <row r="160" spans="1:62">
      <c r="A160" s="118" t="s">
        <v>138</v>
      </c>
      <c r="C160" s="81">
        <f t="shared" ref="C160:AH160" si="96">C159*Cost_per_Voice_Trunk</f>
        <v>6000</v>
      </c>
      <c r="D160" s="81">
        <f t="shared" si="96"/>
        <v>6000</v>
      </c>
      <c r="E160" s="81">
        <f t="shared" si="96"/>
        <v>12000</v>
      </c>
      <c r="F160" s="81">
        <f t="shared" si="96"/>
        <v>12000</v>
      </c>
      <c r="G160" s="81">
        <f t="shared" si="96"/>
        <v>12000</v>
      </c>
      <c r="H160" s="81">
        <f t="shared" si="96"/>
        <v>12000</v>
      </c>
      <c r="I160" s="81">
        <f t="shared" si="96"/>
        <v>12000</v>
      </c>
      <c r="J160" s="81">
        <f t="shared" si="96"/>
        <v>12000</v>
      </c>
      <c r="K160" s="81">
        <f t="shared" si="96"/>
        <v>12000</v>
      </c>
      <c r="L160" s="81">
        <f t="shared" si="96"/>
        <v>12000</v>
      </c>
      <c r="M160" s="81">
        <f t="shared" si="96"/>
        <v>12000</v>
      </c>
      <c r="N160" s="81">
        <f t="shared" si="96"/>
        <v>12000</v>
      </c>
      <c r="O160" s="81">
        <f t="shared" si="96"/>
        <v>12000</v>
      </c>
      <c r="P160" s="81">
        <f t="shared" si="96"/>
        <v>12000</v>
      </c>
      <c r="Q160" s="81">
        <f t="shared" si="96"/>
        <v>12000</v>
      </c>
      <c r="R160" s="81">
        <f t="shared" si="96"/>
        <v>12000</v>
      </c>
      <c r="S160" s="81">
        <f t="shared" si="96"/>
        <v>18000</v>
      </c>
      <c r="T160" s="81">
        <f t="shared" si="96"/>
        <v>18000</v>
      </c>
      <c r="U160" s="81">
        <f t="shared" si="96"/>
        <v>18000</v>
      </c>
      <c r="V160" s="81">
        <f t="shared" si="96"/>
        <v>24000</v>
      </c>
      <c r="W160" s="81">
        <f t="shared" si="96"/>
        <v>24000</v>
      </c>
      <c r="X160" s="81">
        <f t="shared" si="96"/>
        <v>18000</v>
      </c>
      <c r="Y160" s="81">
        <f t="shared" si="96"/>
        <v>18000</v>
      </c>
      <c r="Z160" s="81">
        <f t="shared" si="96"/>
        <v>18000</v>
      </c>
      <c r="AA160" s="81">
        <f t="shared" si="96"/>
        <v>18000</v>
      </c>
      <c r="AB160" s="81">
        <f t="shared" si="96"/>
        <v>24000</v>
      </c>
      <c r="AC160" s="81">
        <f t="shared" si="96"/>
        <v>24000</v>
      </c>
      <c r="AD160" s="81">
        <f t="shared" si="96"/>
        <v>24000</v>
      </c>
      <c r="AE160" s="81">
        <f t="shared" si="96"/>
        <v>30000</v>
      </c>
      <c r="AF160" s="81">
        <f t="shared" si="96"/>
        <v>24000</v>
      </c>
      <c r="AG160" s="81">
        <f t="shared" si="96"/>
        <v>24000</v>
      </c>
      <c r="AH160" s="81">
        <f t="shared" si="96"/>
        <v>30000</v>
      </c>
      <c r="AI160" s="81">
        <f t="shared" ref="AI160:BJ160" si="97">AI159*Cost_per_Voice_Trunk</f>
        <v>30000</v>
      </c>
      <c r="AJ160" s="81">
        <f t="shared" si="97"/>
        <v>30000</v>
      </c>
      <c r="AK160" s="81">
        <f t="shared" si="97"/>
        <v>30000</v>
      </c>
      <c r="AL160" s="81">
        <f t="shared" si="97"/>
        <v>30000</v>
      </c>
      <c r="AM160" s="81">
        <f t="shared" si="97"/>
        <v>30000</v>
      </c>
      <c r="AN160" s="81">
        <f t="shared" si="97"/>
        <v>30000</v>
      </c>
      <c r="AO160" s="81">
        <f t="shared" si="97"/>
        <v>30000</v>
      </c>
      <c r="AP160" s="81">
        <f t="shared" si="97"/>
        <v>30000</v>
      </c>
      <c r="AQ160" s="81">
        <f t="shared" si="97"/>
        <v>36000</v>
      </c>
      <c r="AR160" s="81">
        <f t="shared" si="97"/>
        <v>36000</v>
      </c>
      <c r="AS160" s="81">
        <f t="shared" si="97"/>
        <v>36000</v>
      </c>
      <c r="AT160" s="81">
        <f t="shared" si="97"/>
        <v>36000</v>
      </c>
      <c r="AU160" s="81">
        <f t="shared" si="97"/>
        <v>36000</v>
      </c>
      <c r="AV160" s="81">
        <f t="shared" si="97"/>
        <v>36000</v>
      </c>
      <c r="AW160" s="81">
        <f t="shared" si="97"/>
        <v>36000</v>
      </c>
      <c r="AX160" s="81">
        <f t="shared" si="97"/>
        <v>36000</v>
      </c>
      <c r="AY160" s="81">
        <f t="shared" si="97"/>
        <v>36000</v>
      </c>
      <c r="AZ160" s="81">
        <f t="shared" si="97"/>
        <v>42000</v>
      </c>
      <c r="BA160" s="81">
        <f t="shared" si="97"/>
        <v>42000</v>
      </c>
      <c r="BB160" s="81">
        <f t="shared" si="97"/>
        <v>42000</v>
      </c>
      <c r="BC160" s="81">
        <f t="shared" si="97"/>
        <v>42000</v>
      </c>
      <c r="BD160" s="81">
        <f t="shared" si="97"/>
        <v>42000</v>
      </c>
      <c r="BE160" s="81">
        <f t="shared" si="97"/>
        <v>42000</v>
      </c>
      <c r="BF160" s="81">
        <f t="shared" si="97"/>
        <v>48000</v>
      </c>
      <c r="BG160" s="81">
        <f t="shared" si="97"/>
        <v>48000</v>
      </c>
      <c r="BH160" s="81">
        <f t="shared" si="97"/>
        <v>48000</v>
      </c>
      <c r="BI160" s="81">
        <f t="shared" si="97"/>
        <v>48000</v>
      </c>
      <c r="BJ160" s="81">
        <f t="shared" si="97"/>
        <v>42000</v>
      </c>
    </row>
    <row r="161" spans="1:62">
      <c r="A161" s="82"/>
      <c r="C161" s="81"/>
    </row>
    <row r="162" spans="1:62">
      <c r="A162" s="102" t="s">
        <v>141</v>
      </c>
      <c r="C162" s="81"/>
    </row>
    <row r="163" spans="1:62">
      <c r="A163" s="118" t="s">
        <v>140</v>
      </c>
      <c r="C163" s="81">
        <f t="shared" ref="C163:AH163" si="98">ROUNDUP(C113/Data_Subscribers_Trunk,0)</f>
        <v>1</v>
      </c>
      <c r="D163" s="81">
        <f t="shared" si="98"/>
        <v>1</v>
      </c>
      <c r="E163" s="81">
        <f t="shared" si="98"/>
        <v>1</v>
      </c>
      <c r="F163" s="81">
        <f t="shared" si="98"/>
        <v>1</v>
      </c>
      <c r="G163" s="81">
        <f t="shared" si="98"/>
        <v>1</v>
      </c>
      <c r="H163" s="81">
        <f t="shared" si="98"/>
        <v>1</v>
      </c>
      <c r="I163" s="81">
        <f t="shared" si="98"/>
        <v>1</v>
      </c>
      <c r="J163" s="81">
        <f t="shared" si="98"/>
        <v>1</v>
      </c>
      <c r="K163" s="81">
        <f t="shared" si="98"/>
        <v>1</v>
      </c>
      <c r="L163" s="81">
        <f t="shared" si="98"/>
        <v>1</v>
      </c>
      <c r="M163" s="81">
        <f t="shared" si="98"/>
        <v>1</v>
      </c>
      <c r="N163" s="81">
        <f t="shared" si="98"/>
        <v>1</v>
      </c>
      <c r="O163" s="81">
        <f t="shared" si="98"/>
        <v>1</v>
      </c>
      <c r="P163" s="81">
        <f t="shared" si="98"/>
        <v>1</v>
      </c>
      <c r="Q163" s="81">
        <f t="shared" si="98"/>
        <v>1</v>
      </c>
      <c r="R163" s="81">
        <f t="shared" si="98"/>
        <v>1</v>
      </c>
      <c r="S163" s="81">
        <f t="shared" si="98"/>
        <v>1</v>
      </c>
      <c r="T163" s="81">
        <f t="shared" si="98"/>
        <v>1</v>
      </c>
      <c r="U163" s="81">
        <f t="shared" si="98"/>
        <v>1</v>
      </c>
      <c r="V163" s="81">
        <f t="shared" si="98"/>
        <v>2</v>
      </c>
      <c r="W163" s="81">
        <f t="shared" si="98"/>
        <v>2</v>
      </c>
      <c r="X163" s="81">
        <f t="shared" si="98"/>
        <v>2</v>
      </c>
      <c r="Y163" s="81">
        <f t="shared" si="98"/>
        <v>2</v>
      </c>
      <c r="Z163" s="81">
        <f t="shared" si="98"/>
        <v>2</v>
      </c>
      <c r="AA163" s="81">
        <f t="shared" si="98"/>
        <v>2</v>
      </c>
      <c r="AB163" s="81">
        <f t="shared" si="98"/>
        <v>2</v>
      </c>
      <c r="AC163" s="81">
        <f t="shared" si="98"/>
        <v>2</v>
      </c>
      <c r="AD163" s="81">
        <f t="shared" si="98"/>
        <v>2</v>
      </c>
      <c r="AE163" s="81">
        <f t="shared" si="98"/>
        <v>2</v>
      </c>
      <c r="AF163" s="81">
        <f t="shared" si="98"/>
        <v>2</v>
      </c>
      <c r="AG163" s="81">
        <f t="shared" si="98"/>
        <v>2</v>
      </c>
      <c r="AH163" s="81">
        <f t="shared" si="98"/>
        <v>2</v>
      </c>
      <c r="AI163" s="81">
        <f t="shared" ref="AI163:BJ163" si="99">ROUNDUP(AI113/Data_Subscribers_Trunk,0)</f>
        <v>2</v>
      </c>
      <c r="AJ163" s="81">
        <f t="shared" si="99"/>
        <v>2</v>
      </c>
      <c r="AK163" s="81">
        <f t="shared" si="99"/>
        <v>2</v>
      </c>
      <c r="AL163" s="81">
        <f t="shared" si="99"/>
        <v>2</v>
      </c>
      <c r="AM163" s="81">
        <f t="shared" si="99"/>
        <v>2</v>
      </c>
      <c r="AN163" s="81">
        <f t="shared" si="99"/>
        <v>2</v>
      </c>
      <c r="AO163" s="81">
        <f t="shared" si="99"/>
        <v>2</v>
      </c>
      <c r="AP163" s="81">
        <f t="shared" si="99"/>
        <v>2</v>
      </c>
      <c r="AQ163" s="81">
        <f t="shared" si="99"/>
        <v>3</v>
      </c>
      <c r="AR163" s="81">
        <f t="shared" si="99"/>
        <v>3</v>
      </c>
      <c r="AS163" s="81">
        <f t="shared" si="99"/>
        <v>3</v>
      </c>
      <c r="AT163" s="81">
        <f t="shared" si="99"/>
        <v>3</v>
      </c>
      <c r="AU163" s="81">
        <f t="shared" si="99"/>
        <v>3</v>
      </c>
      <c r="AV163" s="81">
        <f t="shared" si="99"/>
        <v>3</v>
      </c>
      <c r="AW163" s="81">
        <f t="shared" si="99"/>
        <v>3</v>
      </c>
      <c r="AX163" s="81">
        <f t="shared" si="99"/>
        <v>3</v>
      </c>
      <c r="AY163" s="81">
        <f t="shared" si="99"/>
        <v>3</v>
      </c>
      <c r="AZ163" s="81">
        <f t="shared" si="99"/>
        <v>3</v>
      </c>
      <c r="BA163" s="81">
        <f t="shared" si="99"/>
        <v>3</v>
      </c>
      <c r="BB163" s="81">
        <f t="shared" si="99"/>
        <v>3</v>
      </c>
      <c r="BC163" s="81">
        <f t="shared" si="99"/>
        <v>3</v>
      </c>
      <c r="BD163" s="81">
        <f t="shared" si="99"/>
        <v>3</v>
      </c>
      <c r="BE163" s="81">
        <f t="shared" si="99"/>
        <v>3</v>
      </c>
      <c r="BF163" s="81">
        <f t="shared" si="99"/>
        <v>3</v>
      </c>
      <c r="BG163" s="81">
        <f t="shared" si="99"/>
        <v>3</v>
      </c>
      <c r="BH163" s="81">
        <f t="shared" si="99"/>
        <v>3</v>
      </c>
      <c r="BI163" s="81">
        <f t="shared" si="99"/>
        <v>3</v>
      </c>
      <c r="BJ163" s="81">
        <f t="shared" si="99"/>
        <v>3</v>
      </c>
    </row>
    <row r="164" spans="1:62">
      <c r="A164" s="118" t="s">
        <v>138</v>
      </c>
      <c r="C164" s="81">
        <f t="shared" ref="C164:AH164" si="100">C163*Cost_per_Data_Trunk</f>
        <v>1500</v>
      </c>
      <c r="D164" s="81">
        <f t="shared" si="100"/>
        <v>1500</v>
      </c>
      <c r="E164" s="81">
        <f t="shared" si="100"/>
        <v>1500</v>
      </c>
      <c r="F164" s="81">
        <f t="shared" si="100"/>
        <v>1500</v>
      </c>
      <c r="G164" s="81">
        <f t="shared" si="100"/>
        <v>1500</v>
      </c>
      <c r="H164" s="81">
        <f t="shared" si="100"/>
        <v>1500</v>
      </c>
      <c r="I164" s="81">
        <f t="shared" si="100"/>
        <v>1500</v>
      </c>
      <c r="J164" s="81">
        <f t="shared" si="100"/>
        <v>1500</v>
      </c>
      <c r="K164" s="81">
        <f t="shared" si="100"/>
        <v>1500</v>
      </c>
      <c r="L164" s="81">
        <f t="shared" si="100"/>
        <v>1500</v>
      </c>
      <c r="M164" s="81">
        <f t="shared" si="100"/>
        <v>1500</v>
      </c>
      <c r="N164" s="81">
        <f t="shared" si="100"/>
        <v>1500</v>
      </c>
      <c r="O164" s="81">
        <f t="shared" si="100"/>
        <v>1500</v>
      </c>
      <c r="P164" s="81">
        <f t="shared" si="100"/>
        <v>1500</v>
      </c>
      <c r="Q164" s="81">
        <f t="shared" si="100"/>
        <v>1500</v>
      </c>
      <c r="R164" s="81">
        <f t="shared" si="100"/>
        <v>1500</v>
      </c>
      <c r="S164" s="81">
        <f t="shared" si="100"/>
        <v>1500</v>
      </c>
      <c r="T164" s="81">
        <f t="shared" si="100"/>
        <v>1500</v>
      </c>
      <c r="U164" s="81">
        <f t="shared" si="100"/>
        <v>1500</v>
      </c>
      <c r="V164" s="81">
        <f t="shared" si="100"/>
        <v>3000</v>
      </c>
      <c r="W164" s="81">
        <f t="shared" si="100"/>
        <v>3000</v>
      </c>
      <c r="X164" s="81">
        <f t="shared" si="100"/>
        <v>3000</v>
      </c>
      <c r="Y164" s="81">
        <f t="shared" si="100"/>
        <v>3000</v>
      </c>
      <c r="Z164" s="81">
        <f t="shared" si="100"/>
        <v>3000</v>
      </c>
      <c r="AA164" s="81">
        <f t="shared" si="100"/>
        <v>3000</v>
      </c>
      <c r="AB164" s="81">
        <f t="shared" si="100"/>
        <v>3000</v>
      </c>
      <c r="AC164" s="81">
        <f t="shared" si="100"/>
        <v>3000</v>
      </c>
      <c r="AD164" s="81">
        <f t="shared" si="100"/>
        <v>3000</v>
      </c>
      <c r="AE164" s="81">
        <f t="shared" si="100"/>
        <v>3000</v>
      </c>
      <c r="AF164" s="81">
        <f t="shared" si="100"/>
        <v>3000</v>
      </c>
      <c r="AG164" s="81">
        <f t="shared" si="100"/>
        <v>3000</v>
      </c>
      <c r="AH164" s="81">
        <f t="shared" si="100"/>
        <v>3000</v>
      </c>
      <c r="AI164" s="81">
        <f t="shared" ref="AI164:BJ164" si="101">AI163*Cost_per_Data_Trunk</f>
        <v>3000</v>
      </c>
      <c r="AJ164" s="81">
        <f t="shared" si="101"/>
        <v>3000</v>
      </c>
      <c r="AK164" s="81">
        <f t="shared" si="101"/>
        <v>3000</v>
      </c>
      <c r="AL164" s="81">
        <f t="shared" si="101"/>
        <v>3000</v>
      </c>
      <c r="AM164" s="81">
        <f t="shared" si="101"/>
        <v>3000</v>
      </c>
      <c r="AN164" s="81">
        <f t="shared" si="101"/>
        <v>3000</v>
      </c>
      <c r="AO164" s="81">
        <f t="shared" si="101"/>
        <v>3000</v>
      </c>
      <c r="AP164" s="81">
        <f t="shared" si="101"/>
        <v>3000</v>
      </c>
      <c r="AQ164" s="81">
        <f t="shared" si="101"/>
        <v>4500</v>
      </c>
      <c r="AR164" s="81">
        <f t="shared" si="101"/>
        <v>4500</v>
      </c>
      <c r="AS164" s="81">
        <f t="shared" si="101"/>
        <v>4500</v>
      </c>
      <c r="AT164" s="81">
        <f t="shared" si="101"/>
        <v>4500</v>
      </c>
      <c r="AU164" s="81">
        <f t="shared" si="101"/>
        <v>4500</v>
      </c>
      <c r="AV164" s="81">
        <f t="shared" si="101"/>
        <v>4500</v>
      </c>
      <c r="AW164" s="81">
        <f t="shared" si="101"/>
        <v>4500</v>
      </c>
      <c r="AX164" s="81">
        <f t="shared" si="101"/>
        <v>4500</v>
      </c>
      <c r="AY164" s="81">
        <f t="shared" si="101"/>
        <v>4500</v>
      </c>
      <c r="AZ164" s="81">
        <f t="shared" si="101"/>
        <v>4500</v>
      </c>
      <c r="BA164" s="81">
        <f t="shared" si="101"/>
        <v>4500</v>
      </c>
      <c r="BB164" s="81">
        <f t="shared" si="101"/>
        <v>4500</v>
      </c>
      <c r="BC164" s="81">
        <f t="shared" si="101"/>
        <v>4500</v>
      </c>
      <c r="BD164" s="81">
        <f t="shared" si="101"/>
        <v>4500</v>
      </c>
      <c r="BE164" s="81">
        <f t="shared" si="101"/>
        <v>4500</v>
      </c>
      <c r="BF164" s="81">
        <f t="shared" si="101"/>
        <v>4500</v>
      </c>
      <c r="BG164" s="81">
        <f t="shared" si="101"/>
        <v>4500</v>
      </c>
      <c r="BH164" s="81">
        <f t="shared" si="101"/>
        <v>4500</v>
      </c>
      <c r="BI164" s="81">
        <f t="shared" si="101"/>
        <v>4500</v>
      </c>
      <c r="BJ164" s="81">
        <f t="shared" si="101"/>
        <v>4500</v>
      </c>
    </row>
    <row r="165" spans="1:62">
      <c r="A165" s="82"/>
    </row>
    <row r="166" spans="1:62">
      <c r="A166" s="102" t="s">
        <v>143</v>
      </c>
    </row>
    <row r="167" spans="1:62">
      <c r="A167" s="103" t="s">
        <v>203</v>
      </c>
      <c r="C167" s="81">
        <f t="shared" ref="C167:AH167" si="102">Soft_Switch_Maintenance_per_Year/12</f>
        <v>16666.666666666668</v>
      </c>
      <c r="D167" s="81">
        <f t="shared" si="102"/>
        <v>16666.666666666668</v>
      </c>
      <c r="E167" s="81">
        <f t="shared" si="102"/>
        <v>16666.666666666668</v>
      </c>
      <c r="F167" s="81">
        <f t="shared" si="102"/>
        <v>16666.666666666668</v>
      </c>
      <c r="G167" s="81">
        <f t="shared" si="102"/>
        <v>16666.666666666668</v>
      </c>
      <c r="H167" s="81">
        <f t="shared" si="102"/>
        <v>16666.666666666668</v>
      </c>
      <c r="I167" s="81">
        <f t="shared" si="102"/>
        <v>16666.666666666668</v>
      </c>
      <c r="J167" s="81">
        <f t="shared" si="102"/>
        <v>16666.666666666668</v>
      </c>
      <c r="K167" s="81">
        <f t="shared" si="102"/>
        <v>16666.666666666668</v>
      </c>
      <c r="L167" s="81">
        <f t="shared" si="102"/>
        <v>16666.666666666668</v>
      </c>
      <c r="M167" s="81">
        <f t="shared" si="102"/>
        <v>16666.666666666668</v>
      </c>
      <c r="N167" s="81">
        <f t="shared" si="102"/>
        <v>16666.666666666668</v>
      </c>
      <c r="O167" s="81">
        <f t="shared" si="102"/>
        <v>16666.666666666668</v>
      </c>
      <c r="P167" s="81">
        <f t="shared" si="102"/>
        <v>16666.666666666668</v>
      </c>
      <c r="Q167" s="81">
        <f t="shared" si="102"/>
        <v>16666.666666666668</v>
      </c>
      <c r="R167" s="81">
        <f t="shared" si="102"/>
        <v>16666.666666666668</v>
      </c>
      <c r="S167" s="81">
        <f t="shared" si="102"/>
        <v>16666.666666666668</v>
      </c>
      <c r="T167" s="81">
        <f t="shared" si="102"/>
        <v>16666.666666666668</v>
      </c>
      <c r="U167" s="81">
        <f t="shared" si="102"/>
        <v>16666.666666666668</v>
      </c>
      <c r="V167" s="81">
        <f t="shared" si="102"/>
        <v>16666.666666666668</v>
      </c>
      <c r="W167" s="81">
        <f t="shared" si="102"/>
        <v>16666.666666666668</v>
      </c>
      <c r="X167" s="81">
        <f t="shared" si="102"/>
        <v>16666.666666666668</v>
      </c>
      <c r="Y167" s="81">
        <f t="shared" si="102"/>
        <v>16666.666666666668</v>
      </c>
      <c r="Z167" s="81">
        <f t="shared" si="102"/>
        <v>16666.666666666668</v>
      </c>
      <c r="AA167" s="81">
        <f t="shared" si="102"/>
        <v>16666.666666666668</v>
      </c>
      <c r="AB167" s="81">
        <f t="shared" si="102"/>
        <v>16666.666666666668</v>
      </c>
      <c r="AC167" s="81">
        <f t="shared" si="102"/>
        <v>16666.666666666668</v>
      </c>
      <c r="AD167" s="81">
        <f t="shared" si="102"/>
        <v>16666.666666666668</v>
      </c>
      <c r="AE167" s="81">
        <f t="shared" si="102"/>
        <v>16666.666666666668</v>
      </c>
      <c r="AF167" s="81">
        <f t="shared" si="102"/>
        <v>16666.666666666668</v>
      </c>
      <c r="AG167" s="81">
        <f t="shared" si="102"/>
        <v>16666.666666666668</v>
      </c>
      <c r="AH167" s="81">
        <f t="shared" si="102"/>
        <v>16666.666666666668</v>
      </c>
      <c r="AI167" s="81">
        <f t="shared" ref="AI167:BJ167" si="103">Soft_Switch_Maintenance_per_Year/12</f>
        <v>16666.666666666668</v>
      </c>
      <c r="AJ167" s="81">
        <f t="shared" si="103"/>
        <v>16666.666666666668</v>
      </c>
      <c r="AK167" s="81">
        <f t="shared" si="103"/>
        <v>16666.666666666668</v>
      </c>
      <c r="AL167" s="81">
        <f t="shared" si="103"/>
        <v>16666.666666666668</v>
      </c>
      <c r="AM167" s="81">
        <f t="shared" si="103"/>
        <v>16666.666666666668</v>
      </c>
      <c r="AN167" s="81">
        <f t="shared" si="103"/>
        <v>16666.666666666668</v>
      </c>
      <c r="AO167" s="81">
        <f t="shared" si="103"/>
        <v>16666.666666666668</v>
      </c>
      <c r="AP167" s="81">
        <f t="shared" si="103"/>
        <v>16666.666666666668</v>
      </c>
      <c r="AQ167" s="81">
        <f t="shared" si="103"/>
        <v>16666.666666666668</v>
      </c>
      <c r="AR167" s="81">
        <f t="shared" si="103"/>
        <v>16666.666666666668</v>
      </c>
      <c r="AS167" s="81">
        <f t="shared" si="103"/>
        <v>16666.666666666668</v>
      </c>
      <c r="AT167" s="81">
        <f t="shared" si="103"/>
        <v>16666.666666666668</v>
      </c>
      <c r="AU167" s="81">
        <f t="shared" si="103"/>
        <v>16666.666666666668</v>
      </c>
      <c r="AV167" s="81">
        <f t="shared" si="103"/>
        <v>16666.666666666668</v>
      </c>
      <c r="AW167" s="81">
        <f t="shared" si="103"/>
        <v>16666.666666666668</v>
      </c>
      <c r="AX167" s="81">
        <f t="shared" si="103"/>
        <v>16666.666666666668</v>
      </c>
      <c r="AY167" s="81">
        <f t="shared" si="103"/>
        <v>16666.666666666668</v>
      </c>
      <c r="AZ167" s="81">
        <f t="shared" si="103"/>
        <v>16666.666666666668</v>
      </c>
      <c r="BA167" s="81">
        <f t="shared" si="103"/>
        <v>16666.666666666668</v>
      </c>
      <c r="BB167" s="81">
        <f t="shared" si="103"/>
        <v>16666.666666666668</v>
      </c>
      <c r="BC167" s="81">
        <f t="shared" si="103"/>
        <v>16666.666666666668</v>
      </c>
      <c r="BD167" s="81">
        <f t="shared" si="103"/>
        <v>16666.666666666668</v>
      </c>
      <c r="BE167" s="81">
        <f t="shared" si="103"/>
        <v>16666.666666666668</v>
      </c>
      <c r="BF167" s="81">
        <f t="shared" si="103"/>
        <v>16666.666666666668</v>
      </c>
      <c r="BG167" s="81">
        <f t="shared" si="103"/>
        <v>16666.666666666668</v>
      </c>
      <c r="BH167" s="81">
        <f t="shared" si="103"/>
        <v>16666.666666666668</v>
      </c>
      <c r="BI167" s="81">
        <f t="shared" si="103"/>
        <v>16666.666666666668</v>
      </c>
      <c r="BJ167" s="81">
        <f t="shared" si="103"/>
        <v>16666.666666666668</v>
      </c>
    </row>
    <row r="168" spans="1:62">
      <c r="A168" s="118" t="s">
        <v>210</v>
      </c>
      <c r="B168" s="65">
        <v>100000</v>
      </c>
      <c r="C168" s="81">
        <f>$B$168/12</f>
        <v>8333.3333333333339</v>
      </c>
      <c r="D168" s="81">
        <f t="shared" ref="D168:BJ168" si="104">$B$168/12</f>
        <v>8333.3333333333339</v>
      </c>
      <c r="E168" s="81">
        <f t="shared" si="104"/>
        <v>8333.3333333333339</v>
      </c>
      <c r="F168" s="81">
        <f t="shared" si="104"/>
        <v>8333.3333333333339</v>
      </c>
      <c r="G168" s="81">
        <f t="shared" si="104"/>
        <v>8333.3333333333339</v>
      </c>
      <c r="H168" s="81">
        <f t="shared" si="104"/>
        <v>8333.3333333333339</v>
      </c>
      <c r="I168" s="81">
        <f t="shared" si="104"/>
        <v>8333.3333333333339</v>
      </c>
      <c r="J168" s="81">
        <f t="shared" si="104"/>
        <v>8333.3333333333339</v>
      </c>
      <c r="K168" s="81">
        <f t="shared" si="104"/>
        <v>8333.3333333333339</v>
      </c>
      <c r="L168" s="81">
        <f t="shared" si="104"/>
        <v>8333.3333333333339</v>
      </c>
      <c r="M168" s="81">
        <f t="shared" si="104"/>
        <v>8333.3333333333339</v>
      </c>
      <c r="N168" s="81">
        <f t="shared" si="104"/>
        <v>8333.3333333333339</v>
      </c>
      <c r="O168" s="81">
        <f t="shared" si="104"/>
        <v>8333.3333333333339</v>
      </c>
      <c r="P168" s="81">
        <f t="shared" si="104"/>
        <v>8333.3333333333339</v>
      </c>
      <c r="Q168" s="81">
        <f t="shared" si="104"/>
        <v>8333.3333333333339</v>
      </c>
      <c r="R168" s="81">
        <f t="shared" si="104"/>
        <v>8333.3333333333339</v>
      </c>
      <c r="S168" s="81">
        <f t="shared" si="104"/>
        <v>8333.3333333333339</v>
      </c>
      <c r="T168" s="81">
        <f t="shared" si="104"/>
        <v>8333.3333333333339</v>
      </c>
      <c r="U168" s="81">
        <f t="shared" si="104"/>
        <v>8333.3333333333339</v>
      </c>
      <c r="V168" s="81">
        <f t="shared" si="104"/>
        <v>8333.3333333333339</v>
      </c>
      <c r="W168" s="81">
        <f t="shared" si="104"/>
        <v>8333.3333333333339</v>
      </c>
      <c r="X168" s="81">
        <f t="shared" si="104"/>
        <v>8333.3333333333339</v>
      </c>
      <c r="Y168" s="81">
        <f t="shared" si="104"/>
        <v>8333.3333333333339</v>
      </c>
      <c r="Z168" s="81">
        <f t="shared" si="104"/>
        <v>8333.3333333333339</v>
      </c>
      <c r="AA168" s="81">
        <f t="shared" si="104"/>
        <v>8333.3333333333339</v>
      </c>
      <c r="AB168" s="81">
        <f t="shared" si="104"/>
        <v>8333.3333333333339</v>
      </c>
      <c r="AC168" s="81">
        <f t="shared" si="104"/>
        <v>8333.3333333333339</v>
      </c>
      <c r="AD168" s="81">
        <f t="shared" si="104"/>
        <v>8333.3333333333339</v>
      </c>
      <c r="AE168" s="81">
        <f t="shared" si="104"/>
        <v>8333.3333333333339</v>
      </c>
      <c r="AF168" s="81">
        <f t="shared" si="104"/>
        <v>8333.3333333333339</v>
      </c>
      <c r="AG168" s="81">
        <f t="shared" si="104"/>
        <v>8333.3333333333339</v>
      </c>
      <c r="AH168" s="81">
        <f t="shared" si="104"/>
        <v>8333.3333333333339</v>
      </c>
      <c r="AI168" s="81">
        <f t="shared" si="104"/>
        <v>8333.3333333333339</v>
      </c>
      <c r="AJ168" s="81">
        <f t="shared" si="104"/>
        <v>8333.3333333333339</v>
      </c>
      <c r="AK168" s="81">
        <f t="shared" si="104"/>
        <v>8333.3333333333339</v>
      </c>
      <c r="AL168" s="81">
        <f t="shared" si="104"/>
        <v>8333.3333333333339</v>
      </c>
      <c r="AM168" s="81">
        <f t="shared" si="104"/>
        <v>8333.3333333333339</v>
      </c>
      <c r="AN168" s="81">
        <f t="shared" si="104"/>
        <v>8333.3333333333339</v>
      </c>
      <c r="AO168" s="81">
        <f t="shared" si="104"/>
        <v>8333.3333333333339</v>
      </c>
      <c r="AP168" s="81">
        <f t="shared" si="104"/>
        <v>8333.3333333333339</v>
      </c>
      <c r="AQ168" s="81">
        <f t="shared" si="104"/>
        <v>8333.3333333333339</v>
      </c>
      <c r="AR168" s="81">
        <f t="shared" si="104"/>
        <v>8333.3333333333339</v>
      </c>
      <c r="AS168" s="81">
        <f t="shared" si="104"/>
        <v>8333.3333333333339</v>
      </c>
      <c r="AT168" s="81">
        <f t="shared" si="104"/>
        <v>8333.3333333333339</v>
      </c>
      <c r="AU168" s="81">
        <f t="shared" si="104"/>
        <v>8333.3333333333339</v>
      </c>
      <c r="AV168" s="81">
        <f t="shared" si="104"/>
        <v>8333.3333333333339</v>
      </c>
      <c r="AW168" s="81">
        <f t="shared" si="104"/>
        <v>8333.3333333333339</v>
      </c>
      <c r="AX168" s="81">
        <f t="shared" si="104"/>
        <v>8333.3333333333339</v>
      </c>
      <c r="AY168" s="81">
        <f t="shared" si="104"/>
        <v>8333.3333333333339</v>
      </c>
      <c r="AZ168" s="81">
        <f t="shared" si="104"/>
        <v>8333.3333333333339</v>
      </c>
      <c r="BA168" s="81">
        <f t="shared" si="104"/>
        <v>8333.3333333333339</v>
      </c>
      <c r="BB168" s="81">
        <f t="shared" si="104"/>
        <v>8333.3333333333339</v>
      </c>
      <c r="BC168" s="81">
        <f t="shared" si="104"/>
        <v>8333.3333333333339</v>
      </c>
      <c r="BD168" s="81">
        <f t="shared" si="104"/>
        <v>8333.3333333333339</v>
      </c>
      <c r="BE168" s="81">
        <f t="shared" si="104"/>
        <v>8333.3333333333339</v>
      </c>
      <c r="BF168" s="81">
        <f t="shared" si="104"/>
        <v>8333.3333333333339</v>
      </c>
      <c r="BG168" s="81">
        <f t="shared" si="104"/>
        <v>8333.3333333333339</v>
      </c>
      <c r="BH168" s="81">
        <f t="shared" si="104"/>
        <v>8333.3333333333339</v>
      </c>
      <c r="BI168" s="81">
        <f t="shared" si="104"/>
        <v>8333.3333333333339</v>
      </c>
      <c r="BJ168" s="81">
        <f t="shared" si="104"/>
        <v>8333.3333333333339</v>
      </c>
    </row>
    <row r="169" spans="1:62">
      <c r="A169" s="103" t="s">
        <v>246</v>
      </c>
      <c r="B169" s="7">
        <v>3</v>
      </c>
      <c r="C169" s="99">
        <f>C109*$B$169</f>
        <v>33000</v>
      </c>
      <c r="D169" s="99">
        <f t="shared" ref="D169:BJ169" si="105">D109*$B$169</f>
        <v>33660</v>
      </c>
      <c r="E169" s="99">
        <f t="shared" si="105"/>
        <v>34300.199999999997</v>
      </c>
      <c r="F169" s="99">
        <f t="shared" si="105"/>
        <v>34921.193999999996</v>
      </c>
      <c r="G169" s="99">
        <f t="shared" si="105"/>
        <v>35523.55818</v>
      </c>
      <c r="H169" s="99">
        <f t="shared" si="105"/>
        <v>36107.851434600001</v>
      </c>
      <c r="I169" s="99">
        <f t="shared" si="105"/>
        <v>36674.615891562004</v>
      </c>
      <c r="J169" s="99">
        <f t="shared" si="105"/>
        <v>37224.377414815142</v>
      </c>
      <c r="K169" s="99">
        <f t="shared" si="105"/>
        <v>37757.646092370684</v>
      </c>
      <c r="L169" s="99">
        <f t="shared" si="105"/>
        <v>38274.916709599565</v>
      </c>
      <c r="M169" s="99">
        <f t="shared" si="105"/>
        <v>38776.669208311578</v>
      </c>
      <c r="N169" s="99">
        <f t="shared" si="105"/>
        <v>39263.369132062231</v>
      </c>
      <c r="O169" s="99">
        <f t="shared" si="105"/>
        <v>39735.46805810037</v>
      </c>
      <c r="P169" s="99">
        <f t="shared" si="105"/>
        <v>64368.404016357366</v>
      </c>
      <c r="Q169" s="99">
        <f t="shared" si="105"/>
        <v>63262.351895866639</v>
      </c>
      <c r="R169" s="99">
        <f t="shared" si="105"/>
        <v>62189.481338990649</v>
      </c>
      <c r="S169" s="99">
        <f t="shared" si="105"/>
        <v>86148.796898820932</v>
      </c>
      <c r="T169" s="99">
        <f t="shared" si="105"/>
        <v>84389.332991856296</v>
      </c>
      <c r="U169" s="99">
        <f t="shared" si="105"/>
        <v>82682.653002100618</v>
      </c>
      <c r="V169" s="99">
        <f t="shared" si="105"/>
        <v>106027.17341203758</v>
      </c>
      <c r="W169" s="99">
        <f t="shared" si="105"/>
        <v>103671.35820967646</v>
      </c>
      <c r="X169" s="99">
        <f t="shared" si="105"/>
        <v>101386.21746338616</v>
      </c>
      <c r="Y169" s="99">
        <f t="shared" si="105"/>
        <v>99169.630939484574</v>
      </c>
      <c r="Z169" s="99">
        <f t="shared" si="105"/>
        <v>97019.542011300029</v>
      </c>
      <c r="AA169" s="99">
        <f t="shared" si="105"/>
        <v>94933.955750961031</v>
      </c>
      <c r="AB169" s="99">
        <f t="shared" si="105"/>
        <v>118885.93707843221</v>
      </c>
      <c r="AC169" s="99">
        <f t="shared" si="105"/>
        <v>117119.35896607925</v>
      </c>
      <c r="AD169" s="99">
        <f t="shared" si="105"/>
        <v>115405.77819709686</v>
      </c>
      <c r="AE169" s="99">
        <f t="shared" si="105"/>
        <v>138743.60485118398</v>
      </c>
      <c r="AF169" s="99">
        <f t="shared" si="105"/>
        <v>136381.29670564848</v>
      </c>
      <c r="AG169" s="99">
        <f t="shared" si="105"/>
        <v>134089.85780447899</v>
      </c>
      <c r="AH169" s="99">
        <f t="shared" si="105"/>
        <v>156867.16207034464</v>
      </c>
      <c r="AI169" s="99">
        <f t="shared" si="105"/>
        <v>153961.1472082343</v>
      </c>
      <c r="AJ169" s="99">
        <f t="shared" si="105"/>
        <v>151142.31279198726</v>
      </c>
      <c r="AK169" s="99">
        <f t="shared" si="105"/>
        <v>148408.04340822765</v>
      </c>
      <c r="AL169" s="99">
        <f t="shared" si="105"/>
        <v>145755.80210598084</v>
      </c>
      <c r="AM169" s="99">
        <f t="shared" si="105"/>
        <v>143183.1280428014</v>
      </c>
      <c r="AN169" s="99">
        <f t="shared" si="105"/>
        <v>166937.63420151736</v>
      </c>
      <c r="AO169" s="99">
        <f t="shared" si="105"/>
        <v>164979.50517547183</v>
      </c>
      <c r="AP169" s="99">
        <f t="shared" si="105"/>
        <v>163080.12002020769</v>
      </c>
      <c r="AQ169" s="99">
        <f t="shared" si="105"/>
        <v>186237.71641960146</v>
      </c>
      <c r="AR169" s="99">
        <f t="shared" si="105"/>
        <v>183700.58492701343</v>
      </c>
      <c r="AS169" s="99">
        <f t="shared" si="105"/>
        <v>181239.56737920304</v>
      </c>
      <c r="AT169" s="99">
        <f t="shared" si="105"/>
        <v>203852.38035782694</v>
      </c>
      <c r="AU169" s="99">
        <f t="shared" si="105"/>
        <v>200786.80894709215</v>
      </c>
      <c r="AV169" s="99">
        <f t="shared" si="105"/>
        <v>197813.20467867935</v>
      </c>
      <c r="AW169" s="99">
        <f t="shared" si="105"/>
        <v>194928.80853831899</v>
      </c>
      <c r="AX169" s="99">
        <f t="shared" si="105"/>
        <v>192130.9442821694</v>
      </c>
      <c r="AY169" s="99">
        <f t="shared" si="105"/>
        <v>189417.01595370434</v>
      </c>
      <c r="AZ169" s="99">
        <f t="shared" si="105"/>
        <v>213034.5054750932</v>
      </c>
      <c r="BA169" s="99">
        <f t="shared" si="105"/>
        <v>210943.47031084041</v>
      </c>
      <c r="BB169" s="99">
        <f t="shared" si="105"/>
        <v>208915.16620151518</v>
      </c>
      <c r="BC169" s="99">
        <f t="shared" si="105"/>
        <v>231947.71121546975</v>
      </c>
      <c r="BD169" s="99">
        <f t="shared" si="105"/>
        <v>229289.27987900563</v>
      </c>
      <c r="BE169" s="99">
        <f t="shared" si="105"/>
        <v>226710.60148263551</v>
      </c>
      <c r="BF169" s="99">
        <f t="shared" si="105"/>
        <v>249209.28343815642</v>
      </c>
      <c r="BG169" s="99">
        <f t="shared" si="105"/>
        <v>246033.00493501173</v>
      </c>
      <c r="BH169" s="99">
        <f t="shared" si="105"/>
        <v>242952.01478696137</v>
      </c>
      <c r="BI169" s="99">
        <f t="shared" si="105"/>
        <v>239963.45434335253</v>
      </c>
      <c r="BJ169" s="99">
        <f t="shared" si="105"/>
        <v>237064.55071305198</v>
      </c>
    </row>
    <row r="170" spans="1:62">
      <c r="A170" s="103" t="s">
        <v>261</v>
      </c>
      <c r="B170" s="20">
        <v>0.05</v>
      </c>
      <c r="C170" s="99">
        <f>C243*$B$170/12</f>
        <v>20042.325148809523</v>
      </c>
      <c r="D170" s="99">
        <f t="shared" ref="D170:BJ170" si="106">D243*$B$170/12</f>
        <v>20463.192485119045</v>
      </c>
      <c r="E170" s="99">
        <f t="shared" si="106"/>
        <v>20839.512670386906</v>
      </c>
      <c r="F170" s="99">
        <f t="shared" si="106"/>
        <v>21213.038785811008</v>
      </c>
      <c r="G170" s="99">
        <f t="shared" si="106"/>
        <v>21583.85465348668</v>
      </c>
      <c r="H170" s="99">
        <f t="shared" si="106"/>
        <v>21952.041580846369</v>
      </c>
      <c r="I170" s="99">
        <f t="shared" si="106"/>
        <v>22317.678436099548</v>
      </c>
      <c r="J170" s="99">
        <f t="shared" si="106"/>
        <v>22680.841721409422</v>
      </c>
      <c r="K170" s="99">
        <f t="shared" si="106"/>
        <v>23041.605643874278</v>
      </c>
      <c r="L170" s="99">
        <f t="shared" si="106"/>
        <v>23400.042184379479</v>
      </c>
      <c r="M170" s="99">
        <f t="shared" si="106"/>
        <v>23756.221164383809</v>
      </c>
      <c r="N170" s="99">
        <f t="shared" si="106"/>
        <v>24151.876977368967</v>
      </c>
      <c r="O170" s="99">
        <f t="shared" si="106"/>
        <v>49920.408651678852</v>
      </c>
      <c r="P170" s="99">
        <f t="shared" si="106"/>
        <v>55099.668283474981</v>
      </c>
      <c r="Q170" s="99">
        <f t="shared" si="106"/>
        <v>55382.852807284507</v>
      </c>
      <c r="R170" s="99">
        <f t="shared" si="106"/>
        <v>62020.203997760698</v>
      </c>
      <c r="S170" s="99">
        <f t="shared" si="106"/>
        <v>66477.85842342196</v>
      </c>
      <c r="T170" s="99">
        <f t="shared" si="106"/>
        <v>66761.042947231486</v>
      </c>
      <c r="U170" s="99">
        <f t="shared" si="106"/>
        <v>73356.727471040998</v>
      </c>
      <c r="V170" s="99">
        <f t="shared" si="106"/>
        <v>77644.356279871121</v>
      </c>
      <c r="W170" s="99">
        <f t="shared" si="106"/>
        <v>77885.874137013961</v>
      </c>
      <c r="X170" s="99">
        <f t="shared" si="106"/>
        <v>78169.058660823517</v>
      </c>
      <c r="Y170" s="99">
        <f t="shared" si="106"/>
        <v>78410.576517966358</v>
      </c>
      <c r="Z170" s="99">
        <f t="shared" si="106"/>
        <v>78693.761041775884</v>
      </c>
      <c r="AA170" s="99">
        <f t="shared" si="106"/>
        <v>85665.784851299701</v>
      </c>
      <c r="AB170" s="99">
        <f t="shared" si="106"/>
        <v>89297.919038800464</v>
      </c>
      <c r="AC170" s="99">
        <f t="shared" si="106"/>
        <v>89915.776181657624</v>
      </c>
      <c r="AD170" s="99">
        <f t="shared" si="106"/>
        <v>96846.133324514769</v>
      </c>
      <c r="AE170" s="99">
        <f t="shared" si="106"/>
        <v>101466.12989286119</v>
      </c>
      <c r="AF170" s="99">
        <f t="shared" si="106"/>
        <v>102042.32036905167</v>
      </c>
      <c r="AG170" s="99">
        <f t="shared" si="106"/>
        <v>109014.34417857548</v>
      </c>
      <c r="AH170" s="99">
        <f t="shared" si="106"/>
        <v>113295.5028586001</v>
      </c>
      <c r="AI170" s="99">
        <f t="shared" si="106"/>
        <v>113871.69333479057</v>
      </c>
      <c r="AJ170" s="99">
        <f t="shared" si="106"/>
        <v>114489.55047764769</v>
      </c>
      <c r="AK170" s="99">
        <f t="shared" si="106"/>
        <v>115065.74095383818</v>
      </c>
      <c r="AL170" s="99">
        <f t="shared" si="106"/>
        <v>115683.59809669532</v>
      </c>
      <c r="AM170" s="99">
        <f t="shared" si="106"/>
        <v>123043.02269986994</v>
      </c>
      <c r="AN170" s="99">
        <f t="shared" si="106"/>
        <v>126766.93577022933</v>
      </c>
      <c r="AO170" s="99">
        <f t="shared" si="106"/>
        <v>127772.19370673729</v>
      </c>
      <c r="AP170" s="99">
        <f t="shared" si="106"/>
        <v>135173.28497657855</v>
      </c>
      <c r="AQ170" s="99">
        <f t="shared" si="106"/>
        <v>140118.62369322366</v>
      </c>
      <c r="AR170" s="99">
        <f t="shared" si="106"/>
        <v>141165.54829639828</v>
      </c>
      <c r="AS170" s="99">
        <f t="shared" si="106"/>
        <v>148524.97289957287</v>
      </c>
      <c r="AT170" s="99">
        <f t="shared" si="106"/>
        <v>153074.39312321888</v>
      </c>
      <c r="AU170" s="99">
        <f t="shared" si="106"/>
        <v>154121.31772639343</v>
      </c>
      <c r="AV170" s="99">
        <f t="shared" si="106"/>
        <v>155126.57566290139</v>
      </c>
      <c r="AW170" s="99">
        <f t="shared" si="106"/>
        <v>156173.50026607598</v>
      </c>
      <c r="AX170" s="99">
        <f t="shared" si="106"/>
        <v>157178.75820258391</v>
      </c>
      <c r="AY170" s="99">
        <f t="shared" si="106"/>
        <v>165008.91693274266</v>
      </c>
      <c r="AZ170" s="99">
        <f t="shared" si="106"/>
        <v>169133.10759894698</v>
      </c>
      <c r="BA170" s="99">
        <f t="shared" si="106"/>
        <v>170609.09966243905</v>
      </c>
      <c r="BB170" s="99">
        <f t="shared" si="106"/>
        <v>178397.59172593112</v>
      </c>
      <c r="BC170" s="99">
        <f t="shared" si="106"/>
        <v>183624.77231921573</v>
      </c>
      <c r="BD170" s="99">
        <f t="shared" si="106"/>
        <v>185100.7643827078</v>
      </c>
      <c r="BE170" s="99">
        <f t="shared" si="106"/>
        <v>192889.25644619987</v>
      </c>
      <c r="BF170" s="99">
        <f t="shared" si="106"/>
        <v>197932.61208586453</v>
      </c>
      <c r="BG170" s="99">
        <f t="shared" si="106"/>
        <v>199408.6041493566</v>
      </c>
      <c r="BH170" s="99">
        <f t="shared" si="106"/>
        <v>200842.92954618201</v>
      </c>
      <c r="BI170" s="99">
        <f t="shared" si="106"/>
        <v>202318.92160967409</v>
      </c>
      <c r="BJ170" s="99">
        <f t="shared" si="106"/>
        <v>203753.24700649947</v>
      </c>
    </row>
    <row r="171" spans="1:62">
      <c r="A171" s="103" t="s">
        <v>265</v>
      </c>
      <c r="B171" s="124">
        <v>0.95</v>
      </c>
      <c r="C171" s="99">
        <f>$B$171*C109</f>
        <v>10450</v>
      </c>
      <c r="D171" s="99">
        <f t="shared" ref="D171:BJ171" si="107">$B$171*D109</f>
        <v>10659</v>
      </c>
      <c r="E171" s="99">
        <f t="shared" si="107"/>
        <v>10861.73</v>
      </c>
      <c r="F171" s="99">
        <f t="shared" si="107"/>
        <v>11058.378099999998</v>
      </c>
      <c r="G171" s="99">
        <f t="shared" si="107"/>
        <v>11249.126757</v>
      </c>
      <c r="H171" s="99">
        <f t="shared" si="107"/>
        <v>11434.152954290001</v>
      </c>
      <c r="I171" s="99">
        <f t="shared" si="107"/>
        <v>11613.6283656613</v>
      </c>
      <c r="J171" s="99">
        <f t="shared" si="107"/>
        <v>11787.719514691462</v>
      </c>
      <c r="K171" s="99">
        <f t="shared" si="107"/>
        <v>11956.587929250716</v>
      </c>
      <c r="L171" s="99">
        <f t="shared" si="107"/>
        <v>12120.390291373196</v>
      </c>
      <c r="M171" s="99">
        <f t="shared" si="107"/>
        <v>12279.278582632</v>
      </c>
      <c r="N171" s="99">
        <f t="shared" si="107"/>
        <v>12433.40022515304</v>
      </c>
      <c r="O171" s="99">
        <f t="shared" si="107"/>
        <v>12582.89821839845</v>
      </c>
      <c r="P171" s="99">
        <f t="shared" si="107"/>
        <v>20383.327938513165</v>
      </c>
      <c r="Q171" s="99">
        <f t="shared" si="107"/>
        <v>20033.078100357769</v>
      </c>
      <c r="R171" s="99">
        <f t="shared" si="107"/>
        <v>19693.335757347035</v>
      </c>
      <c r="S171" s="99">
        <f t="shared" si="107"/>
        <v>27280.452351293294</v>
      </c>
      <c r="T171" s="99">
        <f t="shared" si="107"/>
        <v>26723.288780754494</v>
      </c>
      <c r="U171" s="99">
        <f t="shared" si="107"/>
        <v>26182.84011733186</v>
      </c>
      <c r="V171" s="99">
        <f t="shared" si="107"/>
        <v>33575.271580478569</v>
      </c>
      <c r="W171" s="99">
        <f t="shared" si="107"/>
        <v>32829.26343306421</v>
      </c>
      <c r="X171" s="99">
        <f t="shared" si="107"/>
        <v>32105.635530072283</v>
      </c>
      <c r="Y171" s="99">
        <f t="shared" si="107"/>
        <v>31403.716464170113</v>
      </c>
      <c r="Z171" s="99">
        <f t="shared" si="107"/>
        <v>30722.854970245007</v>
      </c>
      <c r="AA171" s="99">
        <f t="shared" si="107"/>
        <v>30062.419321137655</v>
      </c>
      <c r="AB171" s="99">
        <f t="shared" si="107"/>
        <v>37647.213408170195</v>
      </c>
      <c r="AC171" s="99">
        <f t="shared" si="107"/>
        <v>37087.797005925095</v>
      </c>
      <c r="AD171" s="99">
        <f t="shared" si="107"/>
        <v>36545.163095747339</v>
      </c>
      <c r="AE171" s="99">
        <f t="shared" si="107"/>
        <v>43935.474869541591</v>
      </c>
      <c r="AF171" s="99">
        <f t="shared" si="107"/>
        <v>43187.410623455347</v>
      </c>
      <c r="AG171" s="99">
        <f t="shared" si="107"/>
        <v>42461.788304751681</v>
      </c>
      <c r="AH171" s="99">
        <f t="shared" si="107"/>
        <v>49674.601322275797</v>
      </c>
      <c r="AI171" s="99">
        <f t="shared" si="107"/>
        <v>48754.363282607519</v>
      </c>
      <c r="AJ171" s="99">
        <f t="shared" si="107"/>
        <v>47861.732384129304</v>
      </c>
      <c r="AK171" s="99">
        <f t="shared" si="107"/>
        <v>46995.880412605424</v>
      </c>
      <c r="AL171" s="99">
        <f t="shared" si="107"/>
        <v>46156.004000227265</v>
      </c>
      <c r="AM171" s="99">
        <f t="shared" si="107"/>
        <v>45341.323880220443</v>
      </c>
      <c r="AN171" s="99">
        <f t="shared" si="107"/>
        <v>52863.58416381383</v>
      </c>
      <c r="AO171" s="99">
        <f t="shared" si="107"/>
        <v>52243.509972232743</v>
      </c>
      <c r="AP171" s="99">
        <f t="shared" si="107"/>
        <v>51642.038006399096</v>
      </c>
      <c r="AQ171" s="99">
        <f t="shared" si="107"/>
        <v>58975.276866207125</v>
      </c>
      <c r="AR171" s="99">
        <f t="shared" si="107"/>
        <v>58171.851893554252</v>
      </c>
      <c r="AS171" s="99">
        <f t="shared" si="107"/>
        <v>57392.529670080956</v>
      </c>
      <c r="AT171" s="99">
        <f t="shared" si="107"/>
        <v>64553.253779978528</v>
      </c>
      <c r="AU171" s="99">
        <f t="shared" si="107"/>
        <v>63582.48949991251</v>
      </c>
      <c r="AV171" s="99">
        <f t="shared" si="107"/>
        <v>62640.848148248457</v>
      </c>
      <c r="AW171" s="99">
        <f t="shared" si="107"/>
        <v>61727.456037134347</v>
      </c>
      <c r="AX171" s="99">
        <f t="shared" si="107"/>
        <v>60841.465689353638</v>
      </c>
      <c r="AY171" s="99">
        <f t="shared" si="107"/>
        <v>59982.05505200637</v>
      </c>
      <c r="AZ171" s="99">
        <f t="shared" si="107"/>
        <v>67460.926733779517</v>
      </c>
      <c r="BA171" s="99">
        <f t="shared" si="107"/>
        <v>66798.765598432787</v>
      </c>
      <c r="BB171" s="99">
        <f t="shared" si="107"/>
        <v>66156.469297146468</v>
      </c>
      <c r="BC171" s="99">
        <f t="shared" si="107"/>
        <v>73450.108551565412</v>
      </c>
      <c r="BD171" s="99">
        <f t="shared" si="107"/>
        <v>72608.27196168511</v>
      </c>
      <c r="BE171" s="99">
        <f t="shared" si="107"/>
        <v>71791.690469501234</v>
      </c>
      <c r="BF171" s="99">
        <f t="shared" si="107"/>
        <v>78916.273088749527</v>
      </c>
      <c r="BG171" s="99">
        <f t="shared" si="107"/>
        <v>77910.451562753718</v>
      </c>
      <c r="BH171" s="99">
        <f t="shared" si="107"/>
        <v>76934.804682537768</v>
      </c>
      <c r="BI171" s="99">
        <f t="shared" si="107"/>
        <v>75988.427208728303</v>
      </c>
      <c r="BJ171" s="99">
        <f t="shared" si="107"/>
        <v>75070.441059133125</v>
      </c>
    </row>
    <row r="172" spans="1:62">
      <c r="A172" s="118" t="s">
        <v>66</v>
      </c>
      <c r="C172" s="99">
        <f>SUM(C167:C171)</f>
        <v>88492.325148809527</v>
      </c>
      <c r="D172" s="99">
        <f t="shared" ref="D172:BJ172" si="108">SUM(D167:D171)</f>
        <v>89782.192485119042</v>
      </c>
      <c r="E172" s="99">
        <f t="shared" si="108"/>
        <v>91001.442670386896</v>
      </c>
      <c r="F172" s="99">
        <f t="shared" si="108"/>
        <v>92192.610885811009</v>
      </c>
      <c r="G172" s="99">
        <f t="shared" si="108"/>
        <v>93356.539590486689</v>
      </c>
      <c r="H172" s="99">
        <f t="shared" si="108"/>
        <v>94494.045969736369</v>
      </c>
      <c r="I172" s="99">
        <f t="shared" si="108"/>
        <v>95605.922693322849</v>
      </c>
      <c r="J172" s="99">
        <f t="shared" si="108"/>
        <v>96692.938650916025</v>
      </c>
      <c r="K172" s="99">
        <f t="shared" si="108"/>
        <v>97755.839665495674</v>
      </c>
      <c r="L172" s="99">
        <f t="shared" si="108"/>
        <v>98795.349185352243</v>
      </c>
      <c r="M172" s="99">
        <f t="shared" si="108"/>
        <v>99812.16895532739</v>
      </c>
      <c r="N172" s="99">
        <f t="shared" si="108"/>
        <v>100848.64633458425</v>
      </c>
      <c r="O172" s="99">
        <f t="shared" si="108"/>
        <v>127238.77492817768</v>
      </c>
      <c r="P172" s="99">
        <f t="shared" si="108"/>
        <v>164851.40023834552</v>
      </c>
      <c r="Q172" s="99">
        <f t="shared" si="108"/>
        <v>163678.28280350889</v>
      </c>
      <c r="R172" s="99">
        <f t="shared" si="108"/>
        <v>168903.02109409837</v>
      </c>
      <c r="S172" s="99">
        <f t="shared" si="108"/>
        <v>204907.10767353617</v>
      </c>
      <c r="T172" s="99">
        <f t="shared" si="108"/>
        <v>202873.66471984226</v>
      </c>
      <c r="U172" s="99">
        <f t="shared" si="108"/>
        <v>207222.22059047347</v>
      </c>
      <c r="V172" s="99">
        <f t="shared" si="108"/>
        <v>242246.80127238727</v>
      </c>
      <c r="W172" s="99">
        <f t="shared" si="108"/>
        <v>239386.49577975465</v>
      </c>
      <c r="X172" s="99">
        <f t="shared" si="108"/>
        <v>236660.91165428198</v>
      </c>
      <c r="Y172" s="99">
        <f t="shared" si="108"/>
        <v>233983.92392162103</v>
      </c>
      <c r="Z172" s="99">
        <f t="shared" si="108"/>
        <v>231436.15802332092</v>
      </c>
      <c r="AA172" s="99">
        <f t="shared" si="108"/>
        <v>235662.1599233984</v>
      </c>
      <c r="AB172" s="99">
        <f t="shared" si="108"/>
        <v>270831.06952540285</v>
      </c>
      <c r="AC172" s="99">
        <f t="shared" si="108"/>
        <v>269122.93215366197</v>
      </c>
      <c r="AD172" s="99">
        <f t="shared" si="108"/>
        <v>273797.07461735897</v>
      </c>
      <c r="AE172" s="99">
        <f t="shared" si="108"/>
        <v>309145.20961358678</v>
      </c>
      <c r="AF172" s="99">
        <f t="shared" si="108"/>
        <v>306611.02769815549</v>
      </c>
      <c r="AG172" s="99">
        <f t="shared" si="108"/>
        <v>310565.99028780614</v>
      </c>
      <c r="AH172" s="99">
        <f t="shared" si="108"/>
        <v>344837.26625122054</v>
      </c>
      <c r="AI172" s="99">
        <f t="shared" si="108"/>
        <v>341587.2038256324</v>
      </c>
      <c r="AJ172" s="99">
        <f t="shared" si="108"/>
        <v>338493.59565376426</v>
      </c>
      <c r="AK172" s="99">
        <f t="shared" si="108"/>
        <v>335469.66477467126</v>
      </c>
      <c r="AL172" s="99">
        <f t="shared" si="108"/>
        <v>332595.40420290345</v>
      </c>
      <c r="AM172" s="99">
        <f t="shared" si="108"/>
        <v>336567.47462289175</v>
      </c>
      <c r="AN172" s="99">
        <f t="shared" si="108"/>
        <v>371568.15413556056</v>
      </c>
      <c r="AO172" s="99">
        <f t="shared" si="108"/>
        <v>369995.20885444188</v>
      </c>
      <c r="AP172" s="99">
        <f t="shared" si="108"/>
        <v>374895.44300318538</v>
      </c>
      <c r="AQ172" s="99">
        <f t="shared" si="108"/>
        <v>410331.61697903229</v>
      </c>
      <c r="AR172" s="99">
        <f t="shared" si="108"/>
        <v>408037.98511696601</v>
      </c>
      <c r="AS172" s="99">
        <f t="shared" si="108"/>
        <v>412157.06994885684</v>
      </c>
      <c r="AT172" s="99">
        <f t="shared" si="108"/>
        <v>446480.0272610244</v>
      </c>
      <c r="AU172" s="99">
        <f t="shared" si="108"/>
        <v>443490.6161733981</v>
      </c>
      <c r="AV172" s="99">
        <f t="shared" si="108"/>
        <v>440580.62848982919</v>
      </c>
      <c r="AW172" s="99">
        <f t="shared" si="108"/>
        <v>437829.76484152931</v>
      </c>
      <c r="AX172" s="99">
        <f t="shared" si="108"/>
        <v>435151.16817410698</v>
      </c>
      <c r="AY172" s="99">
        <f t="shared" si="108"/>
        <v>439407.98793845339</v>
      </c>
      <c r="AZ172" s="99">
        <f t="shared" si="108"/>
        <v>474628.53980781964</v>
      </c>
      <c r="BA172" s="99">
        <f t="shared" si="108"/>
        <v>473351.33557171229</v>
      </c>
      <c r="BB172" s="99">
        <f t="shared" si="108"/>
        <v>478469.22722459276</v>
      </c>
      <c r="BC172" s="99">
        <f t="shared" si="108"/>
        <v>514022.59208625089</v>
      </c>
      <c r="BD172" s="99">
        <f t="shared" si="108"/>
        <v>511998.31622339849</v>
      </c>
      <c r="BE172" s="99">
        <f t="shared" si="108"/>
        <v>516391.54839833663</v>
      </c>
      <c r="BF172" s="99">
        <f t="shared" si="108"/>
        <v>551058.1686127705</v>
      </c>
      <c r="BG172" s="99">
        <f t="shared" si="108"/>
        <v>548352.0606471221</v>
      </c>
      <c r="BH172" s="99">
        <f t="shared" si="108"/>
        <v>545729.74901568121</v>
      </c>
      <c r="BI172" s="99">
        <f t="shared" si="108"/>
        <v>543270.80316175485</v>
      </c>
      <c r="BJ172" s="99">
        <f t="shared" si="108"/>
        <v>540888.23877868464</v>
      </c>
    </row>
    <row r="173" spans="1:62">
      <c r="A173" s="118"/>
      <c r="C173" s="9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  <c r="AQ173" s="99"/>
      <c r="AR173" s="99"/>
      <c r="AS173" s="99"/>
      <c r="AT173" s="99"/>
      <c r="AU173" s="99"/>
      <c r="AV173" s="99"/>
      <c r="AW173" s="99"/>
      <c r="AX173" s="99"/>
      <c r="AY173" s="99"/>
      <c r="AZ173" s="99"/>
      <c r="BA173" s="99"/>
      <c r="BB173" s="99"/>
      <c r="BC173" s="99"/>
      <c r="BD173" s="99"/>
      <c r="BE173" s="99"/>
      <c r="BF173" s="99"/>
      <c r="BG173" s="99"/>
      <c r="BH173" s="99"/>
      <c r="BI173" s="99"/>
      <c r="BJ173" s="99"/>
    </row>
    <row r="174" spans="1:62">
      <c r="A174" s="102" t="s">
        <v>144</v>
      </c>
      <c r="C174" s="99">
        <f>C244</f>
        <v>80169.300595238092</v>
      </c>
      <c r="D174" s="99">
        <f t="shared" ref="D174:BJ174" si="109">D244</f>
        <v>81852.769940476181</v>
      </c>
      <c r="E174" s="99">
        <f t="shared" si="109"/>
        <v>83358.050681547626</v>
      </c>
      <c r="F174" s="99">
        <f t="shared" si="109"/>
        <v>84852.155143244032</v>
      </c>
      <c r="G174" s="99">
        <f t="shared" si="109"/>
        <v>86335.41861394672</v>
      </c>
      <c r="H174" s="99">
        <f t="shared" si="109"/>
        <v>87808.166323385463</v>
      </c>
      <c r="I174" s="99">
        <f t="shared" si="109"/>
        <v>89270.713744398192</v>
      </c>
      <c r="J174" s="99">
        <f t="shared" si="109"/>
        <v>90723.366885637675</v>
      </c>
      <c r="K174" s="99">
        <f t="shared" si="109"/>
        <v>92166.422575497098</v>
      </c>
      <c r="L174" s="99">
        <f t="shared" si="109"/>
        <v>93600.168737517917</v>
      </c>
      <c r="M174" s="99">
        <f t="shared" si="109"/>
        <v>95024.884657535236</v>
      </c>
      <c r="N174" s="99">
        <f t="shared" si="109"/>
        <v>96607.507909475855</v>
      </c>
      <c r="O174" s="99">
        <f t="shared" si="109"/>
        <v>199681.63460671538</v>
      </c>
      <c r="P174" s="99">
        <f t="shared" si="109"/>
        <v>220398.67313389992</v>
      </c>
      <c r="Q174" s="99">
        <f t="shared" si="109"/>
        <v>221531.411229138</v>
      </c>
      <c r="R174" s="99">
        <f t="shared" si="109"/>
        <v>248080.81599104276</v>
      </c>
      <c r="S174" s="99">
        <f t="shared" si="109"/>
        <v>265911.43369368778</v>
      </c>
      <c r="T174" s="99">
        <f t="shared" si="109"/>
        <v>267044.17178892595</v>
      </c>
      <c r="U174" s="99">
        <f t="shared" si="109"/>
        <v>293426.90988416399</v>
      </c>
      <c r="V174" s="99">
        <f t="shared" si="109"/>
        <v>310577.42511948448</v>
      </c>
      <c r="W174" s="99">
        <f t="shared" si="109"/>
        <v>311543.49654805585</v>
      </c>
      <c r="X174" s="99">
        <f t="shared" si="109"/>
        <v>312676.23464329407</v>
      </c>
      <c r="Y174" s="99">
        <f t="shared" si="109"/>
        <v>313642.30607186543</v>
      </c>
      <c r="Z174" s="99">
        <f t="shared" si="109"/>
        <v>314775.04416710348</v>
      </c>
      <c r="AA174" s="99">
        <f t="shared" si="109"/>
        <v>342663.13940519874</v>
      </c>
      <c r="AB174" s="99">
        <f t="shared" si="109"/>
        <v>357191.67615520186</v>
      </c>
      <c r="AC174" s="99">
        <f t="shared" si="109"/>
        <v>359663.10472663044</v>
      </c>
      <c r="AD174" s="99">
        <f t="shared" si="109"/>
        <v>387384.53329805908</v>
      </c>
      <c r="AE174" s="99">
        <f t="shared" si="109"/>
        <v>405864.51957144478</v>
      </c>
      <c r="AF174" s="99">
        <f t="shared" si="109"/>
        <v>408169.28147620667</v>
      </c>
      <c r="AG174" s="99">
        <f t="shared" si="109"/>
        <v>436057.37671430188</v>
      </c>
      <c r="AH174" s="99">
        <f t="shared" si="109"/>
        <v>453182.01143440034</v>
      </c>
      <c r="AI174" s="99">
        <f t="shared" si="109"/>
        <v>455486.77333916223</v>
      </c>
      <c r="AJ174" s="99">
        <f t="shared" si="109"/>
        <v>457958.20191059075</v>
      </c>
      <c r="AK174" s="99">
        <f t="shared" si="109"/>
        <v>460262.9638153527</v>
      </c>
      <c r="AL174" s="99">
        <f t="shared" si="109"/>
        <v>462734.39238678123</v>
      </c>
      <c r="AM174" s="99">
        <f t="shared" si="109"/>
        <v>492172.09079947969</v>
      </c>
      <c r="AN174" s="99">
        <f t="shared" si="109"/>
        <v>507067.74308091734</v>
      </c>
      <c r="AO174" s="99">
        <f t="shared" si="109"/>
        <v>511088.77482694911</v>
      </c>
      <c r="AP174" s="99">
        <f t="shared" si="109"/>
        <v>540693.13990631409</v>
      </c>
      <c r="AQ174" s="99">
        <f t="shared" si="109"/>
        <v>560474.49477289466</v>
      </c>
      <c r="AR174" s="99">
        <f t="shared" si="109"/>
        <v>564662.19318559312</v>
      </c>
      <c r="AS174" s="99">
        <f t="shared" si="109"/>
        <v>594099.89159829146</v>
      </c>
      <c r="AT174" s="99">
        <f t="shared" si="109"/>
        <v>612297.57249287539</v>
      </c>
      <c r="AU174" s="99">
        <f t="shared" si="109"/>
        <v>616485.27090557362</v>
      </c>
      <c r="AV174" s="99">
        <f t="shared" si="109"/>
        <v>620506.30265160545</v>
      </c>
      <c r="AW174" s="99">
        <f t="shared" si="109"/>
        <v>624694.00106430391</v>
      </c>
      <c r="AX174" s="99">
        <f t="shared" si="109"/>
        <v>628715.03281033563</v>
      </c>
      <c r="AY174" s="99">
        <f t="shared" si="109"/>
        <v>660035.66773097054</v>
      </c>
      <c r="AZ174" s="99">
        <f t="shared" si="109"/>
        <v>676532.43039578793</v>
      </c>
      <c r="BA174" s="99">
        <f t="shared" si="109"/>
        <v>682436.3986497561</v>
      </c>
      <c r="BB174" s="99">
        <f t="shared" si="109"/>
        <v>713590.36690372438</v>
      </c>
      <c r="BC174" s="99">
        <f t="shared" si="109"/>
        <v>734499.08927686291</v>
      </c>
      <c r="BD174" s="99">
        <f t="shared" si="109"/>
        <v>740403.0575308312</v>
      </c>
      <c r="BE174" s="99">
        <f t="shared" si="109"/>
        <v>771557.02578479948</v>
      </c>
      <c r="BF174" s="99">
        <f t="shared" si="109"/>
        <v>791730.44834345812</v>
      </c>
      <c r="BG174" s="99">
        <f t="shared" si="109"/>
        <v>797634.4165974264</v>
      </c>
      <c r="BH174" s="99">
        <f t="shared" si="109"/>
        <v>803371.71818472806</v>
      </c>
      <c r="BI174" s="99">
        <f t="shared" si="109"/>
        <v>809275.68643869634</v>
      </c>
      <c r="BJ174" s="99">
        <f t="shared" si="109"/>
        <v>815012.98802599788</v>
      </c>
    </row>
    <row r="175" spans="1:62">
      <c r="A175" s="82"/>
    </row>
    <row r="176" spans="1:62">
      <c r="A176" s="106" t="s">
        <v>145</v>
      </c>
      <c r="C176" s="125">
        <f>C156+C160+C164+C172+C174</f>
        <v>391354.62574404763</v>
      </c>
      <c r="D176" s="125">
        <f t="shared" ref="D176:BJ176" si="110">D156+D160+D164+D172+D174</f>
        <v>398631.82249943685</v>
      </c>
      <c r="E176" s="125">
        <f t="shared" si="110"/>
        <v>411531.09762718057</v>
      </c>
      <c r="F176" s="125">
        <f t="shared" si="110"/>
        <v>418265.87217966339</v>
      </c>
      <c r="G176" s="125">
        <f t="shared" si="110"/>
        <v>424841.08117414318</v>
      </c>
      <c r="H176" s="125">
        <f t="shared" si="110"/>
        <v>431261.5115773601</v>
      </c>
      <c r="I176" s="125">
        <f t="shared" si="110"/>
        <v>437531.80674705177</v>
      </c>
      <c r="J176" s="125">
        <f t="shared" si="110"/>
        <v>443656.47074022423</v>
      </c>
      <c r="K176" s="125">
        <f t="shared" si="110"/>
        <v>449639.87249217287</v>
      </c>
      <c r="L176" s="125">
        <f t="shared" si="110"/>
        <v>455486.24987013452</v>
      </c>
      <c r="M176" s="125">
        <f t="shared" si="110"/>
        <v>461199.7136053287</v>
      </c>
      <c r="N176" s="125">
        <f t="shared" si="110"/>
        <v>466992.58444037195</v>
      </c>
      <c r="O176" s="125">
        <f t="shared" si="110"/>
        <v>559799.92877083493</v>
      </c>
      <c r="P176" s="125">
        <f t="shared" si="110"/>
        <v>754128.03208776272</v>
      </c>
      <c r="Q176" s="125">
        <f t="shared" si="110"/>
        <v>747981.13898850849</v>
      </c>
      <c r="R176" s="125">
        <f t="shared" si="110"/>
        <v>773831.96369413671</v>
      </c>
      <c r="S176" s="125">
        <f t="shared" si="110"/>
        <v>965946.04923460318</v>
      </c>
      <c r="T176" s="125">
        <f t="shared" si="110"/>
        <v>955331.34414193593</v>
      </c>
      <c r="U176" s="125">
        <f t="shared" si="110"/>
        <v>976640.05788062012</v>
      </c>
      <c r="V176" s="125">
        <f t="shared" si="110"/>
        <v>1165200.2510323285</v>
      </c>
      <c r="W176" s="125">
        <f t="shared" si="110"/>
        <v>1150299.5612308632</v>
      </c>
      <c r="X176" s="125">
        <f t="shared" si="110"/>
        <v>1130090.453135347</v>
      </c>
      <c r="Y176" s="125">
        <f t="shared" si="110"/>
        <v>1116141.7626279341</v>
      </c>
      <c r="Z176" s="125">
        <f t="shared" si="110"/>
        <v>1102856.0938476487</v>
      </c>
      <c r="AA176" s="125">
        <f t="shared" si="110"/>
        <v>1047508.5046371456</v>
      </c>
      <c r="AB176" s="125">
        <f t="shared" si="110"/>
        <v>1216283.2548886891</v>
      </c>
      <c r="AC176" s="125">
        <f t="shared" si="110"/>
        <v>1208706.5308160833</v>
      </c>
      <c r="AD176" s="125">
        <f t="shared" si="110"/>
        <v>1233012.2870370839</v>
      </c>
      <c r="AE176" s="125">
        <f t="shared" si="110"/>
        <v>1403018.2879918399</v>
      </c>
      <c r="AF176" s="125">
        <f t="shared" si="110"/>
        <v>1385636.4112209151</v>
      </c>
      <c r="AG176" s="125">
        <f t="shared" si="110"/>
        <v>1406661.5859912131</v>
      </c>
      <c r="AH176" s="125">
        <f t="shared" si="110"/>
        <v>1571589.1501638452</v>
      </c>
      <c r="AI176" s="125">
        <f t="shared" si="110"/>
        <v>1556924.5534726209</v>
      </c>
      <c r="AJ176" s="125">
        <f t="shared" si="110"/>
        <v>1542994.6565868955</v>
      </c>
      <c r="AK176" s="125">
        <f t="shared" si="110"/>
        <v>1529367.0018458369</v>
      </c>
      <c r="AL176" s="125">
        <f t="shared" si="110"/>
        <v>1516442.938651772</v>
      </c>
      <c r="AM176" s="125">
        <f t="shared" si="110"/>
        <v>1446069.9112791519</v>
      </c>
      <c r="AN176" s="125">
        <f t="shared" si="110"/>
        <v>1592908.3827590896</v>
      </c>
      <c r="AO176" s="125">
        <f t="shared" si="110"/>
        <v>1587365.3446644153</v>
      </c>
      <c r="AP176" s="125">
        <f t="shared" si="110"/>
        <v>1614118.5530697242</v>
      </c>
      <c r="AQ176" s="125">
        <f t="shared" si="110"/>
        <v>1771342.2328688796</v>
      </c>
      <c r="AR176" s="125">
        <f t="shared" si="110"/>
        <v>1762882.2657926939</v>
      </c>
      <c r="AS176" s="125">
        <f t="shared" si="110"/>
        <v>1786395.6364192704</v>
      </c>
      <c r="AT176" s="125">
        <f t="shared" si="110"/>
        <v>1931199.1644413928</v>
      </c>
      <c r="AU176" s="125">
        <f t="shared" si="110"/>
        <v>1919886.8548325312</v>
      </c>
      <c r="AV176" s="125">
        <f t="shared" si="110"/>
        <v>1908862.619869078</v>
      </c>
      <c r="AW176" s="125">
        <f t="shared" si="110"/>
        <v>1898528.2339783381</v>
      </c>
      <c r="AX176" s="125">
        <f t="shared" si="110"/>
        <v>1888452.5850214632</v>
      </c>
      <c r="AY176" s="125">
        <f t="shared" si="110"/>
        <v>1815972.9860237285</v>
      </c>
      <c r="AZ176" s="125">
        <f t="shared" si="110"/>
        <v>1957981.1207115599</v>
      </c>
      <c r="BA176" s="125">
        <f t="shared" si="110"/>
        <v>1955144.9802236152</v>
      </c>
      <c r="BB176" s="125">
        <f t="shared" si="110"/>
        <v>1984177.8227598327</v>
      </c>
      <c r="BC176" s="125">
        <f t="shared" si="110"/>
        <v>2122843.0631999606</v>
      </c>
      <c r="BD176" s="125">
        <f t="shared" si="110"/>
        <v>2117234.8141454044</v>
      </c>
      <c r="BE176" s="125">
        <f t="shared" si="110"/>
        <v>2143578.711372009</v>
      </c>
      <c r="BF176" s="125">
        <f t="shared" si="110"/>
        <v>2284716.5500937123</v>
      </c>
      <c r="BG176" s="125">
        <f t="shared" si="110"/>
        <v>2276578.2723973403</v>
      </c>
      <c r="BH176" s="125">
        <f t="shared" si="110"/>
        <v>2268697.2085080505</v>
      </c>
      <c r="BI176" s="125">
        <f t="shared" si="110"/>
        <v>2261476.0586782964</v>
      </c>
      <c r="BJ176" s="125">
        <f t="shared" si="110"/>
        <v>2248484.6088196258</v>
      </c>
    </row>
    <row r="177" spans="1:256">
      <c r="A177" s="82"/>
    </row>
    <row r="178" spans="1:256">
      <c r="A178" s="126" t="s">
        <v>146</v>
      </c>
    </row>
    <row r="179" spans="1:256">
      <c r="A179" s="102" t="s">
        <v>23</v>
      </c>
    </row>
    <row r="180" spans="1:256">
      <c r="A180" s="118" t="s">
        <v>147</v>
      </c>
      <c r="C180" s="8">
        <f t="shared" ref="C180:AH180" si="111">IF(C115&gt;CMTS_Max_Capacity_Subs,ROUNDUP(C115/CMTS_Max_Capacity_Subs,0),1)</f>
        <v>1</v>
      </c>
      <c r="D180" s="8">
        <f t="shared" si="111"/>
        <v>1</v>
      </c>
      <c r="E180" s="8">
        <f t="shared" si="111"/>
        <v>1</v>
      </c>
      <c r="F180" s="8">
        <f t="shared" si="111"/>
        <v>1</v>
      </c>
      <c r="G180" s="8">
        <f t="shared" si="111"/>
        <v>1</v>
      </c>
      <c r="H180" s="8">
        <f t="shared" si="111"/>
        <v>1</v>
      </c>
      <c r="I180" s="8">
        <f t="shared" si="111"/>
        <v>1</v>
      </c>
      <c r="J180" s="8">
        <f t="shared" si="111"/>
        <v>1</v>
      </c>
      <c r="K180" s="8">
        <f t="shared" si="111"/>
        <v>1</v>
      </c>
      <c r="L180" s="8">
        <f t="shared" si="111"/>
        <v>1</v>
      </c>
      <c r="M180" s="8">
        <f t="shared" si="111"/>
        <v>1</v>
      </c>
      <c r="N180" s="8">
        <f t="shared" si="111"/>
        <v>1</v>
      </c>
      <c r="O180" s="8">
        <f t="shared" si="111"/>
        <v>1</v>
      </c>
      <c r="P180" s="8">
        <f t="shared" si="111"/>
        <v>1</v>
      </c>
      <c r="Q180" s="8">
        <f t="shared" si="111"/>
        <v>1</v>
      </c>
      <c r="R180" s="8">
        <f t="shared" si="111"/>
        <v>1</v>
      </c>
      <c r="S180" s="8">
        <f t="shared" si="111"/>
        <v>1</v>
      </c>
      <c r="T180" s="8">
        <f t="shared" si="111"/>
        <v>1</v>
      </c>
      <c r="U180" s="8">
        <f t="shared" si="111"/>
        <v>1</v>
      </c>
      <c r="V180" s="8">
        <f t="shared" si="111"/>
        <v>1</v>
      </c>
      <c r="W180" s="8">
        <f t="shared" si="111"/>
        <v>1</v>
      </c>
      <c r="X180" s="8">
        <f t="shared" si="111"/>
        <v>1</v>
      </c>
      <c r="Y180" s="8">
        <f t="shared" si="111"/>
        <v>1</v>
      </c>
      <c r="Z180" s="8">
        <f t="shared" si="111"/>
        <v>1</v>
      </c>
      <c r="AA180" s="8">
        <f t="shared" si="111"/>
        <v>1</v>
      </c>
      <c r="AB180" s="8">
        <f t="shared" si="111"/>
        <v>1</v>
      </c>
      <c r="AC180" s="8">
        <f t="shared" si="111"/>
        <v>1</v>
      </c>
      <c r="AD180" s="8">
        <f t="shared" si="111"/>
        <v>1</v>
      </c>
      <c r="AE180" s="8">
        <f t="shared" si="111"/>
        <v>1</v>
      </c>
      <c r="AF180" s="8">
        <f t="shared" si="111"/>
        <v>1</v>
      </c>
      <c r="AG180" s="8">
        <f t="shared" si="111"/>
        <v>1</v>
      </c>
      <c r="AH180" s="8">
        <f t="shared" si="111"/>
        <v>1</v>
      </c>
      <c r="AI180" s="8">
        <f t="shared" ref="AI180:BJ180" si="112">IF(AI115&gt;CMTS_Max_Capacity_Subs,ROUNDUP(AI115/CMTS_Max_Capacity_Subs,0),1)</f>
        <v>1</v>
      </c>
      <c r="AJ180" s="8">
        <f t="shared" si="112"/>
        <v>1</v>
      </c>
      <c r="AK180" s="8">
        <f t="shared" si="112"/>
        <v>1</v>
      </c>
      <c r="AL180" s="8">
        <f t="shared" si="112"/>
        <v>1</v>
      </c>
      <c r="AM180" s="8">
        <f t="shared" si="112"/>
        <v>1</v>
      </c>
      <c r="AN180" s="8">
        <f t="shared" si="112"/>
        <v>1</v>
      </c>
      <c r="AO180" s="8">
        <f t="shared" si="112"/>
        <v>1</v>
      </c>
      <c r="AP180" s="8">
        <f t="shared" si="112"/>
        <v>1</v>
      </c>
      <c r="AQ180" s="8">
        <f t="shared" si="112"/>
        <v>1</v>
      </c>
      <c r="AR180" s="8">
        <f t="shared" si="112"/>
        <v>1</v>
      </c>
      <c r="AS180" s="8">
        <f t="shared" si="112"/>
        <v>1</v>
      </c>
      <c r="AT180" s="8">
        <f t="shared" si="112"/>
        <v>1</v>
      </c>
      <c r="AU180" s="8">
        <f t="shared" si="112"/>
        <v>1</v>
      </c>
      <c r="AV180" s="8">
        <f t="shared" si="112"/>
        <v>1</v>
      </c>
      <c r="AW180" s="8">
        <f t="shared" si="112"/>
        <v>1</v>
      </c>
      <c r="AX180" s="8">
        <f t="shared" si="112"/>
        <v>1</v>
      </c>
      <c r="AY180" s="8">
        <f t="shared" si="112"/>
        <v>1</v>
      </c>
      <c r="AZ180" s="8">
        <f t="shared" si="112"/>
        <v>1</v>
      </c>
      <c r="BA180" s="8">
        <f t="shared" si="112"/>
        <v>1</v>
      </c>
      <c r="BB180" s="8">
        <f t="shared" si="112"/>
        <v>1</v>
      </c>
      <c r="BC180" s="8">
        <f t="shared" si="112"/>
        <v>1</v>
      </c>
      <c r="BD180" s="8">
        <f t="shared" si="112"/>
        <v>1</v>
      </c>
      <c r="BE180" s="8">
        <f t="shared" si="112"/>
        <v>1</v>
      </c>
      <c r="BF180" s="8">
        <f t="shared" si="112"/>
        <v>1</v>
      </c>
      <c r="BG180" s="8">
        <f t="shared" si="112"/>
        <v>1</v>
      </c>
      <c r="BH180" s="8">
        <f t="shared" si="112"/>
        <v>1</v>
      </c>
      <c r="BI180" s="8">
        <f t="shared" si="112"/>
        <v>1</v>
      </c>
      <c r="BJ180" s="8">
        <f t="shared" si="112"/>
        <v>1</v>
      </c>
    </row>
    <row r="181" spans="1:256">
      <c r="A181" s="118" t="s">
        <v>148</v>
      </c>
      <c r="C181" s="81">
        <f>MAX(IF(C115&gt;C180*CMTS_Initial_Capacity_Subs,('Financial Statements &amp; Detail'!C115-CMTS_Initial_Capacity_Subs*'Financial Statements &amp; Detail'!C180),0),B181)</f>
        <v>826.25</v>
      </c>
      <c r="D181" s="81">
        <f>MAX(IF(D115&gt;D180*CMTS_Initial_Capacity_Subs,('Financial Statements &amp; Detail'!D115-CMTS_Initial_Capacity_Subs*'Financial Statements &amp; Detail'!D180),0),C181)</f>
        <v>922.77499999999964</v>
      </c>
      <c r="E181" s="81">
        <f>MAX(IF(E115&gt;E180*CMTS_Initial_Capacity_Subs,('Financial Statements &amp; Detail'!E115-CMTS_Initial_Capacity_Subs*'Financial Statements &amp; Detail'!E180),0),D181)</f>
        <v>1016.4042499999996</v>
      </c>
      <c r="F181" s="81">
        <f>MAX(IF(F115&gt;F180*CMTS_Initial_Capacity_Subs,('Financial Statements &amp; Detail'!F115-CMTS_Initial_Capacity_Subs*'Financial Statements &amp; Detail'!F180),0),E181)</f>
        <v>1107.2246224999999</v>
      </c>
      <c r="G181" s="81">
        <f>MAX(IF(G115&gt;G180*CMTS_Initial_Capacity_Subs,('Financial Statements &amp; Detail'!G115-CMTS_Initial_Capacity_Subs*'Financial Statements &amp; Detail'!G180),0),F181)</f>
        <v>1195.3203838249992</v>
      </c>
      <c r="H181" s="81">
        <f>MAX(IF(H115&gt;H180*CMTS_Initial_Capacity_Subs,('Financial Statements &amp; Detail'!H115-CMTS_Initial_Capacity_Subs*'Financial Statements &amp; Detail'!H180),0),G181)</f>
        <v>1280.7732723102499</v>
      </c>
      <c r="I181" s="81">
        <f>MAX(IF(I115&gt;I180*CMTS_Initial_Capacity_Subs,('Financial Statements &amp; Detail'!I115-CMTS_Initial_Capacity_Subs*'Financial Statements &amp; Detail'!I180),0),H181)</f>
        <v>1363.6625741409425</v>
      </c>
      <c r="J181" s="81">
        <f>MAX(IF(J115&gt;J180*CMTS_Initial_Capacity_Subs,('Financial Statements &amp; Detail'!J115-CMTS_Initial_Capacity_Subs*'Financial Statements &amp; Detail'!J180),0),I181)</f>
        <v>1444.0651969167147</v>
      </c>
      <c r="K181" s="81">
        <f>MAX(IF(K115&gt;K180*CMTS_Initial_Capacity_Subs,('Financial Statements &amp; Detail'!K115-CMTS_Initial_Capacity_Subs*'Financial Statements &amp; Detail'!K180),0),J181)</f>
        <v>1522.0557410092124</v>
      </c>
      <c r="L181" s="81">
        <f>MAX(IF(L115&gt;L180*CMTS_Initial_Capacity_Subs,('Financial Statements &amp; Detail'!L115-CMTS_Initial_Capacity_Subs*'Financial Statements &amp; Detail'!L180),0),K181)</f>
        <v>1597.7065687789363</v>
      </c>
      <c r="M181" s="81">
        <f>MAX(IF(M115&gt;M180*CMTS_Initial_Capacity_Subs,('Financial Statements &amp; Detail'!M115-CMTS_Initial_Capacity_Subs*'Financial Statements &amp; Detail'!M180),0),L181)</f>
        <v>1671.0878717155683</v>
      </c>
      <c r="N181" s="81">
        <f>MAX(IF(N115&gt;N180*CMTS_Initial_Capacity_Subs,('Financial Statements &amp; Detail'!N115-CMTS_Initial_Capacity_Subs*'Financial Statements &amp; Detail'!N180),0),M181)</f>
        <v>1742.2677355641017</v>
      </c>
      <c r="O181" s="81">
        <f>MAX(IF(O115&gt;O180*CMTS_Initial_Capacity_Subs,('Financial Statements &amp; Detail'!O115-CMTS_Initial_Capacity_Subs*'Financial Statements &amp; Detail'!O180),0),N181)</f>
        <v>1811.3122034971793</v>
      </c>
      <c r="P181" s="81">
        <f>MAX(IF(P115&gt;P180*CMTS_Initial_Capacity_Subs,('Financial Statements &amp; Detail'!P115-CMTS_Initial_Capacity_Subs*'Financial Statements &amp; Detail'!P180),0),O181)</f>
        <v>5413.8790873922662</v>
      </c>
      <c r="Q181" s="81">
        <f>MAX(IF(Q115&gt;Q180*CMTS_Initial_Capacity_Subs,('Financial Statements &amp; Detail'!Q115-CMTS_Initial_Capacity_Subs*'Financial Statements &amp; Detail'!Q180),0),P181)</f>
        <v>5413.8790873922662</v>
      </c>
      <c r="R181" s="81">
        <f>MAX(IF(R115&gt;R180*CMTS_Initial_Capacity_Subs,('Financial Statements &amp; Detail'!R115-CMTS_Initial_Capacity_Subs*'Financial Statements &amp; Detail'!R180),0),Q181)</f>
        <v>5413.8790873922662</v>
      </c>
      <c r="S181" s="81">
        <f>MAX(IF(S115&gt;S180*CMTS_Initial_Capacity_Subs,('Financial Statements &amp; Detail'!S115-CMTS_Initial_Capacity_Subs*'Financial Statements &amp; Detail'!S180),0),R181)</f>
        <v>8599.2615464525625</v>
      </c>
      <c r="T181" s="81">
        <f>MAX(IF(T115&gt;T180*CMTS_Initial_Capacity_Subs,('Financial Statements &amp; Detail'!T115-CMTS_Initial_Capacity_Subs*'Financial Statements &amp; Detail'!T180),0),S181)</f>
        <v>8599.2615464525625</v>
      </c>
      <c r="U181" s="81">
        <f>MAX(IF(U115&gt;U180*CMTS_Initial_Capacity_Subs,('Financial Statements &amp; Detail'!U115-CMTS_Initial_Capacity_Subs*'Financial Statements &amp; Detail'!U180),0),T181)</f>
        <v>8599.2615464525625</v>
      </c>
      <c r="V181" s="81">
        <f>MAX(IF(V115&gt;V180*CMTS_Initial_Capacity_Subs,('Financial Statements &amp; Detail'!V115-CMTS_Initial_Capacity_Subs*'Financial Statements &amp; Detail'!V180),0),U181)</f>
        <v>11506.474111510495</v>
      </c>
      <c r="W181" s="81">
        <f>MAX(IF(W115&gt;W180*CMTS_Initial_Capacity_Subs,('Financial Statements &amp; Detail'!W115-CMTS_Initial_Capacity_Subs*'Financial Statements &amp; Detail'!W180),0),V181)</f>
        <v>11506.474111510495</v>
      </c>
      <c r="X181" s="81">
        <f>MAX(IF(X115&gt;X180*CMTS_Initial_Capacity_Subs,('Financial Statements &amp; Detail'!X115-CMTS_Initial_Capacity_Subs*'Financial Statements &amp; Detail'!X180),0),W181)</f>
        <v>11506.474111510495</v>
      </c>
      <c r="Y181" s="81">
        <f>MAX(IF(Y115&gt;Y180*CMTS_Initial_Capacity_Subs,('Financial Statements &amp; Detail'!Y115-CMTS_Initial_Capacity_Subs*'Financial Statements &amp; Detail'!Y180),0),X181)</f>
        <v>11506.474111510495</v>
      </c>
      <c r="Z181" s="81">
        <f>MAX(IF(Z115&gt;Z180*CMTS_Initial_Capacity_Subs,('Financial Statements &amp; Detail'!Z115-CMTS_Initial_Capacity_Subs*'Financial Statements &amp; Detail'!Z180),0),Y181)</f>
        <v>11506.474111510495</v>
      </c>
      <c r="AA181" s="81">
        <f>MAX(IF(AA115&gt;AA180*CMTS_Initial_Capacity_Subs,('Financial Statements &amp; Detail'!AA115-CMTS_Initial_Capacity_Subs*'Financial Statements &amp; Detail'!AA180),0),Z181)</f>
        <v>11506.474111510495</v>
      </c>
      <c r="AB181" s="81">
        <f>MAX(IF(AB115&gt;AB180*CMTS_Initial_Capacity_Subs,('Financial Statements &amp; Detail'!AB115-CMTS_Initial_Capacity_Subs*'Financial Statements &amp; Detail'!AB180),0),AA181)</f>
        <v>13387.068297720711</v>
      </c>
      <c r="AC181" s="81">
        <f>MAX(IF(AC115&gt;AC180*CMTS_Initial_Capacity_Subs,('Financial Statements &amp; Detail'!AC115-CMTS_Initial_Capacity_Subs*'Financial Statements &amp; Detail'!AC180),0),AB181)</f>
        <v>13387.068297720711</v>
      </c>
      <c r="AD181" s="81">
        <f>MAX(IF(AD115&gt;AD180*CMTS_Initial_Capacity_Subs,('Financial Statements &amp; Detail'!AD115-CMTS_Initial_Capacity_Subs*'Financial Statements &amp; Detail'!AD180),0),AC181)</f>
        <v>13387.068297720711</v>
      </c>
      <c r="AE181" s="81">
        <f>MAX(IF(AE115&gt;AE180*CMTS_Initial_Capacity_Subs,('Financial Statements &amp; Detail'!AE115-CMTS_Initial_Capacity_Subs*'Financial Statements &amp; Detail'!AE180),0),AD181)</f>
        <v>16291.252209485654</v>
      </c>
      <c r="AF181" s="81">
        <f>MAX(IF(AF115&gt;AF180*CMTS_Initial_Capacity_Subs,('Financial Statements &amp; Detail'!AF115-CMTS_Initial_Capacity_Subs*'Financial Statements &amp; Detail'!AF180),0),AE181)</f>
        <v>16291.252209485654</v>
      </c>
      <c r="AG181" s="81">
        <f>MAX(IF(AG115&gt;AG180*CMTS_Initial_Capacity_Subs,('Financial Statements &amp; Detail'!AG115-CMTS_Initial_Capacity_Subs*'Financial Statements &amp; Detail'!AG180),0),AF181)</f>
        <v>16291.252209485654</v>
      </c>
      <c r="AH181" s="81">
        <f>MAX(IF(AH115&gt;AH180*CMTS_Initial_Capacity_Subs,('Financial Statements &amp; Detail'!AH115-CMTS_Initial_Capacity_Subs*'Financial Statements &amp; Detail'!AH180),0),AG181)</f>
        <v>18941.822452787903</v>
      </c>
      <c r="AI181" s="81">
        <f>MAX(IF(AI115&gt;AI180*CMTS_Initial_Capacity_Subs,('Financial Statements &amp; Detail'!AI115-CMTS_Initial_Capacity_Subs*'Financial Statements &amp; Detail'!AI180),0),AH181)</f>
        <v>18941.822452787903</v>
      </c>
      <c r="AJ181" s="81">
        <f>MAX(IF(AJ115&gt;AJ180*CMTS_Initial_Capacity_Subs,('Financial Statements &amp; Detail'!AJ115-CMTS_Initial_Capacity_Subs*'Financial Statements &amp; Detail'!AJ180),0),AI181)</f>
        <v>18941.822452787903</v>
      </c>
      <c r="AK181" s="81">
        <f>MAX(IF(AK115&gt;AK180*CMTS_Initial_Capacity_Subs,('Financial Statements &amp; Detail'!AK115-CMTS_Initial_Capacity_Subs*'Financial Statements &amp; Detail'!AK180),0),AJ181)</f>
        <v>18941.822452787903</v>
      </c>
      <c r="AL181" s="81">
        <f>MAX(IF(AL115&gt;AL180*CMTS_Initial_Capacity_Subs,('Financial Statements &amp; Detail'!AL115-CMTS_Initial_Capacity_Subs*'Financial Statements &amp; Detail'!AL180),0),AK181)</f>
        <v>18941.822452787903</v>
      </c>
      <c r="AM181" s="81">
        <f>MAX(IF(AM115&gt;AM180*CMTS_Initial_Capacity_Subs,('Financial Statements &amp; Detail'!AM115-CMTS_Initial_Capacity_Subs*'Financial Statements &amp; Detail'!AM180),0),AL181)</f>
        <v>18941.822452787903</v>
      </c>
      <c r="AN181" s="81">
        <f>MAX(IF(AN115&gt;AN180*CMTS_Initial_Capacity_Subs,('Financial Statements &amp; Detail'!AN115-CMTS_Initial_Capacity_Subs*'Financial Statements &amp; Detail'!AN180),0),AM181)</f>
        <v>20414.629001971913</v>
      </c>
      <c r="AO181" s="81">
        <f>MAX(IF(AO115&gt;AO180*CMTS_Initial_Capacity_Subs,('Financial Statements &amp; Detail'!AO115-CMTS_Initial_Capacity_Subs*'Financial Statements &amp; Detail'!AO180),0),AN181)</f>
        <v>20414.629001971913</v>
      </c>
      <c r="AP181" s="81">
        <f>MAX(IF(AP115&gt;AP180*CMTS_Initial_Capacity_Subs,('Financial Statements &amp; Detail'!AP115-CMTS_Initial_Capacity_Subs*'Financial Statements &amp; Detail'!AP180),0),AO181)</f>
        <v>20414.629001971913</v>
      </c>
      <c r="AQ181" s="81">
        <f>MAX(IF(AQ115&gt;AQ180*CMTS_Initial_Capacity_Subs,('Financial Statements &amp; Detail'!AQ115-CMTS_Initial_Capacity_Subs*'Financial Statements &amp; Detail'!AQ180),0),AP181)</f>
        <v>23237.266026366713</v>
      </c>
      <c r="AR181" s="81">
        <f>MAX(IF(AR115&gt;AR180*CMTS_Initial_Capacity_Subs,('Financial Statements &amp; Detail'!AR115-CMTS_Initial_Capacity_Subs*'Financial Statements &amp; Detail'!AR180),0),AQ181)</f>
        <v>23237.266026366713</v>
      </c>
      <c r="AS181" s="81">
        <f>MAX(IF(AS115&gt;AS180*CMTS_Initial_Capacity_Subs,('Financial Statements &amp; Detail'!AS115-CMTS_Initial_Capacity_Subs*'Financial Statements &amp; Detail'!AS180),0),AR181)</f>
        <v>23237.266026366713</v>
      </c>
      <c r="AT181" s="81">
        <f>MAX(IF(AT115&gt;AT180*CMTS_Initial_Capacity_Subs,('Financial Statements &amp; Detail'!AT115-CMTS_Initial_Capacity_Subs*'Financial Statements &amp; Detail'!AT180),0),AS181)</f>
        <v>25813.410627332189</v>
      </c>
      <c r="AU181" s="81">
        <f>MAX(IF(AU115&gt;AU180*CMTS_Initial_Capacity_Subs,('Financial Statements &amp; Detail'!AU115-CMTS_Initial_Capacity_Subs*'Financial Statements &amp; Detail'!AU180),0),AT181)</f>
        <v>25813.410627332189</v>
      </c>
      <c r="AV181" s="81">
        <f>MAX(IF(AV115&gt;AV180*CMTS_Initial_Capacity_Subs,('Financial Statements &amp; Detail'!AV115-CMTS_Initial_Capacity_Subs*'Financial Statements &amp; Detail'!AV180),0),AU181)</f>
        <v>25813.410627332189</v>
      </c>
      <c r="AW181" s="81">
        <f>MAX(IF(AW115&gt;AW180*CMTS_Initial_Capacity_Subs,('Financial Statements &amp; Detail'!AW115-CMTS_Initial_Capacity_Subs*'Financial Statements &amp; Detail'!AW180),0),AV181)</f>
        <v>25813.410627332189</v>
      </c>
      <c r="AX181" s="81">
        <f>MAX(IF(AX115&gt;AX180*CMTS_Initial_Capacity_Subs,('Financial Statements &amp; Detail'!AX115-CMTS_Initial_Capacity_Subs*'Financial Statements &amp; Detail'!AX180),0),AW181)</f>
        <v>25813.410627332189</v>
      </c>
      <c r="AY181" s="81">
        <f>MAX(IF(AY115&gt;AY180*CMTS_Initial_Capacity_Subs,('Financial Statements &amp; Detail'!AY115-CMTS_Initial_Capacity_Subs*'Financial Statements &amp; Detail'!AY180),0),AX181)</f>
        <v>25813.410627332189</v>
      </c>
      <c r="AZ181" s="81">
        <f>MAX(IF(AZ115&gt;AZ180*CMTS_Initial_Capacity_Subs,('Financial Statements &amp; Detail'!AZ115-CMTS_Initial_Capacity_Subs*'Financial Statements &amp; Detail'!AZ180),0),AY181)</f>
        <v>27156.296425732384</v>
      </c>
      <c r="BA181" s="81">
        <f>MAX(IF(BA115&gt;BA180*CMTS_Initial_Capacity_Subs,('Financial Statements &amp; Detail'!BA115-CMTS_Initial_Capacity_Subs*'Financial Statements &amp; Detail'!BA180),0),AZ181)</f>
        <v>27156.296425732384</v>
      </c>
      <c r="BB181" s="81">
        <f>MAX(IF(BB115&gt;BB180*CMTS_Initial_Capacity_Subs,('Financial Statements &amp; Detail'!BB115-CMTS_Initial_Capacity_Subs*'Financial Statements &amp; Detail'!BB180),0),BA181)</f>
        <v>27156.296425732384</v>
      </c>
      <c r="BC181" s="81">
        <f>MAX(IF(BC115&gt;BC180*CMTS_Initial_Capacity_Subs,('Financial Statements &amp; Detail'!BC115-CMTS_Initial_Capacity_Subs*'Financial Statements &amp; Detail'!BC180),0),BB181)</f>
        <v>29922.352765262447</v>
      </c>
      <c r="BD181" s="81">
        <f>MAX(IF(BD115&gt;BD180*CMTS_Initial_Capacity_Subs,('Financial Statements &amp; Detail'!BD115-CMTS_Initial_Capacity_Subs*'Financial Statements &amp; Detail'!BD180),0),BC181)</f>
        <v>29922.352765262447</v>
      </c>
      <c r="BE181" s="81">
        <f>MAX(IF(BE115&gt;BE180*CMTS_Initial_Capacity_Subs,('Financial Statements &amp; Detail'!BE115-CMTS_Initial_Capacity_Subs*'Financial Statements &amp; Detail'!BE180),0),BD181)</f>
        <v>29922.352765262447</v>
      </c>
      <c r="BF181" s="81">
        <f>MAX(IF(BF115&gt;BF180*CMTS_Initial_Capacity_Subs,('Financial Statements &amp; Detail'!BF115-CMTS_Initial_Capacity_Subs*'Financial Statements &amp; Detail'!BF180),0),BE181)</f>
        <v>32446.857702830377</v>
      </c>
      <c r="BG181" s="81">
        <f>MAX(IF(BG115&gt;BG180*CMTS_Initial_Capacity_Subs,('Financial Statements &amp; Detail'!BG115-CMTS_Initial_Capacity_Subs*'Financial Statements &amp; Detail'!BG180),0),BF181)</f>
        <v>32446.857702830377</v>
      </c>
      <c r="BH181" s="81">
        <f>MAX(IF(BH115&gt;BH180*CMTS_Initial_Capacity_Subs,('Financial Statements &amp; Detail'!BH115-CMTS_Initial_Capacity_Subs*'Financial Statements &amp; Detail'!BH180),0),BG181)</f>
        <v>32446.857702830377</v>
      </c>
      <c r="BI181" s="81">
        <f>MAX(IF(BI115&gt;BI180*CMTS_Initial_Capacity_Subs,('Financial Statements &amp; Detail'!BI115-CMTS_Initial_Capacity_Subs*'Financial Statements &amp; Detail'!BI180),0),BH181)</f>
        <v>32446.857702830377</v>
      </c>
      <c r="BJ181" s="81">
        <f>MAX(IF(BJ115&gt;BJ180*CMTS_Initial_Capacity_Subs,('Financial Statements &amp; Detail'!BJ115-CMTS_Initial_Capacity_Subs*'Financial Statements &amp; Detail'!BJ180),0),BI181)</f>
        <v>32446.857702830377</v>
      </c>
    </row>
    <row r="182" spans="1:256">
      <c r="A182" s="118" t="s">
        <v>149</v>
      </c>
      <c r="B182" s="8" t="s">
        <v>212</v>
      </c>
      <c r="C182" s="81">
        <f t="shared" ref="C182:P182" si="113">C180*CMTS_Initial_Cost</f>
        <v>250000</v>
      </c>
      <c r="D182" s="81">
        <f t="shared" si="113"/>
        <v>250000</v>
      </c>
      <c r="E182" s="81">
        <f t="shared" si="113"/>
        <v>250000</v>
      </c>
      <c r="F182" s="81">
        <f t="shared" si="113"/>
        <v>250000</v>
      </c>
      <c r="G182" s="81">
        <f t="shared" si="113"/>
        <v>250000</v>
      </c>
      <c r="H182" s="81">
        <f t="shared" si="113"/>
        <v>250000</v>
      </c>
      <c r="I182" s="81">
        <f t="shared" si="113"/>
        <v>250000</v>
      </c>
      <c r="J182" s="81">
        <f t="shared" si="113"/>
        <v>250000</v>
      </c>
      <c r="K182" s="81">
        <f t="shared" si="113"/>
        <v>250000</v>
      </c>
      <c r="L182" s="81">
        <f t="shared" si="113"/>
        <v>250000</v>
      </c>
      <c r="M182" s="81">
        <f t="shared" si="113"/>
        <v>250000</v>
      </c>
      <c r="N182" s="81">
        <f t="shared" si="113"/>
        <v>250000</v>
      </c>
      <c r="O182" s="81">
        <f t="shared" si="113"/>
        <v>250000</v>
      </c>
      <c r="P182" s="81">
        <f t="shared" si="113"/>
        <v>250000</v>
      </c>
      <c r="Q182" s="81">
        <f t="shared" ref="Q182:BJ182" si="114">Q180*CMTS_Initial_Cost</f>
        <v>250000</v>
      </c>
      <c r="R182" s="81">
        <f t="shared" si="114"/>
        <v>250000</v>
      </c>
      <c r="S182" s="81">
        <f t="shared" si="114"/>
        <v>250000</v>
      </c>
      <c r="T182" s="81">
        <f t="shared" si="114"/>
        <v>250000</v>
      </c>
      <c r="U182" s="81">
        <f t="shared" si="114"/>
        <v>250000</v>
      </c>
      <c r="V182" s="81">
        <f t="shared" si="114"/>
        <v>250000</v>
      </c>
      <c r="W182" s="81">
        <f t="shared" si="114"/>
        <v>250000</v>
      </c>
      <c r="X182" s="81">
        <f t="shared" si="114"/>
        <v>250000</v>
      </c>
      <c r="Y182" s="81">
        <f t="shared" si="114"/>
        <v>250000</v>
      </c>
      <c r="Z182" s="81">
        <f t="shared" si="114"/>
        <v>250000</v>
      </c>
      <c r="AA182" s="81">
        <f t="shared" si="114"/>
        <v>250000</v>
      </c>
      <c r="AB182" s="81">
        <f t="shared" si="114"/>
        <v>250000</v>
      </c>
      <c r="AC182" s="81">
        <f t="shared" si="114"/>
        <v>250000</v>
      </c>
      <c r="AD182" s="81">
        <f t="shared" si="114"/>
        <v>250000</v>
      </c>
      <c r="AE182" s="81">
        <f t="shared" si="114"/>
        <v>250000</v>
      </c>
      <c r="AF182" s="81">
        <f t="shared" si="114"/>
        <v>250000</v>
      </c>
      <c r="AG182" s="81">
        <f t="shared" si="114"/>
        <v>250000</v>
      </c>
      <c r="AH182" s="81">
        <f t="shared" si="114"/>
        <v>250000</v>
      </c>
      <c r="AI182" s="81">
        <f t="shared" si="114"/>
        <v>250000</v>
      </c>
      <c r="AJ182" s="81">
        <f t="shared" si="114"/>
        <v>250000</v>
      </c>
      <c r="AK182" s="81">
        <f t="shared" si="114"/>
        <v>250000</v>
      </c>
      <c r="AL182" s="81">
        <f t="shared" si="114"/>
        <v>250000</v>
      </c>
      <c r="AM182" s="81">
        <f t="shared" si="114"/>
        <v>250000</v>
      </c>
      <c r="AN182" s="81">
        <f t="shared" si="114"/>
        <v>250000</v>
      </c>
      <c r="AO182" s="81">
        <f t="shared" si="114"/>
        <v>250000</v>
      </c>
      <c r="AP182" s="81">
        <f t="shared" si="114"/>
        <v>250000</v>
      </c>
      <c r="AQ182" s="81">
        <f t="shared" si="114"/>
        <v>250000</v>
      </c>
      <c r="AR182" s="81">
        <f t="shared" si="114"/>
        <v>250000</v>
      </c>
      <c r="AS182" s="81">
        <f t="shared" si="114"/>
        <v>250000</v>
      </c>
      <c r="AT182" s="81">
        <f t="shared" si="114"/>
        <v>250000</v>
      </c>
      <c r="AU182" s="81">
        <f t="shared" si="114"/>
        <v>250000</v>
      </c>
      <c r="AV182" s="81">
        <f t="shared" si="114"/>
        <v>250000</v>
      </c>
      <c r="AW182" s="81">
        <f t="shared" si="114"/>
        <v>250000</v>
      </c>
      <c r="AX182" s="81">
        <f t="shared" si="114"/>
        <v>250000</v>
      </c>
      <c r="AY182" s="81">
        <f t="shared" si="114"/>
        <v>250000</v>
      </c>
      <c r="AZ182" s="81">
        <f t="shared" si="114"/>
        <v>250000</v>
      </c>
      <c r="BA182" s="81">
        <f t="shared" si="114"/>
        <v>250000</v>
      </c>
      <c r="BB182" s="81">
        <f t="shared" si="114"/>
        <v>250000</v>
      </c>
      <c r="BC182" s="81">
        <f t="shared" si="114"/>
        <v>250000</v>
      </c>
      <c r="BD182" s="81">
        <f t="shared" si="114"/>
        <v>250000</v>
      </c>
      <c r="BE182" s="81">
        <f t="shared" si="114"/>
        <v>250000</v>
      </c>
      <c r="BF182" s="81">
        <f t="shared" si="114"/>
        <v>250000</v>
      </c>
      <c r="BG182" s="81">
        <f t="shared" si="114"/>
        <v>250000</v>
      </c>
      <c r="BH182" s="81">
        <f t="shared" si="114"/>
        <v>250000</v>
      </c>
      <c r="BI182" s="81">
        <f t="shared" si="114"/>
        <v>250000</v>
      </c>
      <c r="BJ182" s="81">
        <f t="shared" si="114"/>
        <v>250000</v>
      </c>
    </row>
    <row r="183" spans="1:256">
      <c r="A183" s="118" t="s">
        <v>150</v>
      </c>
      <c r="B183" s="8" t="s">
        <v>212</v>
      </c>
      <c r="C183" s="81">
        <f t="shared" ref="C183:P183" si="115">C181*CMTS_Cost_Per_Subscriber</f>
        <v>16525</v>
      </c>
      <c r="D183" s="81">
        <f t="shared" si="115"/>
        <v>18455.499999999993</v>
      </c>
      <c r="E183" s="81">
        <f t="shared" si="115"/>
        <v>20328.084999999992</v>
      </c>
      <c r="F183" s="81">
        <f t="shared" si="115"/>
        <v>22144.492449999998</v>
      </c>
      <c r="G183" s="81">
        <f t="shared" si="115"/>
        <v>23906.407676499985</v>
      </c>
      <c r="H183" s="81">
        <f t="shared" si="115"/>
        <v>25615.465446204998</v>
      </c>
      <c r="I183" s="81">
        <f t="shared" si="115"/>
        <v>27273.25148281885</v>
      </c>
      <c r="J183" s="81">
        <f t="shared" si="115"/>
        <v>28881.303938334295</v>
      </c>
      <c r="K183" s="81">
        <f t="shared" si="115"/>
        <v>30441.114820184248</v>
      </c>
      <c r="L183" s="81">
        <f t="shared" si="115"/>
        <v>31954.131375578727</v>
      </c>
      <c r="M183" s="81">
        <f t="shared" si="115"/>
        <v>33421.757434311367</v>
      </c>
      <c r="N183" s="81">
        <f t="shared" si="115"/>
        <v>34845.354711282038</v>
      </c>
      <c r="O183" s="81">
        <f t="shared" si="115"/>
        <v>36226.244069943583</v>
      </c>
      <c r="P183" s="81">
        <f t="shared" si="115"/>
        <v>108277.58174784532</v>
      </c>
      <c r="Q183" s="81">
        <f t="shared" ref="Q183:BJ183" si="116">Q181*CMTS_Cost_Per_Subscriber</f>
        <v>108277.58174784532</v>
      </c>
      <c r="R183" s="81">
        <f t="shared" si="116"/>
        <v>108277.58174784532</v>
      </c>
      <c r="S183" s="81">
        <f t="shared" si="116"/>
        <v>171985.23092905123</v>
      </c>
      <c r="T183" s="81">
        <f t="shared" si="116"/>
        <v>171985.23092905123</v>
      </c>
      <c r="U183" s="81">
        <f t="shared" si="116"/>
        <v>171985.23092905123</v>
      </c>
      <c r="V183" s="81">
        <f t="shared" si="116"/>
        <v>230129.48223020992</v>
      </c>
      <c r="W183" s="81">
        <f t="shared" si="116"/>
        <v>230129.48223020992</v>
      </c>
      <c r="X183" s="81">
        <f t="shared" si="116"/>
        <v>230129.48223020992</v>
      </c>
      <c r="Y183" s="81">
        <f t="shared" si="116"/>
        <v>230129.48223020992</v>
      </c>
      <c r="Z183" s="81">
        <f t="shared" si="116"/>
        <v>230129.48223020992</v>
      </c>
      <c r="AA183" s="81">
        <f t="shared" si="116"/>
        <v>230129.48223020992</v>
      </c>
      <c r="AB183" s="81">
        <f t="shared" si="116"/>
        <v>267741.36595441424</v>
      </c>
      <c r="AC183" s="81">
        <f t="shared" si="116"/>
        <v>267741.36595441424</v>
      </c>
      <c r="AD183" s="81">
        <f t="shared" si="116"/>
        <v>267741.36595441424</v>
      </c>
      <c r="AE183" s="81">
        <f t="shared" si="116"/>
        <v>325825.04418971308</v>
      </c>
      <c r="AF183" s="81">
        <f t="shared" si="116"/>
        <v>325825.04418971308</v>
      </c>
      <c r="AG183" s="81">
        <f t="shared" si="116"/>
        <v>325825.04418971308</v>
      </c>
      <c r="AH183" s="81">
        <f t="shared" si="116"/>
        <v>378836.44905575807</v>
      </c>
      <c r="AI183" s="81">
        <f t="shared" si="116"/>
        <v>378836.44905575807</v>
      </c>
      <c r="AJ183" s="81">
        <f t="shared" si="116"/>
        <v>378836.44905575807</v>
      </c>
      <c r="AK183" s="81">
        <f t="shared" si="116"/>
        <v>378836.44905575807</v>
      </c>
      <c r="AL183" s="81">
        <f t="shared" si="116"/>
        <v>378836.44905575807</v>
      </c>
      <c r="AM183" s="81">
        <f t="shared" si="116"/>
        <v>378836.44905575807</v>
      </c>
      <c r="AN183" s="81">
        <f t="shared" si="116"/>
        <v>408292.58003943827</v>
      </c>
      <c r="AO183" s="81">
        <f t="shared" si="116"/>
        <v>408292.58003943827</v>
      </c>
      <c r="AP183" s="81">
        <f t="shared" si="116"/>
        <v>408292.58003943827</v>
      </c>
      <c r="AQ183" s="81">
        <f t="shared" si="116"/>
        <v>464745.32052733423</v>
      </c>
      <c r="AR183" s="81">
        <f t="shared" si="116"/>
        <v>464745.32052733423</v>
      </c>
      <c r="AS183" s="81">
        <f t="shared" si="116"/>
        <v>464745.32052733423</v>
      </c>
      <c r="AT183" s="81">
        <f t="shared" si="116"/>
        <v>516268.2125466438</v>
      </c>
      <c r="AU183" s="81">
        <f t="shared" si="116"/>
        <v>516268.2125466438</v>
      </c>
      <c r="AV183" s="81">
        <f t="shared" si="116"/>
        <v>516268.2125466438</v>
      </c>
      <c r="AW183" s="81">
        <f t="shared" si="116"/>
        <v>516268.2125466438</v>
      </c>
      <c r="AX183" s="81">
        <f t="shared" si="116"/>
        <v>516268.2125466438</v>
      </c>
      <c r="AY183" s="81">
        <f t="shared" si="116"/>
        <v>516268.2125466438</v>
      </c>
      <c r="AZ183" s="81">
        <f t="shared" si="116"/>
        <v>543125.92851464765</v>
      </c>
      <c r="BA183" s="81">
        <f t="shared" si="116"/>
        <v>543125.92851464765</v>
      </c>
      <c r="BB183" s="81">
        <f t="shared" si="116"/>
        <v>543125.92851464765</v>
      </c>
      <c r="BC183" s="81">
        <f t="shared" si="116"/>
        <v>598447.05530524894</v>
      </c>
      <c r="BD183" s="81">
        <f t="shared" si="116"/>
        <v>598447.05530524894</v>
      </c>
      <c r="BE183" s="81">
        <f t="shared" si="116"/>
        <v>598447.05530524894</v>
      </c>
      <c r="BF183" s="81">
        <f t="shared" si="116"/>
        <v>648937.15405660751</v>
      </c>
      <c r="BG183" s="81">
        <f t="shared" si="116"/>
        <v>648937.15405660751</v>
      </c>
      <c r="BH183" s="81">
        <f t="shared" si="116"/>
        <v>648937.15405660751</v>
      </c>
      <c r="BI183" s="81">
        <f t="shared" si="116"/>
        <v>648937.15405660751</v>
      </c>
      <c r="BJ183" s="81">
        <f t="shared" si="116"/>
        <v>648937.15405660751</v>
      </c>
    </row>
    <row r="184" spans="1:256" s="128" customFormat="1">
      <c r="A184" s="127" t="s">
        <v>183</v>
      </c>
      <c r="C184" s="128">
        <v>1</v>
      </c>
      <c r="D184" s="128">
        <v>1</v>
      </c>
      <c r="E184" s="128">
        <v>1</v>
      </c>
      <c r="F184" s="128">
        <v>1</v>
      </c>
      <c r="G184" s="128">
        <v>1</v>
      </c>
      <c r="H184" s="128">
        <v>1</v>
      </c>
      <c r="I184" s="128">
        <v>1</v>
      </c>
      <c r="J184" s="128">
        <v>1</v>
      </c>
      <c r="K184" s="128">
        <v>1</v>
      </c>
      <c r="L184" s="128">
        <v>1</v>
      </c>
      <c r="M184" s="128">
        <v>1</v>
      </c>
      <c r="N184" s="128">
        <v>1</v>
      </c>
      <c r="O184" s="128">
        <v>1</v>
      </c>
      <c r="P184" s="128">
        <v>1</v>
      </c>
      <c r="Q184" s="128">
        <v>1</v>
      </c>
      <c r="R184" s="128">
        <v>1</v>
      </c>
      <c r="S184" s="128">
        <v>1</v>
      </c>
      <c r="T184" s="128">
        <v>1</v>
      </c>
      <c r="U184" s="128">
        <v>1</v>
      </c>
      <c r="V184" s="128">
        <v>1</v>
      </c>
      <c r="W184" s="128">
        <v>1</v>
      </c>
      <c r="X184" s="128">
        <v>1</v>
      </c>
      <c r="Y184" s="128">
        <v>1</v>
      </c>
      <c r="Z184" s="128">
        <v>1</v>
      </c>
      <c r="AA184" s="128">
        <v>1</v>
      </c>
      <c r="AB184" s="128">
        <v>1</v>
      </c>
      <c r="AC184" s="128">
        <v>1</v>
      </c>
      <c r="AD184" s="128">
        <v>1</v>
      </c>
      <c r="AE184" s="128">
        <v>1</v>
      </c>
      <c r="AF184" s="128">
        <v>1</v>
      </c>
      <c r="AG184" s="128">
        <v>1</v>
      </c>
      <c r="AH184" s="128">
        <v>1</v>
      </c>
      <c r="AI184" s="128">
        <v>1</v>
      </c>
      <c r="AJ184" s="128">
        <v>1</v>
      </c>
      <c r="AK184" s="128">
        <v>1</v>
      </c>
      <c r="AL184" s="128">
        <v>1</v>
      </c>
      <c r="AM184" s="128">
        <v>1</v>
      </c>
      <c r="AN184" s="128">
        <v>1</v>
      </c>
      <c r="AO184" s="128">
        <v>1</v>
      </c>
      <c r="AP184" s="128">
        <v>1</v>
      </c>
      <c r="AQ184" s="128">
        <v>1</v>
      </c>
      <c r="AR184" s="128">
        <v>1</v>
      </c>
      <c r="AS184" s="128">
        <v>1</v>
      </c>
      <c r="AT184" s="128">
        <v>1</v>
      </c>
      <c r="AU184" s="128">
        <v>1</v>
      </c>
      <c r="AV184" s="128">
        <v>1</v>
      </c>
      <c r="AW184" s="128">
        <v>1</v>
      </c>
      <c r="AX184" s="128">
        <v>1</v>
      </c>
      <c r="AY184" s="128">
        <v>1</v>
      </c>
      <c r="AZ184" s="128">
        <v>1</v>
      </c>
      <c r="BA184" s="128">
        <v>1</v>
      </c>
      <c r="BB184" s="128">
        <v>1</v>
      </c>
      <c r="BC184" s="128">
        <v>1</v>
      </c>
      <c r="BD184" s="128">
        <v>1</v>
      </c>
      <c r="BE184" s="128">
        <v>1</v>
      </c>
      <c r="BF184" s="128">
        <v>1</v>
      </c>
      <c r="BG184" s="128">
        <v>1</v>
      </c>
      <c r="BH184" s="128">
        <v>1</v>
      </c>
      <c r="BI184" s="128">
        <v>1</v>
      </c>
      <c r="BJ184" s="128">
        <v>1</v>
      </c>
    </row>
    <row r="185" spans="1:256" s="128" customFormat="1">
      <c r="A185" s="127" t="s">
        <v>186</v>
      </c>
      <c r="B185" s="8" t="s">
        <v>212</v>
      </c>
      <c r="C185" s="129">
        <f>MAX(Soft_Switch_Initial_Payment+Soft_Switch_Cost_Per_Subscriber*'Financial Statements &amp; Detail'!C115,B185)</f>
        <v>461100</v>
      </c>
      <c r="D185" s="129">
        <f>MAX(Soft_Switch_Initial_Payment+Soft_Switch_Cost_Per_Subscriber*'Financial Statements &amp; Detail'!D115,C185)</f>
        <v>468822</v>
      </c>
      <c r="E185" s="129">
        <f>MAX(Soft_Switch_Initial_Payment+Soft_Switch_Cost_Per_Subscriber*'Financial Statements &amp; Detail'!E115,D185)</f>
        <v>476312.33999999997</v>
      </c>
      <c r="F185" s="129">
        <f>MAX(Soft_Switch_Initial_Payment+Soft_Switch_Cost_Per_Subscriber*'Financial Statements &amp; Detail'!F115,E185)</f>
        <v>483577.96979999996</v>
      </c>
      <c r="G185" s="129">
        <f>MAX(Soft_Switch_Initial_Payment+Soft_Switch_Cost_Per_Subscriber*'Financial Statements &amp; Detail'!G115,F185)</f>
        <v>490625.63070599991</v>
      </c>
      <c r="H185" s="129">
        <f>MAX(Soft_Switch_Initial_Payment+Soft_Switch_Cost_Per_Subscriber*'Financial Statements &amp; Detail'!H115,G185)</f>
        <v>497461.86178481998</v>
      </c>
      <c r="I185" s="129">
        <f>MAX(Soft_Switch_Initial_Payment+Soft_Switch_Cost_Per_Subscriber*'Financial Statements &amp; Detail'!I115,H185)</f>
        <v>504093.00593127543</v>
      </c>
      <c r="J185" s="129">
        <f>MAX(Soft_Switch_Initial_Payment+Soft_Switch_Cost_Per_Subscriber*'Financial Statements &amp; Detail'!J115,I185)</f>
        <v>510525.21575333719</v>
      </c>
      <c r="K185" s="129">
        <f>MAX(Soft_Switch_Initial_Payment+Soft_Switch_Cost_Per_Subscriber*'Financial Statements &amp; Detail'!K115,J185)</f>
        <v>516764.45928073698</v>
      </c>
      <c r="L185" s="129">
        <f>MAX(Soft_Switch_Initial_Payment+Soft_Switch_Cost_Per_Subscriber*'Financial Statements &amp; Detail'!L115,K185)</f>
        <v>522816.52550231491</v>
      </c>
      <c r="M185" s="129">
        <f>MAX(Soft_Switch_Initial_Payment+Soft_Switch_Cost_Per_Subscriber*'Financial Statements &amp; Detail'!M115,L185)</f>
        <v>528687.02973724552</v>
      </c>
      <c r="N185" s="129">
        <f>MAX(Soft_Switch_Initial_Payment+Soft_Switch_Cost_Per_Subscriber*'Financial Statements &amp; Detail'!N115,M185)</f>
        <v>534381.41884512815</v>
      </c>
      <c r="O185" s="129">
        <f>MAX(Soft_Switch_Initial_Payment+Soft_Switch_Cost_Per_Subscriber*'Financial Statements &amp; Detail'!O115,N185)</f>
        <v>539904.97627977433</v>
      </c>
      <c r="P185" s="129">
        <f>MAX(Soft_Switch_Initial_Payment+Soft_Switch_Cost_Per_Subscriber*'Financial Statements &amp; Detail'!P115,O185)</f>
        <v>828110.32699138136</v>
      </c>
      <c r="Q185" s="129">
        <f>MAX(Soft_Switch_Initial_Payment+Soft_Switch_Cost_Per_Subscriber*'Financial Statements &amp; Detail'!Q115,P185)</f>
        <v>828110.32699138136</v>
      </c>
      <c r="R185" s="129">
        <f>MAX(Soft_Switch_Initial_Payment+Soft_Switch_Cost_Per_Subscriber*'Financial Statements &amp; Detail'!R115,Q185)</f>
        <v>828110.32699138136</v>
      </c>
      <c r="S185" s="129">
        <f>MAX(Soft_Switch_Initial_Payment+Soft_Switch_Cost_Per_Subscriber*'Financial Statements &amp; Detail'!S115,R185)</f>
        <v>1082940.9237162049</v>
      </c>
      <c r="T185" s="129">
        <f>MAX(Soft_Switch_Initial_Payment+Soft_Switch_Cost_Per_Subscriber*'Financial Statements &amp; Detail'!T115,S185)</f>
        <v>1082940.9237162049</v>
      </c>
      <c r="U185" s="129">
        <f>MAX(Soft_Switch_Initial_Payment+Soft_Switch_Cost_Per_Subscriber*'Financial Statements &amp; Detail'!U115,T185)</f>
        <v>1082940.9237162049</v>
      </c>
      <c r="V185" s="129">
        <f>MAX(Soft_Switch_Initial_Payment+Soft_Switch_Cost_Per_Subscriber*'Financial Statements &amp; Detail'!V115,U185)</f>
        <v>1315517.9289208397</v>
      </c>
      <c r="W185" s="129">
        <f>MAX(Soft_Switch_Initial_Payment+Soft_Switch_Cost_Per_Subscriber*'Financial Statements &amp; Detail'!W115,V185)</f>
        <v>1315517.9289208397</v>
      </c>
      <c r="X185" s="129">
        <f>MAX(Soft_Switch_Initial_Payment+Soft_Switch_Cost_Per_Subscriber*'Financial Statements &amp; Detail'!X115,W185)</f>
        <v>1315517.9289208397</v>
      </c>
      <c r="Y185" s="129">
        <f>MAX(Soft_Switch_Initial_Payment+Soft_Switch_Cost_Per_Subscriber*'Financial Statements &amp; Detail'!Y115,X185)</f>
        <v>1315517.9289208397</v>
      </c>
      <c r="Z185" s="129">
        <f>MAX(Soft_Switch_Initial_Payment+Soft_Switch_Cost_Per_Subscriber*'Financial Statements &amp; Detail'!Z115,Y185)</f>
        <v>1315517.9289208397</v>
      </c>
      <c r="AA185" s="129">
        <f>MAX(Soft_Switch_Initial_Payment+Soft_Switch_Cost_Per_Subscriber*'Financial Statements &amp; Detail'!AA115,Z185)</f>
        <v>1315517.9289208397</v>
      </c>
      <c r="AB185" s="129">
        <f>MAX(Soft_Switch_Initial_Payment+Soft_Switch_Cost_Per_Subscriber*'Financial Statements &amp; Detail'!AB115,AA185)</f>
        <v>1465965.463817657</v>
      </c>
      <c r="AC185" s="129">
        <f>MAX(Soft_Switch_Initial_Payment+Soft_Switch_Cost_Per_Subscriber*'Financial Statements &amp; Detail'!AC115,AB185)</f>
        <v>1465965.463817657</v>
      </c>
      <c r="AD185" s="129">
        <f>MAX(Soft_Switch_Initial_Payment+Soft_Switch_Cost_Per_Subscriber*'Financial Statements &amp; Detail'!AD115,AC185)</f>
        <v>1465965.463817657</v>
      </c>
      <c r="AE185" s="129">
        <f>MAX(Soft_Switch_Initial_Payment+Soft_Switch_Cost_Per_Subscriber*'Financial Statements &amp; Detail'!AE115,AD185)</f>
        <v>1698300.1767588523</v>
      </c>
      <c r="AF185" s="129">
        <f>MAX(Soft_Switch_Initial_Payment+Soft_Switch_Cost_Per_Subscriber*'Financial Statements &amp; Detail'!AF115,AE185)</f>
        <v>1698300.1767588523</v>
      </c>
      <c r="AG185" s="129">
        <f>MAX(Soft_Switch_Initial_Payment+Soft_Switch_Cost_Per_Subscriber*'Financial Statements &amp; Detail'!AG115,AF185)</f>
        <v>1698300.1767588523</v>
      </c>
      <c r="AH185" s="129">
        <f>MAX(Soft_Switch_Initial_Payment+Soft_Switch_Cost_Per_Subscriber*'Financial Statements &amp; Detail'!AH115,AG185)</f>
        <v>1910345.7962230323</v>
      </c>
      <c r="AI185" s="129">
        <f>MAX(Soft_Switch_Initial_Payment+Soft_Switch_Cost_Per_Subscriber*'Financial Statements &amp; Detail'!AI115,AH185)</f>
        <v>1910345.7962230323</v>
      </c>
      <c r="AJ185" s="129">
        <f>MAX(Soft_Switch_Initial_Payment+Soft_Switch_Cost_Per_Subscriber*'Financial Statements &amp; Detail'!AJ115,AI185)</f>
        <v>1910345.7962230323</v>
      </c>
      <c r="AK185" s="129">
        <f>MAX(Soft_Switch_Initial_Payment+Soft_Switch_Cost_Per_Subscriber*'Financial Statements &amp; Detail'!AK115,AJ185)</f>
        <v>1910345.7962230323</v>
      </c>
      <c r="AL185" s="129">
        <f>MAX(Soft_Switch_Initial_Payment+Soft_Switch_Cost_Per_Subscriber*'Financial Statements &amp; Detail'!AL115,AK185)</f>
        <v>1910345.7962230323</v>
      </c>
      <c r="AM185" s="129">
        <f>MAX(Soft_Switch_Initial_Payment+Soft_Switch_Cost_Per_Subscriber*'Financial Statements &amp; Detail'!AM115,AL185)</f>
        <v>1910345.7962230323</v>
      </c>
      <c r="AN185" s="129">
        <f>MAX(Soft_Switch_Initial_Payment+Soft_Switch_Cost_Per_Subscriber*'Financial Statements &amp; Detail'!AN115,AM185)</f>
        <v>2028170.3201577531</v>
      </c>
      <c r="AO185" s="129">
        <f>MAX(Soft_Switch_Initial_Payment+Soft_Switch_Cost_Per_Subscriber*'Financial Statements &amp; Detail'!AO115,AN185)</f>
        <v>2028170.3201577531</v>
      </c>
      <c r="AP185" s="129">
        <f>MAX(Soft_Switch_Initial_Payment+Soft_Switch_Cost_Per_Subscriber*'Financial Statements &amp; Detail'!AP115,AO185)</f>
        <v>2028170.3201577531</v>
      </c>
      <c r="AQ185" s="129">
        <f>MAX(Soft_Switch_Initial_Payment+Soft_Switch_Cost_Per_Subscriber*'Financial Statements &amp; Detail'!AQ115,AP185)</f>
        <v>2253981.2821093369</v>
      </c>
      <c r="AR185" s="129">
        <f>MAX(Soft_Switch_Initial_Payment+Soft_Switch_Cost_Per_Subscriber*'Financial Statements &amp; Detail'!AR115,AQ185)</f>
        <v>2253981.2821093369</v>
      </c>
      <c r="AS185" s="129">
        <f>MAX(Soft_Switch_Initial_Payment+Soft_Switch_Cost_Per_Subscriber*'Financial Statements &amp; Detail'!AS115,AR185)</f>
        <v>2253981.2821093369</v>
      </c>
      <c r="AT185" s="129">
        <f>MAX(Soft_Switch_Initial_Payment+Soft_Switch_Cost_Per_Subscriber*'Financial Statements &amp; Detail'!AT115,AS185)</f>
        <v>2460072.8501865752</v>
      </c>
      <c r="AU185" s="129">
        <f>MAX(Soft_Switch_Initial_Payment+Soft_Switch_Cost_Per_Subscriber*'Financial Statements &amp; Detail'!AU115,AT185)</f>
        <v>2460072.8501865752</v>
      </c>
      <c r="AV185" s="129">
        <f>MAX(Soft_Switch_Initial_Payment+Soft_Switch_Cost_Per_Subscriber*'Financial Statements &amp; Detail'!AV115,AU185)</f>
        <v>2460072.8501865752</v>
      </c>
      <c r="AW185" s="129">
        <f>MAX(Soft_Switch_Initial_Payment+Soft_Switch_Cost_Per_Subscriber*'Financial Statements &amp; Detail'!AW115,AV185)</f>
        <v>2460072.8501865752</v>
      </c>
      <c r="AX185" s="129">
        <f>MAX(Soft_Switch_Initial_Payment+Soft_Switch_Cost_Per_Subscriber*'Financial Statements &amp; Detail'!AX115,AW185)</f>
        <v>2460072.8501865752</v>
      </c>
      <c r="AY185" s="129">
        <f>MAX(Soft_Switch_Initial_Payment+Soft_Switch_Cost_Per_Subscriber*'Financial Statements &amp; Detail'!AY115,AX185)</f>
        <v>2460072.8501865752</v>
      </c>
      <c r="AZ185" s="129">
        <f>MAX(Soft_Switch_Initial_Payment+Soft_Switch_Cost_Per_Subscriber*'Financial Statements &amp; Detail'!AZ115,AY185)</f>
        <v>2567503.7140585906</v>
      </c>
      <c r="BA185" s="129">
        <f>MAX(Soft_Switch_Initial_Payment+Soft_Switch_Cost_Per_Subscriber*'Financial Statements &amp; Detail'!BA115,AZ185)</f>
        <v>2567503.7140585906</v>
      </c>
      <c r="BB185" s="129">
        <f>MAX(Soft_Switch_Initial_Payment+Soft_Switch_Cost_Per_Subscriber*'Financial Statements &amp; Detail'!BB115,BA185)</f>
        <v>2567503.7140585906</v>
      </c>
      <c r="BC185" s="129">
        <f>MAX(Soft_Switch_Initial_Payment+Soft_Switch_Cost_Per_Subscriber*'Financial Statements &amp; Detail'!BC115,BB185)</f>
        <v>2788788.2212209958</v>
      </c>
      <c r="BD185" s="129">
        <f>MAX(Soft_Switch_Initial_Payment+Soft_Switch_Cost_Per_Subscriber*'Financial Statements &amp; Detail'!BD115,BC185)</f>
        <v>2788788.2212209958</v>
      </c>
      <c r="BE185" s="129">
        <f>MAX(Soft_Switch_Initial_Payment+Soft_Switch_Cost_Per_Subscriber*'Financial Statements &amp; Detail'!BE115,BD185)</f>
        <v>2788788.2212209958</v>
      </c>
      <c r="BF185" s="129">
        <f>MAX(Soft_Switch_Initial_Payment+Soft_Switch_Cost_Per_Subscriber*'Financial Statements &amp; Detail'!BF115,BE185)</f>
        <v>2990748.6162264301</v>
      </c>
      <c r="BG185" s="129">
        <f>MAX(Soft_Switch_Initial_Payment+Soft_Switch_Cost_Per_Subscriber*'Financial Statements &amp; Detail'!BG115,BF185)</f>
        <v>2990748.6162264301</v>
      </c>
      <c r="BH185" s="129">
        <f>MAX(Soft_Switch_Initial_Payment+Soft_Switch_Cost_Per_Subscriber*'Financial Statements &amp; Detail'!BH115,BG185)</f>
        <v>2990748.6162264301</v>
      </c>
      <c r="BI185" s="129">
        <f>MAX(Soft_Switch_Initial_Payment+Soft_Switch_Cost_Per_Subscriber*'Financial Statements &amp; Detail'!BI115,BH185)</f>
        <v>2990748.6162264301</v>
      </c>
      <c r="BJ185" s="129">
        <f>MAX(Soft_Switch_Initial_Payment+Soft_Switch_Cost_Per_Subscriber*'Financial Statements &amp; Detail'!BJ115,BI185)</f>
        <v>2990748.6162264301</v>
      </c>
      <c r="BK185" s="130"/>
      <c r="BL185" s="130"/>
      <c r="BM185" s="130"/>
      <c r="BN185" s="130"/>
      <c r="BO185" s="130"/>
      <c r="BP185" s="130"/>
      <c r="BQ185" s="130"/>
      <c r="BR185" s="130"/>
      <c r="BS185" s="130"/>
      <c r="BT185" s="130"/>
      <c r="BU185" s="130"/>
      <c r="BV185" s="130"/>
      <c r="BW185" s="130"/>
      <c r="BX185" s="130"/>
      <c r="BY185" s="130"/>
      <c r="BZ185" s="130"/>
      <c r="CA185" s="130"/>
      <c r="CB185" s="130"/>
      <c r="CC185" s="130"/>
      <c r="CD185" s="130"/>
      <c r="CE185" s="130"/>
      <c r="CF185" s="130"/>
      <c r="CG185" s="130"/>
      <c r="CH185" s="130"/>
      <c r="CI185" s="130"/>
      <c r="CJ185" s="130"/>
      <c r="CK185" s="130"/>
      <c r="CL185" s="130"/>
      <c r="CM185" s="130"/>
      <c r="CN185" s="130"/>
      <c r="CO185" s="130"/>
      <c r="CP185" s="130"/>
      <c r="CQ185" s="130"/>
      <c r="CR185" s="130"/>
      <c r="CS185" s="130"/>
      <c r="CT185" s="130"/>
      <c r="CU185" s="130"/>
      <c r="CV185" s="130"/>
      <c r="CW185" s="130"/>
      <c r="CX185" s="130"/>
      <c r="CY185" s="130"/>
      <c r="CZ185" s="130"/>
      <c r="DA185" s="130"/>
      <c r="DB185" s="130"/>
      <c r="DC185" s="130"/>
      <c r="DD185" s="130"/>
      <c r="DE185" s="130"/>
      <c r="DF185" s="130"/>
      <c r="DG185" s="130"/>
      <c r="DH185" s="130"/>
      <c r="DI185" s="130"/>
      <c r="DJ185" s="130"/>
      <c r="DK185" s="130"/>
      <c r="DL185" s="130"/>
      <c r="DM185" s="130"/>
      <c r="DN185" s="130"/>
      <c r="DO185" s="130"/>
      <c r="DP185" s="130"/>
      <c r="DQ185" s="130"/>
      <c r="DR185" s="130"/>
      <c r="DS185" s="130"/>
      <c r="DT185" s="130"/>
      <c r="DU185" s="130"/>
      <c r="DV185" s="130"/>
      <c r="DW185" s="130"/>
      <c r="DX185" s="130"/>
      <c r="DY185" s="130"/>
      <c r="DZ185" s="130"/>
      <c r="EA185" s="130"/>
      <c r="EB185" s="130"/>
      <c r="EC185" s="130"/>
      <c r="ED185" s="130"/>
      <c r="EE185" s="130"/>
      <c r="EF185" s="130"/>
      <c r="EG185" s="130"/>
      <c r="EH185" s="130"/>
      <c r="EI185" s="130"/>
      <c r="EJ185" s="130"/>
      <c r="EK185" s="130"/>
      <c r="EL185" s="130"/>
      <c r="EM185" s="130"/>
      <c r="EN185" s="130"/>
      <c r="EO185" s="130"/>
      <c r="EP185" s="130"/>
      <c r="EQ185" s="130"/>
      <c r="ER185" s="130"/>
      <c r="ES185" s="130"/>
      <c r="ET185" s="130"/>
      <c r="EU185" s="130"/>
      <c r="EV185" s="130"/>
      <c r="EW185" s="130"/>
      <c r="EX185" s="130"/>
      <c r="EY185" s="130"/>
      <c r="EZ185" s="130"/>
      <c r="FA185" s="130"/>
      <c r="FB185" s="130"/>
      <c r="FC185" s="130"/>
      <c r="FD185" s="130"/>
      <c r="FE185" s="130"/>
      <c r="FF185" s="130"/>
      <c r="FG185" s="130"/>
      <c r="FH185" s="130"/>
      <c r="FI185" s="130"/>
      <c r="FJ185" s="130"/>
      <c r="FK185" s="130"/>
      <c r="FL185" s="130"/>
      <c r="FM185" s="130"/>
      <c r="FN185" s="130"/>
      <c r="FO185" s="130"/>
      <c r="FP185" s="130"/>
      <c r="FQ185" s="130"/>
      <c r="FR185" s="130"/>
      <c r="FS185" s="130"/>
      <c r="FT185" s="130"/>
      <c r="FU185" s="130"/>
      <c r="FV185" s="130"/>
      <c r="FW185" s="130"/>
      <c r="FX185" s="130"/>
      <c r="FY185" s="130"/>
      <c r="FZ185" s="130"/>
      <c r="GA185" s="130"/>
      <c r="GB185" s="130"/>
      <c r="GC185" s="130"/>
      <c r="GD185" s="130"/>
      <c r="GE185" s="130"/>
      <c r="GF185" s="130"/>
      <c r="GG185" s="130"/>
      <c r="GH185" s="130"/>
      <c r="GI185" s="130"/>
      <c r="GJ185" s="130"/>
      <c r="GK185" s="130"/>
      <c r="GL185" s="130"/>
      <c r="GM185" s="130"/>
      <c r="GN185" s="130"/>
      <c r="GO185" s="130"/>
      <c r="GP185" s="130"/>
      <c r="GQ185" s="130"/>
      <c r="GR185" s="130"/>
      <c r="GS185" s="130"/>
      <c r="GT185" s="130"/>
      <c r="GU185" s="130"/>
      <c r="GV185" s="130"/>
      <c r="GW185" s="130"/>
      <c r="GX185" s="130"/>
      <c r="GY185" s="130"/>
      <c r="GZ185" s="130"/>
      <c r="HA185" s="130"/>
      <c r="HB185" s="130"/>
      <c r="HC185" s="130"/>
      <c r="HD185" s="130"/>
      <c r="HE185" s="130"/>
      <c r="HF185" s="130"/>
      <c r="HG185" s="130"/>
      <c r="HH185" s="130"/>
      <c r="HI185" s="130"/>
      <c r="HJ185" s="130"/>
      <c r="HK185" s="130"/>
      <c r="HL185" s="130"/>
      <c r="HM185" s="130"/>
      <c r="HN185" s="130"/>
      <c r="HO185" s="130"/>
      <c r="HP185" s="130"/>
      <c r="HQ185" s="130"/>
      <c r="HR185" s="130"/>
      <c r="HS185" s="130"/>
      <c r="HT185" s="130"/>
      <c r="HU185" s="130"/>
      <c r="HV185" s="130"/>
      <c r="HW185" s="130"/>
      <c r="HX185" s="130"/>
      <c r="HY185" s="130"/>
      <c r="HZ185" s="130"/>
      <c r="IA185" s="130"/>
      <c r="IB185" s="130"/>
      <c r="IC185" s="130"/>
      <c r="ID185" s="130"/>
      <c r="IE185" s="130"/>
      <c r="IF185" s="130"/>
      <c r="IG185" s="130"/>
      <c r="IH185" s="130"/>
      <c r="II185" s="130"/>
      <c r="IJ185" s="130"/>
      <c r="IK185" s="130"/>
      <c r="IL185" s="130"/>
      <c r="IM185" s="130"/>
      <c r="IN185" s="130"/>
      <c r="IO185" s="130"/>
      <c r="IP185" s="130"/>
      <c r="IQ185" s="130"/>
      <c r="IR185" s="130"/>
      <c r="IS185" s="130"/>
      <c r="IT185" s="130"/>
      <c r="IU185" s="130"/>
      <c r="IV185" s="130"/>
    </row>
    <row r="186" spans="1:256" s="128" customFormat="1">
      <c r="A186" s="131" t="s">
        <v>184</v>
      </c>
      <c r="C186" s="128">
        <v>1</v>
      </c>
      <c r="D186" s="128">
        <v>1</v>
      </c>
      <c r="E186" s="128">
        <v>1</v>
      </c>
      <c r="F186" s="128">
        <v>1</v>
      </c>
      <c r="G186" s="128">
        <v>1</v>
      </c>
      <c r="H186" s="128">
        <v>1</v>
      </c>
      <c r="I186" s="128">
        <v>1</v>
      </c>
      <c r="J186" s="128">
        <v>1</v>
      </c>
      <c r="K186" s="128">
        <v>1</v>
      </c>
      <c r="L186" s="128">
        <v>1</v>
      </c>
      <c r="M186" s="128">
        <v>1</v>
      </c>
      <c r="N186" s="128">
        <v>1</v>
      </c>
      <c r="O186" s="128">
        <v>1</v>
      </c>
      <c r="P186" s="128">
        <v>1</v>
      </c>
      <c r="Q186" s="128">
        <v>1</v>
      </c>
      <c r="R186" s="128">
        <v>1</v>
      </c>
      <c r="S186" s="128">
        <v>1</v>
      </c>
      <c r="T186" s="128">
        <v>1</v>
      </c>
      <c r="U186" s="128">
        <v>1</v>
      </c>
      <c r="V186" s="128">
        <v>1</v>
      </c>
      <c r="W186" s="128">
        <v>1</v>
      </c>
      <c r="X186" s="128">
        <v>1</v>
      </c>
      <c r="Y186" s="128">
        <v>1</v>
      </c>
      <c r="Z186" s="128">
        <v>1</v>
      </c>
      <c r="AA186" s="128">
        <v>1</v>
      </c>
      <c r="AB186" s="128">
        <v>1</v>
      </c>
      <c r="AC186" s="128">
        <v>1</v>
      </c>
      <c r="AD186" s="128">
        <v>1</v>
      </c>
      <c r="AE186" s="128">
        <v>1</v>
      </c>
      <c r="AF186" s="128">
        <v>1</v>
      </c>
      <c r="AG186" s="128">
        <v>1</v>
      </c>
      <c r="AH186" s="128">
        <v>1</v>
      </c>
      <c r="AI186" s="128">
        <v>1</v>
      </c>
      <c r="AJ186" s="128">
        <v>1</v>
      </c>
      <c r="AK186" s="128">
        <v>1</v>
      </c>
      <c r="AL186" s="128">
        <v>1</v>
      </c>
      <c r="AM186" s="128">
        <v>1</v>
      </c>
      <c r="AN186" s="128">
        <v>1</v>
      </c>
      <c r="AO186" s="128">
        <v>1</v>
      </c>
      <c r="AP186" s="128">
        <v>1</v>
      </c>
      <c r="AQ186" s="128">
        <v>1</v>
      </c>
      <c r="AR186" s="128">
        <v>1</v>
      </c>
      <c r="AS186" s="128">
        <v>1</v>
      </c>
      <c r="AT186" s="128">
        <v>1</v>
      </c>
      <c r="AU186" s="128">
        <v>1</v>
      </c>
      <c r="AV186" s="128">
        <v>1</v>
      </c>
      <c r="AW186" s="128">
        <v>1</v>
      </c>
      <c r="AX186" s="128">
        <v>1</v>
      </c>
      <c r="AY186" s="128">
        <v>1</v>
      </c>
      <c r="AZ186" s="128">
        <v>1</v>
      </c>
      <c r="BA186" s="128">
        <v>1</v>
      </c>
      <c r="BB186" s="128">
        <v>1</v>
      </c>
      <c r="BC186" s="128">
        <v>1</v>
      </c>
      <c r="BD186" s="128">
        <v>1</v>
      </c>
      <c r="BE186" s="128">
        <v>1</v>
      </c>
      <c r="BF186" s="128">
        <v>1</v>
      </c>
      <c r="BG186" s="128">
        <v>1</v>
      </c>
      <c r="BH186" s="128">
        <v>1</v>
      </c>
      <c r="BI186" s="128">
        <v>1</v>
      </c>
      <c r="BJ186" s="128">
        <v>1</v>
      </c>
    </row>
    <row r="187" spans="1:256">
      <c r="A187" s="131" t="s">
        <v>188</v>
      </c>
      <c r="B187" s="8" t="s">
        <v>212</v>
      </c>
      <c r="C187" s="81">
        <f>Voice_Mail_Server*'Financial Statements &amp; Detail'!C186</f>
        <v>200000</v>
      </c>
      <c r="D187" s="81">
        <f>Voice_Mail_Server*'Financial Statements &amp; Detail'!D186</f>
        <v>200000</v>
      </c>
      <c r="E187" s="81">
        <f>Voice_Mail_Server*'Financial Statements &amp; Detail'!E186</f>
        <v>200000</v>
      </c>
      <c r="F187" s="81">
        <f>Voice_Mail_Server*'Financial Statements &amp; Detail'!F186</f>
        <v>200000</v>
      </c>
      <c r="G187" s="81">
        <f>Voice_Mail_Server*'Financial Statements &amp; Detail'!G186</f>
        <v>200000</v>
      </c>
      <c r="H187" s="81">
        <f>Voice_Mail_Server*'Financial Statements &amp; Detail'!H186</f>
        <v>200000</v>
      </c>
      <c r="I187" s="81">
        <f>Voice_Mail_Server*'Financial Statements &amp; Detail'!I186</f>
        <v>200000</v>
      </c>
      <c r="J187" s="81">
        <f>Voice_Mail_Server*'Financial Statements &amp; Detail'!J186</f>
        <v>200000</v>
      </c>
      <c r="K187" s="81">
        <f>Voice_Mail_Server*'Financial Statements &amp; Detail'!K186</f>
        <v>200000</v>
      </c>
      <c r="L187" s="81">
        <f>Voice_Mail_Server*'Financial Statements &amp; Detail'!L186</f>
        <v>200000</v>
      </c>
      <c r="M187" s="81">
        <f>Voice_Mail_Server*'Financial Statements &amp; Detail'!M186</f>
        <v>200000</v>
      </c>
      <c r="N187" s="81">
        <f>Voice_Mail_Server*'Financial Statements &amp; Detail'!N186</f>
        <v>200000</v>
      </c>
      <c r="O187" s="81">
        <f>Voice_Mail_Server*'Financial Statements &amp; Detail'!O186</f>
        <v>200000</v>
      </c>
      <c r="P187" s="81">
        <f>Voice_Mail_Server*'Financial Statements &amp; Detail'!P186</f>
        <v>200000</v>
      </c>
      <c r="Q187" s="81">
        <f>Voice_Mail_Server*'Financial Statements &amp; Detail'!Q186</f>
        <v>200000</v>
      </c>
      <c r="R187" s="81">
        <f>Voice_Mail_Server*'Financial Statements &amp; Detail'!R186</f>
        <v>200000</v>
      </c>
      <c r="S187" s="81">
        <f>Voice_Mail_Server*'Financial Statements &amp; Detail'!S186</f>
        <v>200000</v>
      </c>
      <c r="T187" s="81">
        <f>Voice_Mail_Server*'Financial Statements &amp; Detail'!T186</f>
        <v>200000</v>
      </c>
      <c r="U187" s="81">
        <f>Voice_Mail_Server*'Financial Statements &amp; Detail'!U186</f>
        <v>200000</v>
      </c>
      <c r="V187" s="81">
        <f>Voice_Mail_Server*'Financial Statements &amp; Detail'!V186</f>
        <v>200000</v>
      </c>
      <c r="W187" s="81">
        <f>Voice_Mail_Server*'Financial Statements &amp; Detail'!W186</f>
        <v>200000</v>
      </c>
      <c r="X187" s="81">
        <f>Voice_Mail_Server*'Financial Statements &amp; Detail'!X186</f>
        <v>200000</v>
      </c>
      <c r="Y187" s="81">
        <f>Voice_Mail_Server*'Financial Statements &amp; Detail'!Y186</f>
        <v>200000</v>
      </c>
      <c r="Z187" s="81">
        <f>Voice_Mail_Server*'Financial Statements &amp; Detail'!Z186</f>
        <v>200000</v>
      </c>
      <c r="AA187" s="81">
        <f>Voice_Mail_Server*'Financial Statements &amp; Detail'!AA186</f>
        <v>200000</v>
      </c>
      <c r="AB187" s="81">
        <f>Voice_Mail_Server*'Financial Statements &amp; Detail'!AB186</f>
        <v>200000</v>
      </c>
      <c r="AC187" s="81">
        <f>Voice_Mail_Server*'Financial Statements &amp; Detail'!AC186</f>
        <v>200000</v>
      </c>
      <c r="AD187" s="81">
        <f>Voice_Mail_Server*'Financial Statements &amp; Detail'!AD186</f>
        <v>200000</v>
      </c>
      <c r="AE187" s="81">
        <f>Voice_Mail_Server*'Financial Statements &amp; Detail'!AE186</f>
        <v>200000</v>
      </c>
      <c r="AF187" s="81">
        <f>Voice_Mail_Server*'Financial Statements &amp; Detail'!AF186</f>
        <v>200000</v>
      </c>
      <c r="AG187" s="81">
        <f>Voice_Mail_Server*'Financial Statements &amp; Detail'!AG186</f>
        <v>200000</v>
      </c>
      <c r="AH187" s="81">
        <f>Voice_Mail_Server*'Financial Statements &amp; Detail'!AH186</f>
        <v>200000</v>
      </c>
      <c r="AI187" s="81">
        <f>Voice_Mail_Server*'Financial Statements &amp; Detail'!AI186</f>
        <v>200000</v>
      </c>
      <c r="AJ187" s="81">
        <f>Voice_Mail_Server*'Financial Statements &amp; Detail'!AJ186</f>
        <v>200000</v>
      </c>
      <c r="AK187" s="81">
        <f>Voice_Mail_Server*'Financial Statements &amp; Detail'!AK186</f>
        <v>200000</v>
      </c>
      <c r="AL187" s="81">
        <f>Voice_Mail_Server*'Financial Statements &amp; Detail'!AL186</f>
        <v>200000</v>
      </c>
      <c r="AM187" s="81">
        <f>Voice_Mail_Server*'Financial Statements &amp; Detail'!AM186</f>
        <v>200000</v>
      </c>
      <c r="AN187" s="81">
        <f>Voice_Mail_Server*'Financial Statements &amp; Detail'!AN186</f>
        <v>200000</v>
      </c>
      <c r="AO187" s="81">
        <f>Voice_Mail_Server*'Financial Statements &amp; Detail'!AO186</f>
        <v>200000</v>
      </c>
      <c r="AP187" s="81">
        <f>Voice_Mail_Server*'Financial Statements &amp; Detail'!AP186</f>
        <v>200000</v>
      </c>
      <c r="AQ187" s="81">
        <f>Voice_Mail_Server*'Financial Statements &amp; Detail'!AQ186</f>
        <v>200000</v>
      </c>
      <c r="AR187" s="81">
        <f>Voice_Mail_Server*'Financial Statements &amp; Detail'!AR186</f>
        <v>200000</v>
      </c>
      <c r="AS187" s="81">
        <f>Voice_Mail_Server*'Financial Statements &amp; Detail'!AS186</f>
        <v>200000</v>
      </c>
      <c r="AT187" s="81">
        <f>Voice_Mail_Server*'Financial Statements &amp; Detail'!AT186</f>
        <v>200000</v>
      </c>
      <c r="AU187" s="81">
        <f>Voice_Mail_Server*'Financial Statements &amp; Detail'!AU186</f>
        <v>200000</v>
      </c>
      <c r="AV187" s="81">
        <f>Voice_Mail_Server*'Financial Statements &amp; Detail'!AV186</f>
        <v>200000</v>
      </c>
      <c r="AW187" s="81">
        <f>Voice_Mail_Server*'Financial Statements &amp; Detail'!AW186</f>
        <v>200000</v>
      </c>
      <c r="AX187" s="81">
        <f>Voice_Mail_Server*'Financial Statements &amp; Detail'!AX186</f>
        <v>200000</v>
      </c>
      <c r="AY187" s="81">
        <f>Voice_Mail_Server*'Financial Statements &amp; Detail'!AY186</f>
        <v>200000</v>
      </c>
      <c r="AZ187" s="81">
        <f>Voice_Mail_Server*'Financial Statements &amp; Detail'!AZ186</f>
        <v>200000</v>
      </c>
      <c r="BA187" s="81">
        <f>Voice_Mail_Server*'Financial Statements &amp; Detail'!BA186</f>
        <v>200000</v>
      </c>
      <c r="BB187" s="81">
        <f>Voice_Mail_Server*'Financial Statements &amp; Detail'!BB186</f>
        <v>200000</v>
      </c>
      <c r="BC187" s="81">
        <f>Voice_Mail_Server*'Financial Statements &amp; Detail'!BC186</f>
        <v>200000</v>
      </c>
      <c r="BD187" s="81">
        <f>Voice_Mail_Server*'Financial Statements &amp; Detail'!BD186</f>
        <v>200000</v>
      </c>
      <c r="BE187" s="81">
        <f>Voice_Mail_Server*'Financial Statements &amp; Detail'!BE186</f>
        <v>200000</v>
      </c>
      <c r="BF187" s="81">
        <f>Voice_Mail_Server*'Financial Statements &amp; Detail'!BF186</f>
        <v>200000</v>
      </c>
      <c r="BG187" s="81">
        <f>Voice_Mail_Server*'Financial Statements &amp; Detail'!BG186</f>
        <v>200000</v>
      </c>
      <c r="BH187" s="81">
        <f>Voice_Mail_Server*'Financial Statements &amp; Detail'!BH186</f>
        <v>200000</v>
      </c>
      <c r="BI187" s="81">
        <f>Voice_Mail_Server*'Financial Statements &amp; Detail'!BI186</f>
        <v>200000</v>
      </c>
      <c r="BJ187" s="81">
        <f>Voice_Mail_Server*'Financial Statements &amp; Detail'!BJ186</f>
        <v>200000</v>
      </c>
    </row>
    <row r="188" spans="1:256">
      <c r="A188" s="118" t="s">
        <v>185</v>
      </c>
      <c r="C188" s="81">
        <v>1</v>
      </c>
      <c r="D188" s="81">
        <v>1</v>
      </c>
      <c r="E188" s="81">
        <v>1</v>
      </c>
      <c r="F188" s="81">
        <v>1</v>
      </c>
      <c r="G188" s="81">
        <v>1</v>
      </c>
      <c r="H188" s="81">
        <v>1</v>
      </c>
      <c r="I188" s="81">
        <v>1</v>
      </c>
      <c r="J188" s="81">
        <v>1</v>
      </c>
      <c r="K188" s="81">
        <v>1</v>
      </c>
      <c r="L188" s="81">
        <v>1</v>
      </c>
      <c r="M188" s="81">
        <v>1</v>
      </c>
      <c r="N188" s="81">
        <v>1</v>
      </c>
      <c r="O188" s="81">
        <v>1</v>
      </c>
      <c r="P188" s="81">
        <v>1</v>
      </c>
      <c r="Q188" s="81">
        <v>1</v>
      </c>
      <c r="R188" s="81">
        <v>1</v>
      </c>
      <c r="S188" s="81">
        <v>1</v>
      </c>
      <c r="T188" s="81">
        <v>1</v>
      </c>
      <c r="U188" s="81">
        <v>1</v>
      </c>
      <c r="V188" s="81">
        <v>1</v>
      </c>
      <c r="W188" s="81">
        <v>1</v>
      </c>
      <c r="X188" s="81">
        <v>1</v>
      </c>
      <c r="Y188" s="81">
        <v>1</v>
      </c>
      <c r="Z188" s="81">
        <v>1</v>
      </c>
      <c r="AA188" s="81">
        <v>1</v>
      </c>
      <c r="AB188" s="81">
        <v>1</v>
      </c>
      <c r="AC188" s="81">
        <v>1</v>
      </c>
      <c r="AD188" s="81">
        <v>1</v>
      </c>
      <c r="AE188" s="81">
        <v>1</v>
      </c>
      <c r="AF188" s="81">
        <v>1</v>
      </c>
      <c r="AG188" s="81">
        <v>1</v>
      </c>
      <c r="AH188" s="81">
        <v>1</v>
      </c>
      <c r="AI188" s="81">
        <v>1</v>
      </c>
      <c r="AJ188" s="81">
        <v>1</v>
      </c>
      <c r="AK188" s="81">
        <v>1</v>
      </c>
      <c r="AL188" s="81">
        <v>1</v>
      </c>
      <c r="AM188" s="81">
        <v>1</v>
      </c>
      <c r="AN188" s="81">
        <v>1</v>
      </c>
      <c r="AO188" s="81">
        <v>1</v>
      </c>
      <c r="AP188" s="81">
        <v>1</v>
      </c>
      <c r="AQ188" s="81">
        <v>1</v>
      </c>
      <c r="AR188" s="81">
        <v>1</v>
      </c>
      <c r="AS188" s="81">
        <v>1</v>
      </c>
      <c r="AT188" s="81">
        <v>1</v>
      </c>
      <c r="AU188" s="81">
        <v>1</v>
      </c>
      <c r="AV188" s="81">
        <v>1</v>
      </c>
      <c r="AW188" s="81">
        <v>1</v>
      </c>
      <c r="AX188" s="81">
        <v>1</v>
      </c>
      <c r="AY188" s="81">
        <v>1</v>
      </c>
      <c r="AZ188" s="81">
        <v>1</v>
      </c>
      <c r="BA188" s="81">
        <v>1</v>
      </c>
      <c r="BB188" s="81">
        <v>1</v>
      </c>
      <c r="BC188" s="81">
        <v>1</v>
      </c>
      <c r="BD188" s="81">
        <v>1</v>
      </c>
      <c r="BE188" s="81">
        <v>1</v>
      </c>
      <c r="BF188" s="81">
        <v>1</v>
      </c>
      <c r="BG188" s="81">
        <v>1</v>
      </c>
      <c r="BH188" s="81">
        <v>1</v>
      </c>
      <c r="BI188" s="81">
        <v>1</v>
      </c>
      <c r="BJ188" s="81">
        <v>1</v>
      </c>
    </row>
    <row r="189" spans="1:256">
      <c r="A189" s="118" t="s">
        <v>187</v>
      </c>
      <c r="B189" s="8" t="s">
        <v>212</v>
      </c>
      <c r="C189" s="81">
        <f>Voice_Provisioning_System*'Financial Statements &amp; Detail'!C188</f>
        <v>200000</v>
      </c>
      <c r="D189" s="81">
        <f>Voice_Provisioning_System*'Financial Statements &amp; Detail'!D188</f>
        <v>200000</v>
      </c>
      <c r="E189" s="81">
        <f>Voice_Provisioning_System*'Financial Statements &amp; Detail'!E188</f>
        <v>200000</v>
      </c>
      <c r="F189" s="81">
        <f>Voice_Provisioning_System*'Financial Statements &amp; Detail'!F188</f>
        <v>200000</v>
      </c>
      <c r="G189" s="81">
        <f>Voice_Provisioning_System*'Financial Statements &amp; Detail'!G188</f>
        <v>200000</v>
      </c>
      <c r="H189" s="81">
        <f>Voice_Provisioning_System*'Financial Statements &amp; Detail'!H188</f>
        <v>200000</v>
      </c>
      <c r="I189" s="81">
        <f>Voice_Provisioning_System*'Financial Statements &amp; Detail'!I188</f>
        <v>200000</v>
      </c>
      <c r="J189" s="81">
        <f>Voice_Provisioning_System*'Financial Statements &amp; Detail'!J188</f>
        <v>200000</v>
      </c>
      <c r="K189" s="81">
        <f>Voice_Provisioning_System*'Financial Statements &amp; Detail'!K188</f>
        <v>200000</v>
      </c>
      <c r="L189" s="81">
        <f>Voice_Provisioning_System*'Financial Statements &amp; Detail'!L188</f>
        <v>200000</v>
      </c>
      <c r="M189" s="81">
        <f>Voice_Provisioning_System*'Financial Statements &amp; Detail'!M188</f>
        <v>200000</v>
      </c>
      <c r="N189" s="81">
        <f>Voice_Provisioning_System*'Financial Statements &amp; Detail'!N188</f>
        <v>200000</v>
      </c>
      <c r="O189" s="81">
        <f>Voice_Provisioning_System*'Financial Statements &amp; Detail'!O188</f>
        <v>200000</v>
      </c>
      <c r="P189" s="81">
        <f>Voice_Provisioning_System*'Financial Statements &amp; Detail'!P188</f>
        <v>200000</v>
      </c>
      <c r="Q189" s="81">
        <f>Voice_Provisioning_System*'Financial Statements &amp; Detail'!Q188</f>
        <v>200000</v>
      </c>
      <c r="R189" s="81">
        <f>Voice_Provisioning_System*'Financial Statements &amp; Detail'!R188</f>
        <v>200000</v>
      </c>
      <c r="S189" s="81">
        <f>Voice_Provisioning_System*'Financial Statements &amp; Detail'!S188</f>
        <v>200000</v>
      </c>
      <c r="T189" s="81">
        <f>Voice_Provisioning_System*'Financial Statements &amp; Detail'!T188</f>
        <v>200000</v>
      </c>
      <c r="U189" s="81">
        <f>Voice_Provisioning_System*'Financial Statements &amp; Detail'!U188</f>
        <v>200000</v>
      </c>
      <c r="V189" s="81">
        <f>Voice_Provisioning_System*'Financial Statements &amp; Detail'!V188</f>
        <v>200000</v>
      </c>
      <c r="W189" s="81">
        <f>Voice_Provisioning_System*'Financial Statements &amp; Detail'!W188</f>
        <v>200000</v>
      </c>
      <c r="X189" s="81">
        <f>Voice_Provisioning_System*'Financial Statements &amp; Detail'!X188</f>
        <v>200000</v>
      </c>
      <c r="Y189" s="81">
        <f>Voice_Provisioning_System*'Financial Statements &amp; Detail'!Y188</f>
        <v>200000</v>
      </c>
      <c r="Z189" s="81">
        <f>Voice_Provisioning_System*'Financial Statements &amp; Detail'!Z188</f>
        <v>200000</v>
      </c>
      <c r="AA189" s="81">
        <f>Voice_Provisioning_System*'Financial Statements &amp; Detail'!AA188</f>
        <v>200000</v>
      </c>
      <c r="AB189" s="81">
        <f>Voice_Provisioning_System*'Financial Statements &amp; Detail'!AB188</f>
        <v>200000</v>
      </c>
      <c r="AC189" s="81">
        <f>Voice_Provisioning_System*'Financial Statements &amp; Detail'!AC188</f>
        <v>200000</v>
      </c>
      <c r="AD189" s="81">
        <f>Voice_Provisioning_System*'Financial Statements &amp; Detail'!AD188</f>
        <v>200000</v>
      </c>
      <c r="AE189" s="81">
        <f>Voice_Provisioning_System*'Financial Statements &amp; Detail'!AE188</f>
        <v>200000</v>
      </c>
      <c r="AF189" s="81">
        <f>Voice_Provisioning_System*'Financial Statements &amp; Detail'!AF188</f>
        <v>200000</v>
      </c>
      <c r="AG189" s="81">
        <f>Voice_Provisioning_System*'Financial Statements &amp; Detail'!AG188</f>
        <v>200000</v>
      </c>
      <c r="AH189" s="81">
        <f>Voice_Provisioning_System*'Financial Statements &amp; Detail'!AH188</f>
        <v>200000</v>
      </c>
      <c r="AI189" s="81">
        <f>Voice_Provisioning_System*'Financial Statements &amp; Detail'!AI188</f>
        <v>200000</v>
      </c>
      <c r="AJ189" s="81">
        <f>Voice_Provisioning_System*'Financial Statements &amp; Detail'!AJ188</f>
        <v>200000</v>
      </c>
      <c r="AK189" s="81">
        <f>Voice_Provisioning_System*'Financial Statements &amp; Detail'!AK188</f>
        <v>200000</v>
      </c>
      <c r="AL189" s="81">
        <f>Voice_Provisioning_System*'Financial Statements &amp; Detail'!AL188</f>
        <v>200000</v>
      </c>
      <c r="AM189" s="81">
        <f>Voice_Provisioning_System*'Financial Statements &amp; Detail'!AM188</f>
        <v>200000</v>
      </c>
      <c r="AN189" s="81">
        <f>Voice_Provisioning_System*'Financial Statements &amp; Detail'!AN188</f>
        <v>200000</v>
      </c>
      <c r="AO189" s="81">
        <f>Voice_Provisioning_System*'Financial Statements &amp; Detail'!AO188</f>
        <v>200000</v>
      </c>
      <c r="AP189" s="81">
        <f>Voice_Provisioning_System*'Financial Statements &amp; Detail'!AP188</f>
        <v>200000</v>
      </c>
      <c r="AQ189" s="81">
        <f>Voice_Provisioning_System*'Financial Statements &amp; Detail'!AQ188</f>
        <v>200000</v>
      </c>
      <c r="AR189" s="81">
        <f>Voice_Provisioning_System*'Financial Statements &amp; Detail'!AR188</f>
        <v>200000</v>
      </c>
      <c r="AS189" s="81">
        <f>Voice_Provisioning_System*'Financial Statements &amp; Detail'!AS188</f>
        <v>200000</v>
      </c>
      <c r="AT189" s="81">
        <f>Voice_Provisioning_System*'Financial Statements &amp; Detail'!AT188</f>
        <v>200000</v>
      </c>
      <c r="AU189" s="81">
        <f>Voice_Provisioning_System*'Financial Statements &amp; Detail'!AU188</f>
        <v>200000</v>
      </c>
      <c r="AV189" s="81">
        <f>Voice_Provisioning_System*'Financial Statements &amp; Detail'!AV188</f>
        <v>200000</v>
      </c>
      <c r="AW189" s="81">
        <f>Voice_Provisioning_System*'Financial Statements &amp; Detail'!AW188</f>
        <v>200000</v>
      </c>
      <c r="AX189" s="81">
        <f>Voice_Provisioning_System*'Financial Statements &amp; Detail'!AX188</f>
        <v>200000</v>
      </c>
      <c r="AY189" s="81">
        <f>Voice_Provisioning_System*'Financial Statements &amp; Detail'!AY188</f>
        <v>200000</v>
      </c>
      <c r="AZ189" s="81">
        <f>Voice_Provisioning_System*'Financial Statements &amp; Detail'!AZ188</f>
        <v>200000</v>
      </c>
      <c r="BA189" s="81">
        <f>Voice_Provisioning_System*'Financial Statements &amp; Detail'!BA188</f>
        <v>200000</v>
      </c>
      <c r="BB189" s="81">
        <f>Voice_Provisioning_System*'Financial Statements &amp; Detail'!BB188</f>
        <v>200000</v>
      </c>
      <c r="BC189" s="81">
        <f>Voice_Provisioning_System*'Financial Statements &amp; Detail'!BC188</f>
        <v>200000</v>
      </c>
      <c r="BD189" s="81">
        <f>Voice_Provisioning_System*'Financial Statements &amp; Detail'!BD188</f>
        <v>200000</v>
      </c>
      <c r="BE189" s="81">
        <f>Voice_Provisioning_System*'Financial Statements &amp; Detail'!BE188</f>
        <v>200000</v>
      </c>
      <c r="BF189" s="81">
        <f>Voice_Provisioning_System*'Financial Statements &amp; Detail'!BF188</f>
        <v>200000</v>
      </c>
      <c r="BG189" s="81">
        <f>Voice_Provisioning_System*'Financial Statements &amp; Detail'!BG188</f>
        <v>200000</v>
      </c>
      <c r="BH189" s="81">
        <f>Voice_Provisioning_System*'Financial Statements &amp; Detail'!BH188</f>
        <v>200000</v>
      </c>
      <c r="BI189" s="81">
        <f>Voice_Provisioning_System*'Financial Statements &amp; Detail'!BI188</f>
        <v>200000</v>
      </c>
      <c r="BJ189" s="81">
        <f>Voice_Provisioning_System*'Financial Statements &amp; Detail'!BJ188</f>
        <v>200000</v>
      </c>
    </row>
    <row r="190" spans="1:256">
      <c r="A190" s="82"/>
    </row>
    <row r="191" spans="1:256">
      <c r="A191" s="102" t="s">
        <v>22</v>
      </c>
      <c r="BO191" s="8">
        <f>110000*400</f>
        <v>44000000</v>
      </c>
    </row>
    <row r="192" spans="1:256">
      <c r="A192" s="118" t="s">
        <v>173</v>
      </c>
      <c r="C192" s="99">
        <f t="shared" ref="C192:AH192" si="117">ROUNDUP(C116/Edge_Router_Subs,0)</f>
        <v>6</v>
      </c>
      <c r="D192" s="99">
        <f t="shared" si="117"/>
        <v>7</v>
      </c>
      <c r="E192" s="99">
        <f t="shared" si="117"/>
        <v>7</v>
      </c>
      <c r="F192" s="99">
        <f t="shared" si="117"/>
        <v>7</v>
      </c>
      <c r="G192" s="99">
        <f t="shared" si="117"/>
        <v>7</v>
      </c>
      <c r="H192" s="99">
        <f t="shared" si="117"/>
        <v>7</v>
      </c>
      <c r="I192" s="99">
        <f t="shared" si="117"/>
        <v>7</v>
      </c>
      <c r="J192" s="99">
        <f t="shared" si="117"/>
        <v>7</v>
      </c>
      <c r="K192" s="99">
        <f t="shared" si="117"/>
        <v>7</v>
      </c>
      <c r="L192" s="99">
        <f t="shared" si="117"/>
        <v>7</v>
      </c>
      <c r="M192" s="99">
        <f t="shared" si="117"/>
        <v>7</v>
      </c>
      <c r="N192" s="99">
        <f t="shared" si="117"/>
        <v>8</v>
      </c>
      <c r="O192" s="99">
        <f t="shared" si="117"/>
        <v>8</v>
      </c>
      <c r="P192" s="99">
        <f t="shared" si="117"/>
        <v>12</v>
      </c>
      <c r="Q192" s="99">
        <f t="shared" si="117"/>
        <v>12</v>
      </c>
      <c r="R192" s="99">
        <f t="shared" si="117"/>
        <v>12</v>
      </c>
      <c r="S192" s="99">
        <f t="shared" si="117"/>
        <v>16</v>
      </c>
      <c r="T192" s="99">
        <f t="shared" si="117"/>
        <v>16</v>
      </c>
      <c r="U192" s="99">
        <f t="shared" si="117"/>
        <v>15</v>
      </c>
      <c r="V192" s="99">
        <f t="shared" si="117"/>
        <v>20</v>
      </c>
      <c r="W192" s="99">
        <f t="shared" si="117"/>
        <v>19</v>
      </c>
      <c r="X192" s="99">
        <f t="shared" si="117"/>
        <v>19</v>
      </c>
      <c r="Y192" s="99">
        <f t="shared" si="117"/>
        <v>18</v>
      </c>
      <c r="Z192" s="99">
        <f t="shared" si="117"/>
        <v>18</v>
      </c>
      <c r="AA192" s="99">
        <f t="shared" si="117"/>
        <v>18</v>
      </c>
      <c r="AB192" s="99">
        <f t="shared" si="117"/>
        <v>22</v>
      </c>
      <c r="AC192" s="99">
        <f t="shared" si="117"/>
        <v>22</v>
      </c>
      <c r="AD192" s="99">
        <f t="shared" si="117"/>
        <v>21</v>
      </c>
      <c r="AE192" s="99">
        <f t="shared" si="117"/>
        <v>26</v>
      </c>
      <c r="AF192" s="99">
        <f t="shared" si="117"/>
        <v>25</v>
      </c>
      <c r="AG192" s="99">
        <f t="shared" si="117"/>
        <v>25</v>
      </c>
      <c r="AH192" s="99">
        <f t="shared" si="117"/>
        <v>29</v>
      </c>
      <c r="AI192" s="99">
        <f t="shared" ref="AI192:BJ192" si="118">ROUNDUP(AI116/Edge_Router_Subs,0)</f>
        <v>28</v>
      </c>
      <c r="AJ192" s="99">
        <f t="shared" si="118"/>
        <v>28</v>
      </c>
      <c r="AK192" s="99">
        <f t="shared" si="118"/>
        <v>27</v>
      </c>
      <c r="AL192" s="99">
        <f t="shared" si="118"/>
        <v>27</v>
      </c>
      <c r="AM192" s="99">
        <f t="shared" si="118"/>
        <v>26</v>
      </c>
      <c r="AN192" s="99">
        <f t="shared" si="118"/>
        <v>31</v>
      </c>
      <c r="AO192" s="99">
        <f t="shared" si="118"/>
        <v>30</v>
      </c>
      <c r="AP192" s="99">
        <f t="shared" si="118"/>
        <v>30</v>
      </c>
      <c r="AQ192" s="99">
        <f t="shared" si="118"/>
        <v>34</v>
      </c>
      <c r="AR192" s="99">
        <f t="shared" si="118"/>
        <v>34</v>
      </c>
      <c r="AS192" s="99">
        <f t="shared" si="118"/>
        <v>33</v>
      </c>
      <c r="AT192" s="99">
        <f t="shared" si="118"/>
        <v>37</v>
      </c>
      <c r="AU192" s="99">
        <f t="shared" si="118"/>
        <v>37</v>
      </c>
      <c r="AV192" s="99">
        <f t="shared" si="118"/>
        <v>36</v>
      </c>
      <c r="AW192" s="99">
        <f t="shared" si="118"/>
        <v>36</v>
      </c>
      <c r="AX192" s="99">
        <f t="shared" si="118"/>
        <v>35</v>
      </c>
      <c r="AY192" s="99">
        <f t="shared" si="118"/>
        <v>35</v>
      </c>
      <c r="AZ192" s="99">
        <f t="shared" si="118"/>
        <v>39</v>
      </c>
      <c r="BA192" s="99">
        <f t="shared" si="118"/>
        <v>39</v>
      </c>
      <c r="BB192" s="99">
        <f t="shared" si="118"/>
        <v>38</v>
      </c>
      <c r="BC192" s="99">
        <f t="shared" si="118"/>
        <v>42</v>
      </c>
      <c r="BD192" s="99">
        <f t="shared" si="118"/>
        <v>42</v>
      </c>
      <c r="BE192" s="99">
        <f t="shared" si="118"/>
        <v>41</v>
      </c>
      <c r="BF192" s="99">
        <f t="shared" si="118"/>
        <v>45</v>
      </c>
      <c r="BG192" s="99">
        <f t="shared" si="118"/>
        <v>45</v>
      </c>
      <c r="BH192" s="99">
        <f t="shared" si="118"/>
        <v>44</v>
      </c>
      <c r="BI192" s="99">
        <f t="shared" si="118"/>
        <v>44</v>
      </c>
      <c r="BJ192" s="99">
        <f t="shared" si="118"/>
        <v>43</v>
      </c>
    </row>
    <row r="193" spans="1:62">
      <c r="A193" s="118" t="s">
        <v>36</v>
      </c>
      <c r="B193" s="8" t="s">
        <v>212</v>
      </c>
      <c r="C193" s="99">
        <f t="shared" ref="C193:AH193" si="119">C192*Edge_Router_Cost</f>
        <v>60000</v>
      </c>
      <c r="D193" s="99">
        <f t="shared" si="119"/>
        <v>70000</v>
      </c>
      <c r="E193" s="99">
        <f t="shared" si="119"/>
        <v>70000</v>
      </c>
      <c r="F193" s="99">
        <f t="shared" si="119"/>
        <v>70000</v>
      </c>
      <c r="G193" s="99">
        <f t="shared" si="119"/>
        <v>70000</v>
      </c>
      <c r="H193" s="99">
        <f t="shared" si="119"/>
        <v>70000</v>
      </c>
      <c r="I193" s="99">
        <f t="shared" si="119"/>
        <v>70000</v>
      </c>
      <c r="J193" s="99">
        <f t="shared" si="119"/>
        <v>70000</v>
      </c>
      <c r="K193" s="99">
        <f t="shared" si="119"/>
        <v>70000</v>
      </c>
      <c r="L193" s="99">
        <f t="shared" si="119"/>
        <v>70000</v>
      </c>
      <c r="M193" s="99">
        <f t="shared" si="119"/>
        <v>70000</v>
      </c>
      <c r="N193" s="99">
        <f t="shared" si="119"/>
        <v>80000</v>
      </c>
      <c r="O193" s="99">
        <f t="shared" si="119"/>
        <v>80000</v>
      </c>
      <c r="P193" s="99">
        <f t="shared" si="119"/>
        <v>120000</v>
      </c>
      <c r="Q193" s="99">
        <f t="shared" si="119"/>
        <v>120000</v>
      </c>
      <c r="R193" s="99">
        <f t="shared" si="119"/>
        <v>120000</v>
      </c>
      <c r="S193" s="99">
        <f t="shared" si="119"/>
        <v>160000</v>
      </c>
      <c r="T193" s="99">
        <f t="shared" si="119"/>
        <v>160000</v>
      </c>
      <c r="U193" s="99">
        <f t="shared" si="119"/>
        <v>150000</v>
      </c>
      <c r="V193" s="99">
        <f t="shared" si="119"/>
        <v>200000</v>
      </c>
      <c r="W193" s="99">
        <f t="shared" si="119"/>
        <v>190000</v>
      </c>
      <c r="X193" s="99">
        <f t="shared" si="119"/>
        <v>190000</v>
      </c>
      <c r="Y193" s="99">
        <f t="shared" si="119"/>
        <v>180000</v>
      </c>
      <c r="Z193" s="99">
        <f t="shared" si="119"/>
        <v>180000</v>
      </c>
      <c r="AA193" s="99">
        <f t="shared" si="119"/>
        <v>180000</v>
      </c>
      <c r="AB193" s="99">
        <f t="shared" si="119"/>
        <v>220000</v>
      </c>
      <c r="AC193" s="99">
        <f t="shared" si="119"/>
        <v>220000</v>
      </c>
      <c r="AD193" s="99">
        <f t="shared" si="119"/>
        <v>210000</v>
      </c>
      <c r="AE193" s="99">
        <f t="shared" si="119"/>
        <v>260000</v>
      </c>
      <c r="AF193" s="99">
        <f t="shared" si="119"/>
        <v>250000</v>
      </c>
      <c r="AG193" s="99">
        <f t="shared" si="119"/>
        <v>250000</v>
      </c>
      <c r="AH193" s="99">
        <f t="shared" si="119"/>
        <v>290000</v>
      </c>
      <c r="AI193" s="99">
        <f t="shared" ref="AI193:BJ193" si="120">AI192*Edge_Router_Cost</f>
        <v>280000</v>
      </c>
      <c r="AJ193" s="99">
        <f t="shared" si="120"/>
        <v>280000</v>
      </c>
      <c r="AK193" s="99">
        <f t="shared" si="120"/>
        <v>270000</v>
      </c>
      <c r="AL193" s="99">
        <f t="shared" si="120"/>
        <v>270000</v>
      </c>
      <c r="AM193" s="99">
        <f t="shared" si="120"/>
        <v>260000</v>
      </c>
      <c r="AN193" s="99">
        <f t="shared" si="120"/>
        <v>310000</v>
      </c>
      <c r="AO193" s="99">
        <f t="shared" si="120"/>
        <v>300000</v>
      </c>
      <c r="AP193" s="99">
        <f t="shared" si="120"/>
        <v>300000</v>
      </c>
      <c r="AQ193" s="99">
        <f t="shared" si="120"/>
        <v>340000</v>
      </c>
      <c r="AR193" s="99">
        <f t="shared" si="120"/>
        <v>340000</v>
      </c>
      <c r="AS193" s="99">
        <f t="shared" si="120"/>
        <v>330000</v>
      </c>
      <c r="AT193" s="99">
        <f t="shared" si="120"/>
        <v>370000</v>
      </c>
      <c r="AU193" s="99">
        <f t="shared" si="120"/>
        <v>370000</v>
      </c>
      <c r="AV193" s="99">
        <f t="shared" si="120"/>
        <v>360000</v>
      </c>
      <c r="AW193" s="99">
        <f t="shared" si="120"/>
        <v>360000</v>
      </c>
      <c r="AX193" s="99">
        <f t="shared" si="120"/>
        <v>350000</v>
      </c>
      <c r="AY193" s="99">
        <f t="shared" si="120"/>
        <v>350000</v>
      </c>
      <c r="AZ193" s="99">
        <f t="shared" si="120"/>
        <v>390000</v>
      </c>
      <c r="BA193" s="99">
        <f t="shared" si="120"/>
        <v>390000</v>
      </c>
      <c r="BB193" s="99">
        <f t="shared" si="120"/>
        <v>380000</v>
      </c>
      <c r="BC193" s="99">
        <f t="shared" si="120"/>
        <v>420000</v>
      </c>
      <c r="BD193" s="99">
        <f t="shared" si="120"/>
        <v>420000</v>
      </c>
      <c r="BE193" s="99">
        <f t="shared" si="120"/>
        <v>410000</v>
      </c>
      <c r="BF193" s="99">
        <f t="shared" si="120"/>
        <v>450000</v>
      </c>
      <c r="BG193" s="99">
        <f t="shared" si="120"/>
        <v>450000</v>
      </c>
      <c r="BH193" s="99">
        <f t="shared" si="120"/>
        <v>440000</v>
      </c>
      <c r="BI193" s="99">
        <f t="shared" si="120"/>
        <v>440000</v>
      </c>
      <c r="BJ193" s="99">
        <f t="shared" si="120"/>
        <v>430000</v>
      </c>
    </row>
    <row r="194" spans="1:62">
      <c r="A194" s="118" t="s">
        <v>174</v>
      </c>
      <c r="C194" s="8">
        <v>2</v>
      </c>
      <c r="D194" s="8">
        <v>2</v>
      </c>
      <c r="E194" s="8">
        <v>2</v>
      </c>
      <c r="F194" s="8">
        <v>2</v>
      </c>
      <c r="G194" s="8">
        <v>2</v>
      </c>
      <c r="H194" s="8">
        <v>2</v>
      </c>
      <c r="I194" s="8">
        <v>2</v>
      </c>
      <c r="J194" s="8">
        <v>2</v>
      </c>
      <c r="K194" s="8">
        <v>2</v>
      </c>
      <c r="L194" s="8">
        <v>2</v>
      </c>
      <c r="M194" s="8">
        <v>2</v>
      </c>
      <c r="N194" s="8">
        <v>2</v>
      </c>
      <c r="O194" s="8">
        <v>2</v>
      </c>
      <c r="P194" s="8">
        <f>O194+IF(P99&gt;0,1,0)</f>
        <v>2</v>
      </c>
      <c r="Q194" s="8">
        <f t="shared" ref="Q194:BJ194" si="121">P194+IF(Q99&gt;0,1,0)</f>
        <v>2</v>
      </c>
      <c r="R194" s="8">
        <f t="shared" si="121"/>
        <v>3</v>
      </c>
      <c r="S194" s="8">
        <f t="shared" si="121"/>
        <v>3</v>
      </c>
      <c r="T194" s="8">
        <f t="shared" si="121"/>
        <v>3</v>
      </c>
      <c r="U194" s="8">
        <f t="shared" si="121"/>
        <v>4</v>
      </c>
      <c r="V194" s="8">
        <f t="shared" si="121"/>
        <v>4</v>
      </c>
      <c r="W194" s="8">
        <f t="shared" si="121"/>
        <v>4</v>
      </c>
      <c r="X194" s="8">
        <f t="shared" si="121"/>
        <v>4</v>
      </c>
      <c r="Y194" s="8">
        <f t="shared" si="121"/>
        <v>4</v>
      </c>
      <c r="Z194" s="8">
        <f t="shared" si="121"/>
        <v>4</v>
      </c>
      <c r="AA194" s="8">
        <f t="shared" si="121"/>
        <v>5</v>
      </c>
      <c r="AB194" s="8">
        <f t="shared" si="121"/>
        <v>5</v>
      </c>
      <c r="AC194" s="8">
        <f t="shared" si="121"/>
        <v>5</v>
      </c>
      <c r="AD194" s="8">
        <f t="shared" si="121"/>
        <v>6</v>
      </c>
      <c r="AE194" s="8">
        <f t="shared" si="121"/>
        <v>6</v>
      </c>
      <c r="AF194" s="8">
        <f t="shared" si="121"/>
        <v>6</v>
      </c>
      <c r="AG194" s="8">
        <f t="shared" si="121"/>
        <v>7</v>
      </c>
      <c r="AH194" s="8">
        <f t="shared" si="121"/>
        <v>7</v>
      </c>
      <c r="AI194" s="8">
        <f t="shared" si="121"/>
        <v>7</v>
      </c>
      <c r="AJ194" s="8">
        <f t="shared" si="121"/>
        <v>7</v>
      </c>
      <c r="AK194" s="8">
        <f t="shared" si="121"/>
        <v>7</v>
      </c>
      <c r="AL194" s="8">
        <f t="shared" si="121"/>
        <v>7</v>
      </c>
      <c r="AM194" s="8">
        <f t="shared" si="121"/>
        <v>8</v>
      </c>
      <c r="AN194" s="8">
        <f t="shared" si="121"/>
        <v>8</v>
      </c>
      <c r="AO194" s="8">
        <f t="shared" si="121"/>
        <v>8</v>
      </c>
      <c r="AP194" s="8">
        <f t="shared" si="121"/>
        <v>9</v>
      </c>
      <c r="AQ194" s="8">
        <f t="shared" si="121"/>
        <v>9</v>
      </c>
      <c r="AR194" s="8">
        <f t="shared" si="121"/>
        <v>9</v>
      </c>
      <c r="AS194" s="8">
        <f t="shared" si="121"/>
        <v>10</v>
      </c>
      <c r="AT194" s="8">
        <f t="shared" si="121"/>
        <v>10</v>
      </c>
      <c r="AU194" s="8">
        <f t="shared" si="121"/>
        <v>10</v>
      </c>
      <c r="AV194" s="8">
        <f t="shared" si="121"/>
        <v>10</v>
      </c>
      <c r="AW194" s="8">
        <f t="shared" si="121"/>
        <v>10</v>
      </c>
      <c r="AX194" s="8">
        <f t="shared" si="121"/>
        <v>10</v>
      </c>
      <c r="AY194" s="8">
        <f t="shared" si="121"/>
        <v>11</v>
      </c>
      <c r="AZ194" s="8">
        <f t="shared" si="121"/>
        <v>11</v>
      </c>
      <c r="BA194" s="8">
        <f t="shared" si="121"/>
        <v>11</v>
      </c>
      <c r="BB194" s="8">
        <f t="shared" si="121"/>
        <v>12</v>
      </c>
      <c r="BC194" s="8">
        <f t="shared" si="121"/>
        <v>12</v>
      </c>
      <c r="BD194" s="8">
        <f t="shared" si="121"/>
        <v>12</v>
      </c>
      <c r="BE194" s="8">
        <f t="shared" si="121"/>
        <v>13</v>
      </c>
      <c r="BF194" s="8">
        <f t="shared" si="121"/>
        <v>13</v>
      </c>
      <c r="BG194" s="8">
        <f t="shared" si="121"/>
        <v>13</v>
      </c>
      <c r="BH194" s="8">
        <f t="shared" si="121"/>
        <v>13</v>
      </c>
      <c r="BI194" s="8">
        <f t="shared" si="121"/>
        <v>13</v>
      </c>
      <c r="BJ194" s="8">
        <f t="shared" si="121"/>
        <v>13</v>
      </c>
    </row>
    <row r="195" spans="1:62">
      <c r="A195" s="118" t="s">
        <v>175</v>
      </c>
      <c r="B195" s="8" t="s">
        <v>212</v>
      </c>
      <c r="C195" s="81">
        <f>C194*Assumptions!$B$75</f>
        <v>50000</v>
      </c>
      <c r="D195" s="81">
        <f>D194*Assumptions!$B$75</f>
        <v>50000</v>
      </c>
      <c r="E195" s="81">
        <f>E194*Assumptions!$B$75</f>
        <v>50000</v>
      </c>
      <c r="F195" s="81">
        <f>F194*Assumptions!$B$75</f>
        <v>50000</v>
      </c>
      <c r="G195" s="81">
        <f>G194*Assumptions!$B$75</f>
        <v>50000</v>
      </c>
      <c r="H195" s="81">
        <f>H194*Assumptions!$B$75</f>
        <v>50000</v>
      </c>
      <c r="I195" s="81">
        <f>I194*Assumptions!$B$75</f>
        <v>50000</v>
      </c>
      <c r="J195" s="81">
        <f>J194*Assumptions!$B$75</f>
        <v>50000</v>
      </c>
      <c r="K195" s="81">
        <f>K194*Assumptions!$B$75</f>
        <v>50000</v>
      </c>
      <c r="L195" s="81">
        <f>L194*Assumptions!$B$75</f>
        <v>50000</v>
      </c>
      <c r="M195" s="81">
        <f>M194*Assumptions!$B$75</f>
        <v>50000</v>
      </c>
      <c r="N195" s="81">
        <f>N194*Assumptions!$B$75</f>
        <v>50000</v>
      </c>
      <c r="O195" s="81">
        <f>O194*Assumptions!$B$75</f>
        <v>50000</v>
      </c>
      <c r="P195" s="81">
        <f>P194*Assumptions!$B$75</f>
        <v>50000</v>
      </c>
      <c r="Q195" s="81">
        <f>Q194*Assumptions!$B$75</f>
        <v>50000</v>
      </c>
      <c r="R195" s="81">
        <f>R194*Assumptions!$B$75</f>
        <v>75000</v>
      </c>
      <c r="S195" s="81">
        <f>S194*Assumptions!$B$75</f>
        <v>75000</v>
      </c>
      <c r="T195" s="81">
        <f>T194*Assumptions!$B$75</f>
        <v>75000</v>
      </c>
      <c r="U195" s="81">
        <f>U194*Assumptions!$B$75</f>
        <v>100000</v>
      </c>
      <c r="V195" s="81">
        <f>V194*Assumptions!$B$75</f>
        <v>100000</v>
      </c>
      <c r="W195" s="81">
        <f>W194*Assumptions!$B$75</f>
        <v>100000</v>
      </c>
      <c r="X195" s="81">
        <f>X194*Assumptions!$B$75</f>
        <v>100000</v>
      </c>
      <c r="Y195" s="81">
        <f>Y194*Assumptions!$B$75</f>
        <v>100000</v>
      </c>
      <c r="Z195" s="81">
        <f>Z194*Assumptions!$B$75</f>
        <v>100000</v>
      </c>
      <c r="AA195" s="81">
        <f>AA194*Assumptions!$B$75</f>
        <v>125000</v>
      </c>
      <c r="AB195" s="81">
        <f>AB194*Assumptions!$B$75</f>
        <v>125000</v>
      </c>
      <c r="AC195" s="81">
        <f>AC194*Assumptions!$B$75</f>
        <v>125000</v>
      </c>
      <c r="AD195" s="81">
        <f>AD194*Assumptions!$B$75</f>
        <v>150000</v>
      </c>
      <c r="AE195" s="81">
        <f>AE194*Assumptions!$B$75</f>
        <v>150000</v>
      </c>
      <c r="AF195" s="81">
        <f>AF194*Assumptions!$B$75</f>
        <v>150000</v>
      </c>
      <c r="AG195" s="81">
        <f>AG194*Assumptions!$B$75</f>
        <v>175000</v>
      </c>
      <c r="AH195" s="81">
        <f>AH194*Assumptions!$B$75</f>
        <v>175000</v>
      </c>
      <c r="AI195" s="81">
        <f>AI194*Assumptions!$B$75</f>
        <v>175000</v>
      </c>
      <c r="AJ195" s="81">
        <f>AJ194*Assumptions!$B$75</f>
        <v>175000</v>
      </c>
      <c r="AK195" s="81">
        <f>AK194*Assumptions!$B$75</f>
        <v>175000</v>
      </c>
      <c r="AL195" s="81">
        <f>AL194*Assumptions!$B$75</f>
        <v>175000</v>
      </c>
      <c r="AM195" s="81">
        <f>AM194*Assumptions!$B$75</f>
        <v>200000</v>
      </c>
      <c r="AN195" s="81">
        <f>AN194*Assumptions!$B$75</f>
        <v>200000</v>
      </c>
      <c r="AO195" s="81">
        <f>AO194*Assumptions!$B$75</f>
        <v>200000</v>
      </c>
      <c r="AP195" s="81">
        <f>AP194*Assumptions!$B$75</f>
        <v>225000</v>
      </c>
      <c r="AQ195" s="81">
        <f>AQ194*Assumptions!$B$75</f>
        <v>225000</v>
      </c>
      <c r="AR195" s="81">
        <f>AR194*Assumptions!$B$75</f>
        <v>225000</v>
      </c>
      <c r="AS195" s="81">
        <f>AS194*Assumptions!$B$75</f>
        <v>250000</v>
      </c>
      <c r="AT195" s="81">
        <f>AT194*Assumptions!$B$75</f>
        <v>250000</v>
      </c>
      <c r="AU195" s="81">
        <f>AU194*Assumptions!$B$75</f>
        <v>250000</v>
      </c>
      <c r="AV195" s="81">
        <f>AV194*Assumptions!$B$75</f>
        <v>250000</v>
      </c>
      <c r="AW195" s="81">
        <f>AW194*Assumptions!$B$75</f>
        <v>250000</v>
      </c>
      <c r="AX195" s="81">
        <f>AX194*Assumptions!$B$75</f>
        <v>250000</v>
      </c>
      <c r="AY195" s="81">
        <f>AY194*Assumptions!$B$75</f>
        <v>275000</v>
      </c>
      <c r="AZ195" s="81">
        <f>AZ194*Assumptions!$B$75</f>
        <v>275000</v>
      </c>
      <c r="BA195" s="81">
        <f>BA194*Assumptions!$B$75</f>
        <v>275000</v>
      </c>
      <c r="BB195" s="81">
        <f>BB194*Assumptions!$B$75</f>
        <v>300000</v>
      </c>
      <c r="BC195" s="81">
        <f>BC194*Assumptions!$B$75</f>
        <v>300000</v>
      </c>
      <c r="BD195" s="81">
        <f>BD194*Assumptions!$B$75</f>
        <v>300000</v>
      </c>
      <c r="BE195" s="81">
        <f>BE194*Assumptions!$B$75</f>
        <v>325000</v>
      </c>
      <c r="BF195" s="81">
        <f>BF194*Assumptions!$B$75</f>
        <v>325000</v>
      </c>
      <c r="BG195" s="81">
        <f>BG194*Assumptions!$B$75</f>
        <v>325000</v>
      </c>
      <c r="BH195" s="81">
        <f>BH194*Assumptions!$B$75</f>
        <v>325000</v>
      </c>
      <c r="BI195" s="81">
        <f>BI194*Assumptions!$B$75</f>
        <v>325000</v>
      </c>
      <c r="BJ195" s="81">
        <f>BJ194*Assumptions!$B$75</f>
        <v>325000</v>
      </c>
    </row>
    <row r="196" spans="1:62">
      <c r="A196" s="118" t="s">
        <v>181</v>
      </c>
      <c r="C196" s="8">
        <v>1</v>
      </c>
      <c r="D196" s="8">
        <v>1</v>
      </c>
      <c r="E196" s="8">
        <v>1</v>
      </c>
      <c r="F196" s="8">
        <v>1</v>
      </c>
      <c r="G196" s="8">
        <v>1</v>
      </c>
      <c r="H196" s="8">
        <v>1</v>
      </c>
      <c r="I196" s="8">
        <v>1</v>
      </c>
      <c r="J196" s="8">
        <v>1</v>
      </c>
      <c r="K196" s="8">
        <v>1</v>
      </c>
      <c r="L196" s="8">
        <v>1</v>
      </c>
      <c r="M196" s="8">
        <v>1</v>
      </c>
      <c r="N196" s="8">
        <v>1</v>
      </c>
      <c r="O196" s="8">
        <v>1</v>
      </c>
      <c r="P196" s="8">
        <v>1</v>
      </c>
      <c r="Q196" s="8">
        <v>1</v>
      </c>
      <c r="R196" s="8">
        <v>1</v>
      </c>
      <c r="S196" s="8">
        <v>1</v>
      </c>
      <c r="T196" s="8">
        <v>1</v>
      </c>
      <c r="U196" s="8">
        <v>1</v>
      </c>
      <c r="V196" s="8">
        <v>1</v>
      </c>
      <c r="W196" s="8">
        <v>1</v>
      </c>
      <c r="X196" s="8">
        <v>1</v>
      </c>
      <c r="Y196" s="8">
        <v>1</v>
      </c>
      <c r="Z196" s="8">
        <v>1</v>
      </c>
      <c r="AA196" s="8">
        <v>1</v>
      </c>
      <c r="AB196" s="8">
        <v>1</v>
      </c>
      <c r="AC196" s="8">
        <v>1</v>
      </c>
      <c r="AD196" s="8">
        <v>1</v>
      </c>
      <c r="AE196" s="8">
        <v>1</v>
      </c>
      <c r="AF196" s="8">
        <v>1</v>
      </c>
      <c r="AG196" s="8">
        <v>1</v>
      </c>
      <c r="AH196" s="8">
        <v>1</v>
      </c>
      <c r="AI196" s="8">
        <v>1</v>
      </c>
      <c r="AJ196" s="8">
        <v>1</v>
      </c>
      <c r="AK196" s="8">
        <v>1</v>
      </c>
      <c r="AL196" s="8">
        <v>1</v>
      </c>
      <c r="AM196" s="8">
        <v>1</v>
      </c>
      <c r="AN196" s="8">
        <v>1</v>
      </c>
      <c r="AO196" s="8">
        <v>1</v>
      </c>
      <c r="AP196" s="8">
        <v>1</v>
      </c>
      <c r="AQ196" s="8">
        <v>1</v>
      </c>
      <c r="AR196" s="8">
        <v>1</v>
      </c>
      <c r="AS196" s="8">
        <v>1</v>
      </c>
      <c r="AT196" s="8">
        <v>1</v>
      </c>
      <c r="AU196" s="8">
        <v>1</v>
      </c>
      <c r="AV196" s="8">
        <v>1</v>
      </c>
      <c r="AW196" s="8">
        <v>1</v>
      </c>
      <c r="AX196" s="8">
        <v>1</v>
      </c>
      <c r="AY196" s="8">
        <v>1</v>
      </c>
      <c r="AZ196" s="8">
        <v>1</v>
      </c>
      <c r="BA196" s="8">
        <v>1</v>
      </c>
      <c r="BB196" s="8">
        <v>1</v>
      </c>
      <c r="BC196" s="8">
        <v>1</v>
      </c>
      <c r="BD196" s="8">
        <v>1</v>
      </c>
      <c r="BE196" s="8">
        <v>1</v>
      </c>
      <c r="BF196" s="8">
        <v>1</v>
      </c>
      <c r="BG196" s="8">
        <v>1</v>
      </c>
      <c r="BH196" s="8">
        <v>1</v>
      </c>
      <c r="BI196" s="8">
        <v>1</v>
      </c>
      <c r="BJ196" s="8">
        <v>1</v>
      </c>
    </row>
    <row r="197" spans="1:62">
      <c r="A197" s="118" t="s">
        <v>182</v>
      </c>
      <c r="B197" s="8" t="s">
        <v>212</v>
      </c>
      <c r="C197" s="81">
        <v>35000</v>
      </c>
      <c r="D197" s="81">
        <v>35000</v>
      </c>
      <c r="E197" s="81">
        <v>35000</v>
      </c>
      <c r="F197" s="81">
        <v>35000</v>
      </c>
      <c r="G197" s="81">
        <v>35000</v>
      </c>
      <c r="H197" s="81">
        <v>35000</v>
      </c>
      <c r="I197" s="81">
        <v>35000</v>
      </c>
      <c r="J197" s="81">
        <v>35000</v>
      </c>
      <c r="K197" s="81">
        <v>35000</v>
      </c>
      <c r="L197" s="81">
        <v>35000</v>
      </c>
      <c r="M197" s="81">
        <v>35000</v>
      </c>
      <c r="N197" s="81">
        <v>35000</v>
      </c>
      <c r="O197" s="81">
        <v>35000</v>
      </c>
      <c r="P197" s="81">
        <v>35000</v>
      </c>
      <c r="Q197" s="81">
        <v>35000</v>
      </c>
      <c r="R197" s="81">
        <v>35000</v>
      </c>
      <c r="S197" s="81">
        <v>35000</v>
      </c>
      <c r="T197" s="81">
        <v>35000</v>
      </c>
      <c r="U197" s="81">
        <v>35000</v>
      </c>
      <c r="V197" s="81">
        <v>35000</v>
      </c>
      <c r="W197" s="81">
        <v>35000</v>
      </c>
      <c r="X197" s="81">
        <v>35000</v>
      </c>
      <c r="Y197" s="81">
        <v>35000</v>
      </c>
      <c r="Z197" s="81">
        <v>35000</v>
      </c>
      <c r="AA197" s="81">
        <v>35000</v>
      </c>
      <c r="AB197" s="81">
        <v>35000</v>
      </c>
      <c r="AC197" s="81">
        <v>35000</v>
      </c>
      <c r="AD197" s="81">
        <v>35000</v>
      </c>
      <c r="AE197" s="81">
        <v>35000</v>
      </c>
      <c r="AF197" s="81">
        <v>35000</v>
      </c>
      <c r="AG197" s="81">
        <v>35000</v>
      </c>
      <c r="AH197" s="81">
        <v>35000</v>
      </c>
      <c r="AI197" s="81">
        <v>35000</v>
      </c>
      <c r="AJ197" s="81">
        <v>35000</v>
      </c>
      <c r="AK197" s="81">
        <v>35000</v>
      </c>
      <c r="AL197" s="81">
        <v>35000</v>
      </c>
      <c r="AM197" s="81">
        <v>35000</v>
      </c>
      <c r="AN197" s="81">
        <v>35000</v>
      </c>
      <c r="AO197" s="81">
        <v>35000</v>
      </c>
      <c r="AP197" s="81">
        <v>35000</v>
      </c>
      <c r="AQ197" s="81">
        <v>35000</v>
      </c>
      <c r="AR197" s="81">
        <v>35000</v>
      </c>
      <c r="AS197" s="81">
        <v>35000</v>
      </c>
      <c r="AT197" s="81">
        <v>35000</v>
      </c>
      <c r="AU197" s="81">
        <v>35000</v>
      </c>
      <c r="AV197" s="81">
        <v>35000</v>
      </c>
      <c r="AW197" s="81">
        <v>35000</v>
      </c>
      <c r="AX197" s="81">
        <v>35000</v>
      </c>
      <c r="AY197" s="81">
        <v>35000</v>
      </c>
      <c r="AZ197" s="81">
        <v>35000</v>
      </c>
      <c r="BA197" s="81">
        <v>35000</v>
      </c>
      <c r="BB197" s="81">
        <v>35000</v>
      </c>
      <c r="BC197" s="81">
        <v>35000</v>
      </c>
      <c r="BD197" s="81">
        <v>35000</v>
      </c>
      <c r="BE197" s="81">
        <v>35000</v>
      </c>
      <c r="BF197" s="81">
        <v>35000</v>
      </c>
      <c r="BG197" s="81">
        <v>35000</v>
      </c>
      <c r="BH197" s="81">
        <v>35000</v>
      </c>
      <c r="BI197" s="81">
        <v>35000</v>
      </c>
      <c r="BJ197" s="81">
        <v>35000</v>
      </c>
    </row>
    <row r="198" spans="1:62">
      <c r="A198" s="82"/>
    </row>
    <row r="199" spans="1:62">
      <c r="A199" s="102" t="s">
        <v>191</v>
      </c>
    </row>
    <row r="200" spans="1:62">
      <c r="A200" s="118" t="s">
        <v>192</v>
      </c>
      <c r="C200" s="99">
        <f>MAX(SUM($C$105:C105),B200)</f>
        <v>275</v>
      </c>
      <c r="D200" s="99">
        <f>MAX(SUM($C$105:D105),C200)</f>
        <v>550</v>
      </c>
      <c r="E200" s="99">
        <f>MAX(SUM($C$105:E105),D200)</f>
        <v>825</v>
      </c>
      <c r="F200" s="99">
        <f>MAX(SUM($C$105:F105),E200)</f>
        <v>1100</v>
      </c>
      <c r="G200" s="99">
        <f>MAX(SUM($C$105:G105),F200)</f>
        <v>1375</v>
      </c>
      <c r="H200" s="99">
        <f>MAX(SUM($C$105:H105),G200)</f>
        <v>1650</v>
      </c>
      <c r="I200" s="99">
        <f>MAX(SUM($C$105:I105),H200)</f>
        <v>1925</v>
      </c>
      <c r="J200" s="99">
        <f>MAX(SUM($C$105:J105),I200)</f>
        <v>2200</v>
      </c>
      <c r="K200" s="99">
        <f>MAX(SUM($C$105:K105),J200)</f>
        <v>2475</v>
      </c>
      <c r="L200" s="99">
        <f>MAX(SUM($C$105:L105),K200)</f>
        <v>2750</v>
      </c>
      <c r="M200" s="99">
        <f>MAX(SUM($C$105:M105),L200)</f>
        <v>3025</v>
      </c>
      <c r="N200" s="99">
        <f>MAX(SUM($C$105:N105),M200)</f>
        <v>3300</v>
      </c>
      <c r="O200" s="99">
        <f>MAX(SUM($C$105:O105),N200)</f>
        <v>3575</v>
      </c>
      <c r="P200" s="99">
        <f>MAX(SUM($C$105:P105),O200)</f>
        <v>3850</v>
      </c>
      <c r="Q200" s="99">
        <f>MAX(SUM($C$105:Q105),P200)</f>
        <v>4125</v>
      </c>
      <c r="R200" s="99">
        <f>MAX(SUM($C$105:R105),Q200)</f>
        <v>4400</v>
      </c>
      <c r="S200" s="99">
        <f>MAX(SUM($C$105:S105),R200)</f>
        <v>4675</v>
      </c>
      <c r="T200" s="99">
        <f>MAX(SUM($C$105:T105),S200)</f>
        <v>4950</v>
      </c>
      <c r="U200" s="99">
        <f>MAX(SUM($C$105:U105),T200)</f>
        <v>5225</v>
      </c>
      <c r="V200" s="99">
        <f>MAX(SUM($C$105:V105),U200)</f>
        <v>5500</v>
      </c>
      <c r="W200" s="99">
        <f>MAX(SUM($C$105:W105),V200)</f>
        <v>5775</v>
      </c>
      <c r="X200" s="99">
        <f>MAX(SUM($C$105:X105),W200)</f>
        <v>6050</v>
      </c>
      <c r="Y200" s="99">
        <f>MAX(SUM($C$105:Y105),X200)</f>
        <v>6325</v>
      </c>
      <c r="Z200" s="99">
        <f>MAX(SUM($C$105:Z105),Y200)</f>
        <v>6600</v>
      </c>
      <c r="AA200" s="99">
        <f>MAX(SUM($C$105:AA105),Z200)</f>
        <v>7200</v>
      </c>
      <c r="AB200" s="99">
        <f>MAX(SUM($C$105:AB105),AA200)</f>
        <v>7800</v>
      </c>
      <c r="AC200" s="99">
        <f>MAX(SUM($C$105:AC105),AB200)</f>
        <v>8400</v>
      </c>
      <c r="AD200" s="99">
        <f>MAX(SUM($C$105:AD105),AC200)</f>
        <v>9000</v>
      </c>
      <c r="AE200" s="99">
        <f>MAX(SUM($C$105:AE105),AD200)</f>
        <v>9600</v>
      </c>
      <c r="AF200" s="99">
        <f>MAX(SUM($C$105:AF105),AE200)</f>
        <v>10200</v>
      </c>
      <c r="AG200" s="99">
        <f>MAX(SUM($C$105:AG105),AF200)</f>
        <v>10800</v>
      </c>
      <c r="AH200" s="99">
        <f>MAX(SUM($C$105:AH105),AG200)</f>
        <v>11400</v>
      </c>
      <c r="AI200" s="99">
        <f>MAX(SUM($C$105:AI105),AH200)</f>
        <v>12000</v>
      </c>
      <c r="AJ200" s="99">
        <f>MAX(SUM($C$105:AJ105),AI200)</f>
        <v>12600</v>
      </c>
      <c r="AK200" s="99">
        <f>MAX(SUM($C$105:AK105),AJ200)</f>
        <v>13200</v>
      </c>
      <c r="AL200" s="99">
        <f>MAX(SUM($C$105:AL105),AK200)</f>
        <v>13800</v>
      </c>
      <c r="AM200" s="99">
        <f>MAX(SUM($C$105:AM105),AL200)</f>
        <v>14816.666666666666</v>
      </c>
      <c r="AN200" s="99">
        <f>MAX(SUM($C$105:AN105),AM200)</f>
        <v>15833.333333333332</v>
      </c>
      <c r="AO200" s="99">
        <f>MAX(SUM($C$105:AO105),AN200)</f>
        <v>16850</v>
      </c>
      <c r="AP200" s="99">
        <f>MAX(SUM($C$105:AP105),AO200)</f>
        <v>17866.666666666668</v>
      </c>
      <c r="AQ200" s="99">
        <f>MAX(SUM($C$105:AQ105),AP200)</f>
        <v>18883.333333333336</v>
      </c>
      <c r="AR200" s="99">
        <f>MAX(SUM($C$105:AR105),AQ200)</f>
        <v>19900.000000000004</v>
      </c>
      <c r="AS200" s="99">
        <f>MAX(SUM($C$105:AS105),AR200)</f>
        <v>20916.666666666672</v>
      </c>
      <c r="AT200" s="99">
        <f>MAX(SUM($C$105:AT105),AS200)</f>
        <v>21933.333333333339</v>
      </c>
      <c r="AU200" s="99">
        <f>MAX(SUM($C$105:AU105),AT200)</f>
        <v>22950.000000000007</v>
      </c>
      <c r="AV200" s="99">
        <f>MAX(SUM($C$105:AV105),AU200)</f>
        <v>23966.666666666675</v>
      </c>
      <c r="AW200" s="99">
        <f>MAX(SUM($C$105:AW105),AV200)</f>
        <v>24983.333333333343</v>
      </c>
      <c r="AX200" s="99">
        <f>MAX(SUM($C$105:AX105),AW200)</f>
        <v>26000.000000000011</v>
      </c>
      <c r="AY200" s="99">
        <f>MAX(SUM($C$105:AY105),AX200)</f>
        <v>27433.333333333343</v>
      </c>
      <c r="AZ200" s="99">
        <f>MAX(SUM($C$105:AZ105),AY200)</f>
        <v>28866.666666666675</v>
      </c>
      <c r="BA200" s="99">
        <f>MAX(SUM($C$105:BA105),AZ200)</f>
        <v>30300.000000000007</v>
      </c>
      <c r="BB200" s="99">
        <f>MAX(SUM($C$105:BB105),BA200)</f>
        <v>31733.333333333339</v>
      </c>
      <c r="BC200" s="99">
        <f>MAX(SUM($C$105:BC105),BB200)</f>
        <v>33166.666666666672</v>
      </c>
      <c r="BD200" s="99">
        <f>MAX(SUM($C$105:BD105),BC200)</f>
        <v>34600.000000000007</v>
      </c>
      <c r="BE200" s="99">
        <f>MAX(SUM($C$105:BE105),BD200)</f>
        <v>36033.333333333343</v>
      </c>
      <c r="BF200" s="99">
        <f>MAX(SUM($C$105:BF105),BE200)</f>
        <v>37466.666666666679</v>
      </c>
      <c r="BG200" s="99">
        <f>MAX(SUM($C$105:BG105),BF200)</f>
        <v>38900.000000000015</v>
      </c>
      <c r="BH200" s="99">
        <f>MAX(SUM($C$105:BH105),BG200)</f>
        <v>40333.33333333335</v>
      </c>
      <c r="BI200" s="99">
        <f>MAX(SUM($C$105:BI105),BH200)</f>
        <v>41766.666666666686</v>
      </c>
      <c r="BJ200" s="99">
        <f>MAX(SUM($C$105:BJ105),BI200)</f>
        <v>43200.000000000022</v>
      </c>
    </row>
    <row r="201" spans="1:62">
      <c r="A201" s="118" t="s">
        <v>193</v>
      </c>
      <c r="B201" s="8" t="s">
        <v>212</v>
      </c>
      <c r="C201" s="99">
        <f t="shared" ref="C201:AH201" si="122">C200*CPE_Cable_Modem</f>
        <v>13750</v>
      </c>
      <c r="D201" s="99">
        <f t="shared" si="122"/>
        <v>27500</v>
      </c>
      <c r="E201" s="99">
        <f t="shared" si="122"/>
        <v>41250</v>
      </c>
      <c r="F201" s="99">
        <f t="shared" si="122"/>
        <v>55000</v>
      </c>
      <c r="G201" s="99">
        <f t="shared" si="122"/>
        <v>68750</v>
      </c>
      <c r="H201" s="99">
        <f t="shared" si="122"/>
        <v>82500</v>
      </c>
      <c r="I201" s="99">
        <f t="shared" si="122"/>
        <v>96250</v>
      </c>
      <c r="J201" s="99">
        <f t="shared" si="122"/>
        <v>110000</v>
      </c>
      <c r="K201" s="99">
        <f t="shared" si="122"/>
        <v>123750</v>
      </c>
      <c r="L201" s="99">
        <f t="shared" si="122"/>
        <v>137500</v>
      </c>
      <c r="M201" s="99">
        <f t="shared" si="122"/>
        <v>151250</v>
      </c>
      <c r="N201" s="99">
        <f t="shared" si="122"/>
        <v>165000</v>
      </c>
      <c r="O201" s="99">
        <f t="shared" si="122"/>
        <v>178750</v>
      </c>
      <c r="P201" s="99">
        <f t="shared" si="122"/>
        <v>192500</v>
      </c>
      <c r="Q201" s="99">
        <f t="shared" si="122"/>
        <v>206250</v>
      </c>
      <c r="R201" s="99">
        <f t="shared" si="122"/>
        <v>220000</v>
      </c>
      <c r="S201" s="99">
        <f t="shared" si="122"/>
        <v>233750</v>
      </c>
      <c r="T201" s="99">
        <f t="shared" si="122"/>
        <v>247500</v>
      </c>
      <c r="U201" s="99">
        <f t="shared" si="122"/>
        <v>261250</v>
      </c>
      <c r="V201" s="99">
        <f t="shared" si="122"/>
        <v>275000</v>
      </c>
      <c r="W201" s="99">
        <f t="shared" si="122"/>
        <v>288750</v>
      </c>
      <c r="X201" s="99">
        <f t="shared" si="122"/>
        <v>302500</v>
      </c>
      <c r="Y201" s="99">
        <f t="shared" si="122"/>
        <v>316250</v>
      </c>
      <c r="Z201" s="99">
        <f t="shared" si="122"/>
        <v>330000</v>
      </c>
      <c r="AA201" s="99">
        <f t="shared" si="122"/>
        <v>360000</v>
      </c>
      <c r="AB201" s="99">
        <f t="shared" si="122"/>
        <v>390000</v>
      </c>
      <c r="AC201" s="99">
        <f t="shared" si="122"/>
        <v>420000</v>
      </c>
      <c r="AD201" s="99">
        <f t="shared" si="122"/>
        <v>450000</v>
      </c>
      <c r="AE201" s="99">
        <f t="shared" si="122"/>
        <v>480000</v>
      </c>
      <c r="AF201" s="99">
        <f t="shared" si="122"/>
        <v>510000</v>
      </c>
      <c r="AG201" s="99">
        <f t="shared" si="122"/>
        <v>540000</v>
      </c>
      <c r="AH201" s="99">
        <f t="shared" si="122"/>
        <v>570000</v>
      </c>
      <c r="AI201" s="99">
        <f t="shared" ref="AI201:BJ201" si="123">AI200*CPE_Cable_Modem</f>
        <v>600000</v>
      </c>
      <c r="AJ201" s="99">
        <f t="shared" si="123"/>
        <v>630000</v>
      </c>
      <c r="AK201" s="99">
        <f t="shared" si="123"/>
        <v>660000</v>
      </c>
      <c r="AL201" s="99">
        <f t="shared" si="123"/>
        <v>690000</v>
      </c>
      <c r="AM201" s="99">
        <f t="shared" si="123"/>
        <v>740833.33333333326</v>
      </c>
      <c r="AN201" s="99">
        <f t="shared" si="123"/>
        <v>791666.66666666663</v>
      </c>
      <c r="AO201" s="99">
        <f t="shared" si="123"/>
        <v>842500</v>
      </c>
      <c r="AP201" s="99">
        <f t="shared" si="123"/>
        <v>893333.33333333337</v>
      </c>
      <c r="AQ201" s="99">
        <f t="shared" si="123"/>
        <v>944166.66666666674</v>
      </c>
      <c r="AR201" s="99">
        <f t="shared" si="123"/>
        <v>995000.00000000023</v>
      </c>
      <c r="AS201" s="99">
        <f t="shared" si="123"/>
        <v>1045833.3333333336</v>
      </c>
      <c r="AT201" s="99">
        <f t="shared" si="123"/>
        <v>1096666.666666667</v>
      </c>
      <c r="AU201" s="99">
        <f t="shared" si="123"/>
        <v>1147500.0000000005</v>
      </c>
      <c r="AV201" s="99">
        <f t="shared" si="123"/>
        <v>1198333.3333333337</v>
      </c>
      <c r="AW201" s="99">
        <f t="shared" si="123"/>
        <v>1249166.6666666672</v>
      </c>
      <c r="AX201" s="99">
        <f t="shared" si="123"/>
        <v>1300000.0000000005</v>
      </c>
      <c r="AY201" s="99">
        <f t="shared" si="123"/>
        <v>1371666.6666666672</v>
      </c>
      <c r="AZ201" s="99">
        <f t="shared" si="123"/>
        <v>1443333.3333333337</v>
      </c>
      <c r="BA201" s="99">
        <f t="shared" si="123"/>
        <v>1515000.0000000005</v>
      </c>
      <c r="BB201" s="99">
        <f t="shared" si="123"/>
        <v>1586666.666666667</v>
      </c>
      <c r="BC201" s="99">
        <f t="shared" si="123"/>
        <v>1658333.3333333335</v>
      </c>
      <c r="BD201" s="99">
        <f t="shared" si="123"/>
        <v>1730000.0000000005</v>
      </c>
      <c r="BE201" s="99">
        <f t="shared" si="123"/>
        <v>1801666.6666666672</v>
      </c>
      <c r="BF201" s="99">
        <f t="shared" si="123"/>
        <v>1873333.333333334</v>
      </c>
      <c r="BG201" s="99">
        <f t="shared" si="123"/>
        <v>1945000.0000000007</v>
      </c>
      <c r="BH201" s="99">
        <f t="shared" si="123"/>
        <v>2016666.6666666674</v>
      </c>
      <c r="BI201" s="99">
        <f t="shared" si="123"/>
        <v>2088333.3333333344</v>
      </c>
      <c r="BJ201" s="99">
        <f t="shared" si="123"/>
        <v>2160000.0000000009</v>
      </c>
    </row>
    <row r="202" spans="1:62">
      <c r="A202" s="118" t="s">
        <v>194</v>
      </c>
      <c r="C202" s="99">
        <f>MAX(C115,B202)</f>
        <v>4826.25</v>
      </c>
      <c r="D202" s="99">
        <f t="shared" ref="D202:BJ202" si="124">MAX(D115,C202)</f>
        <v>4922.7749999999996</v>
      </c>
      <c r="E202" s="99">
        <f t="shared" si="124"/>
        <v>5016.4042499999996</v>
      </c>
      <c r="F202" s="99">
        <f t="shared" si="124"/>
        <v>5107.2246224999999</v>
      </c>
      <c r="G202" s="99">
        <f t="shared" si="124"/>
        <v>5195.3203838249992</v>
      </c>
      <c r="H202" s="99">
        <f t="shared" si="124"/>
        <v>5280.7732723102499</v>
      </c>
      <c r="I202" s="99">
        <f t="shared" si="124"/>
        <v>5363.6625741409425</v>
      </c>
      <c r="J202" s="99">
        <f t="shared" si="124"/>
        <v>5444.0651969167147</v>
      </c>
      <c r="K202" s="99">
        <f t="shared" si="124"/>
        <v>5522.0557410092124</v>
      </c>
      <c r="L202" s="99">
        <f t="shared" si="124"/>
        <v>5597.7065687789363</v>
      </c>
      <c r="M202" s="99">
        <f t="shared" si="124"/>
        <v>5671.0878717155683</v>
      </c>
      <c r="N202" s="99">
        <f t="shared" si="124"/>
        <v>5742.2677355641017</v>
      </c>
      <c r="O202" s="99">
        <f t="shared" si="124"/>
        <v>5811.3122034971793</v>
      </c>
      <c r="P202" s="99">
        <f t="shared" si="124"/>
        <v>9413.8790873922662</v>
      </c>
      <c r="Q202" s="99">
        <f t="shared" si="124"/>
        <v>9413.8790873922662</v>
      </c>
      <c r="R202" s="99">
        <f t="shared" si="124"/>
        <v>9413.8790873922662</v>
      </c>
      <c r="S202" s="99">
        <f t="shared" si="124"/>
        <v>12599.261546452562</v>
      </c>
      <c r="T202" s="99">
        <f t="shared" si="124"/>
        <v>12599.261546452562</v>
      </c>
      <c r="U202" s="99">
        <f t="shared" si="124"/>
        <v>12599.261546452562</v>
      </c>
      <c r="V202" s="99">
        <f t="shared" si="124"/>
        <v>15506.474111510495</v>
      </c>
      <c r="W202" s="99">
        <f t="shared" si="124"/>
        <v>15506.474111510495</v>
      </c>
      <c r="X202" s="99">
        <f t="shared" si="124"/>
        <v>15506.474111510495</v>
      </c>
      <c r="Y202" s="99">
        <f t="shared" si="124"/>
        <v>15506.474111510495</v>
      </c>
      <c r="Z202" s="99">
        <f t="shared" si="124"/>
        <v>15506.474111510495</v>
      </c>
      <c r="AA202" s="99">
        <f t="shared" si="124"/>
        <v>15506.474111510495</v>
      </c>
      <c r="AB202" s="99">
        <f t="shared" si="124"/>
        <v>17387.068297720711</v>
      </c>
      <c r="AC202" s="99">
        <f t="shared" si="124"/>
        <v>17387.068297720711</v>
      </c>
      <c r="AD202" s="99">
        <f t="shared" si="124"/>
        <v>17387.068297720711</v>
      </c>
      <c r="AE202" s="99">
        <f t="shared" si="124"/>
        <v>20291.252209485654</v>
      </c>
      <c r="AF202" s="99">
        <f t="shared" si="124"/>
        <v>20291.252209485654</v>
      </c>
      <c r="AG202" s="99">
        <f t="shared" si="124"/>
        <v>20291.252209485654</v>
      </c>
      <c r="AH202" s="99">
        <f t="shared" si="124"/>
        <v>22941.822452787903</v>
      </c>
      <c r="AI202" s="99">
        <f t="shared" si="124"/>
        <v>22941.822452787903</v>
      </c>
      <c r="AJ202" s="99">
        <f t="shared" si="124"/>
        <v>22941.822452787903</v>
      </c>
      <c r="AK202" s="99">
        <f t="shared" si="124"/>
        <v>22941.822452787903</v>
      </c>
      <c r="AL202" s="99">
        <f t="shared" si="124"/>
        <v>22941.822452787903</v>
      </c>
      <c r="AM202" s="99">
        <f t="shared" si="124"/>
        <v>22941.822452787903</v>
      </c>
      <c r="AN202" s="99">
        <f t="shared" si="124"/>
        <v>24414.629001971913</v>
      </c>
      <c r="AO202" s="99">
        <f t="shared" si="124"/>
        <v>24414.629001971913</v>
      </c>
      <c r="AP202" s="99">
        <f t="shared" si="124"/>
        <v>24414.629001971913</v>
      </c>
      <c r="AQ202" s="99">
        <f t="shared" si="124"/>
        <v>27237.266026366713</v>
      </c>
      <c r="AR202" s="99">
        <f t="shared" si="124"/>
        <v>27237.266026366713</v>
      </c>
      <c r="AS202" s="99">
        <f t="shared" si="124"/>
        <v>27237.266026366713</v>
      </c>
      <c r="AT202" s="99">
        <f t="shared" si="124"/>
        <v>29813.410627332189</v>
      </c>
      <c r="AU202" s="99">
        <f t="shared" si="124"/>
        <v>29813.410627332189</v>
      </c>
      <c r="AV202" s="99">
        <f t="shared" si="124"/>
        <v>29813.410627332189</v>
      </c>
      <c r="AW202" s="99">
        <f t="shared" si="124"/>
        <v>29813.410627332189</v>
      </c>
      <c r="AX202" s="99">
        <f t="shared" si="124"/>
        <v>29813.410627332189</v>
      </c>
      <c r="AY202" s="99">
        <f t="shared" si="124"/>
        <v>29813.410627332189</v>
      </c>
      <c r="AZ202" s="99">
        <f t="shared" si="124"/>
        <v>31156.296425732384</v>
      </c>
      <c r="BA202" s="99">
        <f t="shared" si="124"/>
        <v>31156.296425732384</v>
      </c>
      <c r="BB202" s="99">
        <f t="shared" si="124"/>
        <v>31156.296425732384</v>
      </c>
      <c r="BC202" s="99">
        <f t="shared" si="124"/>
        <v>33922.352765262447</v>
      </c>
      <c r="BD202" s="99">
        <f t="shared" si="124"/>
        <v>33922.352765262447</v>
      </c>
      <c r="BE202" s="99">
        <f t="shared" si="124"/>
        <v>33922.352765262447</v>
      </c>
      <c r="BF202" s="99">
        <f t="shared" si="124"/>
        <v>36446.857702830377</v>
      </c>
      <c r="BG202" s="99">
        <f t="shared" si="124"/>
        <v>36446.857702830377</v>
      </c>
      <c r="BH202" s="99">
        <f t="shared" si="124"/>
        <v>36446.857702830377</v>
      </c>
      <c r="BI202" s="99">
        <f t="shared" si="124"/>
        <v>36446.857702830377</v>
      </c>
      <c r="BJ202" s="99">
        <f t="shared" si="124"/>
        <v>36446.857702830377</v>
      </c>
    </row>
    <row r="203" spans="1:62">
      <c r="A203" s="118" t="s">
        <v>195</v>
      </c>
      <c r="B203" s="8" t="s">
        <v>212</v>
      </c>
      <c r="C203" s="99">
        <f t="shared" ref="C203:AH203" si="125">C202*CPE_Voice_Adaptor</f>
        <v>120656.25</v>
      </c>
      <c r="D203" s="99">
        <f t="shared" si="125"/>
        <v>123069.37499999999</v>
      </c>
      <c r="E203" s="99">
        <f t="shared" si="125"/>
        <v>125410.10624999998</v>
      </c>
      <c r="F203" s="99">
        <f t="shared" si="125"/>
        <v>127680.6155625</v>
      </c>
      <c r="G203" s="99">
        <f t="shared" si="125"/>
        <v>129883.00959562499</v>
      </c>
      <c r="H203" s="99">
        <f t="shared" si="125"/>
        <v>132019.33180775624</v>
      </c>
      <c r="I203" s="99">
        <f t="shared" si="125"/>
        <v>134091.56435352357</v>
      </c>
      <c r="J203" s="99">
        <f t="shared" si="125"/>
        <v>136101.62992291787</v>
      </c>
      <c r="K203" s="99">
        <f t="shared" si="125"/>
        <v>138051.39352523032</v>
      </c>
      <c r="L203" s="99">
        <f t="shared" si="125"/>
        <v>139942.6642194734</v>
      </c>
      <c r="M203" s="99">
        <f t="shared" si="125"/>
        <v>141777.19679288921</v>
      </c>
      <c r="N203" s="99">
        <f t="shared" si="125"/>
        <v>143556.69338910255</v>
      </c>
      <c r="O203" s="99">
        <f t="shared" si="125"/>
        <v>145282.80508742947</v>
      </c>
      <c r="P203" s="99">
        <f t="shared" si="125"/>
        <v>235346.97718480666</v>
      </c>
      <c r="Q203" s="99">
        <f t="shared" si="125"/>
        <v>235346.97718480666</v>
      </c>
      <c r="R203" s="99">
        <f t="shared" si="125"/>
        <v>235346.97718480666</v>
      </c>
      <c r="S203" s="99">
        <f t="shared" si="125"/>
        <v>314981.53866131406</v>
      </c>
      <c r="T203" s="99">
        <f t="shared" si="125"/>
        <v>314981.53866131406</v>
      </c>
      <c r="U203" s="99">
        <f t="shared" si="125"/>
        <v>314981.53866131406</v>
      </c>
      <c r="V203" s="99">
        <f t="shared" si="125"/>
        <v>387661.85278776236</v>
      </c>
      <c r="W203" s="99">
        <f t="shared" si="125"/>
        <v>387661.85278776236</v>
      </c>
      <c r="X203" s="99">
        <f t="shared" si="125"/>
        <v>387661.85278776236</v>
      </c>
      <c r="Y203" s="99">
        <f t="shared" si="125"/>
        <v>387661.85278776236</v>
      </c>
      <c r="Z203" s="99">
        <f t="shared" si="125"/>
        <v>387661.85278776236</v>
      </c>
      <c r="AA203" s="99">
        <f t="shared" si="125"/>
        <v>387661.85278776236</v>
      </c>
      <c r="AB203" s="99">
        <f t="shared" si="125"/>
        <v>434676.70744301775</v>
      </c>
      <c r="AC203" s="99">
        <f t="shared" si="125"/>
        <v>434676.70744301775</v>
      </c>
      <c r="AD203" s="99">
        <f t="shared" si="125"/>
        <v>434676.70744301775</v>
      </c>
      <c r="AE203" s="99">
        <f t="shared" si="125"/>
        <v>507281.30523714132</v>
      </c>
      <c r="AF203" s="99">
        <f t="shared" si="125"/>
        <v>507281.30523714132</v>
      </c>
      <c r="AG203" s="99">
        <f t="shared" si="125"/>
        <v>507281.30523714132</v>
      </c>
      <c r="AH203" s="99">
        <f t="shared" si="125"/>
        <v>573545.56131969753</v>
      </c>
      <c r="AI203" s="99">
        <f t="shared" ref="AI203:BJ203" si="126">AI202*CPE_Voice_Adaptor</f>
        <v>573545.56131969753</v>
      </c>
      <c r="AJ203" s="99">
        <f t="shared" si="126"/>
        <v>573545.56131969753</v>
      </c>
      <c r="AK203" s="99">
        <f t="shared" si="126"/>
        <v>573545.56131969753</v>
      </c>
      <c r="AL203" s="99">
        <f t="shared" si="126"/>
        <v>573545.56131969753</v>
      </c>
      <c r="AM203" s="99">
        <f t="shared" si="126"/>
        <v>573545.56131969753</v>
      </c>
      <c r="AN203" s="99">
        <f t="shared" si="126"/>
        <v>610365.72504929779</v>
      </c>
      <c r="AO203" s="99">
        <f t="shared" si="126"/>
        <v>610365.72504929779</v>
      </c>
      <c r="AP203" s="99">
        <f t="shared" si="126"/>
        <v>610365.72504929779</v>
      </c>
      <c r="AQ203" s="99">
        <f t="shared" si="126"/>
        <v>680931.65065916779</v>
      </c>
      <c r="AR203" s="99">
        <f t="shared" si="126"/>
        <v>680931.65065916779</v>
      </c>
      <c r="AS203" s="99">
        <f t="shared" si="126"/>
        <v>680931.65065916779</v>
      </c>
      <c r="AT203" s="99">
        <f t="shared" si="126"/>
        <v>745335.26568330475</v>
      </c>
      <c r="AU203" s="99">
        <f t="shared" si="126"/>
        <v>745335.26568330475</v>
      </c>
      <c r="AV203" s="99">
        <f t="shared" si="126"/>
        <v>745335.26568330475</v>
      </c>
      <c r="AW203" s="99">
        <f t="shared" si="126"/>
        <v>745335.26568330475</v>
      </c>
      <c r="AX203" s="99">
        <f t="shared" si="126"/>
        <v>745335.26568330475</v>
      </c>
      <c r="AY203" s="99">
        <f t="shared" si="126"/>
        <v>745335.26568330475</v>
      </c>
      <c r="AZ203" s="99">
        <f t="shared" si="126"/>
        <v>778907.41064330959</v>
      </c>
      <c r="BA203" s="99">
        <f t="shared" si="126"/>
        <v>778907.41064330959</v>
      </c>
      <c r="BB203" s="99">
        <f t="shared" si="126"/>
        <v>778907.41064330959</v>
      </c>
      <c r="BC203" s="99">
        <f t="shared" si="126"/>
        <v>848058.81913156121</v>
      </c>
      <c r="BD203" s="99">
        <f t="shared" si="126"/>
        <v>848058.81913156121</v>
      </c>
      <c r="BE203" s="99">
        <f t="shared" si="126"/>
        <v>848058.81913156121</v>
      </c>
      <c r="BF203" s="99">
        <f t="shared" si="126"/>
        <v>911171.44257075945</v>
      </c>
      <c r="BG203" s="99">
        <f t="shared" si="126"/>
        <v>911171.44257075945</v>
      </c>
      <c r="BH203" s="99">
        <f t="shared" si="126"/>
        <v>911171.44257075945</v>
      </c>
      <c r="BI203" s="99">
        <f t="shared" si="126"/>
        <v>911171.44257075945</v>
      </c>
      <c r="BJ203" s="99">
        <f t="shared" si="126"/>
        <v>911171.44257075945</v>
      </c>
    </row>
    <row r="204" spans="1:62">
      <c r="A204" s="118" t="s">
        <v>196</v>
      </c>
      <c r="C204" s="99">
        <f>MAX(C116,B204)</f>
        <v>5956.5</v>
      </c>
      <c r="D204" s="99">
        <f t="shared" ref="D204:BJ204" si="127">MAX(D116,C204)</f>
        <v>6075.6299999999992</v>
      </c>
      <c r="E204" s="99">
        <f t="shared" si="127"/>
        <v>6191.186099999999</v>
      </c>
      <c r="F204" s="99">
        <f t="shared" si="127"/>
        <v>6303.2755169999991</v>
      </c>
      <c r="G204" s="99">
        <f t="shared" si="127"/>
        <v>6412.0022514899993</v>
      </c>
      <c r="H204" s="99">
        <f t="shared" si="127"/>
        <v>6517.4671839453003</v>
      </c>
      <c r="I204" s="99">
        <f t="shared" si="127"/>
        <v>6619.768168426941</v>
      </c>
      <c r="J204" s="99">
        <f t="shared" si="127"/>
        <v>6719.0001233741332</v>
      </c>
      <c r="K204" s="99">
        <f t="shared" si="127"/>
        <v>6815.2551196729082</v>
      </c>
      <c r="L204" s="99">
        <f t="shared" si="127"/>
        <v>6908.622466082722</v>
      </c>
      <c r="M204" s="99">
        <f t="shared" si="127"/>
        <v>6999.1887921002399</v>
      </c>
      <c r="N204" s="99">
        <f t="shared" si="127"/>
        <v>7087.0381283372335</v>
      </c>
      <c r="O204" s="99">
        <f t="shared" si="127"/>
        <v>7172.2519844871167</v>
      </c>
      <c r="P204" s="99">
        <f t="shared" si="127"/>
        <v>11618.496924952504</v>
      </c>
      <c r="Q204" s="99">
        <f t="shared" si="127"/>
        <v>11618.496924952504</v>
      </c>
      <c r="R204" s="99">
        <f t="shared" si="127"/>
        <v>11618.496924952504</v>
      </c>
      <c r="S204" s="99">
        <f t="shared" si="127"/>
        <v>15549.857840237179</v>
      </c>
      <c r="T204" s="99">
        <f t="shared" si="127"/>
        <v>15549.857840237179</v>
      </c>
      <c r="U204" s="99">
        <f t="shared" si="127"/>
        <v>15549.857840237179</v>
      </c>
      <c r="V204" s="99">
        <f t="shared" si="127"/>
        <v>19137.904800872784</v>
      </c>
      <c r="W204" s="99">
        <f t="shared" si="127"/>
        <v>19137.904800872784</v>
      </c>
      <c r="X204" s="99">
        <f t="shared" si="127"/>
        <v>19137.904800872784</v>
      </c>
      <c r="Y204" s="99">
        <f t="shared" si="127"/>
        <v>19137.904800872784</v>
      </c>
      <c r="Z204" s="99">
        <f t="shared" si="127"/>
        <v>19137.904800872784</v>
      </c>
      <c r="AA204" s="99">
        <f t="shared" si="127"/>
        <v>19137.904800872784</v>
      </c>
      <c r="AB204" s="99">
        <f t="shared" si="127"/>
        <v>21458.911642657014</v>
      </c>
      <c r="AC204" s="99">
        <f t="shared" si="127"/>
        <v>21458.911642657014</v>
      </c>
      <c r="AD204" s="99">
        <f t="shared" si="127"/>
        <v>21458.911642657014</v>
      </c>
      <c r="AE204" s="99">
        <f t="shared" si="127"/>
        <v>25043.220675638706</v>
      </c>
      <c r="AF204" s="99">
        <f t="shared" si="127"/>
        <v>25043.220675638706</v>
      </c>
      <c r="AG204" s="99">
        <f t="shared" si="127"/>
        <v>25043.220675638706</v>
      </c>
      <c r="AH204" s="99">
        <f t="shared" si="127"/>
        <v>28314.522753697209</v>
      </c>
      <c r="AI204" s="99">
        <f t="shared" si="127"/>
        <v>28314.522753697209</v>
      </c>
      <c r="AJ204" s="99">
        <f t="shared" si="127"/>
        <v>28314.522753697209</v>
      </c>
      <c r="AK204" s="99">
        <f t="shared" si="127"/>
        <v>28314.522753697209</v>
      </c>
      <c r="AL204" s="99">
        <f t="shared" si="127"/>
        <v>28314.522753697209</v>
      </c>
      <c r="AM204" s="99">
        <f t="shared" si="127"/>
        <v>28314.522753697209</v>
      </c>
      <c r="AN204" s="99">
        <f t="shared" si="127"/>
        <v>30132.242973373883</v>
      </c>
      <c r="AO204" s="99">
        <f t="shared" si="127"/>
        <v>30132.242973373883</v>
      </c>
      <c r="AP204" s="99">
        <f t="shared" si="127"/>
        <v>30132.242973373883</v>
      </c>
      <c r="AQ204" s="99">
        <f t="shared" si="127"/>
        <v>33615.907813738057</v>
      </c>
      <c r="AR204" s="99">
        <f t="shared" si="127"/>
        <v>33615.907813738057</v>
      </c>
      <c r="AS204" s="99">
        <f t="shared" si="127"/>
        <v>33615.907813738057</v>
      </c>
      <c r="AT204" s="99">
        <f t="shared" si="127"/>
        <v>36795.354654587762</v>
      </c>
      <c r="AU204" s="99">
        <f t="shared" si="127"/>
        <v>36795.354654587762</v>
      </c>
      <c r="AV204" s="99">
        <f t="shared" si="127"/>
        <v>36795.354654587762</v>
      </c>
      <c r="AW204" s="99">
        <f t="shared" si="127"/>
        <v>36795.354654587762</v>
      </c>
      <c r="AX204" s="99">
        <f t="shared" si="127"/>
        <v>36795.354654587762</v>
      </c>
      <c r="AY204" s="99">
        <f t="shared" si="127"/>
        <v>36795.354654587762</v>
      </c>
      <c r="AZ204" s="99">
        <f t="shared" si="127"/>
        <v>38452.72823825432</v>
      </c>
      <c r="BA204" s="99">
        <f t="shared" si="127"/>
        <v>38452.72823825432</v>
      </c>
      <c r="BB204" s="99">
        <f t="shared" si="127"/>
        <v>38452.72823825432</v>
      </c>
      <c r="BC204" s="99">
        <f t="shared" si="127"/>
        <v>41866.561874392282</v>
      </c>
      <c r="BD204" s="99">
        <f t="shared" si="127"/>
        <v>41866.561874392282</v>
      </c>
      <c r="BE204" s="99">
        <f t="shared" si="127"/>
        <v>41866.561874392282</v>
      </c>
      <c r="BF204" s="99">
        <f t="shared" si="127"/>
        <v>44982.275660587235</v>
      </c>
      <c r="BG204" s="99">
        <f t="shared" si="127"/>
        <v>44982.275660587235</v>
      </c>
      <c r="BH204" s="99">
        <f t="shared" si="127"/>
        <v>44982.275660587235</v>
      </c>
      <c r="BI204" s="99">
        <f t="shared" si="127"/>
        <v>44982.275660587235</v>
      </c>
      <c r="BJ204" s="99">
        <f t="shared" si="127"/>
        <v>44982.275660587235</v>
      </c>
    </row>
    <row r="205" spans="1:62">
      <c r="A205" s="118" t="s">
        <v>197</v>
      </c>
      <c r="B205" s="8" t="s">
        <v>212</v>
      </c>
      <c r="C205" s="99">
        <f t="shared" ref="C205:AH205" si="128">C204*CPE_Router</f>
        <v>148912.5</v>
      </c>
      <c r="D205" s="99">
        <f t="shared" si="128"/>
        <v>151890.74999999997</v>
      </c>
      <c r="E205" s="99">
        <f t="shared" si="128"/>
        <v>154779.65249999997</v>
      </c>
      <c r="F205" s="99">
        <f t="shared" si="128"/>
        <v>157581.88792499999</v>
      </c>
      <c r="G205" s="99">
        <f t="shared" si="128"/>
        <v>160300.05628724999</v>
      </c>
      <c r="H205" s="99">
        <f t="shared" si="128"/>
        <v>162936.6795986325</v>
      </c>
      <c r="I205" s="99">
        <f t="shared" si="128"/>
        <v>165494.20421067352</v>
      </c>
      <c r="J205" s="99">
        <f t="shared" si="128"/>
        <v>167975.00308435332</v>
      </c>
      <c r="K205" s="99">
        <f t="shared" si="128"/>
        <v>170381.37799182269</v>
      </c>
      <c r="L205" s="99">
        <f t="shared" si="128"/>
        <v>172715.56165206805</v>
      </c>
      <c r="M205" s="99">
        <f t="shared" si="128"/>
        <v>174979.71980250601</v>
      </c>
      <c r="N205" s="99">
        <f t="shared" si="128"/>
        <v>177175.95320843084</v>
      </c>
      <c r="O205" s="99">
        <f t="shared" si="128"/>
        <v>179306.29961217791</v>
      </c>
      <c r="P205" s="99">
        <f t="shared" si="128"/>
        <v>290462.42312381259</v>
      </c>
      <c r="Q205" s="99">
        <f t="shared" si="128"/>
        <v>290462.42312381259</v>
      </c>
      <c r="R205" s="99">
        <f t="shared" si="128"/>
        <v>290462.42312381259</v>
      </c>
      <c r="S205" s="99">
        <f t="shared" si="128"/>
        <v>388746.44600592949</v>
      </c>
      <c r="T205" s="99">
        <f t="shared" si="128"/>
        <v>388746.44600592949</v>
      </c>
      <c r="U205" s="99">
        <f t="shared" si="128"/>
        <v>388746.44600592949</v>
      </c>
      <c r="V205" s="99">
        <f t="shared" si="128"/>
        <v>478447.6200218196</v>
      </c>
      <c r="W205" s="99">
        <f t="shared" si="128"/>
        <v>478447.6200218196</v>
      </c>
      <c r="X205" s="99">
        <f t="shared" si="128"/>
        <v>478447.6200218196</v>
      </c>
      <c r="Y205" s="99">
        <f t="shared" si="128"/>
        <v>478447.6200218196</v>
      </c>
      <c r="Z205" s="99">
        <f t="shared" si="128"/>
        <v>478447.6200218196</v>
      </c>
      <c r="AA205" s="99">
        <f t="shared" si="128"/>
        <v>478447.6200218196</v>
      </c>
      <c r="AB205" s="99">
        <f t="shared" si="128"/>
        <v>536472.79106642539</v>
      </c>
      <c r="AC205" s="99">
        <f t="shared" si="128"/>
        <v>536472.79106642539</v>
      </c>
      <c r="AD205" s="99">
        <f t="shared" si="128"/>
        <v>536472.79106642539</v>
      </c>
      <c r="AE205" s="99">
        <f t="shared" si="128"/>
        <v>626080.51689096761</v>
      </c>
      <c r="AF205" s="99">
        <f t="shared" si="128"/>
        <v>626080.51689096761</v>
      </c>
      <c r="AG205" s="99">
        <f t="shared" si="128"/>
        <v>626080.51689096761</v>
      </c>
      <c r="AH205" s="99">
        <f t="shared" si="128"/>
        <v>707863.06884243025</v>
      </c>
      <c r="AI205" s="99">
        <f t="shared" ref="AI205:BJ205" si="129">AI204*CPE_Router</f>
        <v>707863.06884243025</v>
      </c>
      <c r="AJ205" s="99">
        <f t="shared" si="129"/>
        <v>707863.06884243025</v>
      </c>
      <c r="AK205" s="99">
        <f t="shared" si="129"/>
        <v>707863.06884243025</v>
      </c>
      <c r="AL205" s="99">
        <f t="shared" si="129"/>
        <v>707863.06884243025</v>
      </c>
      <c r="AM205" s="99">
        <f t="shared" si="129"/>
        <v>707863.06884243025</v>
      </c>
      <c r="AN205" s="99">
        <f t="shared" si="129"/>
        <v>753306.07433434704</v>
      </c>
      <c r="AO205" s="99">
        <f t="shared" si="129"/>
        <v>753306.07433434704</v>
      </c>
      <c r="AP205" s="99">
        <f t="shared" si="129"/>
        <v>753306.07433434704</v>
      </c>
      <c r="AQ205" s="99">
        <f t="shared" si="129"/>
        <v>840397.69534345146</v>
      </c>
      <c r="AR205" s="99">
        <f t="shared" si="129"/>
        <v>840397.69534345146</v>
      </c>
      <c r="AS205" s="99">
        <f t="shared" si="129"/>
        <v>840397.69534345146</v>
      </c>
      <c r="AT205" s="99">
        <f t="shared" si="129"/>
        <v>919883.86636469408</v>
      </c>
      <c r="AU205" s="99">
        <f t="shared" si="129"/>
        <v>919883.86636469408</v>
      </c>
      <c r="AV205" s="99">
        <f t="shared" si="129"/>
        <v>919883.86636469408</v>
      </c>
      <c r="AW205" s="99">
        <f t="shared" si="129"/>
        <v>919883.86636469408</v>
      </c>
      <c r="AX205" s="99">
        <f t="shared" si="129"/>
        <v>919883.86636469408</v>
      </c>
      <c r="AY205" s="99">
        <f t="shared" si="129"/>
        <v>919883.86636469408</v>
      </c>
      <c r="AZ205" s="99">
        <f t="shared" si="129"/>
        <v>961318.205956358</v>
      </c>
      <c r="BA205" s="99">
        <f t="shared" si="129"/>
        <v>961318.205956358</v>
      </c>
      <c r="BB205" s="99">
        <f t="shared" si="129"/>
        <v>961318.205956358</v>
      </c>
      <c r="BC205" s="99">
        <f t="shared" si="129"/>
        <v>1046664.0468598071</v>
      </c>
      <c r="BD205" s="99">
        <f t="shared" si="129"/>
        <v>1046664.0468598071</v>
      </c>
      <c r="BE205" s="99">
        <f t="shared" si="129"/>
        <v>1046664.0468598071</v>
      </c>
      <c r="BF205" s="99">
        <f t="shared" si="129"/>
        <v>1124556.8915146808</v>
      </c>
      <c r="BG205" s="99">
        <f t="shared" si="129"/>
        <v>1124556.8915146808</v>
      </c>
      <c r="BH205" s="99">
        <f t="shared" si="129"/>
        <v>1124556.8915146808</v>
      </c>
      <c r="BI205" s="99">
        <f t="shared" si="129"/>
        <v>1124556.8915146808</v>
      </c>
      <c r="BJ205" s="99">
        <f t="shared" si="129"/>
        <v>1124556.8915146808</v>
      </c>
    </row>
    <row r="206" spans="1:62">
      <c r="A206" s="82"/>
    </row>
    <row r="207" spans="1:62">
      <c r="A207" s="102" t="s">
        <v>198</v>
      </c>
    </row>
    <row r="208" spans="1:62">
      <c r="A208" s="103" t="s">
        <v>200</v>
      </c>
      <c r="C208" s="99">
        <f>SUM($C$105:C105)</f>
        <v>275</v>
      </c>
      <c r="D208" s="99">
        <f>SUM($C$105:D105)</f>
        <v>550</v>
      </c>
      <c r="E208" s="99">
        <f>SUM($C$105:E105)</f>
        <v>825</v>
      </c>
      <c r="F208" s="99">
        <f>SUM($C$105:F105)</f>
        <v>1100</v>
      </c>
      <c r="G208" s="99">
        <f>SUM($C$105:G105)</f>
        <v>1375</v>
      </c>
      <c r="H208" s="99">
        <f>SUM($C$105:H105)</f>
        <v>1650</v>
      </c>
      <c r="I208" s="99">
        <f>SUM($C$105:I105)</f>
        <v>1925</v>
      </c>
      <c r="J208" s="99">
        <f>SUM($C$105:J105)</f>
        <v>2200</v>
      </c>
      <c r="K208" s="99">
        <f>SUM($C$105:K105)</f>
        <v>2475</v>
      </c>
      <c r="L208" s="99">
        <f>SUM($C$105:L105)</f>
        <v>2750</v>
      </c>
      <c r="M208" s="99">
        <f>SUM($C$105:M105)</f>
        <v>3025</v>
      </c>
      <c r="N208" s="99">
        <f>SUM($C$105:N105)</f>
        <v>3300</v>
      </c>
      <c r="O208" s="99">
        <f>SUM($C$105:O105)</f>
        <v>3575</v>
      </c>
      <c r="P208" s="99">
        <f>SUM($C$105:P105)</f>
        <v>3850</v>
      </c>
      <c r="Q208" s="99">
        <f>SUM($C$105:Q105)</f>
        <v>4125</v>
      </c>
      <c r="R208" s="99">
        <f>SUM($C$105:R105)</f>
        <v>4400</v>
      </c>
      <c r="S208" s="99">
        <f>SUM($C$105:S105)</f>
        <v>4675</v>
      </c>
      <c r="T208" s="99">
        <f>SUM($C$105:T105)</f>
        <v>4950</v>
      </c>
      <c r="U208" s="99">
        <f>SUM($C$105:U105)</f>
        <v>5225</v>
      </c>
      <c r="V208" s="99">
        <f>SUM($C$105:V105)</f>
        <v>5500</v>
      </c>
      <c r="W208" s="99">
        <f>SUM($C$105:W105)</f>
        <v>5775</v>
      </c>
      <c r="X208" s="99">
        <f>SUM($C$105:X105)</f>
        <v>6050</v>
      </c>
      <c r="Y208" s="99">
        <f>SUM($C$105:Y105)</f>
        <v>6325</v>
      </c>
      <c r="Z208" s="99">
        <f>SUM($C$105:Z105)</f>
        <v>6600</v>
      </c>
      <c r="AA208" s="99">
        <f>SUM($C$105:AA105)</f>
        <v>7200</v>
      </c>
      <c r="AB208" s="99">
        <f>SUM($C$105:AB105)</f>
        <v>7800</v>
      </c>
      <c r="AC208" s="99">
        <f>SUM($C$105:AC105)</f>
        <v>8400</v>
      </c>
      <c r="AD208" s="99">
        <f>SUM($C$105:AD105)</f>
        <v>9000</v>
      </c>
      <c r="AE208" s="99">
        <f>SUM($C$105:AE105)</f>
        <v>9600</v>
      </c>
      <c r="AF208" s="99">
        <f>SUM($C$105:AF105)</f>
        <v>10200</v>
      </c>
      <c r="AG208" s="99">
        <f>SUM($C$105:AG105)</f>
        <v>10800</v>
      </c>
      <c r="AH208" s="99">
        <f>SUM($C$105:AH105)</f>
        <v>11400</v>
      </c>
      <c r="AI208" s="99">
        <f>SUM($C$105:AI105)</f>
        <v>12000</v>
      </c>
      <c r="AJ208" s="99">
        <f>SUM($C$105:AJ105)</f>
        <v>12600</v>
      </c>
      <c r="AK208" s="99">
        <f>SUM($C$105:AK105)</f>
        <v>13200</v>
      </c>
      <c r="AL208" s="99">
        <f>SUM($C$105:AL105)</f>
        <v>13800</v>
      </c>
      <c r="AM208" s="99">
        <f>SUM($C$105:AM105)</f>
        <v>14816.666666666666</v>
      </c>
      <c r="AN208" s="99">
        <f>SUM($C$105:AN105)</f>
        <v>15833.333333333332</v>
      </c>
      <c r="AO208" s="99">
        <f>SUM($C$105:AO105)</f>
        <v>16850</v>
      </c>
      <c r="AP208" s="99">
        <f>SUM($C$105:AP105)</f>
        <v>17866.666666666668</v>
      </c>
      <c r="AQ208" s="99">
        <f>SUM($C$105:AQ105)</f>
        <v>18883.333333333336</v>
      </c>
      <c r="AR208" s="99">
        <f>SUM($C$105:AR105)</f>
        <v>19900.000000000004</v>
      </c>
      <c r="AS208" s="99">
        <f>SUM($C$105:AS105)</f>
        <v>20916.666666666672</v>
      </c>
      <c r="AT208" s="99">
        <f>SUM($C$105:AT105)</f>
        <v>21933.333333333339</v>
      </c>
      <c r="AU208" s="99">
        <f>SUM($C$105:AU105)</f>
        <v>22950.000000000007</v>
      </c>
      <c r="AV208" s="99">
        <f>SUM($C$105:AV105)</f>
        <v>23966.666666666675</v>
      </c>
      <c r="AW208" s="99">
        <f>SUM($C$105:AW105)</f>
        <v>24983.333333333343</v>
      </c>
      <c r="AX208" s="99">
        <f>SUM($C$105:AX105)</f>
        <v>26000.000000000011</v>
      </c>
      <c r="AY208" s="99">
        <f>SUM($C$105:AY105)</f>
        <v>27433.333333333343</v>
      </c>
      <c r="AZ208" s="99">
        <f>SUM($C$105:AZ105)</f>
        <v>28866.666666666675</v>
      </c>
      <c r="BA208" s="99">
        <f>SUM($C$105:BA105)</f>
        <v>30300.000000000007</v>
      </c>
      <c r="BB208" s="99">
        <f>SUM($C$105:BB105)</f>
        <v>31733.333333333339</v>
      </c>
      <c r="BC208" s="99">
        <f>SUM($C$105:BC105)</f>
        <v>33166.666666666672</v>
      </c>
      <c r="BD208" s="99">
        <f>SUM($C$105:BD105)</f>
        <v>34600.000000000007</v>
      </c>
      <c r="BE208" s="99">
        <f>SUM($C$105:BE105)</f>
        <v>36033.333333333343</v>
      </c>
      <c r="BF208" s="99">
        <f>SUM($C$105:BF105)</f>
        <v>37466.666666666679</v>
      </c>
      <c r="BG208" s="99">
        <f>SUM($C$105:BG105)</f>
        <v>38900.000000000015</v>
      </c>
      <c r="BH208" s="99">
        <f>SUM($C$105:BH105)</f>
        <v>40333.33333333335</v>
      </c>
      <c r="BI208" s="99">
        <f>SUM($C$105:BI105)</f>
        <v>41766.666666666686</v>
      </c>
      <c r="BJ208" s="99">
        <f>SUM($C$105:BJ105)</f>
        <v>43200.000000000022</v>
      </c>
    </row>
    <row r="209" spans="1:62">
      <c r="A209" s="118" t="s">
        <v>199</v>
      </c>
      <c r="C209" s="99">
        <f t="shared" ref="C209:AH209" si="130">C208/Penetration_per_Households</f>
        <v>785.71428571428578</v>
      </c>
      <c r="D209" s="99">
        <f t="shared" si="130"/>
        <v>1571.4285714285716</v>
      </c>
      <c r="E209" s="99">
        <f t="shared" si="130"/>
        <v>2357.1428571428573</v>
      </c>
      <c r="F209" s="99">
        <f t="shared" si="130"/>
        <v>3142.8571428571431</v>
      </c>
      <c r="G209" s="99">
        <f t="shared" si="130"/>
        <v>3928.5714285714289</v>
      </c>
      <c r="H209" s="99">
        <f t="shared" si="130"/>
        <v>4714.2857142857147</v>
      </c>
      <c r="I209" s="99">
        <f t="shared" si="130"/>
        <v>5500</v>
      </c>
      <c r="J209" s="99">
        <f t="shared" si="130"/>
        <v>6285.7142857142862</v>
      </c>
      <c r="K209" s="99">
        <f t="shared" si="130"/>
        <v>7071.4285714285716</v>
      </c>
      <c r="L209" s="99">
        <f t="shared" si="130"/>
        <v>7857.1428571428578</v>
      </c>
      <c r="M209" s="99">
        <f t="shared" si="130"/>
        <v>8642.8571428571431</v>
      </c>
      <c r="N209" s="99">
        <f t="shared" si="130"/>
        <v>9428.5714285714294</v>
      </c>
      <c r="O209" s="99">
        <f t="shared" si="130"/>
        <v>10214.285714285716</v>
      </c>
      <c r="P209" s="99">
        <f t="shared" si="130"/>
        <v>11000</v>
      </c>
      <c r="Q209" s="99">
        <f t="shared" si="130"/>
        <v>11785.714285714286</v>
      </c>
      <c r="R209" s="99">
        <f t="shared" si="130"/>
        <v>12571.428571428572</v>
      </c>
      <c r="S209" s="99">
        <f t="shared" si="130"/>
        <v>13357.142857142859</v>
      </c>
      <c r="T209" s="99">
        <f t="shared" si="130"/>
        <v>14142.857142857143</v>
      </c>
      <c r="U209" s="99">
        <f t="shared" si="130"/>
        <v>14928.571428571429</v>
      </c>
      <c r="V209" s="99">
        <f t="shared" si="130"/>
        <v>15714.285714285716</v>
      </c>
      <c r="W209" s="99">
        <f t="shared" si="130"/>
        <v>16500</v>
      </c>
      <c r="X209" s="99">
        <f t="shared" si="130"/>
        <v>17285.714285714286</v>
      </c>
      <c r="Y209" s="99">
        <f t="shared" si="130"/>
        <v>18071.428571428572</v>
      </c>
      <c r="Z209" s="99">
        <f t="shared" si="130"/>
        <v>18857.142857142859</v>
      </c>
      <c r="AA209" s="99">
        <f t="shared" si="130"/>
        <v>20571.428571428572</v>
      </c>
      <c r="AB209" s="99">
        <f t="shared" si="130"/>
        <v>22285.714285714286</v>
      </c>
      <c r="AC209" s="99">
        <f t="shared" si="130"/>
        <v>24000</v>
      </c>
      <c r="AD209" s="99">
        <f t="shared" si="130"/>
        <v>25714.285714285717</v>
      </c>
      <c r="AE209" s="99">
        <f t="shared" si="130"/>
        <v>27428.571428571431</v>
      </c>
      <c r="AF209" s="99">
        <f t="shared" si="130"/>
        <v>29142.857142857145</v>
      </c>
      <c r="AG209" s="99">
        <f t="shared" si="130"/>
        <v>30857.142857142859</v>
      </c>
      <c r="AH209" s="99">
        <f t="shared" si="130"/>
        <v>32571.428571428572</v>
      </c>
      <c r="AI209" s="99">
        <f t="shared" ref="AI209:BJ209" si="131">AI208/Penetration_per_Households</f>
        <v>34285.71428571429</v>
      </c>
      <c r="AJ209" s="99">
        <f t="shared" si="131"/>
        <v>36000</v>
      </c>
      <c r="AK209" s="99">
        <f t="shared" si="131"/>
        <v>37714.285714285717</v>
      </c>
      <c r="AL209" s="99">
        <f t="shared" si="131"/>
        <v>39428.571428571428</v>
      </c>
      <c r="AM209" s="99">
        <f t="shared" si="131"/>
        <v>42333.333333333336</v>
      </c>
      <c r="AN209" s="99">
        <f t="shared" si="131"/>
        <v>45238.095238095237</v>
      </c>
      <c r="AO209" s="99">
        <f t="shared" si="131"/>
        <v>48142.857142857145</v>
      </c>
      <c r="AP209" s="99">
        <f t="shared" si="131"/>
        <v>51047.619047619053</v>
      </c>
      <c r="AQ209" s="99">
        <f t="shared" si="131"/>
        <v>53952.380952380961</v>
      </c>
      <c r="AR209" s="99">
        <f t="shared" si="131"/>
        <v>56857.14285714287</v>
      </c>
      <c r="AS209" s="99">
        <f t="shared" si="131"/>
        <v>59761.904761904778</v>
      </c>
      <c r="AT209" s="99">
        <f t="shared" si="131"/>
        <v>62666.666666666686</v>
      </c>
      <c r="AU209" s="99">
        <f t="shared" si="131"/>
        <v>65571.428571428594</v>
      </c>
      <c r="AV209" s="99">
        <f t="shared" si="131"/>
        <v>68476.190476190503</v>
      </c>
      <c r="AW209" s="99">
        <f t="shared" si="131"/>
        <v>71380.952380952411</v>
      </c>
      <c r="AX209" s="99">
        <f t="shared" si="131"/>
        <v>74285.714285714319</v>
      </c>
      <c r="AY209" s="99">
        <f t="shared" si="131"/>
        <v>78380.952380952411</v>
      </c>
      <c r="AZ209" s="99">
        <f t="shared" si="131"/>
        <v>82476.190476190503</v>
      </c>
      <c r="BA209" s="99">
        <f t="shared" si="131"/>
        <v>86571.428571428594</v>
      </c>
      <c r="BB209" s="99">
        <f t="shared" si="131"/>
        <v>90666.666666666686</v>
      </c>
      <c r="BC209" s="99">
        <f t="shared" si="131"/>
        <v>94761.904761904778</v>
      </c>
      <c r="BD209" s="99">
        <f t="shared" si="131"/>
        <v>98857.142857142884</v>
      </c>
      <c r="BE209" s="99">
        <f t="shared" si="131"/>
        <v>102952.38095238099</v>
      </c>
      <c r="BF209" s="99">
        <f t="shared" si="131"/>
        <v>107047.61904761908</v>
      </c>
      <c r="BG209" s="99">
        <f t="shared" si="131"/>
        <v>111142.85714285719</v>
      </c>
      <c r="BH209" s="99">
        <f t="shared" si="131"/>
        <v>115238.09523809529</v>
      </c>
      <c r="BI209" s="99">
        <f t="shared" si="131"/>
        <v>119333.3333333334</v>
      </c>
      <c r="BJ209" s="99">
        <f t="shared" si="131"/>
        <v>123428.57142857149</v>
      </c>
    </row>
    <row r="210" spans="1:62">
      <c r="A210" s="118" t="s">
        <v>350</v>
      </c>
      <c r="B210" s="8" t="s">
        <v>212</v>
      </c>
      <c r="C210" s="99">
        <f t="shared" ref="C210:AH210" si="132">C209*Cost_per_Household_Cabling</f>
        <v>43214.285714285717</v>
      </c>
      <c r="D210" s="99">
        <f t="shared" si="132"/>
        <v>86428.571428571435</v>
      </c>
      <c r="E210" s="99">
        <f t="shared" si="132"/>
        <v>129642.85714285716</v>
      </c>
      <c r="F210" s="99">
        <f t="shared" si="132"/>
        <v>172857.14285714287</v>
      </c>
      <c r="G210" s="99">
        <f t="shared" si="132"/>
        <v>216071.42857142858</v>
      </c>
      <c r="H210" s="99">
        <f t="shared" si="132"/>
        <v>259285.71428571432</v>
      </c>
      <c r="I210" s="99">
        <f t="shared" si="132"/>
        <v>302500</v>
      </c>
      <c r="J210" s="99">
        <f t="shared" si="132"/>
        <v>345714.28571428574</v>
      </c>
      <c r="K210" s="99">
        <f t="shared" si="132"/>
        <v>388928.57142857142</v>
      </c>
      <c r="L210" s="99">
        <f t="shared" si="132"/>
        <v>432142.85714285716</v>
      </c>
      <c r="M210" s="99">
        <f t="shared" si="132"/>
        <v>475357.1428571429</v>
      </c>
      <c r="N210" s="99">
        <f t="shared" si="132"/>
        <v>518571.42857142864</v>
      </c>
      <c r="O210" s="99">
        <f t="shared" si="132"/>
        <v>561785.71428571432</v>
      </c>
      <c r="P210" s="99">
        <f t="shared" si="132"/>
        <v>605000</v>
      </c>
      <c r="Q210" s="99">
        <f t="shared" si="132"/>
        <v>648214.2857142858</v>
      </c>
      <c r="R210" s="99">
        <f t="shared" si="132"/>
        <v>691428.57142857148</v>
      </c>
      <c r="S210" s="99">
        <f t="shared" si="132"/>
        <v>734642.85714285728</v>
      </c>
      <c r="T210" s="99">
        <f t="shared" si="132"/>
        <v>777857.14285714284</v>
      </c>
      <c r="U210" s="99">
        <f t="shared" si="132"/>
        <v>821071.42857142864</v>
      </c>
      <c r="V210" s="99">
        <f t="shared" si="132"/>
        <v>864285.71428571432</v>
      </c>
      <c r="W210" s="99">
        <f t="shared" si="132"/>
        <v>907500</v>
      </c>
      <c r="X210" s="99">
        <f t="shared" si="132"/>
        <v>950714.2857142858</v>
      </c>
      <c r="Y210" s="99">
        <f t="shared" si="132"/>
        <v>993928.57142857148</v>
      </c>
      <c r="Z210" s="99">
        <f t="shared" si="132"/>
        <v>1037142.8571428573</v>
      </c>
      <c r="AA210" s="99">
        <f t="shared" si="132"/>
        <v>1131428.5714285716</v>
      </c>
      <c r="AB210" s="99">
        <f t="shared" si="132"/>
        <v>1225714.2857142857</v>
      </c>
      <c r="AC210" s="99">
        <f t="shared" si="132"/>
        <v>1320000</v>
      </c>
      <c r="AD210" s="99">
        <f t="shared" si="132"/>
        <v>1414285.7142857146</v>
      </c>
      <c r="AE210" s="99">
        <f t="shared" si="132"/>
        <v>1508571.4285714286</v>
      </c>
      <c r="AF210" s="99">
        <f t="shared" si="132"/>
        <v>1602857.142857143</v>
      </c>
      <c r="AG210" s="99">
        <f t="shared" si="132"/>
        <v>1697142.8571428573</v>
      </c>
      <c r="AH210" s="99">
        <f t="shared" si="132"/>
        <v>1791428.5714285716</v>
      </c>
      <c r="AI210" s="99">
        <f t="shared" ref="AI210:BJ210" si="133">AI209*Cost_per_Household_Cabling</f>
        <v>1885714.2857142859</v>
      </c>
      <c r="AJ210" s="99">
        <f t="shared" si="133"/>
        <v>1980000</v>
      </c>
      <c r="AK210" s="99">
        <f t="shared" si="133"/>
        <v>2074285.7142857146</v>
      </c>
      <c r="AL210" s="99">
        <f t="shared" si="133"/>
        <v>2168571.4285714286</v>
      </c>
      <c r="AM210" s="99">
        <f t="shared" si="133"/>
        <v>2328333.3333333335</v>
      </c>
      <c r="AN210" s="99">
        <f t="shared" si="133"/>
        <v>2488095.2380952379</v>
      </c>
      <c r="AO210" s="99">
        <f t="shared" si="133"/>
        <v>2647857.1428571432</v>
      </c>
      <c r="AP210" s="99">
        <f t="shared" si="133"/>
        <v>2807619.047619048</v>
      </c>
      <c r="AQ210" s="99">
        <f t="shared" si="133"/>
        <v>2967380.9523809529</v>
      </c>
      <c r="AR210" s="99">
        <f t="shared" si="133"/>
        <v>3127142.8571428577</v>
      </c>
      <c r="AS210" s="99">
        <f t="shared" si="133"/>
        <v>3286904.7619047626</v>
      </c>
      <c r="AT210" s="99">
        <f t="shared" si="133"/>
        <v>3446666.6666666679</v>
      </c>
      <c r="AU210" s="99">
        <f t="shared" si="133"/>
        <v>3606428.5714285728</v>
      </c>
      <c r="AV210" s="99">
        <f t="shared" si="133"/>
        <v>3766190.4761904776</v>
      </c>
      <c r="AW210" s="99">
        <f t="shared" si="133"/>
        <v>3925952.3809523825</v>
      </c>
      <c r="AX210" s="99">
        <f t="shared" si="133"/>
        <v>4085714.2857142873</v>
      </c>
      <c r="AY210" s="99">
        <f t="shared" si="133"/>
        <v>4310952.3809523825</v>
      </c>
      <c r="AZ210" s="99">
        <f t="shared" si="133"/>
        <v>4536190.4761904776</v>
      </c>
      <c r="BA210" s="99">
        <f t="shared" si="133"/>
        <v>4761428.5714285728</v>
      </c>
      <c r="BB210" s="99">
        <f t="shared" si="133"/>
        <v>4986666.6666666679</v>
      </c>
      <c r="BC210" s="99">
        <f t="shared" si="133"/>
        <v>5211904.7619047631</v>
      </c>
      <c r="BD210" s="99">
        <f t="shared" si="133"/>
        <v>5437142.8571428582</v>
      </c>
      <c r="BE210" s="99">
        <f t="shared" si="133"/>
        <v>5662380.9523809543</v>
      </c>
      <c r="BF210" s="99">
        <f t="shared" si="133"/>
        <v>5887619.0476190494</v>
      </c>
      <c r="BG210" s="99">
        <f t="shared" si="133"/>
        <v>6112857.1428571455</v>
      </c>
      <c r="BH210" s="99">
        <f t="shared" si="133"/>
        <v>6338095.2380952416</v>
      </c>
      <c r="BI210" s="99">
        <f t="shared" si="133"/>
        <v>6563333.3333333367</v>
      </c>
      <c r="BJ210" s="99">
        <f t="shared" si="133"/>
        <v>6788571.4285714319</v>
      </c>
    </row>
    <row r="211" spans="1:62">
      <c r="A211" s="118" t="s">
        <v>349</v>
      </c>
      <c r="B211" s="8" t="s">
        <v>212</v>
      </c>
      <c r="C211" s="99">
        <f t="shared" ref="C211:AH211" si="134">Cost_to_individual_Home*C208</f>
        <v>11000</v>
      </c>
      <c r="D211" s="99">
        <f t="shared" si="134"/>
        <v>22000</v>
      </c>
      <c r="E211" s="99">
        <f t="shared" si="134"/>
        <v>33000</v>
      </c>
      <c r="F211" s="99">
        <f t="shared" si="134"/>
        <v>44000</v>
      </c>
      <c r="G211" s="99">
        <f t="shared" si="134"/>
        <v>55000</v>
      </c>
      <c r="H211" s="99">
        <f t="shared" si="134"/>
        <v>66000</v>
      </c>
      <c r="I211" s="99">
        <f t="shared" si="134"/>
        <v>77000</v>
      </c>
      <c r="J211" s="99">
        <f t="shared" si="134"/>
        <v>88000</v>
      </c>
      <c r="K211" s="99">
        <f t="shared" si="134"/>
        <v>99000</v>
      </c>
      <c r="L211" s="99">
        <f t="shared" si="134"/>
        <v>110000</v>
      </c>
      <c r="M211" s="99">
        <f t="shared" si="134"/>
        <v>121000</v>
      </c>
      <c r="N211" s="99">
        <f t="shared" si="134"/>
        <v>132000</v>
      </c>
      <c r="O211" s="99">
        <f t="shared" si="134"/>
        <v>143000</v>
      </c>
      <c r="P211" s="99">
        <f t="shared" si="134"/>
        <v>154000</v>
      </c>
      <c r="Q211" s="99">
        <f t="shared" si="134"/>
        <v>165000</v>
      </c>
      <c r="R211" s="99">
        <f t="shared" si="134"/>
        <v>176000</v>
      </c>
      <c r="S211" s="99">
        <f t="shared" si="134"/>
        <v>187000</v>
      </c>
      <c r="T211" s="99">
        <f t="shared" si="134"/>
        <v>198000</v>
      </c>
      <c r="U211" s="99">
        <f t="shared" si="134"/>
        <v>209000</v>
      </c>
      <c r="V211" s="99">
        <f t="shared" si="134"/>
        <v>220000</v>
      </c>
      <c r="W211" s="99">
        <f t="shared" si="134"/>
        <v>231000</v>
      </c>
      <c r="X211" s="99">
        <f t="shared" si="134"/>
        <v>242000</v>
      </c>
      <c r="Y211" s="99">
        <f t="shared" si="134"/>
        <v>253000</v>
      </c>
      <c r="Z211" s="99">
        <f t="shared" si="134"/>
        <v>264000</v>
      </c>
      <c r="AA211" s="99">
        <f t="shared" si="134"/>
        <v>288000</v>
      </c>
      <c r="AB211" s="99">
        <f t="shared" si="134"/>
        <v>312000</v>
      </c>
      <c r="AC211" s="99">
        <f t="shared" si="134"/>
        <v>336000</v>
      </c>
      <c r="AD211" s="99">
        <f t="shared" si="134"/>
        <v>360000</v>
      </c>
      <c r="AE211" s="99">
        <f t="shared" si="134"/>
        <v>384000</v>
      </c>
      <c r="AF211" s="99">
        <f t="shared" si="134"/>
        <v>408000</v>
      </c>
      <c r="AG211" s="99">
        <f t="shared" si="134"/>
        <v>432000</v>
      </c>
      <c r="AH211" s="99">
        <f t="shared" si="134"/>
        <v>456000</v>
      </c>
      <c r="AI211" s="99">
        <f t="shared" ref="AI211:BJ211" si="135">Cost_to_individual_Home*AI208</f>
        <v>480000</v>
      </c>
      <c r="AJ211" s="99">
        <f t="shared" si="135"/>
        <v>504000</v>
      </c>
      <c r="AK211" s="99">
        <f t="shared" si="135"/>
        <v>528000</v>
      </c>
      <c r="AL211" s="99">
        <f t="shared" si="135"/>
        <v>552000</v>
      </c>
      <c r="AM211" s="99">
        <f t="shared" si="135"/>
        <v>592666.66666666663</v>
      </c>
      <c r="AN211" s="99">
        <f t="shared" si="135"/>
        <v>633333.33333333326</v>
      </c>
      <c r="AO211" s="99">
        <f t="shared" si="135"/>
        <v>674000</v>
      </c>
      <c r="AP211" s="99">
        <f t="shared" si="135"/>
        <v>714666.66666666674</v>
      </c>
      <c r="AQ211" s="99">
        <f t="shared" si="135"/>
        <v>755333.33333333349</v>
      </c>
      <c r="AR211" s="99">
        <f t="shared" si="135"/>
        <v>796000.00000000012</v>
      </c>
      <c r="AS211" s="99">
        <f t="shared" si="135"/>
        <v>836666.66666666686</v>
      </c>
      <c r="AT211" s="99">
        <f t="shared" si="135"/>
        <v>877333.3333333336</v>
      </c>
      <c r="AU211" s="99">
        <f t="shared" si="135"/>
        <v>918000.00000000023</v>
      </c>
      <c r="AV211" s="99">
        <f t="shared" si="135"/>
        <v>958666.66666666698</v>
      </c>
      <c r="AW211" s="99">
        <f t="shared" si="135"/>
        <v>999333.33333333372</v>
      </c>
      <c r="AX211" s="99">
        <f t="shared" si="135"/>
        <v>1040000.0000000005</v>
      </c>
      <c r="AY211" s="99">
        <f t="shared" si="135"/>
        <v>1097333.3333333337</v>
      </c>
      <c r="AZ211" s="99">
        <f t="shared" si="135"/>
        <v>1154666.666666667</v>
      </c>
      <c r="BA211" s="99">
        <f t="shared" si="135"/>
        <v>1212000.0000000002</v>
      </c>
      <c r="BB211" s="99">
        <f t="shared" si="135"/>
        <v>1269333.3333333335</v>
      </c>
      <c r="BC211" s="99">
        <f t="shared" si="135"/>
        <v>1326666.666666667</v>
      </c>
      <c r="BD211" s="99">
        <f t="shared" si="135"/>
        <v>1384000.0000000002</v>
      </c>
      <c r="BE211" s="99">
        <f t="shared" si="135"/>
        <v>1441333.3333333337</v>
      </c>
      <c r="BF211" s="99">
        <f t="shared" si="135"/>
        <v>1498666.6666666672</v>
      </c>
      <c r="BG211" s="99">
        <f t="shared" si="135"/>
        <v>1556000.0000000005</v>
      </c>
      <c r="BH211" s="99">
        <f t="shared" si="135"/>
        <v>1613333.333333334</v>
      </c>
      <c r="BI211" s="99">
        <f t="shared" si="135"/>
        <v>1670666.6666666674</v>
      </c>
      <c r="BJ211" s="99">
        <f t="shared" si="135"/>
        <v>1728000.0000000009</v>
      </c>
    </row>
    <row r="212" spans="1:62">
      <c r="A212" s="82"/>
      <c r="C212" s="9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  <c r="AC212" s="99"/>
      <c r="AD212" s="99"/>
      <c r="AE212" s="99"/>
      <c r="AF212" s="99"/>
      <c r="AG212" s="99"/>
      <c r="AH212" s="99"/>
      <c r="AI212" s="99"/>
      <c r="AJ212" s="99"/>
      <c r="AK212" s="99"/>
      <c r="AL212" s="99"/>
      <c r="AM212" s="99"/>
      <c r="AN212" s="99"/>
      <c r="AO212" s="99"/>
      <c r="AP212" s="99"/>
      <c r="AQ212" s="99"/>
      <c r="AR212" s="99"/>
      <c r="AS212" s="99"/>
      <c r="AT212" s="99"/>
      <c r="AU212" s="99"/>
      <c r="AV212" s="99"/>
      <c r="AW212" s="99"/>
      <c r="AX212" s="99"/>
      <c r="AY212" s="99"/>
      <c r="AZ212" s="99"/>
      <c r="BA212" s="99"/>
      <c r="BB212" s="99"/>
      <c r="BC212" s="99"/>
      <c r="BD212" s="99"/>
      <c r="BE212" s="99"/>
      <c r="BF212" s="99"/>
      <c r="BG212" s="99"/>
      <c r="BH212" s="99"/>
      <c r="BI212" s="99"/>
      <c r="BJ212" s="99"/>
    </row>
    <row r="213" spans="1:62">
      <c r="A213" s="102" t="s">
        <v>201</v>
      </c>
    </row>
    <row r="214" spans="1:62">
      <c r="A214" s="118" t="s">
        <v>138</v>
      </c>
      <c r="B214" s="8" t="s">
        <v>212</v>
      </c>
      <c r="C214" s="81">
        <f t="shared" ref="C214:AH214" si="136">IF(C6&gt;Fiber_Start,Long_fiber_Cost*Miles_Long_Fiber,0)</f>
        <v>0</v>
      </c>
      <c r="D214" s="81">
        <f t="shared" si="136"/>
        <v>0</v>
      </c>
      <c r="E214" s="81">
        <f t="shared" si="136"/>
        <v>0</v>
      </c>
      <c r="F214" s="81">
        <f t="shared" si="136"/>
        <v>0</v>
      </c>
      <c r="G214" s="81">
        <f t="shared" si="136"/>
        <v>0</v>
      </c>
      <c r="H214" s="81">
        <f t="shared" si="136"/>
        <v>0</v>
      </c>
      <c r="I214" s="81">
        <f t="shared" si="136"/>
        <v>0</v>
      </c>
      <c r="J214" s="81">
        <f t="shared" si="136"/>
        <v>0</v>
      </c>
      <c r="K214" s="81">
        <f t="shared" si="136"/>
        <v>0</v>
      </c>
      <c r="L214" s="81">
        <f t="shared" si="136"/>
        <v>0</v>
      </c>
      <c r="M214" s="81">
        <f t="shared" si="136"/>
        <v>0</v>
      </c>
      <c r="N214" s="81">
        <f t="shared" si="136"/>
        <v>0</v>
      </c>
      <c r="O214" s="81">
        <f t="shared" si="136"/>
        <v>4600000</v>
      </c>
      <c r="P214" s="81">
        <f t="shared" si="136"/>
        <v>4600000</v>
      </c>
      <c r="Q214" s="81">
        <f t="shared" si="136"/>
        <v>4600000</v>
      </c>
      <c r="R214" s="81">
        <f t="shared" si="136"/>
        <v>4600000</v>
      </c>
      <c r="S214" s="81">
        <f t="shared" si="136"/>
        <v>4600000</v>
      </c>
      <c r="T214" s="81">
        <f t="shared" si="136"/>
        <v>4600000</v>
      </c>
      <c r="U214" s="81">
        <f t="shared" si="136"/>
        <v>4600000</v>
      </c>
      <c r="V214" s="81">
        <f t="shared" si="136"/>
        <v>4600000</v>
      </c>
      <c r="W214" s="81">
        <f t="shared" si="136"/>
        <v>4600000</v>
      </c>
      <c r="X214" s="81">
        <f t="shared" si="136"/>
        <v>4600000</v>
      </c>
      <c r="Y214" s="81">
        <f t="shared" si="136"/>
        <v>4600000</v>
      </c>
      <c r="Z214" s="81">
        <f t="shared" si="136"/>
        <v>4600000</v>
      </c>
      <c r="AA214" s="81">
        <f t="shared" si="136"/>
        <v>4600000</v>
      </c>
      <c r="AB214" s="81">
        <f t="shared" si="136"/>
        <v>4600000</v>
      </c>
      <c r="AC214" s="81">
        <f t="shared" si="136"/>
        <v>4600000</v>
      </c>
      <c r="AD214" s="81">
        <f t="shared" si="136"/>
        <v>4600000</v>
      </c>
      <c r="AE214" s="81">
        <f t="shared" si="136"/>
        <v>4600000</v>
      </c>
      <c r="AF214" s="81">
        <f t="shared" si="136"/>
        <v>4600000</v>
      </c>
      <c r="AG214" s="81">
        <f t="shared" si="136"/>
        <v>4600000</v>
      </c>
      <c r="AH214" s="81">
        <f t="shared" si="136"/>
        <v>4600000</v>
      </c>
      <c r="AI214" s="81">
        <f t="shared" ref="AI214:BJ214" si="137">IF(AI6&gt;Fiber_Start,Long_fiber_Cost*Miles_Long_Fiber,0)</f>
        <v>4600000</v>
      </c>
      <c r="AJ214" s="81">
        <f t="shared" si="137"/>
        <v>4600000</v>
      </c>
      <c r="AK214" s="81">
        <f t="shared" si="137"/>
        <v>4600000</v>
      </c>
      <c r="AL214" s="81">
        <f t="shared" si="137"/>
        <v>4600000</v>
      </c>
      <c r="AM214" s="81">
        <f t="shared" si="137"/>
        <v>4600000</v>
      </c>
      <c r="AN214" s="81">
        <f t="shared" si="137"/>
        <v>4600000</v>
      </c>
      <c r="AO214" s="81">
        <f t="shared" si="137"/>
        <v>4600000</v>
      </c>
      <c r="AP214" s="81">
        <f t="shared" si="137"/>
        <v>4600000</v>
      </c>
      <c r="AQ214" s="81">
        <f t="shared" si="137"/>
        <v>4600000</v>
      </c>
      <c r="AR214" s="81">
        <f t="shared" si="137"/>
        <v>4600000</v>
      </c>
      <c r="AS214" s="81">
        <f t="shared" si="137"/>
        <v>4600000</v>
      </c>
      <c r="AT214" s="81">
        <f t="shared" si="137"/>
        <v>4600000</v>
      </c>
      <c r="AU214" s="81">
        <f t="shared" si="137"/>
        <v>4600000</v>
      </c>
      <c r="AV214" s="81">
        <f t="shared" si="137"/>
        <v>4600000</v>
      </c>
      <c r="AW214" s="81">
        <f t="shared" si="137"/>
        <v>4600000</v>
      </c>
      <c r="AX214" s="81">
        <f t="shared" si="137"/>
        <v>4600000</v>
      </c>
      <c r="AY214" s="81">
        <f t="shared" si="137"/>
        <v>4600000</v>
      </c>
      <c r="AZ214" s="81">
        <f t="shared" si="137"/>
        <v>4600000</v>
      </c>
      <c r="BA214" s="81">
        <f t="shared" si="137"/>
        <v>4600000</v>
      </c>
      <c r="BB214" s="81">
        <f t="shared" si="137"/>
        <v>4600000</v>
      </c>
      <c r="BC214" s="81">
        <f t="shared" si="137"/>
        <v>4600000</v>
      </c>
      <c r="BD214" s="81">
        <f t="shared" si="137"/>
        <v>4600000</v>
      </c>
      <c r="BE214" s="81">
        <f t="shared" si="137"/>
        <v>4600000</v>
      </c>
      <c r="BF214" s="81">
        <f t="shared" si="137"/>
        <v>4600000</v>
      </c>
      <c r="BG214" s="81">
        <f t="shared" si="137"/>
        <v>4600000</v>
      </c>
      <c r="BH214" s="81">
        <f t="shared" si="137"/>
        <v>4600000</v>
      </c>
      <c r="BI214" s="81">
        <f t="shared" si="137"/>
        <v>4600000</v>
      </c>
      <c r="BJ214" s="81">
        <f t="shared" si="137"/>
        <v>4600000</v>
      </c>
    </row>
    <row r="215" spans="1:62">
      <c r="A215" s="118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</row>
    <row r="216" spans="1:62">
      <c r="A216" s="102" t="s">
        <v>358</v>
      </c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</row>
    <row r="217" spans="1:62">
      <c r="A217" s="118" t="s">
        <v>258</v>
      </c>
      <c r="C217" s="81">
        <f>MAX((C109-B109),0)</f>
        <v>11000</v>
      </c>
      <c r="D217" s="81">
        <f t="shared" ref="D217:BJ217" si="138">MAX((D109-C109),0)</f>
        <v>220</v>
      </c>
      <c r="E217" s="81">
        <f t="shared" si="138"/>
        <v>213.39999999999964</v>
      </c>
      <c r="F217" s="81">
        <f t="shared" si="138"/>
        <v>206.99799999999959</v>
      </c>
      <c r="G217" s="81">
        <f t="shared" si="138"/>
        <v>200.78806000000077</v>
      </c>
      <c r="H217" s="81">
        <f t="shared" si="138"/>
        <v>194.76441820000036</v>
      </c>
      <c r="I217" s="81">
        <f t="shared" si="138"/>
        <v>188.92148565400021</v>
      </c>
      <c r="J217" s="81">
        <f t="shared" si="138"/>
        <v>183.25384108438084</v>
      </c>
      <c r="K217" s="81">
        <f t="shared" si="138"/>
        <v>177.75622585184647</v>
      </c>
      <c r="L217" s="81">
        <f t="shared" si="138"/>
        <v>172.42353907629513</v>
      </c>
      <c r="M217" s="81">
        <f t="shared" si="138"/>
        <v>167.25083290400289</v>
      </c>
      <c r="N217" s="81">
        <f t="shared" si="138"/>
        <v>162.23330791688568</v>
      </c>
      <c r="O217" s="81">
        <f t="shared" si="138"/>
        <v>157.36630867937856</v>
      </c>
      <c r="P217" s="81">
        <f t="shared" si="138"/>
        <v>8210.978652752332</v>
      </c>
      <c r="Q217" s="81">
        <f t="shared" si="138"/>
        <v>0</v>
      </c>
      <c r="R217" s="81">
        <f t="shared" si="138"/>
        <v>0</v>
      </c>
      <c r="S217" s="81">
        <f t="shared" si="138"/>
        <v>7986.4385199434291</v>
      </c>
      <c r="T217" s="81">
        <f t="shared" si="138"/>
        <v>0</v>
      </c>
      <c r="U217" s="81">
        <f t="shared" si="138"/>
        <v>0</v>
      </c>
      <c r="V217" s="81">
        <f t="shared" si="138"/>
        <v>7781.5068033123243</v>
      </c>
      <c r="W217" s="81">
        <f t="shared" si="138"/>
        <v>0</v>
      </c>
      <c r="X217" s="81">
        <f t="shared" si="138"/>
        <v>0</v>
      </c>
      <c r="Y217" s="81">
        <f t="shared" si="138"/>
        <v>0</v>
      </c>
      <c r="Z217" s="81">
        <f t="shared" si="138"/>
        <v>0</v>
      </c>
      <c r="AA217" s="81">
        <f t="shared" si="138"/>
        <v>0</v>
      </c>
      <c r="AB217" s="81">
        <f t="shared" si="138"/>
        <v>7983.9937758237284</v>
      </c>
      <c r="AC217" s="81">
        <f t="shared" si="138"/>
        <v>0</v>
      </c>
      <c r="AD217" s="81">
        <f t="shared" si="138"/>
        <v>0</v>
      </c>
      <c r="AE217" s="81">
        <f t="shared" si="138"/>
        <v>7779.2755513623706</v>
      </c>
      <c r="AF217" s="81">
        <f t="shared" si="138"/>
        <v>0</v>
      </c>
      <c r="AG217" s="81">
        <f t="shared" si="138"/>
        <v>0</v>
      </c>
      <c r="AH217" s="81">
        <f t="shared" si="138"/>
        <v>7592.4347552885447</v>
      </c>
      <c r="AI217" s="81">
        <f t="shared" si="138"/>
        <v>0</v>
      </c>
      <c r="AJ217" s="81">
        <f t="shared" si="138"/>
        <v>0</v>
      </c>
      <c r="AK217" s="81">
        <f t="shared" si="138"/>
        <v>0</v>
      </c>
      <c r="AL217" s="81">
        <f t="shared" si="138"/>
        <v>0</v>
      </c>
      <c r="AM217" s="81">
        <f t="shared" si="138"/>
        <v>0</v>
      </c>
      <c r="AN217" s="81">
        <f t="shared" si="138"/>
        <v>7918.168719571986</v>
      </c>
      <c r="AO217" s="81">
        <f t="shared" si="138"/>
        <v>0</v>
      </c>
      <c r="AP217" s="81">
        <f t="shared" si="138"/>
        <v>0</v>
      </c>
      <c r="AQ217" s="81">
        <f t="shared" si="138"/>
        <v>7719.1987997979231</v>
      </c>
      <c r="AR217" s="81">
        <f t="shared" si="138"/>
        <v>0</v>
      </c>
      <c r="AS217" s="81">
        <f t="shared" si="138"/>
        <v>0</v>
      </c>
      <c r="AT217" s="81">
        <f t="shared" si="138"/>
        <v>7537.6043262079693</v>
      </c>
      <c r="AU217" s="81">
        <f t="shared" si="138"/>
        <v>0</v>
      </c>
      <c r="AV217" s="81">
        <f t="shared" si="138"/>
        <v>0</v>
      </c>
      <c r="AW217" s="81">
        <f t="shared" si="138"/>
        <v>0</v>
      </c>
      <c r="AX217" s="81">
        <f t="shared" si="138"/>
        <v>0</v>
      </c>
      <c r="AY217" s="81">
        <f t="shared" si="138"/>
        <v>0</v>
      </c>
      <c r="AZ217" s="81">
        <f t="shared" si="138"/>
        <v>7872.4965071296247</v>
      </c>
      <c r="BA217" s="81">
        <f t="shared" si="138"/>
        <v>0</v>
      </c>
      <c r="BB217" s="81">
        <f t="shared" si="138"/>
        <v>0</v>
      </c>
      <c r="BC217" s="81">
        <f t="shared" si="138"/>
        <v>7677.5150046515191</v>
      </c>
      <c r="BD217" s="81">
        <f t="shared" si="138"/>
        <v>0</v>
      </c>
      <c r="BE217" s="81">
        <f t="shared" si="138"/>
        <v>0</v>
      </c>
      <c r="BF217" s="81">
        <f t="shared" si="138"/>
        <v>7499.5606518403074</v>
      </c>
      <c r="BG217" s="81">
        <f t="shared" si="138"/>
        <v>0</v>
      </c>
      <c r="BH217" s="81">
        <f t="shared" si="138"/>
        <v>0</v>
      </c>
      <c r="BI217" s="81">
        <f t="shared" si="138"/>
        <v>0</v>
      </c>
      <c r="BJ217" s="81">
        <f t="shared" si="138"/>
        <v>0</v>
      </c>
    </row>
    <row r="218" spans="1:62">
      <c r="A218" s="118" t="s">
        <v>359</v>
      </c>
      <c r="C218" s="81">
        <f>SUM($C$217:C217)</f>
        <v>11000</v>
      </c>
      <c r="D218" s="81">
        <f>SUM($C$217:D217)</f>
        <v>11220</v>
      </c>
      <c r="E218" s="81">
        <f>SUM($C$217:E217)</f>
        <v>11433.4</v>
      </c>
      <c r="F218" s="81">
        <f>SUM($C$217:F217)</f>
        <v>11640.397999999999</v>
      </c>
      <c r="G218" s="81">
        <f>SUM($C$217:G217)</f>
        <v>11841.18606</v>
      </c>
      <c r="H218" s="81">
        <f>SUM($C$217:H217)</f>
        <v>12035.9504782</v>
      </c>
      <c r="I218" s="81">
        <f>SUM($C$217:I217)</f>
        <v>12224.871963854001</v>
      </c>
      <c r="J218" s="81">
        <f>SUM($C$217:J217)</f>
        <v>12408.125804938381</v>
      </c>
      <c r="K218" s="81">
        <f>SUM($C$217:K217)</f>
        <v>12585.882030790228</v>
      </c>
      <c r="L218" s="81">
        <f>SUM($C$217:L217)</f>
        <v>12758.305569866523</v>
      </c>
      <c r="M218" s="81">
        <f>SUM($C$217:M217)</f>
        <v>12925.556402770526</v>
      </c>
      <c r="N218" s="81">
        <f>SUM($C$217:N217)</f>
        <v>13087.789710687412</v>
      </c>
      <c r="O218" s="81">
        <f>SUM($C$217:O217)</f>
        <v>13245.15601936679</v>
      </c>
      <c r="P218" s="81">
        <f>SUM($C$217:P217)</f>
        <v>21456.134672119122</v>
      </c>
      <c r="Q218" s="81">
        <f>SUM($C$217:Q217)</f>
        <v>21456.134672119122</v>
      </c>
      <c r="R218" s="81">
        <f>SUM($C$217:R217)</f>
        <v>21456.134672119122</v>
      </c>
      <c r="S218" s="81">
        <f>SUM($C$217:S217)</f>
        <v>29442.573192062551</v>
      </c>
      <c r="T218" s="81">
        <f>SUM($C$217:T217)</f>
        <v>29442.573192062551</v>
      </c>
      <c r="U218" s="81">
        <f>SUM($C$217:U217)</f>
        <v>29442.573192062551</v>
      </c>
      <c r="V218" s="81">
        <f>SUM($C$217:V217)</f>
        <v>37224.079995374879</v>
      </c>
      <c r="W218" s="81">
        <f>SUM($C$217:W217)</f>
        <v>37224.079995374879</v>
      </c>
      <c r="X218" s="81">
        <f>SUM($C$217:X217)</f>
        <v>37224.079995374879</v>
      </c>
      <c r="Y218" s="81">
        <f>SUM($C$217:Y217)</f>
        <v>37224.079995374879</v>
      </c>
      <c r="Z218" s="81">
        <f>SUM($C$217:Z217)</f>
        <v>37224.079995374879</v>
      </c>
      <c r="AA218" s="81">
        <f>SUM($C$217:AA217)</f>
        <v>37224.079995374879</v>
      </c>
      <c r="AB218" s="81">
        <f>SUM($C$217:AB217)</f>
        <v>45208.073771198608</v>
      </c>
      <c r="AC218" s="81">
        <f>SUM($C$217:AC217)</f>
        <v>45208.073771198608</v>
      </c>
      <c r="AD218" s="81">
        <f>SUM($C$217:AD217)</f>
        <v>45208.073771198608</v>
      </c>
      <c r="AE218" s="81">
        <f>SUM($C$217:AE217)</f>
        <v>52987.349322560978</v>
      </c>
      <c r="AF218" s="81">
        <f>SUM($C$217:AF217)</f>
        <v>52987.349322560978</v>
      </c>
      <c r="AG218" s="81">
        <f>SUM($C$217:AG217)</f>
        <v>52987.349322560978</v>
      </c>
      <c r="AH218" s="81">
        <f>SUM($C$217:AH217)</f>
        <v>60579.784077849523</v>
      </c>
      <c r="AI218" s="81">
        <f>SUM($C$217:AI217)</f>
        <v>60579.784077849523</v>
      </c>
      <c r="AJ218" s="81">
        <f>SUM($C$217:AJ217)</f>
        <v>60579.784077849523</v>
      </c>
      <c r="AK218" s="81">
        <f>SUM($C$217:AK217)</f>
        <v>60579.784077849523</v>
      </c>
      <c r="AL218" s="81">
        <f>SUM($C$217:AL217)</f>
        <v>60579.784077849523</v>
      </c>
      <c r="AM218" s="81">
        <f>SUM($C$217:AM217)</f>
        <v>60579.784077849523</v>
      </c>
      <c r="AN218" s="81">
        <f>SUM($C$217:AN217)</f>
        <v>68497.952797421516</v>
      </c>
      <c r="AO218" s="81">
        <f>SUM($C$217:AO217)</f>
        <v>68497.952797421516</v>
      </c>
      <c r="AP218" s="81">
        <f>SUM($C$217:AP217)</f>
        <v>68497.952797421516</v>
      </c>
      <c r="AQ218" s="81">
        <f>SUM($C$217:AQ217)</f>
        <v>76217.151597219432</v>
      </c>
      <c r="AR218" s="81">
        <f>SUM($C$217:AR217)</f>
        <v>76217.151597219432</v>
      </c>
      <c r="AS218" s="81">
        <f>SUM($C$217:AS217)</f>
        <v>76217.151597219432</v>
      </c>
      <c r="AT218" s="81">
        <f>SUM($C$217:AT217)</f>
        <v>83754.755923427409</v>
      </c>
      <c r="AU218" s="81">
        <f>SUM($C$217:AU217)</f>
        <v>83754.755923427409</v>
      </c>
      <c r="AV218" s="81">
        <f>SUM($C$217:AV217)</f>
        <v>83754.755923427409</v>
      </c>
      <c r="AW218" s="81">
        <f>SUM($C$217:AW217)</f>
        <v>83754.755923427409</v>
      </c>
      <c r="AX218" s="81">
        <f>SUM($C$217:AX217)</f>
        <v>83754.755923427409</v>
      </c>
      <c r="AY218" s="81">
        <f>SUM($C$217:AY217)</f>
        <v>83754.755923427409</v>
      </c>
      <c r="AZ218" s="81">
        <f>SUM($C$217:AZ217)</f>
        <v>91627.25243055704</v>
      </c>
      <c r="BA218" s="81">
        <f>SUM($C$217:BA217)</f>
        <v>91627.25243055704</v>
      </c>
      <c r="BB218" s="81">
        <f>SUM($C$217:BB217)</f>
        <v>91627.25243055704</v>
      </c>
      <c r="BC218" s="81">
        <f>SUM($C$217:BC217)</f>
        <v>99304.76743520856</v>
      </c>
      <c r="BD218" s="81">
        <f>SUM($C$217:BD217)</f>
        <v>99304.76743520856</v>
      </c>
      <c r="BE218" s="81">
        <f>SUM($C$217:BE217)</f>
        <v>99304.76743520856</v>
      </c>
      <c r="BF218" s="81">
        <f>SUM($C$217:BF217)</f>
        <v>106804.32808704887</v>
      </c>
      <c r="BG218" s="81">
        <f>SUM($C$217:BG217)</f>
        <v>106804.32808704887</v>
      </c>
      <c r="BH218" s="81">
        <f>SUM($C$217:BH217)</f>
        <v>106804.32808704887</v>
      </c>
      <c r="BI218" s="81">
        <f>SUM($C$217:BI217)</f>
        <v>106804.32808704887</v>
      </c>
      <c r="BJ218" s="81">
        <f>SUM($C$217:BJ217)</f>
        <v>106804.32808704887</v>
      </c>
    </row>
    <row r="219" spans="1:62">
      <c r="A219" s="118" t="s">
        <v>352</v>
      </c>
      <c r="C219" s="81">
        <f t="shared" ref="C219:AH219" si="139">_2_Way_Miles_per_Subscriber*C218</f>
        <v>100</v>
      </c>
      <c r="D219" s="81">
        <f t="shared" si="139"/>
        <v>102</v>
      </c>
      <c r="E219" s="81">
        <f t="shared" si="139"/>
        <v>103.94</v>
      </c>
      <c r="F219" s="81">
        <f t="shared" si="139"/>
        <v>105.82179999999998</v>
      </c>
      <c r="G219" s="81">
        <f t="shared" si="139"/>
        <v>107.64714599999999</v>
      </c>
      <c r="H219" s="81">
        <f t="shared" si="139"/>
        <v>109.41773162</v>
      </c>
      <c r="I219" s="81">
        <f t="shared" si="139"/>
        <v>111.1351996714</v>
      </c>
      <c r="J219" s="81">
        <f t="shared" si="139"/>
        <v>112.80114368125801</v>
      </c>
      <c r="K219" s="81">
        <f t="shared" si="139"/>
        <v>114.41710937082024</v>
      </c>
      <c r="L219" s="81">
        <f t="shared" si="139"/>
        <v>115.98459608969566</v>
      </c>
      <c r="M219" s="81">
        <f t="shared" si="139"/>
        <v>117.50505820700478</v>
      </c>
      <c r="N219" s="81">
        <f t="shared" si="139"/>
        <v>118.97990646079465</v>
      </c>
      <c r="O219" s="81">
        <f t="shared" si="139"/>
        <v>120.41050926697082</v>
      </c>
      <c r="P219" s="81">
        <f t="shared" si="139"/>
        <v>195.05576974653746</v>
      </c>
      <c r="Q219" s="81">
        <f t="shared" si="139"/>
        <v>195.05576974653746</v>
      </c>
      <c r="R219" s="81">
        <f t="shared" si="139"/>
        <v>195.05576974653746</v>
      </c>
      <c r="S219" s="81">
        <f t="shared" si="139"/>
        <v>267.65975629147772</v>
      </c>
      <c r="T219" s="81">
        <f t="shared" si="139"/>
        <v>267.65975629147772</v>
      </c>
      <c r="U219" s="81">
        <f t="shared" si="139"/>
        <v>267.65975629147772</v>
      </c>
      <c r="V219" s="81">
        <f t="shared" si="139"/>
        <v>338.40072723068073</v>
      </c>
      <c r="W219" s="81">
        <f t="shared" si="139"/>
        <v>338.40072723068073</v>
      </c>
      <c r="X219" s="81">
        <f t="shared" si="139"/>
        <v>338.40072723068073</v>
      </c>
      <c r="Y219" s="81">
        <f t="shared" si="139"/>
        <v>338.40072723068073</v>
      </c>
      <c r="Z219" s="81">
        <f t="shared" si="139"/>
        <v>338.40072723068073</v>
      </c>
      <c r="AA219" s="81">
        <f t="shared" si="139"/>
        <v>338.40072723068073</v>
      </c>
      <c r="AB219" s="81">
        <f t="shared" si="139"/>
        <v>410.98248882907825</v>
      </c>
      <c r="AC219" s="81">
        <f t="shared" si="139"/>
        <v>410.98248882907825</v>
      </c>
      <c r="AD219" s="81">
        <f t="shared" si="139"/>
        <v>410.98248882907825</v>
      </c>
      <c r="AE219" s="81">
        <f t="shared" si="139"/>
        <v>481.70317565964524</v>
      </c>
      <c r="AF219" s="81">
        <f t="shared" si="139"/>
        <v>481.70317565964524</v>
      </c>
      <c r="AG219" s="81">
        <f t="shared" si="139"/>
        <v>481.70317565964524</v>
      </c>
      <c r="AH219" s="81">
        <f t="shared" si="139"/>
        <v>550.725309798632</v>
      </c>
      <c r="AI219" s="81">
        <f t="shared" ref="AI219:BJ219" si="140">_2_Way_Miles_per_Subscriber*AI218</f>
        <v>550.725309798632</v>
      </c>
      <c r="AJ219" s="81">
        <f t="shared" si="140"/>
        <v>550.725309798632</v>
      </c>
      <c r="AK219" s="81">
        <f t="shared" si="140"/>
        <v>550.725309798632</v>
      </c>
      <c r="AL219" s="81">
        <f t="shared" si="140"/>
        <v>550.725309798632</v>
      </c>
      <c r="AM219" s="81">
        <f t="shared" si="140"/>
        <v>550.725309798632</v>
      </c>
      <c r="AN219" s="81">
        <f t="shared" si="140"/>
        <v>622.70866179474103</v>
      </c>
      <c r="AO219" s="81">
        <f t="shared" si="140"/>
        <v>622.70866179474103</v>
      </c>
      <c r="AP219" s="81">
        <f t="shared" si="140"/>
        <v>622.70866179474103</v>
      </c>
      <c r="AQ219" s="81">
        <f t="shared" si="140"/>
        <v>692.8831963383584</v>
      </c>
      <c r="AR219" s="81">
        <f t="shared" si="140"/>
        <v>692.8831963383584</v>
      </c>
      <c r="AS219" s="81">
        <f t="shared" si="140"/>
        <v>692.8831963383584</v>
      </c>
      <c r="AT219" s="81">
        <f t="shared" si="140"/>
        <v>761.40687203115817</v>
      </c>
      <c r="AU219" s="81">
        <f t="shared" si="140"/>
        <v>761.40687203115817</v>
      </c>
      <c r="AV219" s="81">
        <f t="shared" si="140"/>
        <v>761.40687203115817</v>
      </c>
      <c r="AW219" s="81">
        <f t="shared" si="140"/>
        <v>761.40687203115817</v>
      </c>
      <c r="AX219" s="81">
        <f t="shared" si="140"/>
        <v>761.40687203115817</v>
      </c>
      <c r="AY219" s="81">
        <f t="shared" si="140"/>
        <v>761.40687203115817</v>
      </c>
      <c r="AZ219" s="81">
        <f t="shared" si="140"/>
        <v>832.97502209597303</v>
      </c>
      <c r="BA219" s="81">
        <f t="shared" si="140"/>
        <v>832.97502209597303</v>
      </c>
      <c r="BB219" s="81">
        <f t="shared" si="140"/>
        <v>832.97502209597303</v>
      </c>
      <c r="BC219" s="81">
        <f t="shared" si="140"/>
        <v>902.77061304735048</v>
      </c>
      <c r="BD219" s="81">
        <f t="shared" si="140"/>
        <v>902.77061304735048</v>
      </c>
      <c r="BE219" s="81">
        <f t="shared" si="140"/>
        <v>902.77061304735048</v>
      </c>
      <c r="BF219" s="81">
        <f t="shared" si="140"/>
        <v>970.94843715498962</v>
      </c>
      <c r="BG219" s="81">
        <f t="shared" si="140"/>
        <v>970.94843715498962</v>
      </c>
      <c r="BH219" s="81">
        <f t="shared" si="140"/>
        <v>970.94843715498962</v>
      </c>
      <c r="BI219" s="81">
        <f t="shared" si="140"/>
        <v>970.94843715498962</v>
      </c>
      <c r="BJ219" s="81">
        <f t="shared" si="140"/>
        <v>970.94843715498962</v>
      </c>
    </row>
    <row r="220" spans="1:62">
      <c r="A220" s="118" t="s">
        <v>138</v>
      </c>
      <c r="B220" s="8" t="s">
        <v>212</v>
      </c>
      <c r="C220" s="81">
        <f t="shared" ref="C220:AH220" si="141">_2_Way_FIBER_RF_Upgrade_Cost_Per_Mile*C219</f>
        <v>400000</v>
      </c>
      <c r="D220" s="81">
        <f t="shared" si="141"/>
        <v>408000</v>
      </c>
      <c r="E220" s="81">
        <f t="shared" si="141"/>
        <v>415760</v>
      </c>
      <c r="F220" s="81">
        <f t="shared" si="141"/>
        <v>423287.19999999995</v>
      </c>
      <c r="G220" s="81">
        <f t="shared" si="141"/>
        <v>430588.58399999997</v>
      </c>
      <c r="H220" s="81">
        <f t="shared" si="141"/>
        <v>437670.92647999997</v>
      </c>
      <c r="I220" s="81">
        <f t="shared" si="141"/>
        <v>444540.79868559999</v>
      </c>
      <c r="J220" s="81">
        <f t="shared" si="141"/>
        <v>451204.57472503203</v>
      </c>
      <c r="K220" s="81">
        <f t="shared" si="141"/>
        <v>457668.43748328096</v>
      </c>
      <c r="L220" s="81">
        <f t="shared" si="141"/>
        <v>463938.38435878261</v>
      </c>
      <c r="M220" s="81">
        <f t="shared" si="141"/>
        <v>470020.23282801913</v>
      </c>
      <c r="N220" s="81">
        <f t="shared" si="141"/>
        <v>475919.6258431786</v>
      </c>
      <c r="O220" s="81">
        <f t="shared" si="141"/>
        <v>481642.0370678833</v>
      </c>
      <c r="P220" s="81">
        <f t="shared" si="141"/>
        <v>780223.07898614986</v>
      </c>
      <c r="Q220" s="81">
        <f t="shared" si="141"/>
        <v>780223.07898614986</v>
      </c>
      <c r="R220" s="81">
        <f t="shared" si="141"/>
        <v>780223.07898614986</v>
      </c>
      <c r="S220" s="81">
        <f t="shared" si="141"/>
        <v>1070639.0251659108</v>
      </c>
      <c r="T220" s="81">
        <f t="shared" si="141"/>
        <v>1070639.0251659108</v>
      </c>
      <c r="U220" s="81">
        <f t="shared" si="141"/>
        <v>1070639.0251659108</v>
      </c>
      <c r="V220" s="81">
        <f t="shared" si="141"/>
        <v>1353602.908922723</v>
      </c>
      <c r="W220" s="81">
        <f t="shared" si="141"/>
        <v>1353602.908922723</v>
      </c>
      <c r="X220" s="81">
        <f t="shared" si="141"/>
        <v>1353602.908922723</v>
      </c>
      <c r="Y220" s="81">
        <f t="shared" si="141"/>
        <v>1353602.908922723</v>
      </c>
      <c r="Z220" s="81">
        <f t="shared" si="141"/>
        <v>1353602.908922723</v>
      </c>
      <c r="AA220" s="81">
        <f t="shared" si="141"/>
        <v>1353602.908922723</v>
      </c>
      <c r="AB220" s="81">
        <f t="shared" si="141"/>
        <v>1643929.9553163131</v>
      </c>
      <c r="AC220" s="81">
        <f t="shared" si="141"/>
        <v>1643929.9553163131</v>
      </c>
      <c r="AD220" s="81">
        <f t="shared" si="141"/>
        <v>1643929.9553163131</v>
      </c>
      <c r="AE220" s="81">
        <f t="shared" si="141"/>
        <v>1926812.7026385809</v>
      </c>
      <c r="AF220" s="81">
        <f t="shared" si="141"/>
        <v>1926812.7026385809</v>
      </c>
      <c r="AG220" s="81">
        <f t="shared" si="141"/>
        <v>1926812.7026385809</v>
      </c>
      <c r="AH220" s="81">
        <f t="shared" si="141"/>
        <v>2202901.2391945282</v>
      </c>
      <c r="AI220" s="81">
        <f t="shared" ref="AI220:BJ220" si="142">_2_Way_FIBER_RF_Upgrade_Cost_Per_Mile*AI219</f>
        <v>2202901.2391945282</v>
      </c>
      <c r="AJ220" s="81">
        <f t="shared" si="142"/>
        <v>2202901.2391945282</v>
      </c>
      <c r="AK220" s="81">
        <f t="shared" si="142"/>
        <v>2202901.2391945282</v>
      </c>
      <c r="AL220" s="81">
        <f t="shared" si="142"/>
        <v>2202901.2391945282</v>
      </c>
      <c r="AM220" s="81">
        <f t="shared" si="142"/>
        <v>2202901.2391945282</v>
      </c>
      <c r="AN220" s="81">
        <f t="shared" si="142"/>
        <v>2490834.6471789642</v>
      </c>
      <c r="AO220" s="81">
        <f t="shared" si="142"/>
        <v>2490834.6471789642</v>
      </c>
      <c r="AP220" s="81">
        <f t="shared" si="142"/>
        <v>2490834.6471789642</v>
      </c>
      <c r="AQ220" s="81">
        <f t="shared" si="142"/>
        <v>2771532.7853534338</v>
      </c>
      <c r="AR220" s="81">
        <f t="shared" si="142"/>
        <v>2771532.7853534338</v>
      </c>
      <c r="AS220" s="81">
        <f t="shared" si="142"/>
        <v>2771532.7853534338</v>
      </c>
      <c r="AT220" s="81">
        <f t="shared" si="142"/>
        <v>3045627.4881246327</v>
      </c>
      <c r="AU220" s="81">
        <f t="shared" si="142"/>
        <v>3045627.4881246327</v>
      </c>
      <c r="AV220" s="81">
        <f t="shared" si="142"/>
        <v>3045627.4881246327</v>
      </c>
      <c r="AW220" s="81">
        <f t="shared" si="142"/>
        <v>3045627.4881246327</v>
      </c>
      <c r="AX220" s="81">
        <f t="shared" si="142"/>
        <v>3045627.4881246327</v>
      </c>
      <c r="AY220" s="81">
        <f t="shared" si="142"/>
        <v>3045627.4881246327</v>
      </c>
      <c r="AZ220" s="81">
        <f t="shared" si="142"/>
        <v>3331900.0883838921</v>
      </c>
      <c r="BA220" s="81">
        <f t="shared" si="142"/>
        <v>3331900.0883838921</v>
      </c>
      <c r="BB220" s="81">
        <f t="shared" si="142"/>
        <v>3331900.0883838921</v>
      </c>
      <c r="BC220" s="81">
        <f t="shared" si="142"/>
        <v>3611082.4521894017</v>
      </c>
      <c r="BD220" s="81">
        <f t="shared" si="142"/>
        <v>3611082.4521894017</v>
      </c>
      <c r="BE220" s="81">
        <f t="shared" si="142"/>
        <v>3611082.4521894017</v>
      </c>
      <c r="BF220" s="81">
        <f t="shared" si="142"/>
        <v>3883793.7486199583</v>
      </c>
      <c r="BG220" s="81">
        <f t="shared" si="142"/>
        <v>3883793.7486199583</v>
      </c>
      <c r="BH220" s="81">
        <f t="shared" si="142"/>
        <v>3883793.7486199583</v>
      </c>
      <c r="BI220" s="81">
        <f t="shared" si="142"/>
        <v>3883793.7486199583</v>
      </c>
      <c r="BJ220" s="81">
        <f t="shared" si="142"/>
        <v>3883793.7486199583</v>
      </c>
    </row>
    <row r="222" spans="1:62">
      <c r="A222" s="102" t="s">
        <v>202</v>
      </c>
    </row>
    <row r="223" spans="1:62">
      <c r="A223" s="118" t="s">
        <v>205</v>
      </c>
      <c r="C223" s="8">
        <v>30</v>
      </c>
      <c r="D223" s="8">
        <v>30</v>
      </c>
      <c r="E223" s="8">
        <v>30</v>
      </c>
      <c r="F223" s="8">
        <v>30</v>
      </c>
      <c r="G223" s="8">
        <v>30</v>
      </c>
      <c r="H223" s="8">
        <v>30</v>
      </c>
      <c r="I223" s="8">
        <v>30</v>
      </c>
      <c r="J223" s="8">
        <v>30</v>
      </c>
      <c r="K223" s="8">
        <v>30</v>
      </c>
      <c r="L223" s="8">
        <v>30</v>
      </c>
      <c r="M223" s="8">
        <v>30</v>
      </c>
      <c r="N223" s="8">
        <v>30</v>
      </c>
      <c r="O223" s="8">
        <v>30</v>
      </c>
      <c r="P223" s="8">
        <v>30</v>
      </c>
      <c r="Q223" s="8">
        <v>30</v>
      </c>
      <c r="R223" s="8">
        <v>30</v>
      </c>
      <c r="S223" s="8">
        <v>30</v>
      </c>
      <c r="T223" s="8">
        <v>30</v>
      </c>
      <c r="U223" s="8">
        <v>30</v>
      </c>
      <c r="V223" s="8">
        <v>30</v>
      </c>
      <c r="W223" s="8">
        <v>30</v>
      </c>
      <c r="X223" s="8">
        <v>30</v>
      </c>
      <c r="Y223" s="8">
        <v>30</v>
      </c>
      <c r="Z223" s="8">
        <v>30</v>
      </c>
      <c r="AA223" s="8">
        <v>30</v>
      </c>
      <c r="AB223" s="8">
        <v>30</v>
      </c>
      <c r="AC223" s="8">
        <v>30</v>
      </c>
      <c r="AD223" s="8">
        <v>30</v>
      </c>
      <c r="AE223" s="8">
        <v>30</v>
      </c>
      <c r="AF223" s="8">
        <v>30</v>
      </c>
      <c r="AG223" s="8">
        <v>30</v>
      </c>
      <c r="AH223" s="8">
        <v>30</v>
      </c>
      <c r="AI223" s="8">
        <v>30</v>
      </c>
      <c r="AJ223" s="8">
        <v>30</v>
      </c>
      <c r="AK223" s="8">
        <v>30</v>
      </c>
      <c r="AL223" s="8">
        <v>30</v>
      </c>
      <c r="AM223" s="8">
        <v>30</v>
      </c>
      <c r="AN223" s="8">
        <v>30</v>
      </c>
      <c r="AO223" s="8">
        <v>30</v>
      </c>
      <c r="AP223" s="8">
        <v>30</v>
      </c>
      <c r="AQ223" s="8">
        <v>30</v>
      </c>
      <c r="AR223" s="8">
        <v>30</v>
      </c>
      <c r="AS223" s="8">
        <v>30</v>
      </c>
      <c r="AT223" s="8">
        <v>30</v>
      </c>
      <c r="AU223" s="8">
        <v>30</v>
      </c>
      <c r="AV223" s="8">
        <v>30</v>
      </c>
      <c r="AW223" s="8">
        <v>30</v>
      </c>
      <c r="AX223" s="8">
        <v>30</v>
      </c>
      <c r="AY223" s="8">
        <v>30</v>
      </c>
      <c r="AZ223" s="8">
        <v>30</v>
      </c>
      <c r="BA223" s="8">
        <v>30</v>
      </c>
      <c r="BB223" s="8">
        <v>30</v>
      </c>
      <c r="BC223" s="8">
        <v>30</v>
      </c>
      <c r="BD223" s="8">
        <v>30</v>
      </c>
      <c r="BE223" s="8">
        <v>30</v>
      </c>
      <c r="BF223" s="8">
        <v>30</v>
      </c>
      <c r="BG223" s="8">
        <v>30</v>
      </c>
      <c r="BH223" s="8">
        <v>30</v>
      </c>
      <c r="BI223" s="8">
        <v>30</v>
      </c>
      <c r="BJ223" s="8">
        <v>30</v>
      </c>
    </row>
    <row r="224" spans="1:62">
      <c r="A224" s="118" t="s">
        <v>138</v>
      </c>
      <c r="B224" s="8" t="s">
        <v>212</v>
      </c>
      <c r="C224" s="81">
        <f t="shared" ref="C224:AH224" si="143">C223*Ethernet_Radios</f>
        <v>0</v>
      </c>
      <c r="D224" s="81">
        <f t="shared" si="143"/>
        <v>0</v>
      </c>
      <c r="E224" s="81">
        <f t="shared" si="143"/>
        <v>0</v>
      </c>
      <c r="F224" s="81">
        <f t="shared" si="143"/>
        <v>0</v>
      </c>
      <c r="G224" s="81">
        <f t="shared" si="143"/>
        <v>0</v>
      </c>
      <c r="H224" s="81">
        <f t="shared" si="143"/>
        <v>0</v>
      </c>
      <c r="I224" s="81">
        <f t="shared" si="143"/>
        <v>0</v>
      </c>
      <c r="J224" s="81">
        <f t="shared" si="143"/>
        <v>0</v>
      </c>
      <c r="K224" s="81">
        <f t="shared" si="143"/>
        <v>0</v>
      </c>
      <c r="L224" s="81">
        <f t="shared" si="143"/>
        <v>0</v>
      </c>
      <c r="M224" s="81">
        <f t="shared" si="143"/>
        <v>0</v>
      </c>
      <c r="N224" s="81">
        <f t="shared" si="143"/>
        <v>0</v>
      </c>
      <c r="O224" s="81">
        <f t="shared" si="143"/>
        <v>0</v>
      </c>
      <c r="P224" s="81">
        <f t="shared" si="143"/>
        <v>0</v>
      </c>
      <c r="Q224" s="81">
        <f t="shared" si="143"/>
        <v>0</v>
      </c>
      <c r="R224" s="81">
        <f t="shared" si="143"/>
        <v>0</v>
      </c>
      <c r="S224" s="81">
        <f t="shared" si="143"/>
        <v>0</v>
      </c>
      <c r="T224" s="81">
        <f t="shared" si="143"/>
        <v>0</v>
      </c>
      <c r="U224" s="81">
        <f t="shared" si="143"/>
        <v>0</v>
      </c>
      <c r="V224" s="81">
        <f t="shared" si="143"/>
        <v>0</v>
      </c>
      <c r="W224" s="81">
        <f t="shared" si="143"/>
        <v>0</v>
      </c>
      <c r="X224" s="81">
        <f t="shared" si="143"/>
        <v>0</v>
      </c>
      <c r="Y224" s="81">
        <f t="shared" si="143"/>
        <v>0</v>
      </c>
      <c r="Z224" s="81">
        <f t="shared" si="143"/>
        <v>0</v>
      </c>
      <c r="AA224" s="81">
        <f t="shared" si="143"/>
        <v>0</v>
      </c>
      <c r="AB224" s="81">
        <f t="shared" si="143"/>
        <v>0</v>
      </c>
      <c r="AC224" s="81">
        <f t="shared" si="143"/>
        <v>0</v>
      </c>
      <c r="AD224" s="81">
        <f t="shared" si="143"/>
        <v>0</v>
      </c>
      <c r="AE224" s="81">
        <f t="shared" si="143"/>
        <v>0</v>
      </c>
      <c r="AF224" s="81">
        <f t="shared" si="143"/>
        <v>0</v>
      </c>
      <c r="AG224" s="81">
        <f t="shared" si="143"/>
        <v>0</v>
      </c>
      <c r="AH224" s="81">
        <f t="shared" si="143"/>
        <v>0</v>
      </c>
      <c r="AI224" s="81">
        <f t="shared" ref="AI224:BJ224" si="144">AI223*Ethernet_Radios</f>
        <v>0</v>
      </c>
      <c r="AJ224" s="81">
        <f t="shared" si="144"/>
        <v>0</v>
      </c>
      <c r="AK224" s="81">
        <f t="shared" si="144"/>
        <v>0</v>
      </c>
      <c r="AL224" s="81">
        <f t="shared" si="144"/>
        <v>0</v>
      </c>
      <c r="AM224" s="81">
        <f t="shared" si="144"/>
        <v>0</v>
      </c>
      <c r="AN224" s="81">
        <f t="shared" si="144"/>
        <v>0</v>
      </c>
      <c r="AO224" s="81">
        <f t="shared" si="144"/>
        <v>0</v>
      </c>
      <c r="AP224" s="81">
        <f t="shared" si="144"/>
        <v>0</v>
      </c>
      <c r="AQ224" s="81">
        <f t="shared" si="144"/>
        <v>0</v>
      </c>
      <c r="AR224" s="81">
        <f t="shared" si="144"/>
        <v>0</v>
      </c>
      <c r="AS224" s="81">
        <f t="shared" si="144"/>
        <v>0</v>
      </c>
      <c r="AT224" s="81">
        <f t="shared" si="144"/>
        <v>0</v>
      </c>
      <c r="AU224" s="81">
        <f t="shared" si="144"/>
        <v>0</v>
      </c>
      <c r="AV224" s="81">
        <f t="shared" si="144"/>
        <v>0</v>
      </c>
      <c r="AW224" s="81">
        <f t="shared" si="144"/>
        <v>0</v>
      </c>
      <c r="AX224" s="81">
        <f t="shared" si="144"/>
        <v>0</v>
      </c>
      <c r="AY224" s="81">
        <f t="shared" si="144"/>
        <v>0</v>
      </c>
      <c r="AZ224" s="81">
        <f t="shared" si="144"/>
        <v>0</v>
      </c>
      <c r="BA224" s="81">
        <f t="shared" si="144"/>
        <v>0</v>
      </c>
      <c r="BB224" s="81">
        <f t="shared" si="144"/>
        <v>0</v>
      </c>
      <c r="BC224" s="81">
        <f t="shared" si="144"/>
        <v>0</v>
      </c>
      <c r="BD224" s="81">
        <f t="shared" si="144"/>
        <v>0</v>
      </c>
      <c r="BE224" s="81">
        <f t="shared" si="144"/>
        <v>0</v>
      </c>
      <c r="BF224" s="81">
        <f t="shared" si="144"/>
        <v>0</v>
      </c>
      <c r="BG224" s="81">
        <f t="shared" si="144"/>
        <v>0</v>
      </c>
      <c r="BH224" s="81">
        <f t="shared" si="144"/>
        <v>0</v>
      </c>
      <c r="BI224" s="81">
        <f t="shared" si="144"/>
        <v>0</v>
      </c>
      <c r="BJ224" s="81">
        <f t="shared" si="144"/>
        <v>0</v>
      </c>
    </row>
    <row r="225" spans="1:62">
      <c r="A225" s="82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</row>
    <row r="226" spans="1:62">
      <c r="A226" s="102" t="s">
        <v>247</v>
      </c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</row>
    <row r="227" spans="1:62">
      <c r="A227" s="118" t="s">
        <v>205</v>
      </c>
      <c r="C227" s="65">
        <f t="shared" ref="C227:AH227" si="145">MAX(C109/1000,B227)</f>
        <v>11</v>
      </c>
      <c r="D227" s="81">
        <f t="shared" si="145"/>
        <v>11.22</v>
      </c>
      <c r="E227" s="81">
        <f t="shared" si="145"/>
        <v>11.433399999999999</v>
      </c>
      <c r="F227" s="81">
        <f t="shared" si="145"/>
        <v>11.640397999999999</v>
      </c>
      <c r="G227" s="81">
        <f t="shared" si="145"/>
        <v>11.84118606</v>
      </c>
      <c r="H227" s="81">
        <f t="shared" si="145"/>
        <v>12.0359504782</v>
      </c>
      <c r="I227" s="81">
        <f t="shared" si="145"/>
        <v>12.224871963854001</v>
      </c>
      <c r="J227" s="81">
        <f t="shared" si="145"/>
        <v>12.408125804938381</v>
      </c>
      <c r="K227" s="81">
        <f t="shared" si="145"/>
        <v>12.585882030790227</v>
      </c>
      <c r="L227" s="81">
        <f t="shared" si="145"/>
        <v>12.758305569866524</v>
      </c>
      <c r="M227" s="81">
        <f t="shared" si="145"/>
        <v>12.925556402770527</v>
      </c>
      <c r="N227" s="81">
        <f t="shared" si="145"/>
        <v>13.087789710687412</v>
      </c>
      <c r="O227" s="81">
        <f t="shared" si="145"/>
        <v>13.245156019366791</v>
      </c>
      <c r="P227" s="81">
        <f t="shared" si="145"/>
        <v>21.456134672119124</v>
      </c>
      <c r="Q227" s="81">
        <f t="shared" si="145"/>
        <v>21.456134672119124</v>
      </c>
      <c r="R227" s="81">
        <f t="shared" si="145"/>
        <v>21.456134672119124</v>
      </c>
      <c r="S227" s="81">
        <f t="shared" si="145"/>
        <v>28.71626563294031</v>
      </c>
      <c r="T227" s="81">
        <f t="shared" si="145"/>
        <v>28.71626563294031</v>
      </c>
      <c r="U227" s="81">
        <f t="shared" si="145"/>
        <v>28.71626563294031</v>
      </c>
      <c r="V227" s="81">
        <f t="shared" si="145"/>
        <v>35.342391137345864</v>
      </c>
      <c r="W227" s="81">
        <f t="shared" si="145"/>
        <v>35.342391137345864</v>
      </c>
      <c r="X227" s="81">
        <f t="shared" si="145"/>
        <v>35.342391137345864</v>
      </c>
      <c r="Y227" s="81">
        <f t="shared" si="145"/>
        <v>35.342391137345864</v>
      </c>
      <c r="Z227" s="81">
        <f t="shared" si="145"/>
        <v>35.342391137345864</v>
      </c>
      <c r="AA227" s="81">
        <f t="shared" si="145"/>
        <v>35.342391137345864</v>
      </c>
      <c r="AB227" s="81">
        <f t="shared" si="145"/>
        <v>39.628645692810736</v>
      </c>
      <c r="AC227" s="81">
        <f t="shared" si="145"/>
        <v>39.628645692810736</v>
      </c>
      <c r="AD227" s="81">
        <f t="shared" si="145"/>
        <v>39.628645692810736</v>
      </c>
      <c r="AE227" s="81">
        <f t="shared" si="145"/>
        <v>46.247868283727989</v>
      </c>
      <c r="AF227" s="81">
        <f t="shared" si="145"/>
        <v>46.247868283727989</v>
      </c>
      <c r="AG227" s="81">
        <f t="shared" si="145"/>
        <v>46.247868283727989</v>
      </c>
      <c r="AH227" s="81">
        <f t="shared" si="145"/>
        <v>52.289054023448209</v>
      </c>
      <c r="AI227" s="81">
        <f t="shared" ref="AI227:BJ227" si="146">MAX(AI109/1000,AH227)</f>
        <v>52.289054023448209</v>
      </c>
      <c r="AJ227" s="81">
        <f t="shared" si="146"/>
        <v>52.289054023448209</v>
      </c>
      <c r="AK227" s="81">
        <f t="shared" si="146"/>
        <v>52.289054023448209</v>
      </c>
      <c r="AL227" s="81">
        <f t="shared" si="146"/>
        <v>52.289054023448209</v>
      </c>
      <c r="AM227" s="81">
        <f t="shared" si="146"/>
        <v>52.289054023448209</v>
      </c>
      <c r="AN227" s="81">
        <f t="shared" si="146"/>
        <v>55.645878067172454</v>
      </c>
      <c r="AO227" s="81">
        <f t="shared" si="146"/>
        <v>55.645878067172454</v>
      </c>
      <c r="AP227" s="81">
        <f t="shared" si="146"/>
        <v>55.645878067172454</v>
      </c>
      <c r="AQ227" s="81">
        <f t="shared" si="146"/>
        <v>62.079238806533816</v>
      </c>
      <c r="AR227" s="81">
        <f t="shared" si="146"/>
        <v>62.079238806533816</v>
      </c>
      <c r="AS227" s="81">
        <f t="shared" si="146"/>
        <v>62.079238806533816</v>
      </c>
      <c r="AT227" s="81">
        <f t="shared" si="146"/>
        <v>67.950793452608977</v>
      </c>
      <c r="AU227" s="81">
        <f t="shared" si="146"/>
        <v>67.950793452608977</v>
      </c>
      <c r="AV227" s="81">
        <f t="shared" si="146"/>
        <v>67.950793452608977</v>
      </c>
      <c r="AW227" s="81">
        <f t="shared" si="146"/>
        <v>67.950793452608977</v>
      </c>
      <c r="AX227" s="81">
        <f t="shared" si="146"/>
        <v>67.950793452608977</v>
      </c>
      <c r="AY227" s="81">
        <f t="shared" si="146"/>
        <v>67.950793452608977</v>
      </c>
      <c r="AZ227" s="81">
        <f t="shared" si="146"/>
        <v>71.011501825031061</v>
      </c>
      <c r="BA227" s="81">
        <f t="shared" si="146"/>
        <v>71.011501825031061</v>
      </c>
      <c r="BB227" s="81">
        <f t="shared" si="146"/>
        <v>71.011501825031061</v>
      </c>
      <c r="BC227" s="81">
        <f t="shared" si="146"/>
        <v>77.315903738489908</v>
      </c>
      <c r="BD227" s="81">
        <f t="shared" si="146"/>
        <v>77.315903738489908</v>
      </c>
      <c r="BE227" s="81">
        <f t="shared" si="146"/>
        <v>77.315903738489908</v>
      </c>
      <c r="BF227" s="81">
        <f t="shared" si="146"/>
        <v>83.069761146052144</v>
      </c>
      <c r="BG227" s="81">
        <f t="shared" si="146"/>
        <v>83.069761146052144</v>
      </c>
      <c r="BH227" s="81">
        <f t="shared" si="146"/>
        <v>83.069761146052144</v>
      </c>
      <c r="BI227" s="81">
        <f t="shared" si="146"/>
        <v>83.069761146052144</v>
      </c>
      <c r="BJ227" s="81">
        <f t="shared" si="146"/>
        <v>83.069761146052144</v>
      </c>
    </row>
    <row r="228" spans="1:62">
      <c r="A228" s="118" t="s">
        <v>248</v>
      </c>
      <c r="C228" s="99">
        <f t="shared" ref="C228:AH228" si="147">ROUNDUP(IF(C6&gt;$O$6,(C227-$C$227),0),0)</f>
        <v>0</v>
      </c>
      <c r="D228" s="99">
        <f t="shared" si="147"/>
        <v>0</v>
      </c>
      <c r="E228" s="99">
        <f t="shared" si="147"/>
        <v>0</v>
      </c>
      <c r="F228" s="99">
        <f t="shared" si="147"/>
        <v>0</v>
      </c>
      <c r="G228" s="99">
        <f t="shared" si="147"/>
        <v>0</v>
      </c>
      <c r="H228" s="99">
        <f t="shared" si="147"/>
        <v>0</v>
      </c>
      <c r="I228" s="99">
        <f t="shared" si="147"/>
        <v>0</v>
      </c>
      <c r="J228" s="99">
        <f t="shared" si="147"/>
        <v>0</v>
      </c>
      <c r="K228" s="99">
        <f t="shared" si="147"/>
        <v>0</v>
      </c>
      <c r="L228" s="99">
        <f t="shared" si="147"/>
        <v>0</v>
      </c>
      <c r="M228" s="99">
        <f t="shared" si="147"/>
        <v>0</v>
      </c>
      <c r="N228" s="99">
        <f t="shared" si="147"/>
        <v>0</v>
      </c>
      <c r="O228" s="99">
        <f t="shared" si="147"/>
        <v>0</v>
      </c>
      <c r="P228" s="99">
        <f t="shared" si="147"/>
        <v>11</v>
      </c>
      <c r="Q228" s="99">
        <f t="shared" si="147"/>
        <v>11</v>
      </c>
      <c r="R228" s="99">
        <f t="shared" si="147"/>
        <v>11</v>
      </c>
      <c r="S228" s="99">
        <f t="shared" si="147"/>
        <v>18</v>
      </c>
      <c r="T228" s="99">
        <f t="shared" si="147"/>
        <v>18</v>
      </c>
      <c r="U228" s="99">
        <f t="shared" si="147"/>
        <v>18</v>
      </c>
      <c r="V228" s="99">
        <f t="shared" si="147"/>
        <v>25</v>
      </c>
      <c r="W228" s="99">
        <f t="shared" si="147"/>
        <v>25</v>
      </c>
      <c r="X228" s="99">
        <f t="shared" si="147"/>
        <v>25</v>
      </c>
      <c r="Y228" s="99">
        <f t="shared" si="147"/>
        <v>25</v>
      </c>
      <c r="Z228" s="99">
        <f t="shared" si="147"/>
        <v>25</v>
      </c>
      <c r="AA228" s="99">
        <f t="shared" si="147"/>
        <v>25</v>
      </c>
      <c r="AB228" s="99">
        <f t="shared" si="147"/>
        <v>29</v>
      </c>
      <c r="AC228" s="99">
        <f t="shared" si="147"/>
        <v>29</v>
      </c>
      <c r="AD228" s="99">
        <f t="shared" si="147"/>
        <v>29</v>
      </c>
      <c r="AE228" s="99">
        <f t="shared" si="147"/>
        <v>36</v>
      </c>
      <c r="AF228" s="99">
        <f t="shared" si="147"/>
        <v>36</v>
      </c>
      <c r="AG228" s="99">
        <f t="shared" si="147"/>
        <v>36</v>
      </c>
      <c r="AH228" s="99">
        <f t="shared" si="147"/>
        <v>42</v>
      </c>
      <c r="AI228" s="99">
        <f t="shared" ref="AI228:BJ228" si="148">ROUNDUP(IF(AI6&gt;$O$6,(AI227-$C$227),0),0)</f>
        <v>42</v>
      </c>
      <c r="AJ228" s="99">
        <f t="shared" si="148"/>
        <v>42</v>
      </c>
      <c r="AK228" s="99">
        <f t="shared" si="148"/>
        <v>42</v>
      </c>
      <c r="AL228" s="99">
        <f t="shared" si="148"/>
        <v>42</v>
      </c>
      <c r="AM228" s="99">
        <f t="shared" si="148"/>
        <v>42</v>
      </c>
      <c r="AN228" s="99">
        <f t="shared" si="148"/>
        <v>45</v>
      </c>
      <c r="AO228" s="99">
        <f t="shared" si="148"/>
        <v>45</v>
      </c>
      <c r="AP228" s="99">
        <f t="shared" si="148"/>
        <v>45</v>
      </c>
      <c r="AQ228" s="99">
        <f t="shared" si="148"/>
        <v>52</v>
      </c>
      <c r="AR228" s="99">
        <f t="shared" si="148"/>
        <v>52</v>
      </c>
      <c r="AS228" s="99">
        <f t="shared" si="148"/>
        <v>52</v>
      </c>
      <c r="AT228" s="99">
        <f t="shared" si="148"/>
        <v>57</v>
      </c>
      <c r="AU228" s="99">
        <f t="shared" si="148"/>
        <v>57</v>
      </c>
      <c r="AV228" s="99">
        <f t="shared" si="148"/>
        <v>57</v>
      </c>
      <c r="AW228" s="99">
        <f t="shared" si="148"/>
        <v>57</v>
      </c>
      <c r="AX228" s="99">
        <f t="shared" si="148"/>
        <v>57</v>
      </c>
      <c r="AY228" s="99">
        <f t="shared" si="148"/>
        <v>57</v>
      </c>
      <c r="AZ228" s="99">
        <f t="shared" si="148"/>
        <v>61</v>
      </c>
      <c r="BA228" s="99">
        <f t="shared" si="148"/>
        <v>61</v>
      </c>
      <c r="BB228" s="99">
        <f t="shared" si="148"/>
        <v>61</v>
      </c>
      <c r="BC228" s="99">
        <f t="shared" si="148"/>
        <v>67</v>
      </c>
      <c r="BD228" s="99">
        <f t="shared" si="148"/>
        <v>67</v>
      </c>
      <c r="BE228" s="99">
        <f t="shared" si="148"/>
        <v>67</v>
      </c>
      <c r="BF228" s="99">
        <f t="shared" si="148"/>
        <v>73</v>
      </c>
      <c r="BG228" s="99">
        <f t="shared" si="148"/>
        <v>73</v>
      </c>
      <c r="BH228" s="99">
        <f t="shared" si="148"/>
        <v>73</v>
      </c>
      <c r="BI228" s="99">
        <f t="shared" si="148"/>
        <v>73</v>
      </c>
      <c r="BJ228" s="99">
        <f t="shared" si="148"/>
        <v>73</v>
      </c>
    </row>
    <row r="229" spans="1:62">
      <c r="A229" s="118" t="s">
        <v>138</v>
      </c>
      <c r="B229" s="8" t="s">
        <v>212</v>
      </c>
      <c r="C229" s="81">
        <f>C228*25000</f>
        <v>0</v>
      </c>
      <c r="D229" s="81">
        <f t="shared" ref="D229:BJ229" si="149">D228*25000</f>
        <v>0</v>
      </c>
      <c r="E229" s="81">
        <f t="shared" si="149"/>
        <v>0</v>
      </c>
      <c r="F229" s="81">
        <f t="shared" si="149"/>
        <v>0</v>
      </c>
      <c r="G229" s="81">
        <f t="shared" si="149"/>
        <v>0</v>
      </c>
      <c r="H229" s="81">
        <f t="shared" si="149"/>
        <v>0</v>
      </c>
      <c r="I229" s="81">
        <f t="shared" si="149"/>
        <v>0</v>
      </c>
      <c r="J229" s="81">
        <f t="shared" si="149"/>
        <v>0</v>
      </c>
      <c r="K229" s="81">
        <f t="shared" si="149"/>
        <v>0</v>
      </c>
      <c r="L229" s="81">
        <f t="shared" si="149"/>
        <v>0</v>
      </c>
      <c r="M229" s="81">
        <f t="shared" si="149"/>
        <v>0</v>
      </c>
      <c r="N229" s="81">
        <f t="shared" si="149"/>
        <v>0</v>
      </c>
      <c r="O229" s="81">
        <f t="shared" si="149"/>
        <v>0</v>
      </c>
      <c r="P229" s="81">
        <f t="shared" si="149"/>
        <v>275000</v>
      </c>
      <c r="Q229" s="81">
        <f t="shared" si="149"/>
        <v>275000</v>
      </c>
      <c r="R229" s="81">
        <f t="shared" si="149"/>
        <v>275000</v>
      </c>
      <c r="S229" s="81">
        <f t="shared" si="149"/>
        <v>450000</v>
      </c>
      <c r="T229" s="81">
        <f t="shared" si="149"/>
        <v>450000</v>
      </c>
      <c r="U229" s="81">
        <f t="shared" si="149"/>
        <v>450000</v>
      </c>
      <c r="V229" s="81">
        <f t="shared" si="149"/>
        <v>625000</v>
      </c>
      <c r="W229" s="81">
        <f t="shared" si="149"/>
        <v>625000</v>
      </c>
      <c r="X229" s="81">
        <f t="shared" si="149"/>
        <v>625000</v>
      </c>
      <c r="Y229" s="81">
        <f t="shared" si="149"/>
        <v>625000</v>
      </c>
      <c r="Z229" s="81">
        <f t="shared" si="149"/>
        <v>625000</v>
      </c>
      <c r="AA229" s="81">
        <f t="shared" si="149"/>
        <v>625000</v>
      </c>
      <c r="AB229" s="81">
        <f t="shared" si="149"/>
        <v>725000</v>
      </c>
      <c r="AC229" s="81">
        <f t="shared" si="149"/>
        <v>725000</v>
      </c>
      <c r="AD229" s="81">
        <f t="shared" si="149"/>
        <v>725000</v>
      </c>
      <c r="AE229" s="81">
        <f t="shared" si="149"/>
        <v>900000</v>
      </c>
      <c r="AF229" s="81">
        <f t="shared" si="149"/>
        <v>900000</v>
      </c>
      <c r="AG229" s="81">
        <f t="shared" si="149"/>
        <v>900000</v>
      </c>
      <c r="AH229" s="81">
        <f t="shared" si="149"/>
        <v>1050000</v>
      </c>
      <c r="AI229" s="81">
        <f t="shared" si="149"/>
        <v>1050000</v>
      </c>
      <c r="AJ229" s="81">
        <f t="shared" si="149"/>
        <v>1050000</v>
      </c>
      <c r="AK229" s="81">
        <f t="shared" si="149"/>
        <v>1050000</v>
      </c>
      <c r="AL229" s="81">
        <f t="shared" si="149"/>
        <v>1050000</v>
      </c>
      <c r="AM229" s="81">
        <f t="shared" si="149"/>
        <v>1050000</v>
      </c>
      <c r="AN229" s="81">
        <f t="shared" si="149"/>
        <v>1125000</v>
      </c>
      <c r="AO229" s="81">
        <f t="shared" si="149"/>
        <v>1125000</v>
      </c>
      <c r="AP229" s="81">
        <f t="shared" si="149"/>
        <v>1125000</v>
      </c>
      <c r="AQ229" s="81">
        <f t="shared" si="149"/>
        <v>1300000</v>
      </c>
      <c r="AR229" s="81">
        <f t="shared" si="149"/>
        <v>1300000</v>
      </c>
      <c r="AS229" s="81">
        <f t="shared" si="149"/>
        <v>1300000</v>
      </c>
      <c r="AT229" s="81">
        <f t="shared" si="149"/>
        <v>1425000</v>
      </c>
      <c r="AU229" s="81">
        <f t="shared" si="149"/>
        <v>1425000</v>
      </c>
      <c r="AV229" s="81">
        <f t="shared" si="149"/>
        <v>1425000</v>
      </c>
      <c r="AW229" s="81">
        <f t="shared" si="149"/>
        <v>1425000</v>
      </c>
      <c r="AX229" s="81">
        <f t="shared" si="149"/>
        <v>1425000</v>
      </c>
      <c r="AY229" s="81">
        <f t="shared" si="149"/>
        <v>1425000</v>
      </c>
      <c r="AZ229" s="81">
        <f t="shared" si="149"/>
        <v>1525000</v>
      </c>
      <c r="BA229" s="81">
        <f t="shared" si="149"/>
        <v>1525000</v>
      </c>
      <c r="BB229" s="81">
        <f t="shared" si="149"/>
        <v>1525000</v>
      </c>
      <c r="BC229" s="81">
        <f t="shared" si="149"/>
        <v>1675000</v>
      </c>
      <c r="BD229" s="81">
        <f t="shared" si="149"/>
        <v>1675000</v>
      </c>
      <c r="BE229" s="81">
        <f t="shared" si="149"/>
        <v>1675000</v>
      </c>
      <c r="BF229" s="81">
        <f t="shared" si="149"/>
        <v>1825000</v>
      </c>
      <c r="BG229" s="81">
        <f t="shared" si="149"/>
        <v>1825000</v>
      </c>
      <c r="BH229" s="81">
        <f t="shared" si="149"/>
        <v>1825000</v>
      </c>
      <c r="BI229" s="81">
        <f t="shared" si="149"/>
        <v>1825000</v>
      </c>
      <c r="BJ229" s="81">
        <f t="shared" si="149"/>
        <v>1825000</v>
      </c>
    </row>
    <row r="230" spans="1:62">
      <c r="A230" s="102" t="s">
        <v>206</v>
      </c>
    </row>
    <row r="231" spans="1:62">
      <c r="A231" s="118" t="s">
        <v>207</v>
      </c>
      <c r="B231" s="8" t="s">
        <v>212</v>
      </c>
      <c r="C231" s="81">
        <f>Assumptions!B87</f>
        <v>300000</v>
      </c>
      <c r="D231" s="99">
        <f>C231</f>
        <v>300000</v>
      </c>
      <c r="E231" s="99">
        <f t="shared" ref="E231:BJ233" si="150">D231</f>
        <v>300000</v>
      </c>
      <c r="F231" s="99">
        <f t="shared" si="150"/>
        <v>300000</v>
      </c>
      <c r="G231" s="99">
        <f t="shared" si="150"/>
        <v>300000</v>
      </c>
      <c r="H231" s="99">
        <f t="shared" si="150"/>
        <v>300000</v>
      </c>
      <c r="I231" s="99">
        <f t="shared" si="150"/>
        <v>300000</v>
      </c>
      <c r="J231" s="99">
        <f t="shared" si="150"/>
        <v>300000</v>
      </c>
      <c r="K231" s="99">
        <f t="shared" si="150"/>
        <v>300000</v>
      </c>
      <c r="L231" s="99">
        <f t="shared" si="150"/>
        <v>300000</v>
      </c>
      <c r="M231" s="99">
        <f t="shared" si="150"/>
        <v>300000</v>
      </c>
      <c r="N231" s="99">
        <f t="shared" si="150"/>
        <v>300000</v>
      </c>
      <c r="O231" s="99">
        <f t="shared" si="150"/>
        <v>300000</v>
      </c>
      <c r="P231" s="99">
        <f t="shared" si="150"/>
        <v>300000</v>
      </c>
      <c r="Q231" s="99">
        <f t="shared" si="150"/>
        <v>300000</v>
      </c>
      <c r="R231" s="99">
        <f t="shared" si="150"/>
        <v>300000</v>
      </c>
      <c r="S231" s="99">
        <f t="shared" si="150"/>
        <v>300000</v>
      </c>
      <c r="T231" s="99">
        <f t="shared" si="150"/>
        <v>300000</v>
      </c>
      <c r="U231" s="99">
        <f t="shared" si="150"/>
        <v>300000</v>
      </c>
      <c r="V231" s="99">
        <f t="shared" si="150"/>
        <v>300000</v>
      </c>
      <c r="W231" s="99">
        <f t="shared" si="150"/>
        <v>300000</v>
      </c>
      <c r="X231" s="99">
        <f t="shared" si="150"/>
        <v>300000</v>
      </c>
      <c r="Y231" s="99">
        <f t="shared" si="150"/>
        <v>300000</v>
      </c>
      <c r="Z231" s="99">
        <f t="shared" si="150"/>
        <v>300000</v>
      </c>
      <c r="AA231" s="99">
        <f t="shared" si="150"/>
        <v>300000</v>
      </c>
      <c r="AB231" s="99">
        <f t="shared" si="150"/>
        <v>300000</v>
      </c>
      <c r="AC231" s="99">
        <f t="shared" si="150"/>
        <v>300000</v>
      </c>
      <c r="AD231" s="99">
        <f t="shared" si="150"/>
        <v>300000</v>
      </c>
      <c r="AE231" s="99">
        <f t="shared" si="150"/>
        <v>300000</v>
      </c>
      <c r="AF231" s="99">
        <f t="shared" si="150"/>
        <v>300000</v>
      </c>
      <c r="AG231" s="99">
        <f t="shared" si="150"/>
        <v>300000</v>
      </c>
      <c r="AH231" s="99">
        <f t="shared" si="150"/>
        <v>300000</v>
      </c>
      <c r="AI231" s="99">
        <f t="shared" si="150"/>
        <v>300000</v>
      </c>
      <c r="AJ231" s="99">
        <f t="shared" si="150"/>
        <v>300000</v>
      </c>
      <c r="AK231" s="99">
        <f t="shared" si="150"/>
        <v>300000</v>
      </c>
      <c r="AL231" s="99">
        <f t="shared" si="150"/>
        <v>300000</v>
      </c>
      <c r="AM231" s="99">
        <f t="shared" si="150"/>
        <v>300000</v>
      </c>
      <c r="AN231" s="99">
        <f t="shared" si="150"/>
        <v>300000</v>
      </c>
      <c r="AO231" s="99">
        <f t="shared" si="150"/>
        <v>300000</v>
      </c>
      <c r="AP231" s="99">
        <f t="shared" si="150"/>
        <v>300000</v>
      </c>
      <c r="AQ231" s="99">
        <f t="shared" si="150"/>
        <v>300000</v>
      </c>
      <c r="AR231" s="99">
        <f t="shared" si="150"/>
        <v>300000</v>
      </c>
      <c r="AS231" s="99">
        <f t="shared" si="150"/>
        <v>300000</v>
      </c>
      <c r="AT231" s="99">
        <f t="shared" si="150"/>
        <v>300000</v>
      </c>
      <c r="AU231" s="99">
        <f t="shared" si="150"/>
        <v>300000</v>
      </c>
      <c r="AV231" s="99">
        <f t="shared" si="150"/>
        <v>300000</v>
      </c>
      <c r="AW231" s="99">
        <f t="shared" si="150"/>
        <v>300000</v>
      </c>
      <c r="AX231" s="99">
        <f t="shared" si="150"/>
        <v>300000</v>
      </c>
      <c r="AY231" s="99">
        <f t="shared" si="150"/>
        <v>300000</v>
      </c>
      <c r="AZ231" s="99">
        <f t="shared" si="150"/>
        <v>300000</v>
      </c>
      <c r="BA231" s="99">
        <f t="shared" si="150"/>
        <v>300000</v>
      </c>
      <c r="BB231" s="99">
        <f t="shared" si="150"/>
        <v>300000</v>
      </c>
      <c r="BC231" s="99">
        <f t="shared" si="150"/>
        <v>300000</v>
      </c>
      <c r="BD231" s="99">
        <f t="shared" si="150"/>
        <v>300000</v>
      </c>
      <c r="BE231" s="99">
        <f t="shared" si="150"/>
        <v>300000</v>
      </c>
      <c r="BF231" s="99">
        <f t="shared" si="150"/>
        <v>300000</v>
      </c>
      <c r="BG231" s="99">
        <f t="shared" si="150"/>
        <v>300000</v>
      </c>
      <c r="BH231" s="99">
        <f t="shared" si="150"/>
        <v>300000</v>
      </c>
      <c r="BI231" s="99">
        <f t="shared" si="150"/>
        <v>300000</v>
      </c>
      <c r="BJ231" s="99">
        <f t="shared" si="150"/>
        <v>300000</v>
      </c>
    </row>
    <row r="232" spans="1:62">
      <c r="A232" s="132" t="s">
        <v>208</v>
      </c>
      <c r="C232" s="81">
        <f>Assumptions!B88</f>
        <v>2000000</v>
      </c>
      <c r="D232" s="99">
        <f t="shared" ref="D232:S233" si="151">C232</f>
        <v>2000000</v>
      </c>
      <c r="E232" s="99">
        <f t="shared" si="151"/>
        <v>2000000</v>
      </c>
      <c r="F232" s="99">
        <f t="shared" si="151"/>
        <v>2000000</v>
      </c>
      <c r="G232" s="99">
        <f t="shared" si="151"/>
        <v>2000000</v>
      </c>
      <c r="H232" s="99">
        <f t="shared" si="151"/>
        <v>2000000</v>
      </c>
      <c r="I232" s="99">
        <f t="shared" si="151"/>
        <v>2000000</v>
      </c>
      <c r="J232" s="99">
        <f t="shared" si="151"/>
        <v>2000000</v>
      </c>
      <c r="K232" s="99">
        <f t="shared" si="151"/>
        <v>2000000</v>
      </c>
      <c r="L232" s="99">
        <f t="shared" si="151"/>
        <v>2000000</v>
      </c>
      <c r="M232" s="99">
        <f t="shared" si="151"/>
        <v>2000000</v>
      </c>
      <c r="N232" s="99">
        <f t="shared" si="151"/>
        <v>2000000</v>
      </c>
      <c r="O232" s="99">
        <f t="shared" si="151"/>
        <v>2000000</v>
      </c>
      <c r="P232" s="99">
        <f t="shared" si="151"/>
        <v>2000000</v>
      </c>
      <c r="Q232" s="99">
        <f t="shared" si="151"/>
        <v>2000000</v>
      </c>
      <c r="R232" s="99">
        <f t="shared" si="151"/>
        <v>2000000</v>
      </c>
      <c r="S232" s="99">
        <f t="shared" si="151"/>
        <v>2000000</v>
      </c>
      <c r="T232" s="99">
        <f t="shared" si="150"/>
        <v>2000000</v>
      </c>
      <c r="U232" s="99">
        <f t="shared" si="150"/>
        <v>2000000</v>
      </c>
      <c r="V232" s="99">
        <f t="shared" si="150"/>
        <v>2000000</v>
      </c>
      <c r="W232" s="99">
        <f t="shared" si="150"/>
        <v>2000000</v>
      </c>
      <c r="X232" s="99">
        <f t="shared" si="150"/>
        <v>2000000</v>
      </c>
      <c r="Y232" s="99">
        <f t="shared" si="150"/>
        <v>2000000</v>
      </c>
      <c r="Z232" s="99">
        <f t="shared" si="150"/>
        <v>2000000</v>
      </c>
      <c r="AA232" s="99">
        <f t="shared" si="150"/>
        <v>2000000</v>
      </c>
      <c r="AB232" s="99">
        <f t="shared" si="150"/>
        <v>2000000</v>
      </c>
      <c r="AC232" s="99">
        <f t="shared" si="150"/>
        <v>2000000</v>
      </c>
      <c r="AD232" s="99">
        <f t="shared" si="150"/>
        <v>2000000</v>
      </c>
      <c r="AE232" s="99">
        <f t="shared" si="150"/>
        <v>2000000</v>
      </c>
      <c r="AF232" s="99">
        <f t="shared" si="150"/>
        <v>2000000</v>
      </c>
      <c r="AG232" s="99">
        <f t="shared" si="150"/>
        <v>2000000</v>
      </c>
      <c r="AH232" s="99">
        <f t="shared" si="150"/>
        <v>2000000</v>
      </c>
      <c r="AI232" s="99">
        <f t="shared" si="150"/>
        <v>2000000</v>
      </c>
      <c r="AJ232" s="99">
        <f t="shared" si="150"/>
        <v>2000000</v>
      </c>
      <c r="AK232" s="99">
        <f t="shared" si="150"/>
        <v>2000000</v>
      </c>
      <c r="AL232" s="99">
        <f t="shared" si="150"/>
        <v>2000000</v>
      </c>
      <c r="AM232" s="99">
        <f t="shared" si="150"/>
        <v>2000000</v>
      </c>
      <c r="AN232" s="99">
        <f t="shared" si="150"/>
        <v>2000000</v>
      </c>
      <c r="AO232" s="99">
        <f t="shared" si="150"/>
        <v>2000000</v>
      </c>
      <c r="AP232" s="99">
        <f t="shared" si="150"/>
        <v>2000000</v>
      </c>
      <c r="AQ232" s="99">
        <f t="shared" si="150"/>
        <v>2000000</v>
      </c>
      <c r="AR232" s="99">
        <f t="shared" si="150"/>
        <v>2000000</v>
      </c>
      <c r="AS232" s="99">
        <f t="shared" si="150"/>
        <v>2000000</v>
      </c>
      <c r="AT232" s="99">
        <f t="shared" si="150"/>
        <v>2000000</v>
      </c>
      <c r="AU232" s="99">
        <f t="shared" si="150"/>
        <v>2000000</v>
      </c>
      <c r="AV232" s="99">
        <f t="shared" si="150"/>
        <v>2000000</v>
      </c>
      <c r="AW232" s="99">
        <f t="shared" si="150"/>
        <v>2000000</v>
      </c>
      <c r="AX232" s="99">
        <f t="shared" si="150"/>
        <v>2000000</v>
      </c>
      <c r="AY232" s="99">
        <f t="shared" si="150"/>
        <v>2000000</v>
      </c>
      <c r="AZ232" s="99">
        <f t="shared" si="150"/>
        <v>2000000</v>
      </c>
      <c r="BA232" s="99">
        <f t="shared" si="150"/>
        <v>2000000</v>
      </c>
      <c r="BB232" s="99">
        <f t="shared" si="150"/>
        <v>2000000</v>
      </c>
      <c r="BC232" s="99">
        <f t="shared" si="150"/>
        <v>2000000</v>
      </c>
      <c r="BD232" s="99">
        <f t="shared" si="150"/>
        <v>2000000</v>
      </c>
      <c r="BE232" s="99">
        <f t="shared" si="150"/>
        <v>2000000</v>
      </c>
      <c r="BF232" s="99">
        <f t="shared" si="150"/>
        <v>2000000</v>
      </c>
      <c r="BG232" s="99">
        <f t="shared" si="150"/>
        <v>2000000</v>
      </c>
      <c r="BH232" s="99">
        <f t="shared" si="150"/>
        <v>2000000</v>
      </c>
      <c r="BI232" s="99">
        <f t="shared" si="150"/>
        <v>2000000</v>
      </c>
      <c r="BJ232" s="99">
        <f t="shared" si="150"/>
        <v>2000000</v>
      </c>
    </row>
    <row r="233" spans="1:62">
      <c r="A233" s="118" t="s">
        <v>270</v>
      </c>
      <c r="B233" s="8" t="s">
        <v>212</v>
      </c>
      <c r="C233" s="81">
        <f>Assumptions!B89</f>
        <v>1000000</v>
      </c>
      <c r="D233" s="99">
        <f t="shared" si="151"/>
        <v>1000000</v>
      </c>
      <c r="E233" s="99">
        <f t="shared" si="150"/>
        <v>1000000</v>
      </c>
      <c r="F233" s="99">
        <f t="shared" si="150"/>
        <v>1000000</v>
      </c>
      <c r="G233" s="99">
        <f t="shared" si="150"/>
        <v>1000000</v>
      </c>
      <c r="H233" s="99">
        <f t="shared" si="150"/>
        <v>1000000</v>
      </c>
      <c r="I233" s="99">
        <f t="shared" si="150"/>
        <v>1000000</v>
      </c>
      <c r="J233" s="99">
        <f t="shared" si="150"/>
        <v>1000000</v>
      </c>
      <c r="K233" s="99">
        <f t="shared" si="150"/>
        <v>1000000</v>
      </c>
      <c r="L233" s="99">
        <f t="shared" si="150"/>
        <v>1000000</v>
      </c>
      <c r="M233" s="99">
        <f t="shared" si="150"/>
        <v>1000000</v>
      </c>
      <c r="N233" s="99">
        <f t="shared" si="150"/>
        <v>1000000</v>
      </c>
      <c r="O233" s="99">
        <f t="shared" si="150"/>
        <v>1000000</v>
      </c>
      <c r="P233" s="99">
        <f t="shared" si="150"/>
        <v>1000000</v>
      </c>
      <c r="Q233" s="99">
        <f t="shared" si="150"/>
        <v>1000000</v>
      </c>
      <c r="R233" s="99">
        <f t="shared" si="150"/>
        <v>1000000</v>
      </c>
      <c r="S233" s="99">
        <f t="shared" si="150"/>
        <v>1000000</v>
      </c>
      <c r="T233" s="99">
        <f t="shared" si="150"/>
        <v>1000000</v>
      </c>
      <c r="U233" s="99">
        <f t="shared" si="150"/>
        <v>1000000</v>
      </c>
      <c r="V233" s="99">
        <f t="shared" si="150"/>
        <v>1000000</v>
      </c>
      <c r="W233" s="99">
        <f t="shared" si="150"/>
        <v>1000000</v>
      </c>
      <c r="X233" s="99">
        <f t="shared" si="150"/>
        <v>1000000</v>
      </c>
      <c r="Y233" s="99">
        <f t="shared" si="150"/>
        <v>1000000</v>
      </c>
      <c r="Z233" s="99">
        <f t="shared" si="150"/>
        <v>1000000</v>
      </c>
      <c r="AA233" s="99">
        <f t="shared" si="150"/>
        <v>1000000</v>
      </c>
      <c r="AB233" s="99">
        <f t="shared" si="150"/>
        <v>1000000</v>
      </c>
      <c r="AC233" s="99">
        <f t="shared" si="150"/>
        <v>1000000</v>
      </c>
      <c r="AD233" s="99">
        <f t="shared" si="150"/>
        <v>1000000</v>
      </c>
      <c r="AE233" s="99">
        <f t="shared" si="150"/>
        <v>1000000</v>
      </c>
      <c r="AF233" s="99">
        <f t="shared" si="150"/>
        <v>1000000</v>
      </c>
      <c r="AG233" s="99">
        <f t="shared" si="150"/>
        <v>1000000</v>
      </c>
      <c r="AH233" s="99">
        <f t="shared" si="150"/>
        <v>1000000</v>
      </c>
      <c r="AI233" s="99">
        <f t="shared" si="150"/>
        <v>1000000</v>
      </c>
      <c r="AJ233" s="99">
        <f t="shared" si="150"/>
        <v>1000000</v>
      </c>
      <c r="AK233" s="99">
        <f t="shared" si="150"/>
        <v>1000000</v>
      </c>
      <c r="AL233" s="99">
        <f t="shared" si="150"/>
        <v>1000000</v>
      </c>
      <c r="AM233" s="99">
        <f t="shared" si="150"/>
        <v>1000000</v>
      </c>
      <c r="AN233" s="99">
        <f t="shared" si="150"/>
        <v>1000000</v>
      </c>
      <c r="AO233" s="99">
        <f t="shared" si="150"/>
        <v>1000000</v>
      </c>
      <c r="AP233" s="99">
        <f t="shared" si="150"/>
        <v>1000000</v>
      </c>
      <c r="AQ233" s="99">
        <f t="shared" si="150"/>
        <v>1000000</v>
      </c>
      <c r="AR233" s="99">
        <f t="shared" si="150"/>
        <v>1000000</v>
      </c>
      <c r="AS233" s="99">
        <f t="shared" si="150"/>
        <v>1000000</v>
      </c>
      <c r="AT233" s="99">
        <f t="shared" si="150"/>
        <v>1000000</v>
      </c>
      <c r="AU233" s="99">
        <f t="shared" si="150"/>
        <v>1000000</v>
      </c>
      <c r="AV233" s="99">
        <f t="shared" si="150"/>
        <v>1000000</v>
      </c>
      <c r="AW233" s="99">
        <f t="shared" si="150"/>
        <v>1000000</v>
      </c>
      <c r="AX233" s="99">
        <f t="shared" si="150"/>
        <v>1000000</v>
      </c>
      <c r="AY233" s="99">
        <f t="shared" si="150"/>
        <v>1000000</v>
      </c>
      <c r="AZ233" s="99">
        <f t="shared" si="150"/>
        <v>1000000</v>
      </c>
      <c r="BA233" s="99">
        <f t="shared" si="150"/>
        <v>1000000</v>
      </c>
      <c r="BB233" s="99">
        <f t="shared" si="150"/>
        <v>1000000</v>
      </c>
      <c r="BC233" s="99">
        <f t="shared" si="150"/>
        <v>1000000</v>
      </c>
      <c r="BD233" s="99">
        <f t="shared" si="150"/>
        <v>1000000</v>
      </c>
      <c r="BE233" s="99">
        <f t="shared" si="150"/>
        <v>1000000</v>
      </c>
      <c r="BF233" s="99">
        <f t="shared" si="150"/>
        <v>1000000</v>
      </c>
      <c r="BG233" s="99">
        <f t="shared" si="150"/>
        <v>1000000</v>
      </c>
      <c r="BH233" s="99">
        <f t="shared" si="150"/>
        <v>1000000</v>
      </c>
      <c r="BI233" s="99">
        <f t="shared" si="150"/>
        <v>1000000</v>
      </c>
      <c r="BJ233" s="99">
        <f t="shared" si="150"/>
        <v>1000000</v>
      </c>
    </row>
    <row r="234" spans="1:62">
      <c r="A234" s="118"/>
      <c r="C234" s="81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  <c r="AG234" s="99"/>
      <c r="AH234" s="99"/>
      <c r="AI234" s="99"/>
      <c r="AJ234" s="99"/>
      <c r="AK234" s="99"/>
      <c r="AL234" s="99"/>
      <c r="AM234" s="99"/>
      <c r="AN234" s="99"/>
      <c r="AO234" s="99"/>
      <c r="AP234" s="99"/>
      <c r="AQ234" s="99"/>
      <c r="AR234" s="99"/>
      <c r="AS234" s="99"/>
      <c r="AT234" s="99"/>
      <c r="AU234" s="99"/>
      <c r="AV234" s="99"/>
      <c r="AW234" s="99"/>
      <c r="AX234" s="99"/>
      <c r="AY234" s="99"/>
      <c r="AZ234" s="99"/>
      <c r="BA234" s="99"/>
      <c r="BB234" s="99"/>
      <c r="BC234" s="99"/>
      <c r="BD234" s="99"/>
      <c r="BE234" s="99"/>
      <c r="BF234" s="99"/>
      <c r="BG234" s="99"/>
      <c r="BH234" s="99"/>
      <c r="BI234" s="99"/>
      <c r="BJ234" s="99"/>
    </row>
    <row r="235" spans="1:62">
      <c r="A235" s="102" t="s">
        <v>213</v>
      </c>
      <c r="C235" s="81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  <c r="AG235" s="99"/>
      <c r="AH235" s="99"/>
      <c r="AI235" s="99"/>
      <c r="AJ235" s="99"/>
      <c r="AK235" s="99"/>
      <c r="AL235" s="99"/>
      <c r="AM235" s="99"/>
      <c r="AN235" s="99"/>
      <c r="AO235" s="99"/>
      <c r="AP235" s="99"/>
      <c r="AQ235" s="99"/>
      <c r="AR235" s="99"/>
      <c r="AS235" s="99"/>
      <c r="AT235" s="99"/>
      <c r="AU235" s="99"/>
      <c r="AV235" s="99"/>
      <c r="AW235" s="99"/>
      <c r="AX235" s="99"/>
      <c r="AY235" s="99"/>
      <c r="AZ235" s="99"/>
      <c r="BA235" s="99"/>
      <c r="BB235" s="99"/>
      <c r="BC235" s="99"/>
      <c r="BD235" s="99"/>
      <c r="BE235" s="99"/>
      <c r="BF235" s="99"/>
      <c r="BG235" s="99"/>
      <c r="BH235" s="99"/>
      <c r="BI235" s="99"/>
      <c r="BJ235" s="99"/>
    </row>
    <row r="236" spans="1:62">
      <c r="A236" s="118" t="s">
        <v>214</v>
      </c>
      <c r="C236" s="81">
        <f>IF(C105&gt;0,Assets_Acquired_per_Acquisition,0)</f>
        <v>1500000</v>
      </c>
      <c r="D236" s="81">
        <f t="shared" ref="D236:AI236" si="152">IF(D99&gt;0,Assets_Acquired_per_Acquisition,0)</f>
        <v>0</v>
      </c>
      <c r="E236" s="81">
        <f t="shared" si="152"/>
        <v>0</v>
      </c>
      <c r="F236" s="81">
        <f t="shared" si="152"/>
        <v>0</v>
      </c>
      <c r="G236" s="81">
        <f t="shared" si="152"/>
        <v>0</v>
      </c>
      <c r="H236" s="81">
        <f t="shared" si="152"/>
        <v>0</v>
      </c>
      <c r="I236" s="81">
        <f t="shared" si="152"/>
        <v>0</v>
      </c>
      <c r="J236" s="81">
        <f t="shared" si="152"/>
        <v>0</v>
      </c>
      <c r="K236" s="81">
        <f t="shared" si="152"/>
        <v>0</v>
      </c>
      <c r="L236" s="81">
        <f t="shared" si="152"/>
        <v>0</v>
      </c>
      <c r="M236" s="81">
        <f t="shared" si="152"/>
        <v>0</v>
      </c>
      <c r="N236" s="81">
        <f t="shared" si="152"/>
        <v>0</v>
      </c>
      <c r="O236" s="81">
        <f t="shared" si="152"/>
        <v>1500000</v>
      </c>
      <c r="P236" s="81">
        <f t="shared" si="152"/>
        <v>0</v>
      </c>
      <c r="Q236" s="81">
        <f t="shared" si="152"/>
        <v>0</v>
      </c>
      <c r="R236" s="81">
        <f t="shared" si="152"/>
        <v>1500000</v>
      </c>
      <c r="S236" s="81">
        <f t="shared" si="152"/>
        <v>0</v>
      </c>
      <c r="T236" s="81">
        <f t="shared" si="152"/>
        <v>0</v>
      </c>
      <c r="U236" s="81">
        <f t="shared" si="152"/>
        <v>1500000</v>
      </c>
      <c r="V236" s="81">
        <f t="shared" si="152"/>
        <v>0</v>
      </c>
      <c r="W236" s="81">
        <f t="shared" si="152"/>
        <v>0</v>
      </c>
      <c r="X236" s="81">
        <f t="shared" si="152"/>
        <v>0</v>
      </c>
      <c r="Y236" s="81">
        <f t="shared" si="152"/>
        <v>0</v>
      </c>
      <c r="Z236" s="81">
        <f t="shared" si="152"/>
        <v>0</v>
      </c>
      <c r="AA236" s="81">
        <f t="shared" si="152"/>
        <v>1500000</v>
      </c>
      <c r="AB236" s="81">
        <f t="shared" si="152"/>
        <v>0</v>
      </c>
      <c r="AC236" s="81">
        <f t="shared" si="152"/>
        <v>0</v>
      </c>
      <c r="AD236" s="81">
        <f t="shared" si="152"/>
        <v>1500000</v>
      </c>
      <c r="AE236" s="81">
        <f t="shared" si="152"/>
        <v>0</v>
      </c>
      <c r="AF236" s="81">
        <f t="shared" si="152"/>
        <v>0</v>
      </c>
      <c r="AG236" s="81">
        <f t="shared" si="152"/>
        <v>1500000</v>
      </c>
      <c r="AH236" s="81">
        <f t="shared" si="152"/>
        <v>0</v>
      </c>
      <c r="AI236" s="81">
        <f t="shared" si="152"/>
        <v>0</v>
      </c>
      <c r="AJ236" s="81">
        <f t="shared" ref="AJ236:BJ236" si="153">IF(AJ99&gt;0,Assets_Acquired_per_Acquisition,0)</f>
        <v>0</v>
      </c>
      <c r="AK236" s="81">
        <f t="shared" si="153"/>
        <v>0</v>
      </c>
      <c r="AL236" s="81">
        <f t="shared" si="153"/>
        <v>0</v>
      </c>
      <c r="AM236" s="81">
        <f t="shared" si="153"/>
        <v>1500000</v>
      </c>
      <c r="AN236" s="81">
        <f t="shared" si="153"/>
        <v>0</v>
      </c>
      <c r="AO236" s="81">
        <f t="shared" si="153"/>
        <v>0</v>
      </c>
      <c r="AP236" s="81">
        <f t="shared" si="153"/>
        <v>1500000</v>
      </c>
      <c r="AQ236" s="81">
        <f t="shared" si="153"/>
        <v>0</v>
      </c>
      <c r="AR236" s="81">
        <f t="shared" si="153"/>
        <v>0</v>
      </c>
      <c r="AS236" s="81">
        <f t="shared" si="153"/>
        <v>1500000</v>
      </c>
      <c r="AT236" s="81">
        <f t="shared" si="153"/>
        <v>0</v>
      </c>
      <c r="AU236" s="81">
        <f t="shared" si="153"/>
        <v>0</v>
      </c>
      <c r="AV236" s="81">
        <f t="shared" si="153"/>
        <v>0</v>
      </c>
      <c r="AW236" s="81">
        <f t="shared" si="153"/>
        <v>0</v>
      </c>
      <c r="AX236" s="81">
        <f t="shared" si="153"/>
        <v>0</v>
      </c>
      <c r="AY236" s="81">
        <f t="shared" si="153"/>
        <v>1500000</v>
      </c>
      <c r="AZ236" s="81">
        <f t="shared" si="153"/>
        <v>0</v>
      </c>
      <c r="BA236" s="81">
        <f t="shared" si="153"/>
        <v>0</v>
      </c>
      <c r="BB236" s="81">
        <f t="shared" si="153"/>
        <v>1500000</v>
      </c>
      <c r="BC236" s="81">
        <f t="shared" si="153"/>
        <v>0</v>
      </c>
      <c r="BD236" s="81">
        <f t="shared" si="153"/>
        <v>0</v>
      </c>
      <c r="BE236" s="81">
        <f t="shared" si="153"/>
        <v>1500000</v>
      </c>
      <c r="BF236" s="81">
        <f t="shared" si="153"/>
        <v>0</v>
      </c>
      <c r="BG236" s="81">
        <f t="shared" si="153"/>
        <v>0</v>
      </c>
      <c r="BH236" s="81">
        <f t="shared" si="153"/>
        <v>0</v>
      </c>
      <c r="BI236" s="81">
        <f t="shared" si="153"/>
        <v>0</v>
      </c>
      <c r="BJ236" s="81">
        <f t="shared" si="153"/>
        <v>0</v>
      </c>
    </row>
    <row r="237" spans="1:62">
      <c r="A237" s="118" t="s">
        <v>215</v>
      </c>
      <c r="B237" s="8" t="s">
        <v>212</v>
      </c>
      <c r="C237" s="81">
        <f>SUM($C$236:C236)</f>
        <v>1500000</v>
      </c>
      <c r="D237" s="81">
        <f>SUM($C$236:D236)</f>
        <v>1500000</v>
      </c>
      <c r="E237" s="81">
        <f>SUM($C$236:E236)</f>
        <v>1500000</v>
      </c>
      <c r="F237" s="81">
        <f>SUM($C$236:F236)</f>
        <v>1500000</v>
      </c>
      <c r="G237" s="81">
        <f>SUM($C$236:G236)</f>
        <v>1500000</v>
      </c>
      <c r="H237" s="81">
        <f>SUM($C$236:H236)</f>
        <v>1500000</v>
      </c>
      <c r="I237" s="81">
        <f>SUM($C$236:I236)</f>
        <v>1500000</v>
      </c>
      <c r="J237" s="81">
        <f>SUM($C$236:J236)</f>
        <v>1500000</v>
      </c>
      <c r="K237" s="81">
        <f>SUM($C$236:K236)</f>
        <v>1500000</v>
      </c>
      <c r="L237" s="81">
        <f>SUM($C$236:L236)</f>
        <v>1500000</v>
      </c>
      <c r="M237" s="81">
        <f>SUM($C$236:M236)</f>
        <v>1500000</v>
      </c>
      <c r="N237" s="81">
        <f>SUM($C$236:N236)</f>
        <v>1500000</v>
      </c>
      <c r="O237" s="81">
        <f>SUM($C$236:O236)</f>
        <v>3000000</v>
      </c>
      <c r="P237" s="81">
        <f>SUM($C$236:P236)</f>
        <v>3000000</v>
      </c>
      <c r="Q237" s="81">
        <f>SUM($C$236:Q236)</f>
        <v>3000000</v>
      </c>
      <c r="R237" s="81">
        <f>SUM($C$236:R236)</f>
        <v>4500000</v>
      </c>
      <c r="S237" s="81">
        <f>SUM($C$236:S236)</f>
        <v>4500000</v>
      </c>
      <c r="T237" s="81">
        <f>SUM($C$236:T236)</f>
        <v>4500000</v>
      </c>
      <c r="U237" s="81">
        <f>SUM($C$236:U236)</f>
        <v>6000000</v>
      </c>
      <c r="V237" s="81">
        <f>SUM($C$236:V236)</f>
        <v>6000000</v>
      </c>
      <c r="W237" s="81">
        <f>SUM($C$236:W236)</f>
        <v>6000000</v>
      </c>
      <c r="X237" s="81">
        <f>SUM($C$236:X236)</f>
        <v>6000000</v>
      </c>
      <c r="Y237" s="81">
        <f>SUM($C$236:Y236)</f>
        <v>6000000</v>
      </c>
      <c r="Z237" s="81">
        <f>SUM($C$236:Z236)</f>
        <v>6000000</v>
      </c>
      <c r="AA237" s="81">
        <f>SUM($C$236:AA236)</f>
        <v>7500000</v>
      </c>
      <c r="AB237" s="81">
        <f>SUM($C$236:AB236)</f>
        <v>7500000</v>
      </c>
      <c r="AC237" s="81">
        <f>SUM($C$236:AC236)</f>
        <v>7500000</v>
      </c>
      <c r="AD237" s="81">
        <f>SUM($C$236:AD236)</f>
        <v>9000000</v>
      </c>
      <c r="AE237" s="81">
        <f>SUM($C$236:AE236)</f>
        <v>9000000</v>
      </c>
      <c r="AF237" s="81">
        <f>SUM($C$236:AF236)</f>
        <v>9000000</v>
      </c>
      <c r="AG237" s="81">
        <f>SUM($C$236:AG236)</f>
        <v>10500000</v>
      </c>
      <c r="AH237" s="81">
        <f>SUM($C$236:AH236)</f>
        <v>10500000</v>
      </c>
      <c r="AI237" s="81">
        <f>SUM($C$236:AI236)</f>
        <v>10500000</v>
      </c>
      <c r="AJ237" s="81">
        <f>SUM($C$236:AJ236)</f>
        <v>10500000</v>
      </c>
      <c r="AK237" s="81">
        <f>SUM($C$236:AK236)</f>
        <v>10500000</v>
      </c>
      <c r="AL237" s="81">
        <f>SUM($C$236:AL236)</f>
        <v>10500000</v>
      </c>
      <c r="AM237" s="81">
        <f>SUM($C$236:AM236)</f>
        <v>12000000</v>
      </c>
      <c r="AN237" s="81">
        <f>SUM($C$236:AN236)</f>
        <v>12000000</v>
      </c>
      <c r="AO237" s="81">
        <f>SUM($C$236:AO236)</f>
        <v>12000000</v>
      </c>
      <c r="AP237" s="81">
        <f>SUM($C$236:AP236)</f>
        <v>13500000</v>
      </c>
      <c r="AQ237" s="81">
        <f>SUM($C$236:AQ236)</f>
        <v>13500000</v>
      </c>
      <c r="AR237" s="81">
        <f>SUM($C$236:AR236)</f>
        <v>13500000</v>
      </c>
      <c r="AS237" s="81">
        <f>SUM($C$236:AS236)</f>
        <v>15000000</v>
      </c>
      <c r="AT237" s="81">
        <f>SUM($C$236:AT236)</f>
        <v>15000000</v>
      </c>
      <c r="AU237" s="81">
        <f>SUM($C$236:AU236)</f>
        <v>15000000</v>
      </c>
      <c r="AV237" s="81">
        <f>SUM($C$236:AV236)</f>
        <v>15000000</v>
      </c>
      <c r="AW237" s="81">
        <f>SUM($C$236:AW236)</f>
        <v>15000000</v>
      </c>
      <c r="AX237" s="81">
        <f>SUM($C$236:AX236)</f>
        <v>15000000</v>
      </c>
      <c r="AY237" s="81">
        <f>SUM($C$236:AY236)</f>
        <v>16500000</v>
      </c>
      <c r="AZ237" s="81">
        <f>SUM($C$236:AZ236)</f>
        <v>16500000</v>
      </c>
      <c r="BA237" s="81">
        <f>SUM($C$236:BA236)</f>
        <v>16500000</v>
      </c>
      <c r="BB237" s="81">
        <f>SUM($C$236:BB236)</f>
        <v>18000000</v>
      </c>
      <c r="BC237" s="81">
        <f>SUM($C$236:BC236)</f>
        <v>18000000</v>
      </c>
      <c r="BD237" s="81">
        <f>SUM($C$236:BD236)</f>
        <v>18000000</v>
      </c>
      <c r="BE237" s="81">
        <f>SUM($C$236:BE236)</f>
        <v>19500000</v>
      </c>
      <c r="BF237" s="81">
        <f>SUM($C$236:BF236)</f>
        <v>19500000</v>
      </c>
      <c r="BG237" s="81">
        <f>SUM($C$236:BG236)</f>
        <v>19500000</v>
      </c>
      <c r="BH237" s="81">
        <f>SUM($C$236:BH236)</f>
        <v>19500000</v>
      </c>
      <c r="BI237" s="81">
        <f>SUM($C$236:BI236)</f>
        <v>19500000</v>
      </c>
      <c r="BJ237" s="81">
        <f>SUM($C$236:BJ236)</f>
        <v>19500000</v>
      </c>
    </row>
    <row r="238" spans="1:62">
      <c r="A238" s="118" t="s">
        <v>216</v>
      </c>
      <c r="C238" s="99">
        <f>C98*VLOOKUP(Assumptions!$G$7,Acquisition_Cost_per_subscriber,'Financial Statements &amp; Detail'!C5+1)</f>
        <v>5500000</v>
      </c>
      <c r="D238" s="99">
        <f>C238</f>
        <v>5500000</v>
      </c>
      <c r="E238" s="99">
        <f t="shared" ref="E238:N238" si="154">D238</f>
        <v>5500000</v>
      </c>
      <c r="F238" s="99">
        <f t="shared" si="154"/>
        <v>5500000</v>
      </c>
      <c r="G238" s="99">
        <f t="shared" si="154"/>
        <v>5500000</v>
      </c>
      <c r="H238" s="99">
        <f t="shared" si="154"/>
        <v>5500000</v>
      </c>
      <c r="I238" s="99">
        <f t="shared" si="154"/>
        <v>5500000</v>
      </c>
      <c r="J238" s="99">
        <f t="shared" si="154"/>
        <v>5500000</v>
      </c>
      <c r="K238" s="99">
        <f t="shared" si="154"/>
        <v>5500000</v>
      </c>
      <c r="L238" s="99">
        <f t="shared" si="154"/>
        <v>5500000</v>
      </c>
      <c r="M238" s="99">
        <f t="shared" si="154"/>
        <v>5500000</v>
      </c>
      <c r="N238" s="99">
        <f t="shared" si="154"/>
        <v>5500000</v>
      </c>
      <c r="O238" s="99">
        <f>O99*VLOOKUP(Assumptions!$G$7,Acquisition_Cost_per_subscriber,'Financial Statements &amp; Detail'!O5+1)</f>
        <v>4166666.666666667</v>
      </c>
      <c r="P238" s="99">
        <f>P99*VLOOKUP(Assumptions!$G$7,Acquisition_Cost_per_subscriber,'Financial Statements &amp; Detail'!P5+1)</f>
        <v>0</v>
      </c>
      <c r="Q238" s="99">
        <f>Q99*VLOOKUP(Assumptions!$G$7,Acquisition_Cost_per_subscriber,'Financial Statements &amp; Detail'!Q5+1)</f>
        <v>0</v>
      </c>
      <c r="R238" s="99">
        <f>R99*VLOOKUP(Assumptions!$G$7,Acquisition_Cost_per_subscriber,'Financial Statements &amp; Detail'!R5+1)</f>
        <v>4166666.666666667</v>
      </c>
      <c r="S238" s="99">
        <f>S99*VLOOKUP(Assumptions!$G$7,Acquisition_Cost_per_subscriber,'Financial Statements &amp; Detail'!S5+1)</f>
        <v>0</v>
      </c>
      <c r="T238" s="99">
        <f>T99*VLOOKUP(Assumptions!$G$7,Acquisition_Cost_per_subscriber,'Financial Statements &amp; Detail'!T5+1)</f>
        <v>0</v>
      </c>
      <c r="U238" s="99">
        <f>U99*VLOOKUP(Assumptions!$G$7,Acquisition_Cost_per_subscriber,'Financial Statements &amp; Detail'!U5+1)</f>
        <v>4166666.666666667</v>
      </c>
      <c r="V238" s="99">
        <f>V99*VLOOKUP(Assumptions!$G$7,Acquisition_Cost_per_subscriber,'Financial Statements &amp; Detail'!V5+1)</f>
        <v>0</v>
      </c>
      <c r="W238" s="99">
        <f>W99*VLOOKUP(Assumptions!$G$7,Acquisition_Cost_per_subscriber,'Financial Statements &amp; Detail'!W5+1)</f>
        <v>0</v>
      </c>
      <c r="X238" s="99">
        <f>X99*VLOOKUP(Assumptions!$G$7,Acquisition_Cost_per_subscriber,'Financial Statements &amp; Detail'!X5+1)</f>
        <v>0</v>
      </c>
      <c r="Y238" s="99">
        <f>Y99*VLOOKUP(Assumptions!$G$7,Acquisition_Cost_per_subscriber,'Financial Statements &amp; Detail'!Y5+1)</f>
        <v>0</v>
      </c>
      <c r="Z238" s="99">
        <f>Z99*VLOOKUP(Assumptions!$G$7,Acquisition_Cost_per_subscriber,'Financial Statements &amp; Detail'!Z5+1)</f>
        <v>0</v>
      </c>
      <c r="AA238" s="99">
        <f>AA99*VLOOKUP(Assumptions!$G$7,Acquisition_Cost_per_subscriber,'Financial Statements &amp; Detail'!AA5+1)</f>
        <v>4166666.666666667</v>
      </c>
      <c r="AB238" s="99">
        <f>AB99*VLOOKUP(Assumptions!$G$7,Acquisition_Cost_per_subscriber,'Financial Statements &amp; Detail'!AB5+1)</f>
        <v>0</v>
      </c>
      <c r="AC238" s="99">
        <f>AC99*VLOOKUP(Assumptions!$G$7,Acquisition_Cost_per_subscriber,'Financial Statements &amp; Detail'!AC5+1)</f>
        <v>0</v>
      </c>
      <c r="AD238" s="99">
        <f>AD99*VLOOKUP(Assumptions!$G$7,Acquisition_Cost_per_subscriber,'Financial Statements &amp; Detail'!AD5+1)</f>
        <v>4166666.666666667</v>
      </c>
      <c r="AE238" s="99">
        <f>AE99*VLOOKUP(Assumptions!$G$7,Acquisition_Cost_per_subscriber,'Financial Statements &amp; Detail'!AE5+1)</f>
        <v>0</v>
      </c>
      <c r="AF238" s="99">
        <f>AF99*VLOOKUP(Assumptions!$G$7,Acquisition_Cost_per_subscriber,'Financial Statements &amp; Detail'!AF5+1)</f>
        <v>0</v>
      </c>
      <c r="AG238" s="99">
        <f>AG99*VLOOKUP(Assumptions!$G$7,Acquisition_Cost_per_subscriber,'Financial Statements &amp; Detail'!AG5+1)</f>
        <v>4166666.666666667</v>
      </c>
      <c r="AH238" s="99">
        <f>AH99*VLOOKUP(Assumptions!$G$7,Acquisition_Cost_per_subscriber,'Financial Statements &amp; Detail'!AH5+1)</f>
        <v>0</v>
      </c>
      <c r="AI238" s="99">
        <f>AI99*VLOOKUP(Assumptions!$G$7,Acquisition_Cost_per_subscriber,'Financial Statements &amp; Detail'!AI5+1)</f>
        <v>0</v>
      </c>
      <c r="AJ238" s="99">
        <f>AJ99*VLOOKUP(Assumptions!$G$7,Acquisition_Cost_per_subscriber,'Financial Statements &amp; Detail'!AJ5+1)</f>
        <v>0</v>
      </c>
      <c r="AK238" s="99">
        <f>AK99*VLOOKUP(Assumptions!$G$7,Acquisition_Cost_per_subscriber,'Financial Statements &amp; Detail'!AK5+1)</f>
        <v>0</v>
      </c>
      <c r="AL238" s="99">
        <f>AL99*VLOOKUP(Assumptions!$G$7,Acquisition_Cost_per_subscriber,'Financial Statements &amp; Detail'!AL5+1)</f>
        <v>0</v>
      </c>
      <c r="AM238" s="99">
        <f>AM99*VLOOKUP(Assumptions!$G$7,Acquisition_Cost_per_subscriber,'Financial Statements &amp; Detail'!AM5+1)</f>
        <v>4166666.666666667</v>
      </c>
      <c r="AN238" s="99">
        <f>AN99*VLOOKUP(Assumptions!$G$7,Acquisition_Cost_per_subscriber,'Financial Statements &amp; Detail'!AN5+1)</f>
        <v>0</v>
      </c>
      <c r="AO238" s="99">
        <f>AO99*VLOOKUP(Assumptions!$G$7,Acquisition_Cost_per_subscriber,'Financial Statements &amp; Detail'!AO5+1)</f>
        <v>0</v>
      </c>
      <c r="AP238" s="99">
        <f>AP99*VLOOKUP(Assumptions!$G$7,Acquisition_Cost_per_subscriber,'Financial Statements &amp; Detail'!AP5+1)</f>
        <v>4166666.666666667</v>
      </c>
      <c r="AQ238" s="99">
        <f>AQ99*VLOOKUP(Assumptions!$G$7,Acquisition_Cost_per_subscriber,'Financial Statements &amp; Detail'!AQ5+1)</f>
        <v>0</v>
      </c>
      <c r="AR238" s="99">
        <f>AR99*VLOOKUP(Assumptions!$G$7,Acquisition_Cost_per_subscriber,'Financial Statements &amp; Detail'!AR5+1)</f>
        <v>0</v>
      </c>
      <c r="AS238" s="99">
        <f>AS99*VLOOKUP(Assumptions!$G$7,Acquisition_Cost_per_subscriber,'Financial Statements &amp; Detail'!AS5+1)</f>
        <v>4166666.666666667</v>
      </c>
      <c r="AT238" s="99">
        <f>AT99*VLOOKUP(Assumptions!$G$7,Acquisition_Cost_per_subscriber,'Financial Statements &amp; Detail'!AT5+1)</f>
        <v>0</v>
      </c>
      <c r="AU238" s="99">
        <f>AU99*VLOOKUP(Assumptions!$G$7,Acquisition_Cost_per_subscriber,'Financial Statements &amp; Detail'!AU5+1)</f>
        <v>0</v>
      </c>
      <c r="AV238" s="99">
        <f>AV99*VLOOKUP(Assumptions!$G$7,Acquisition_Cost_per_subscriber,'Financial Statements &amp; Detail'!AV5+1)</f>
        <v>0</v>
      </c>
      <c r="AW238" s="99">
        <f>AW99*VLOOKUP(Assumptions!$G$7,Acquisition_Cost_per_subscriber,'Financial Statements &amp; Detail'!AW5+1)</f>
        <v>0</v>
      </c>
      <c r="AX238" s="99">
        <f>AX99*VLOOKUP(Assumptions!$G$7,Acquisition_Cost_per_subscriber,'Financial Statements &amp; Detail'!AX5+1)</f>
        <v>0</v>
      </c>
      <c r="AY238" s="99">
        <f>AY99*VLOOKUP(Assumptions!$G$7,Acquisition_Cost_per_subscriber,'Financial Statements &amp; Detail'!AY5+1)</f>
        <v>4166666.666666667</v>
      </c>
      <c r="AZ238" s="99">
        <f>AZ99*VLOOKUP(Assumptions!$G$7,Acquisition_Cost_per_subscriber,'Financial Statements &amp; Detail'!AZ5+1)</f>
        <v>0</v>
      </c>
      <c r="BA238" s="99">
        <f>BA99*VLOOKUP(Assumptions!$G$7,Acquisition_Cost_per_subscriber,'Financial Statements &amp; Detail'!BA5+1)</f>
        <v>0</v>
      </c>
      <c r="BB238" s="99">
        <f>BB99*VLOOKUP(Assumptions!$G$7,Acquisition_Cost_per_subscriber,'Financial Statements &amp; Detail'!BB5+1)</f>
        <v>4166666.666666667</v>
      </c>
      <c r="BC238" s="99">
        <f>BC99*VLOOKUP(Assumptions!$G$7,Acquisition_Cost_per_subscriber,'Financial Statements &amp; Detail'!BC5+1)</f>
        <v>0</v>
      </c>
      <c r="BD238" s="99">
        <f>BD99*VLOOKUP(Assumptions!$G$7,Acquisition_Cost_per_subscriber,'Financial Statements &amp; Detail'!BD5+1)</f>
        <v>0</v>
      </c>
      <c r="BE238" s="99">
        <f>BE99*VLOOKUP(Assumptions!$G$7,Acquisition_Cost_per_subscriber,'Financial Statements &amp; Detail'!BE5+1)</f>
        <v>4166666.666666667</v>
      </c>
      <c r="BF238" s="99">
        <f>BF99*VLOOKUP(Assumptions!$G$7,Acquisition_Cost_per_subscriber,'Financial Statements &amp; Detail'!BF5+1)</f>
        <v>0</v>
      </c>
      <c r="BG238" s="99">
        <f>BG99*VLOOKUP(Assumptions!$G$7,Acquisition_Cost_per_subscriber,'Financial Statements &amp; Detail'!BG5+1)</f>
        <v>0</v>
      </c>
      <c r="BH238" s="99">
        <f>BH99*VLOOKUP(Assumptions!$G$7,Acquisition_Cost_per_subscriber,'Financial Statements &amp; Detail'!BH5+1)</f>
        <v>0</v>
      </c>
      <c r="BI238" s="99">
        <f>BI99*VLOOKUP(Assumptions!$G$7,Acquisition_Cost_per_subscriber,'Financial Statements &amp; Detail'!BI5+1)</f>
        <v>0</v>
      </c>
      <c r="BJ238" s="99">
        <f>BJ99*VLOOKUP(Assumptions!$G$7,Acquisition_Cost_per_subscriber,'Financial Statements &amp; Detail'!BJ5+1)</f>
        <v>0</v>
      </c>
    </row>
    <row r="239" spans="1:62">
      <c r="A239" s="118" t="s">
        <v>217</v>
      </c>
      <c r="C239" s="99">
        <f>C238-C236</f>
        <v>4000000</v>
      </c>
      <c r="D239" s="99">
        <f>IF(D238-C238=0,0,D238-D236)</f>
        <v>0</v>
      </c>
      <c r="E239" s="99">
        <f t="shared" ref="E239:O239" si="155">IF(E238-D238=0,0,E238-E236)</f>
        <v>0</v>
      </c>
      <c r="F239" s="99">
        <f t="shared" si="155"/>
        <v>0</v>
      </c>
      <c r="G239" s="99">
        <f t="shared" si="155"/>
        <v>0</v>
      </c>
      <c r="H239" s="99">
        <f t="shared" si="155"/>
        <v>0</v>
      </c>
      <c r="I239" s="99">
        <f t="shared" si="155"/>
        <v>0</v>
      </c>
      <c r="J239" s="99">
        <f t="shared" si="155"/>
        <v>0</v>
      </c>
      <c r="K239" s="99">
        <f t="shared" si="155"/>
        <v>0</v>
      </c>
      <c r="L239" s="99">
        <f t="shared" si="155"/>
        <v>0</v>
      </c>
      <c r="M239" s="99">
        <f t="shared" si="155"/>
        <v>0</v>
      </c>
      <c r="N239" s="99">
        <f t="shared" si="155"/>
        <v>0</v>
      </c>
      <c r="O239" s="99">
        <f t="shared" si="155"/>
        <v>2666666.666666667</v>
      </c>
      <c r="P239" s="99">
        <f t="shared" ref="P239:BJ239" si="156">IF(P238-O238=0,0,P238-P236)</f>
        <v>0</v>
      </c>
      <c r="Q239" s="99">
        <f t="shared" si="156"/>
        <v>0</v>
      </c>
      <c r="R239" s="99">
        <f t="shared" si="156"/>
        <v>2666666.666666667</v>
      </c>
      <c r="S239" s="99">
        <f t="shared" si="156"/>
        <v>0</v>
      </c>
      <c r="T239" s="99">
        <f t="shared" si="156"/>
        <v>0</v>
      </c>
      <c r="U239" s="99">
        <f t="shared" si="156"/>
        <v>2666666.666666667</v>
      </c>
      <c r="V239" s="99">
        <f t="shared" si="156"/>
        <v>0</v>
      </c>
      <c r="W239" s="99">
        <f t="shared" si="156"/>
        <v>0</v>
      </c>
      <c r="X239" s="99">
        <f t="shared" si="156"/>
        <v>0</v>
      </c>
      <c r="Y239" s="99">
        <f t="shared" si="156"/>
        <v>0</v>
      </c>
      <c r="Z239" s="99">
        <f t="shared" si="156"/>
        <v>0</v>
      </c>
      <c r="AA239" s="99">
        <f t="shared" si="156"/>
        <v>2666666.666666667</v>
      </c>
      <c r="AB239" s="99">
        <f t="shared" si="156"/>
        <v>0</v>
      </c>
      <c r="AC239" s="99">
        <f t="shared" si="156"/>
        <v>0</v>
      </c>
      <c r="AD239" s="99">
        <f t="shared" si="156"/>
        <v>2666666.666666667</v>
      </c>
      <c r="AE239" s="99">
        <f t="shared" si="156"/>
        <v>0</v>
      </c>
      <c r="AF239" s="99">
        <f t="shared" si="156"/>
        <v>0</v>
      </c>
      <c r="AG239" s="99">
        <f t="shared" si="156"/>
        <v>2666666.666666667</v>
      </c>
      <c r="AH239" s="99">
        <f t="shared" si="156"/>
        <v>0</v>
      </c>
      <c r="AI239" s="99">
        <f t="shared" si="156"/>
        <v>0</v>
      </c>
      <c r="AJ239" s="99">
        <f t="shared" si="156"/>
        <v>0</v>
      </c>
      <c r="AK239" s="99">
        <f t="shared" si="156"/>
        <v>0</v>
      </c>
      <c r="AL239" s="99">
        <f t="shared" si="156"/>
        <v>0</v>
      </c>
      <c r="AM239" s="99">
        <f t="shared" si="156"/>
        <v>2666666.666666667</v>
      </c>
      <c r="AN239" s="99">
        <f t="shared" si="156"/>
        <v>0</v>
      </c>
      <c r="AO239" s="99">
        <f t="shared" si="156"/>
        <v>0</v>
      </c>
      <c r="AP239" s="99">
        <f t="shared" si="156"/>
        <v>2666666.666666667</v>
      </c>
      <c r="AQ239" s="99">
        <f t="shared" si="156"/>
        <v>0</v>
      </c>
      <c r="AR239" s="99">
        <f t="shared" si="156"/>
        <v>0</v>
      </c>
      <c r="AS239" s="99">
        <f t="shared" si="156"/>
        <v>2666666.666666667</v>
      </c>
      <c r="AT239" s="99">
        <f t="shared" si="156"/>
        <v>0</v>
      </c>
      <c r="AU239" s="99">
        <f t="shared" si="156"/>
        <v>0</v>
      </c>
      <c r="AV239" s="99">
        <f t="shared" si="156"/>
        <v>0</v>
      </c>
      <c r="AW239" s="99">
        <f t="shared" si="156"/>
        <v>0</v>
      </c>
      <c r="AX239" s="99">
        <f t="shared" si="156"/>
        <v>0</v>
      </c>
      <c r="AY239" s="99">
        <f t="shared" si="156"/>
        <v>2666666.666666667</v>
      </c>
      <c r="AZ239" s="99">
        <f t="shared" si="156"/>
        <v>0</v>
      </c>
      <c r="BA239" s="99">
        <f t="shared" si="156"/>
        <v>0</v>
      </c>
      <c r="BB239" s="99">
        <f t="shared" si="156"/>
        <v>2666666.666666667</v>
      </c>
      <c r="BC239" s="99">
        <f t="shared" si="156"/>
        <v>0</v>
      </c>
      <c r="BD239" s="99">
        <f t="shared" si="156"/>
        <v>0</v>
      </c>
      <c r="BE239" s="99">
        <f t="shared" si="156"/>
        <v>2666666.666666667</v>
      </c>
      <c r="BF239" s="99">
        <f t="shared" si="156"/>
        <v>0</v>
      </c>
      <c r="BG239" s="99">
        <f t="shared" si="156"/>
        <v>0</v>
      </c>
      <c r="BH239" s="99">
        <f t="shared" si="156"/>
        <v>0</v>
      </c>
      <c r="BI239" s="99">
        <f t="shared" si="156"/>
        <v>0</v>
      </c>
      <c r="BJ239" s="99">
        <f t="shared" si="156"/>
        <v>0</v>
      </c>
    </row>
    <row r="240" spans="1:62">
      <c r="A240" s="132" t="s">
        <v>218</v>
      </c>
      <c r="C240" s="99">
        <f>SUM($C$239:C239)</f>
        <v>4000000</v>
      </c>
      <c r="D240" s="99">
        <f>SUM($C$239:D239)</f>
        <v>4000000</v>
      </c>
      <c r="E240" s="99">
        <f>SUM($C$239:E239)</f>
        <v>4000000</v>
      </c>
      <c r="F240" s="99">
        <f>SUM($C$239:F239)</f>
        <v>4000000</v>
      </c>
      <c r="G240" s="99">
        <f>SUM($C$239:G239)</f>
        <v>4000000</v>
      </c>
      <c r="H240" s="99">
        <f>SUM($C$239:H239)</f>
        <v>4000000</v>
      </c>
      <c r="I240" s="99">
        <f>SUM($C$239:I239)</f>
        <v>4000000</v>
      </c>
      <c r="J240" s="99">
        <f>SUM($C$239:J239)</f>
        <v>4000000</v>
      </c>
      <c r="K240" s="99">
        <f>SUM($C$239:K239)</f>
        <v>4000000</v>
      </c>
      <c r="L240" s="99">
        <f>SUM($C$239:L239)</f>
        <v>4000000</v>
      </c>
      <c r="M240" s="99">
        <f>SUM($C$239:M239)</f>
        <v>4000000</v>
      </c>
      <c r="N240" s="99">
        <f>SUM($C$239:N239)</f>
        <v>4000000</v>
      </c>
      <c r="O240" s="99">
        <f>SUM($C$239:O239)</f>
        <v>6666666.666666667</v>
      </c>
      <c r="P240" s="99">
        <f>SUM($C$239:P239)</f>
        <v>6666666.666666667</v>
      </c>
      <c r="Q240" s="99">
        <f>SUM($C$239:Q239)</f>
        <v>6666666.666666667</v>
      </c>
      <c r="R240" s="99">
        <f>SUM($C$239:R239)</f>
        <v>9333333.333333334</v>
      </c>
      <c r="S240" s="99">
        <f>SUM($C$239:S239)</f>
        <v>9333333.333333334</v>
      </c>
      <c r="T240" s="99">
        <f>SUM($C$239:T239)</f>
        <v>9333333.333333334</v>
      </c>
      <c r="U240" s="99">
        <f>SUM($C$239:U239)</f>
        <v>12000000</v>
      </c>
      <c r="V240" s="99">
        <f>SUM($C$239:V239)</f>
        <v>12000000</v>
      </c>
      <c r="W240" s="99">
        <f>SUM($C$239:W239)</f>
        <v>12000000</v>
      </c>
      <c r="X240" s="99">
        <f>SUM($C$239:X239)</f>
        <v>12000000</v>
      </c>
      <c r="Y240" s="99">
        <f>SUM($C$239:Y239)</f>
        <v>12000000</v>
      </c>
      <c r="Z240" s="99">
        <f>SUM($C$239:Z239)</f>
        <v>12000000</v>
      </c>
      <c r="AA240" s="99">
        <f>SUM($C$239:AA239)</f>
        <v>14666666.666666668</v>
      </c>
      <c r="AB240" s="99">
        <f>SUM($C$239:AB239)</f>
        <v>14666666.666666668</v>
      </c>
      <c r="AC240" s="99">
        <f>SUM($C$239:AC239)</f>
        <v>14666666.666666668</v>
      </c>
      <c r="AD240" s="99">
        <f>SUM($C$239:AD239)</f>
        <v>17333333.333333336</v>
      </c>
      <c r="AE240" s="99">
        <f>SUM($C$239:AE239)</f>
        <v>17333333.333333336</v>
      </c>
      <c r="AF240" s="99">
        <f>SUM($C$239:AF239)</f>
        <v>17333333.333333336</v>
      </c>
      <c r="AG240" s="99">
        <f>SUM($C$239:AG239)</f>
        <v>20000000.000000004</v>
      </c>
      <c r="AH240" s="99">
        <f>SUM($C$239:AH239)</f>
        <v>20000000.000000004</v>
      </c>
      <c r="AI240" s="99">
        <f>SUM($C$239:AI239)</f>
        <v>20000000.000000004</v>
      </c>
      <c r="AJ240" s="99">
        <f>SUM($C$239:AJ239)</f>
        <v>20000000.000000004</v>
      </c>
      <c r="AK240" s="99">
        <f>SUM($C$239:AK239)</f>
        <v>20000000.000000004</v>
      </c>
      <c r="AL240" s="99">
        <f>SUM($C$239:AL239)</f>
        <v>20000000.000000004</v>
      </c>
      <c r="AM240" s="99">
        <f>SUM($C$239:AM239)</f>
        <v>22666666.666666672</v>
      </c>
      <c r="AN240" s="99">
        <f>SUM($C$239:AN239)</f>
        <v>22666666.666666672</v>
      </c>
      <c r="AO240" s="99">
        <f>SUM($C$239:AO239)</f>
        <v>22666666.666666672</v>
      </c>
      <c r="AP240" s="99">
        <f>SUM($C$239:AP239)</f>
        <v>25333333.33333334</v>
      </c>
      <c r="AQ240" s="99">
        <f>SUM($C$239:AQ239)</f>
        <v>25333333.33333334</v>
      </c>
      <c r="AR240" s="99">
        <f>SUM($C$239:AR239)</f>
        <v>25333333.33333334</v>
      </c>
      <c r="AS240" s="99">
        <f>SUM($C$239:AS239)</f>
        <v>28000000.000000007</v>
      </c>
      <c r="AT240" s="99">
        <f>SUM($C$239:AT239)</f>
        <v>28000000.000000007</v>
      </c>
      <c r="AU240" s="99">
        <f>SUM($C$239:AU239)</f>
        <v>28000000.000000007</v>
      </c>
      <c r="AV240" s="99">
        <f>SUM($C$239:AV239)</f>
        <v>28000000.000000007</v>
      </c>
      <c r="AW240" s="99">
        <f>SUM($C$239:AW239)</f>
        <v>28000000.000000007</v>
      </c>
      <c r="AX240" s="99">
        <f>SUM($C$239:AX239)</f>
        <v>28000000.000000007</v>
      </c>
      <c r="AY240" s="99">
        <f>SUM($C$239:AY239)</f>
        <v>30666666.666666675</v>
      </c>
      <c r="AZ240" s="99">
        <f>SUM($C$239:AZ239)</f>
        <v>30666666.666666675</v>
      </c>
      <c r="BA240" s="99">
        <f>SUM($C$239:BA239)</f>
        <v>30666666.666666675</v>
      </c>
      <c r="BB240" s="99">
        <f>SUM($C$239:BB239)</f>
        <v>33333333.333333343</v>
      </c>
      <c r="BC240" s="99">
        <f>SUM($C$239:BC239)</f>
        <v>33333333.333333343</v>
      </c>
      <c r="BD240" s="99">
        <f>SUM($C$239:BD239)</f>
        <v>33333333.333333343</v>
      </c>
      <c r="BE240" s="99">
        <f>SUM($C$239:BE239)</f>
        <v>36000000.000000007</v>
      </c>
      <c r="BF240" s="99">
        <f>SUM($C$239:BF239)</f>
        <v>36000000.000000007</v>
      </c>
      <c r="BG240" s="99">
        <f>SUM($C$239:BG239)</f>
        <v>36000000.000000007</v>
      </c>
      <c r="BH240" s="99">
        <f>SUM($C$239:BH239)</f>
        <v>36000000.000000007</v>
      </c>
      <c r="BI240" s="99">
        <f>SUM($C$239:BI239)</f>
        <v>36000000.000000007</v>
      </c>
      <c r="BJ240" s="99">
        <f>SUM($C$239:BJ239)</f>
        <v>36000000.000000007</v>
      </c>
    </row>
    <row r="241" spans="1:62" s="128" customFormat="1">
      <c r="A241" s="127" t="s">
        <v>260</v>
      </c>
      <c r="B241" s="133"/>
      <c r="C241" s="125">
        <f>IF(C238-B238=0,0,Assumptions!$H$14*C238)</f>
        <v>2750000</v>
      </c>
      <c r="D241" s="125">
        <f>IF(D238-C238=0,0,Assumptions!$H$14*D238)</f>
        <v>0</v>
      </c>
      <c r="E241" s="125">
        <f>IF(E238-D238=0,0,Assumptions!$H$14*E238)</f>
        <v>0</v>
      </c>
      <c r="F241" s="125">
        <f>IF(F238-E238=0,0,Assumptions!$H$14*F238)</f>
        <v>0</v>
      </c>
      <c r="G241" s="125">
        <f>IF(G238-F238=0,0,Assumptions!$H$14*G238)</f>
        <v>0</v>
      </c>
      <c r="H241" s="125">
        <f>IF(H238-G238=0,0,Assumptions!$H$14*H238)</f>
        <v>0</v>
      </c>
      <c r="I241" s="125">
        <f>IF(I238-H238=0,0,Assumptions!$H$14*I238)</f>
        <v>0</v>
      </c>
      <c r="J241" s="125">
        <f>IF(J238-I238=0,0,Assumptions!$H$14*J238)</f>
        <v>0</v>
      </c>
      <c r="K241" s="125">
        <f>IF(K238-J238=0,0,Assumptions!$H$14*K238)</f>
        <v>0</v>
      </c>
      <c r="L241" s="125">
        <f>IF(L238-K238=0,0,Assumptions!$H$14*L238)</f>
        <v>0</v>
      </c>
      <c r="M241" s="125">
        <f>IF(M238-L238=0,0,Assumptions!$H$14*M238)</f>
        <v>0</v>
      </c>
      <c r="N241" s="125">
        <f>IF(N238-M238=0,0,Assumptions!$H$14*N238)</f>
        <v>0</v>
      </c>
      <c r="O241" s="125">
        <f>IF(O238-N238=0,0,Assumptions!$H$14*O238)</f>
        <v>2083333.3333333335</v>
      </c>
      <c r="P241" s="125">
        <f>IF(P238-O238=0,0,Assumptions!$H$14*P238)</f>
        <v>0</v>
      </c>
      <c r="Q241" s="125">
        <f>IF(Q238-P238=0,0,Assumptions!$H$14*Q238)</f>
        <v>0</v>
      </c>
      <c r="R241" s="125">
        <f>IF(R238-Q238=0,0,Assumptions!$H$14*R238)</f>
        <v>2083333.3333333335</v>
      </c>
      <c r="S241" s="125">
        <f>IF(S238-R238=0,0,Assumptions!$H$14*S238)</f>
        <v>0</v>
      </c>
      <c r="T241" s="125">
        <f>IF(T238-S238=0,0,Assumptions!$H$14*T238)</f>
        <v>0</v>
      </c>
      <c r="U241" s="125">
        <f>IF(U238-T238=0,0,Assumptions!$H$14*U238)</f>
        <v>2083333.3333333335</v>
      </c>
      <c r="V241" s="125">
        <f>IF(V238-U238=0,0,Assumptions!$H$14*V238)</f>
        <v>0</v>
      </c>
      <c r="W241" s="125">
        <f>IF(W238-V238=0,0,Assumptions!$H$14*W238)</f>
        <v>0</v>
      </c>
      <c r="X241" s="125">
        <f>IF(X238-W238=0,0,Assumptions!$H$14*X238)</f>
        <v>0</v>
      </c>
      <c r="Y241" s="125">
        <f>IF(Y238-X238=0,0,Assumptions!$H$14*Y238)</f>
        <v>0</v>
      </c>
      <c r="Z241" s="125">
        <f>IF(Z238-Y238=0,0,Assumptions!$H$14*Z238)</f>
        <v>0</v>
      </c>
      <c r="AA241" s="125">
        <f>IF(AA238-Z238=0,0,Assumptions!$H$14*AA238)</f>
        <v>2083333.3333333335</v>
      </c>
      <c r="AB241" s="125">
        <f>IF(AB238-AA238=0,0,Assumptions!$H$14*AB238)</f>
        <v>0</v>
      </c>
      <c r="AC241" s="125">
        <f>IF(AC238-AB238=0,0,Assumptions!$H$14*AC238)</f>
        <v>0</v>
      </c>
      <c r="AD241" s="125">
        <f>IF(AD238-AC238=0,0,Assumptions!$H$14*AD238)</f>
        <v>2083333.3333333335</v>
      </c>
      <c r="AE241" s="125">
        <f>IF(AE238-AD238=0,0,Assumptions!$H$14*AE238)</f>
        <v>0</v>
      </c>
      <c r="AF241" s="125">
        <f>IF(AF238-AE238=0,0,Assumptions!$H$14*AF238)</f>
        <v>0</v>
      </c>
      <c r="AG241" s="125">
        <f>IF(AG238-AF238=0,0,Assumptions!$H$14*AG238)</f>
        <v>2083333.3333333335</v>
      </c>
      <c r="AH241" s="125">
        <f>IF(AH238-AG238=0,0,Assumptions!$H$14*AH238)</f>
        <v>0</v>
      </c>
      <c r="AI241" s="125">
        <f>IF(AI238-AH238=0,0,Assumptions!$H$14*AI238)</f>
        <v>0</v>
      </c>
      <c r="AJ241" s="125">
        <f>IF(AJ238-AI238=0,0,Assumptions!$H$14*AJ238)</f>
        <v>0</v>
      </c>
      <c r="AK241" s="125">
        <f>IF(AK238-AJ238=0,0,Assumptions!$H$14*AK238)</f>
        <v>0</v>
      </c>
      <c r="AL241" s="125">
        <f>IF(AL238-AK238=0,0,Assumptions!$H$14*AL238)</f>
        <v>0</v>
      </c>
      <c r="AM241" s="125">
        <f>IF(AM238-AL238=0,0,Assumptions!$H$14*AM238)</f>
        <v>2083333.3333333335</v>
      </c>
      <c r="AN241" s="125">
        <f>IF(AN238-AM238=0,0,Assumptions!$H$14*AN238)</f>
        <v>0</v>
      </c>
      <c r="AO241" s="125">
        <f>IF(AO238-AN238=0,0,Assumptions!$H$14*AO238)</f>
        <v>0</v>
      </c>
      <c r="AP241" s="125">
        <f>IF(AP238-AO238=0,0,Assumptions!$H$14*AP238)</f>
        <v>2083333.3333333335</v>
      </c>
      <c r="AQ241" s="125">
        <f>IF(AQ238-AP238=0,0,Assumptions!$H$14*AQ238)</f>
        <v>0</v>
      </c>
      <c r="AR241" s="125">
        <f>IF(AR238-AQ238=0,0,Assumptions!$H$14*AR238)</f>
        <v>0</v>
      </c>
      <c r="AS241" s="125">
        <f>IF(AS238-AR238=0,0,Assumptions!$H$14*AS238)</f>
        <v>2083333.3333333335</v>
      </c>
      <c r="AT241" s="125">
        <f>IF(AT238-AS238=0,0,Assumptions!$H$14*AT238)</f>
        <v>0</v>
      </c>
      <c r="AU241" s="125">
        <f>IF(AU238-AT238=0,0,Assumptions!$H$14*AU238)</f>
        <v>0</v>
      </c>
      <c r="AV241" s="125">
        <f>IF(AV238-AU238=0,0,Assumptions!$H$14*AV238)</f>
        <v>0</v>
      </c>
      <c r="AW241" s="125">
        <f>IF(AW238-AV238=0,0,Assumptions!$H$14*AW238)</f>
        <v>0</v>
      </c>
      <c r="AX241" s="125">
        <f>IF(AX238-AW238=0,0,Assumptions!$H$14*AX238)</f>
        <v>0</v>
      </c>
      <c r="AY241" s="125">
        <f>IF(AY238-AX238=0,0,Assumptions!$H$14*AY238)</f>
        <v>2083333.3333333335</v>
      </c>
      <c r="AZ241" s="125">
        <f>IF(AZ238-AY238=0,0,Assumptions!$H$14*AZ238)</f>
        <v>0</v>
      </c>
      <c r="BA241" s="125">
        <f>IF(BA238-AZ238=0,0,Assumptions!$H$14*BA238)</f>
        <v>0</v>
      </c>
      <c r="BB241" s="125">
        <f>IF(BB238-BA238=0,0,Assumptions!$H$14*BB238)</f>
        <v>2083333.3333333335</v>
      </c>
      <c r="BC241" s="125">
        <f>IF(BC238-BB238=0,0,Assumptions!$H$14*BC238)</f>
        <v>0</v>
      </c>
      <c r="BD241" s="125">
        <f>IF(BD238-BC238=0,0,Assumptions!$H$14*BD238)</f>
        <v>0</v>
      </c>
      <c r="BE241" s="125">
        <f>IF(BE238-BD238=0,0,Assumptions!$H$14*BE238)</f>
        <v>2083333.3333333335</v>
      </c>
      <c r="BF241" s="125">
        <f>IF(BF238-BE238=0,0,Assumptions!$H$14*BF238)</f>
        <v>0</v>
      </c>
      <c r="BG241" s="125">
        <f>IF(BG238-BF238=0,0,Assumptions!$H$14*BG238)</f>
        <v>0</v>
      </c>
      <c r="BH241" s="125">
        <f>IF(BH238-BG238=0,0,Assumptions!$H$14*BH238)</f>
        <v>0</v>
      </c>
      <c r="BI241" s="125">
        <f>IF(BI238-BH238=0,0,Assumptions!$H$14*BI238)</f>
        <v>0</v>
      </c>
      <c r="BJ241" s="125">
        <f>IF(BJ238-BI238=0,0,Assumptions!$H$14*BJ238)</f>
        <v>0</v>
      </c>
    </row>
    <row r="242" spans="1:62" s="128" customFormat="1">
      <c r="A242" s="127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  <c r="AB242" s="125"/>
      <c r="AC242" s="125"/>
      <c r="AD242" s="125"/>
      <c r="AE242" s="125"/>
      <c r="AF242" s="125"/>
      <c r="AG242" s="125"/>
      <c r="AH242" s="125"/>
      <c r="AI242" s="125"/>
      <c r="AJ242" s="125"/>
      <c r="AK242" s="125"/>
      <c r="AL242" s="125"/>
      <c r="AM242" s="125"/>
      <c r="AN242" s="125"/>
      <c r="AO242" s="125"/>
      <c r="AP242" s="125"/>
      <c r="AQ242" s="125"/>
      <c r="AR242" s="125"/>
      <c r="AS242" s="125"/>
      <c r="AT242" s="125"/>
      <c r="AU242" s="125"/>
      <c r="AV242" s="125"/>
      <c r="AW242" s="125"/>
      <c r="AX242" s="125"/>
      <c r="AY242" s="125"/>
      <c r="AZ242" s="125"/>
      <c r="BA242" s="125"/>
      <c r="BB242" s="125"/>
      <c r="BC242" s="125"/>
      <c r="BD242" s="125"/>
      <c r="BE242" s="125"/>
      <c r="BF242" s="125"/>
      <c r="BG242" s="125"/>
      <c r="BH242" s="125"/>
      <c r="BI242" s="125"/>
      <c r="BJ242" s="125"/>
    </row>
    <row r="243" spans="1:62">
      <c r="A243" s="106" t="s">
        <v>221</v>
      </c>
      <c r="C243" s="81">
        <f t="shared" ref="C243:AH243" si="157">SUMIF($B$179:$B$237,$B$233,C$179:C$237)</f>
        <v>4810158.0357142854</v>
      </c>
      <c r="D243" s="81">
        <f t="shared" si="157"/>
        <v>4911166.1964285709</v>
      </c>
      <c r="E243" s="81">
        <f t="shared" si="157"/>
        <v>5001483.0408928571</v>
      </c>
      <c r="F243" s="81">
        <f t="shared" si="157"/>
        <v>5091129.3085946422</v>
      </c>
      <c r="G243" s="81">
        <f t="shared" si="157"/>
        <v>5180125.116836803</v>
      </c>
      <c r="H243" s="81">
        <f t="shared" si="157"/>
        <v>5268489.9794031279</v>
      </c>
      <c r="I243" s="81">
        <f t="shared" si="157"/>
        <v>5356242.8246638915</v>
      </c>
      <c r="J243" s="81">
        <f t="shared" si="157"/>
        <v>5443402.0131382607</v>
      </c>
      <c r="K243" s="81">
        <f t="shared" si="157"/>
        <v>5529985.354529826</v>
      </c>
      <c r="L243" s="81">
        <f t="shared" si="157"/>
        <v>5616010.1242510751</v>
      </c>
      <c r="M243" s="81">
        <f t="shared" si="157"/>
        <v>5701493.0794521142</v>
      </c>
      <c r="N243" s="81">
        <f t="shared" si="157"/>
        <v>5796450.4745685514</v>
      </c>
      <c r="O243" s="81">
        <f t="shared" si="157"/>
        <v>11980898.076402923</v>
      </c>
      <c r="P243" s="81">
        <f t="shared" si="157"/>
        <v>13223920.388033995</v>
      </c>
      <c r="Q243" s="81">
        <f t="shared" si="157"/>
        <v>13291884.673748281</v>
      </c>
      <c r="R243" s="81">
        <f t="shared" si="157"/>
        <v>14884848.959462566</v>
      </c>
      <c r="S243" s="81">
        <f t="shared" si="157"/>
        <v>15954686.021621268</v>
      </c>
      <c r="T243" s="81">
        <f t="shared" si="157"/>
        <v>16022650.307335556</v>
      </c>
      <c r="U243" s="81">
        <f t="shared" si="157"/>
        <v>17605614.593049839</v>
      </c>
      <c r="V243" s="81">
        <f t="shared" si="157"/>
        <v>18634645.507169068</v>
      </c>
      <c r="W243" s="81">
        <f t="shared" si="157"/>
        <v>18692609.792883351</v>
      </c>
      <c r="X243" s="81">
        <f t="shared" si="157"/>
        <v>18760574.078597642</v>
      </c>
      <c r="Y243" s="81">
        <f t="shared" si="157"/>
        <v>18818538.364311926</v>
      </c>
      <c r="Z243" s="81">
        <f t="shared" si="157"/>
        <v>18886502.65002621</v>
      </c>
      <c r="AA243" s="81">
        <f t="shared" si="157"/>
        <v>20559788.364311926</v>
      </c>
      <c r="AB243" s="81">
        <f t="shared" si="157"/>
        <v>21431500.569312111</v>
      </c>
      <c r="AC243" s="81">
        <f t="shared" si="157"/>
        <v>21579786.283597827</v>
      </c>
      <c r="AD243" s="81">
        <f t="shared" si="157"/>
        <v>23243071.997883543</v>
      </c>
      <c r="AE243" s="81">
        <f t="shared" si="157"/>
        <v>24351871.174286686</v>
      </c>
      <c r="AF243" s="81">
        <f t="shared" si="157"/>
        <v>24490156.888572399</v>
      </c>
      <c r="AG243" s="81">
        <f t="shared" si="157"/>
        <v>26163442.602858111</v>
      </c>
      <c r="AH243" s="81">
        <f t="shared" si="157"/>
        <v>27190920.68606402</v>
      </c>
      <c r="AI243" s="81">
        <f t="shared" ref="AI243:BJ243" si="158">SUMIF($B$179:$B$237,$B$233,AI$179:AI$237)</f>
        <v>27329206.400349732</v>
      </c>
      <c r="AJ243" s="81">
        <f t="shared" si="158"/>
        <v>27477492.114635445</v>
      </c>
      <c r="AK243" s="81">
        <f t="shared" si="158"/>
        <v>27615777.828921162</v>
      </c>
      <c r="AL243" s="81">
        <f t="shared" si="158"/>
        <v>27764063.543206874</v>
      </c>
      <c r="AM243" s="81">
        <f t="shared" si="158"/>
        <v>29530325.447968781</v>
      </c>
      <c r="AN243" s="81">
        <f t="shared" si="158"/>
        <v>30424064.584855039</v>
      </c>
      <c r="AO243" s="81">
        <f t="shared" si="158"/>
        <v>30665326.489616945</v>
      </c>
      <c r="AP243" s="81">
        <f t="shared" si="158"/>
        <v>32441588.394378848</v>
      </c>
      <c r="AQ243" s="81">
        <f t="shared" si="158"/>
        <v>33628469.686373681</v>
      </c>
      <c r="AR243" s="81">
        <f t="shared" si="158"/>
        <v>33879731.591135584</v>
      </c>
      <c r="AS243" s="81">
        <f t="shared" si="158"/>
        <v>35645993.495897487</v>
      </c>
      <c r="AT243" s="81">
        <f t="shared" si="158"/>
        <v>36737854.349572524</v>
      </c>
      <c r="AU243" s="81">
        <f t="shared" si="158"/>
        <v>36989116.25433442</v>
      </c>
      <c r="AV243" s="81">
        <f t="shared" si="158"/>
        <v>37230378.15909633</v>
      </c>
      <c r="AW243" s="81">
        <f t="shared" si="158"/>
        <v>37481640.063858233</v>
      </c>
      <c r="AX243" s="81">
        <f t="shared" si="158"/>
        <v>37722901.968620136</v>
      </c>
      <c r="AY243" s="81">
        <f t="shared" si="158"/>
        <v>39602140.063858233</v>
      </c>
      <c r="AZ243" s="81">
        <f t="shared" si="158"/>
        <v>40591945.823747277</v>
      </c>
      <c r="BA243" s="81">
        <f t="shared" si="158"/>
        <v>40946183.918985367</v>
      </c>
      <c r="BB243" s="81">
        <f t="shared" si="158"/>
        <v>42815422.014223464</v>
      </c>
      <c r="BC243" s="81">
        <f t="shared" si="158"/>
        <v>44069945.356611773</v>
      </c>
      <c r="BD243" s="81">
        <f t="shared" si="158"/>
        <v>44424183.45184987</v>
      </c>
      <c r="BE243" s="81">
        <f t="shared" si="158"/>
        <v>46293421.547087967</v>
      </c>
      <c r="BF243" s="81">
        <f t="shared" si="158"/>
        <v>47503826.900607489</v>
      </c>
      <c r="BG243" s="81">
        <f t="shared" si="158"/>
        <v>47858064.995845586</v>
      </c>
      <c r="BH243" s="81">
        <f t="shared" si="158"/>
        <v>48202303.091083683</v>
      </c>
      <c r="BI243" s="81">
        <f t="shared" si="158"/>
        <v>48556541.18632178</v>
      </c>
      <c r="BJ243" s="81">
        <f t="shared" si="158"/>
        <v>48900779.28155987</v>
      </c>
    </row>
    <row r="244" spans="1:62">
      <c r="A244" s="134" t="s">
        <v>219</v>
      </c>
      <c r="C244" s="99">
        <f t="shared" ref="C244:AH244" si="159">C243/Depreciation_Life_Months</f>
        <v>80169.300595238092</v>
      </c>
      <c r="D244" s="99">
        <f t="shared" si="159"/>
        <v>81852.769940476181</v>
      </c>
      <c r="E244" s="99">
        <f t="shared" si="159"/>
        <v>83358.050681547626</v>
      </c>
      <c r="F244" s="99">
        <f t="shared" si="159"/>
        <v>84852.155143244032</v>
      </c>
      <c r="G244" s="99">
        <f t="shared" si="159"/>
        <v>86335.41861394672</v>
      </c>
      <c r="H244" s="99">
        <f t="shared" si="159"/>
        <v>87808.166323385463</v>
      </c>
      <c r="I244" s="99">
        <f t="shared" si="159"/>
        <v>89270.713744398192</v>
      </c>
      <c r="J244" s="99">
        <f t="shared" si="159"/>
        <v>90723.366885637675</v>
      </c>
      <c r="K244" s="99">
        <f t="shared" si="159"/>
        <v>92166.422575497098</v>
      </c>
      <c r="L244" s="99">
        <f t="shared" si="159"/>
        <v>93600.168737517917</v>
      </c>
      <c r="M244" s="99">
        <f t="shared" si="159"/>
        <v>95024.884657535236</v>
      </c>
      <c r="N244" s="99">
        <f t="shared" si="159"/>
        <v>96607.507909475855</v>
      </c>
      <c r="O244" s="99">
        <f t="shared" si="159"/>
        <v>199681.63460671538</v>
      </c>
      <c r="P244" s="99">
        <f t="shared" si="159"/>
        <v>220398.67313389992</v>
      </c>
      <c r="Q244" s="99">
        <f t="shared" si="159"/>
        <v>221531.411229138</v>
      </c>
      <c r="R244" s="99">
        <f t="shared" si="159"/>
        <v>248080.81599104276</v>
      </c>
      <c r="S244" s="99">
        <f t="shared" si="159"/>
        <v>265911.43369368778</v>
      </c>
      <c r="T244" s="99">
        <f t="shared" si="159"/>
        <v>267044.17178892595</v>
      </c>
      <c r="U244" s="99">
        <f t="shared" si="159"/>
        <v>293426.90988416399</v>
      </c>
      <c r="V244" s="99">
        <f t="shared" si="159"/>
        <v>310577.42511948448</v>
      </c>
      <c r="W244" s="99">
        <f t="shared" si="159"/>
        <v>311543.49654805585</v>
      </c>
      <c r="X244" s="99">
        <f t="shared" si="159"/>
        <v>312676.23464329407</v>
      </c>
      <c r="Y244" s="99">
        <f t="shared" si="159"/>
        <v>313642.30607186543</v>
      </c>
      <c r="Z244" s="99">
        <f t="shared" si="159"/>
        <v>314775.04416710348</v>
      </c>
      <c r="AA244" s="99">
        <f t="shared" si="159"/>
        <v>342663.13940519874</v>
      </c>
      <c r="AB244" s="99">
        <f t="shared" si="159"/>
        <v>357191.67615520186</v>
      </c>
      <c r="AC244" s="99">
        <f t="shared" si="159"/>
        <v>359663.10472663044</v>
      </c>
      <c r="AD244" s="99">
        <f t="shared" si="159"/>
        <v>387384.53329805908</v>
      </c>
      <c r="AE244" s="99">
        <f t="shared" si="159"/>
        <v>405864.51957144478</v>
      </c>
      <c r="AF244" s="99">
        <f t="shared" si="159"/>
        <v>408169.28147620667</v>
      </c>
      <c r="AG244" s="99">
        <f t="shared" si="159"/>
        <v>436057.37671430188</v>
      </c>
      <c r="AH244" s="99">
        <f t="shared" si="159"/>
        <v>453182.01143440034</v>
      </c>
      <c r="AI244" s="99">
        <f t="shared" ref="AI244:BJ244" si="160">AI243/Depreciation_Life_Months</f>
        <v>455486.77333916223</v>
      </c>
      <c r="AJ244" s="99">
        <f t="shared" si="160"/>
        <v>457958.20191059075</v>
      </c>
      <c r="AK244" s="99">
        <f t="shared" si="160"/>
        <v>460262.9638153527</v>
      </c>
      <c r="AL244" s="99">
        <f t="shared" si="160"/>
        <v>462734.39238678123</v>
      </c>
      <c r="AM244" s="99">
        <f t="shared" si="160"/>
        <v>492172.09079947969</v>
      </c>
      <c r="AN244" s="99">
        <f t="shared" si="160"/>
        <v>507067.74308091734</v>
      </c>
      <c r="AO244" s="99">
        <f t="shared" si="160"/>
        <v>511088.77482694911</v>
      </c>
      <c r="AP244" s="99">
        <f t="shared" si="160"/>
        <v>540693.13990631409</v>
      </c>
      <c r="AQ244" s="99">
        <f t="shared" si="160"/>
        <v>560474.49477289466</v>
      </c>
      <c r="AR244" s="99">
        <f t="shared" si="160"/>
        <v>564662.19318559312</v>
      </c>
      <c r="AS244" s="99">
        <f t="shared" si="160"/>
        <v>594099.89159829146</v>
      </c>
      <c r="AT244" s="99">
        <f t="shared" si="160"/>
        <v>612297.57249287539</v>
      </c>
      <c r="AU244" s="99">
        <f t="shared" si="160"/>
        <v>616485.27090557362</v>
      </c>
      <c r="AV244" s="99">
        <f t="shared" si="160"/>
        <v>620506.30265160545</v>
      </c>
      <c r="AW244" s="99">
        <f t="shared" si="160"/>
        <v>624694.00106430391</v>
      </c>
      <c r="AX244" s="99">
        <f t="shared" si="160"/>
        <v>628715.03281033563</v>
      </c>
      <c r="AY244" s="99">
        <f t="shared" si="160"/>
        <v>660035.66773097054</v>
      </c>
      <c r="AZ244" s="99">
        <f t="shared" si="160"/>
        <v>676532.43039578793</v>
      </c>
      <c r="BA244" s="99">
        <f t="shared" si="160"/>
        <v>682436.3986497561</v>
      </c>
      <c r="BB244" s="99">
        <f t="shared" si="160"/>
        <v>713590.36690372438</v>
      </c>
      <c r="BC244" s="99">
        <f t="shared" si="160"/>
        <v>734499.08927686291</v>
      </c>
      <c r="BD244" s="99">
        <f t="shared" si="160"/>
        <v>740403.0575308312</v>
      </c>
      <c r="BE244" s="99">
        <f t="shared" si="160"/>
        <v>771557.02578479948</v>
      </c>
      <c r="BF244" s="99">
        <f t="shared" si="160"/>
        <v>791730.44834345812</v>
      </c>
      <c r="BG244" s="99">
        <f t="shared" si="160"/>
        <v>797634.4165974264</v>
      </c>
      <c r="BH244" s="99">
        <f t="shared" si="160"/>
        <v>803371.71818472806</v>
      </c>
      <c r="BI244" s="99">
        <f t="shared" si="160"/>
        <v>809275.68643869634</v>
      </c>
      <c r="BJ244" s="99">
        <f t="shared" si="160"/>
        <v>815012.98802599788</v>
      </c>
    </row>
    <row r="245" spans="1:62">
      <c r="A245" s="6" t="s">
        <v>220</v>
      </c>
      <c r="C245" s="99">
        <f>SUM($C$244:C244)</f>
        <v>80169.300595238092</v>
      </c>
      <c r="D245" s="99">
        <f>SUM($C$244:D244)</f>
        <v>162022.07053571427</v>
      </c>
      <c r="E245" s="99">
        <f>SUM($C$244:E244)</f>
        <v>245380.12121726188</v>
      </c>
      <c r="F245" s="99">
        <f>SUM($C$244:F244)</f>
        <v>330232.2763605059</v>
      </c>
      <c r="G245" s="99">
        <f>SUM($C$244:G244)</f>
        <v>416567.69497445261</v>
      </c>
      <c r="H245" s="99">
        <f>SUM($C$244:H244)</f>
        <v>504375.86129783804</v>
      </c>
      <c r="I245" s="99">
        <f>SUM($C$244:I244)</f>
        <v>593646.57504223625</v>
      </c>
      <c r="J245" s="99">
        <f>SUM($C$244:J244)</f>
        <v>684369.94192787388</v>
      </c>
      <c r="K245" s="99">
        <f>SUM($C$244:K244)</f>
        <v>776536.36450337095</v>
      </c>
      <c r="L245" s="99">
        <f>SUM($C$244:L244)</f>
        <v>870136.53324088885</v>
      </c>
      <c r="M245" s="99">
        <f>SUM($C$244:M244)</f>
        <v>965161.41789842409</v>
      </c>
      <c r="N245" s="99">
        <f>SUM($C$244:N244)</f>
        <v>1061768.9258079</v>
      </c>
      <c r="O245" s="99">
        <f>SUM($C$244:O244)</f>
        <v>1261450.5604146153</v>
      </c>
      <c r="P245" s="99">
        <f>SUM($C$244:P244)</f>
        <v>1481849.2335485152</v>
      </c>
      <c r="Q245" s="99">
        <f>SUM($C$244:Q244)</f>
        <v>1703380.6447776533</v>
      </c>
      <c r="R245" s="99">
        <f>SUM($C$244:R244)</f>
        <v>1951461.4607686959</v>
      </c>
      <c r="S245" s="99">
        <f>SUM($C$244:S244)</f>
        <v>2217372.8944623838</v>
      </c>
      <c r="T245" s="99">
        <f>SUM($C$244:T244)</f>
        <v>2484417.0662513096</v>
      </c>
      <c r="U245" s="99">
        <f>SUM($C$244:U244)</f>
        <v>2777843.9761354737</v>
      </c>
      <c r="V245" s="99">
        <f>SUM($C$244:V244)</f>
        <v>3088421.401254958</v>
      </c>
      <c r="W245" s="99">
        <f>SUM($C$244:W244)</f>
        <v>3399964.8978030137</v>
      </c>
      <c r="X245" s="99">
        <f>SUM($C$244:X244)</f>
        <v>3712641.1324463077</v>
      </c>
      <c r="Y245" s="99">
        <f>SUM($C$244:Y244)</f>
        <v>4026283.4385181731</v>
      </c>
      <c r="Z245" s="99">
        <f>SUM($C$244:Z244)</f>
        <v>4341058.4826852763</v>
      </c>
      <c r="AA245" s="99">
        <f>SUM($C$244:AA244)</f>
        <v>4683721.6220904747</v>
      </c>
      <c r="AB245" s="99">
        <f>SUM($C$244:AB244)</f>
        <v>5040913.2982456768</v>
      </c>
      <c r="AC245" s="99">
        <f>SUM($C$244:AC244)</f>
        <v>5400576.4029723071</v>
      </c>
      <c r="AD245" s="99">
        <f>SUM($C$244:AD244)</f>
        <v>5787960.9362703664</v>
      </c>
      <c r="AE245" s="99">
        <f>SUM($C$244:AE244)</f>
        <v>6193825.4558418114</v>
      </c>
      <c r="AF245" s="99">
        <f>SUM($C$244:AF244)</f>
        <v>6601994.7373180185</v>
      </c>
      <c r="AG245" s="99">
        <f>SUM($C$244:AG244)</f>
        <v>7038052.1140323207</v>
      </c>
      <c r="AH245" s="99">
        <f>SUM($C$244:AH244)</f>
        <v>7491234.1254667211</v>
      </c>
      <c r="AI245" s="99">
        <f>SUM($C$244:AI244)</f>
        <v>7946720.8988058837</v>
      </c>
      <c r="AJ245" s="99">
        <f>SUM($C$244:AJ244)</f>
        <v>8404679.1007164754</v>
      </c>
      <c r="AK245" s="99">
        <f>SUM($C$244:AK244)</f>
        <v>8864942.0645318273</v>
      </c>
      <c r="AL245" s="99">
        <f>SUM($C$244:AL244)</f>
        <v>9327676.4569186084</v>
      </c>
      <c r="AM245" s="99">
        <f>SUM($C$244:AM244)</f>
        <v>9819848.5477180872</v>
      </c>
      <c r="AN245" s="99">
        <f>SUM($C$244:AN244)</f>
        <v>10326916.290799005</v>
      </c>
      <c r="AO245" s="99">
        <f>SUM($C$244:AO244)</f>
        <v>10838005.065625954</v>
      </c>
      <c r="AP245" s="99">
        <f>SUM($C$244:AP244)</f>
        <v>11378698.205532268</v>
      </c>
      <c r="AQ245" s="99">
        <f>SUM($C$244:AQ244)</f>
        <v>11939172.700305162</v>
      </c>
      <c r="AR245" s="99">
        <f>SUM($C$244:AR244)</f>
        <v>12503834.893490756</v>
      </c>
      <c r="AS245" s="99">
        <f>SUM($C$244:AS244)</f>
        <v>13097934.785089048</v>
      </c>
      <c r="AT245" s="99">
        <f>SUM($C$244:AT244)</f>
        <v>13710232.357581923</v>
      </c>
      <c r="AU245" s="99">
        <f>SUM($C$244:AU244)</f>
        <v>14326717.628487496</v>
      </c>
      <c r="AV245" s="99">
        <f>SUM($C$244:AV244)</f>
        <v>14947223.9311391</v>
      </c>
      <c r="AW245" s="99">
        <f>SUM($C$244:AW244)</f>
        <v>15571917.932203405</v>
      </c>
      <c r="AX245" s="99">
        <f>SUM($C$244:AX244)</f>
        <v>16200632.965013741</v>
      </c>
      <c r="AY245" s="99">
        <f>SUM($C$244:AY244)</f>
        <v>16860668.632744711</v>
      </c>
      <c r="AZ245" s="99">
        <f>SUM($C$244:AZ244)</f>
        <v>17537201.0631405</v>
      </c>
      <c r="BA245" s="99">
        <f>SUM($C$244:BA244)</f>
        <v>18219637.461790256</v>
      </c>
      <c r="BB245" s="99">
        <f>SUM($C$244:BB244)</f>
        <v>18933227.828693982</v>
      </c>
      <c r="BC245" s="99">
        <f>SUM($C$244:BC244)</f>
        <v>19667726.917970844</v>
      </c>
      <c r="BD245" s="99">
        <f>SUM($C$244:BD244)</f>
        <v>20408129.975501675</v>
      </c>
      <c r="BE245" s="99">
        <f>SUM($C$244:BE244)</f>
        <v>21179687.001286473</v>
      </c>
      <c r="BF245" s="99">
        <f>SUM($C$244:BF244)</f>
        <v>21971417.449629933</v>
      </c>
      <c r="BG245" s="99">
        <f>SUM($C$244:BG244)</f>
        <v>22769051.866227359</v>
      </c>
      <c r="BH245" s="99">
        <f>SUM($C$244:BH244)</f>
        <v>23572423.584412087</v>
      </c>
      <c r="BI245" s="99">
        <f>SUM($C$244:BI244)</f>
        <v>24381699.270850781</v>
      </c>
      <c r="BJ245" s="99">
        <f>SUM($C$244:BJ244)</f>
        <v>25196712.258876778</v>
      </c>
    </row>
    <row r="247" spans="1:62">
      <c r="A247" s="6" t="s">
        <v>268</v>
      </c>
      <c r="C247" s="81">
        <f t="shared" ref="C247:AH247" si="161">C7*12*AR_DOH/360</f>
        <v>755433.93750000733</v>
      </c>
      <c r="D247" s="81">
        <f t="shared" si="161"/>
        <v>770542.6162500073</v>
      </c>
      <c r="E247" s="81">
        <f t="shared" si="161"/>
        <v>785198.03463750763</v>
      </c>
      <c r="F247" s="81">
        <f t="shared" si="161"/>
        <v>799413.79047338245</v>
      </c>
      <c r="G247" s="81">
        <f t="shared" si="161"/>
        <v>813203.0736341814</v>
      </c>
      <c r="H247" s="81">
        <f t="shared" si="161"/>
        <v>826578.67830015637</v>
      </c>
      <c r="I247" s="81">
        <f t="shared" si="161"/>
        <v>839553.01482615201</v>
      </c>
      <c r="J247" s="81">
        <f t="shared" si="161"/>
        <v>852138.121256368</v>
      </c>
      <c r="K247" s="81">
        <f t="shared" si="161"/>
        <v>864345.6744936771</v>
      </c>
      <c r="L247" s="81">
        <f t="shared" si="161"/>
        <v>876187.00113386731</v>
      </c>
      <c r="M247" s="81">
        <f t="shared" si="161"/>
        <v>887673.08797485172</v>
      </c>
      <c r="N247" s="81">
        <f t="shared" si="161"/>
        <v>898814.59221060644</v>
      </c>
      <c r="O247" s="81">
        <f t="shared" si="161"/>
        <v>909796.19068539352</v>
      </c>
      <c r="P247" s="81">
        <f t="shared" si="161"/>
        <v>1473799.8980898377</v>
      </c>
      <c r="Q247" s="81">
        <f t="shared" si="161"/>
        <v>1448475.3692721424</v>
      </c>
      <c r="R247" s="81">
        <f t="shared" si="161"/>
        <v>1423910.5763189783</v>
      </c>
      <c r="S247" s="81">
        <f t="shared" si="161"/>
        <v>1972490.8521544146</v>
      </c>
      <c r="T247" s="81">
        <f t="shared" si="161"/>
        <v>1932205.5947147829</v>
      </c>
      <c r="U247" s="81">
        <f t="shared" si="161"/>
        <v>1893128.8949983392</v>
      </c>
      <c r="V247" s="81">
        <f t="shared" si="161"/>
        <v>2427632.6212733951</v>
      </c>
      <c r="W247" s="81">
        <f t="shared" si="161"/>
        <v>2373693.1107601933</v>
      </c>
      <c r="X247" s="81">
        <f t="shared" si="161"/>
        <v>2321371.7855623872</v>
      </c>
      <c r="Y247" s="81">
        <f t="shared" si="161"/>
        <v>2270620.100120516</v>
      </c>
      <c r="Z247" s="81">
        <f t="shared" si="161"/>
        <v>2221390.9652419006</v>
      </c>
      <c r="AA247" s="81">
        <f t="shared" si="161"/>
        <v>2174138.531686672</v>
      </c>
      <c r="AB247" s="81">
        <f t="shared" si="161"/>
        <v>2722676.987736078</v>
      </c>
      <c r="AC247" s="81">
        <f t="shared" si="161"/>
        <v>2682219.5401039966</v>
      </c>
      <c r="AD247" s="81">
        <f t="shared" si="161"/>
        <v>2642975.8159008771</v>
      </c>
      <c r="AE247" s="81">
        <f t="shared" si="161"/>
        <v>3177449.1534238569</v>
      </c>
      <c r="AF247" s="81">
        <f t="shared" si="161"/>
        <v>3123348.5408211416</v>
      </c>
      <c r="AG247" s="81">
        <f t="shared" si="161"/>
        <v>3070870.9465965079</v>
      </c>
      <c r="AH247" s="81">
        <f t="shared" si="161"/>
        <v>3592507.4301986182</v>
      </c>
      <c r="AI247" s="81">
        <f t="shared" ref="AI247:BJ247" si="162">AI7*12*AR_DOH/360</f>
        <v>3525955.0692926599</v>
      </c>
      <c r="AJ247" s="81">
        <f t="shared" si="162"/>
        <v>3461399.2792138807</v>
      </c>
      <c r="AK247" s="81">
        <f t="shared" si="162"/>
        <v>3398780.1628374648</v>
      </c>
      <c r="AL247" s="81">
        <f t="shared" si="162"/>
        <v>3338039.6199523415</v>
      </c>
      <c r="AM247" s="81">
        <f t="shared" si="162"/>
        <v>3280025.9243567456</v>
      </c>
      <c r="AN247" s="81">
        <f t="shared" si="162"/>
        <v>3824191.96602605</v>
      </c>
      <c r="AO247" s="81">
        <f t="shared" si="162"/>
        <v>3779335.3264452685</v>
      </c>
      <c r="AP247" s="81">
        <f t="shared" si="162"/>
        <v>3735824.3860519119</v>
      </c>
      <c r="AQ247" s="81">
        <f t="shared" si="162"/>
        <v>4266316.4738703603</v>
      </c>
      <c r="AR247" s="81">
        <f t="shared" si="162"/>
        <v>4208196.0990542499</v>
      </c>
      <c r="AS247" s="81">
        <f t="shared" si="162"/>
        <v>4151819.335482623</v>
      </c>
      <c r="AT247" s="81">
        <f t="shared" si="162"/>
        <v>4669831.5748181511</v>
      </c>
      <c r="AU247" s="81">
        <f t="shared" si="162"/>
        <v>4599605.7469736086</v>
      </c>
      <c r="AV247" s="81">
        <f t="shared" si="162"/>
        <v>4531486.6939644003</v>
      </c>
      <c r="AW247" s="81">
        <f t="shared" si="162"/>
        <v>4465411.2125454685</v>
      </c>
      <c r="AX247" s="81">
        <f t="shared" si="162"/>
        <v>4401317.9955691053</v>
      </c>
      <c r="AY247" s="81">
        <f t="shared" si="162"/>
        <v>4340583.6591501869</v>
      </c>
      <c r="AZ247" s="81">
        <f t="shared" si="162"/>
        <v>4881789.9946556883</v>
      </c>
      <c r="BA247" s="81">
        <f t="shared" si="162"/>
        <v>4833872.9000960179</v>
      </c>
      <c r="BB247" s="81">
        <f t="shared" si="162"/>
        <v>4787393.3183731381</v>
      </c>
      <c r="BC247" s="81">
        <f t="shared" si="162"/>
        <v>5315195.3641019501</v>
      </c>
      <c r="BD247" s="81">
        <f t="shared" si="162"/>
        <v>5254276.1084588924</v>
      </c>
      <c r="BE247" s="81">
        <f t="shared" si="162"/>
        <v>5195184.4304851284</v>
      </c>
      <c r="BF247" s="81">
        <f t="shared" si="162"/>
        <v>5710752.7428505803</v>
      </c>
      <c r="BG247" s="81">
        <f t="shared" si="162"/>
        <v>5637966.7658450631</v>
      </c>
      <c r="BH247" s="81">
        <f t="shared" si="162"/>
        <v>5567364.3681497127</v>
      </c>
      <c r="BI247" s="81">
        <f t="shared" si="162"/>
        <v>5498880.0423852205</v>
      </c>
      <c r="BJ247" s="81">
        <f t="shared" si="162"/>
        <v>5432450.2463936675</v>
      </c>
    </row>
    <row r="248" spans="1:62">
      <c r="A248" s="6" t="s">
        <v>78</v>
      </c>
      <c r="C248" s="99">
        <f>E183-C183+E201-C201+E203-C203+E205-C205+150000</f>
        <v>191924.09374999994</v>
      </c>
      <c r="D248" s="99">
        <f t="shared" ref="D248:BE248" si="163">F183-D183+F201-D201+F203-D203+F205-D205+150000</f>
        <v>191491.3709375</v>
      </c>
      <c r="E248" s="99">
        <f t="shared" si="163"/>
        <v>191071.62980937501</v>
      </c>
      <c r="F248" s="99">
        <f t="shared" si="163"/>
        <v>190664.48091509377</v>
      </c>
      <c r="G248" s="99">
        <f t="shared" si="163"/>
        <v>190269.54648764097</v>
      </c>
      <c r="H248" s="99">
        <f t="shared" si="163"/>
        <v>189886.46009301173</v>
      </c>
      <c r="I248" s="99">
        <f t="shared" si="163"/>
        <v>189514.86629022134</v>
      </c>
      <c r="J248" s="99">
        <f t="shared" si="163"/>
        <v>189154.42030151471</v>
      </c>
      <c r="K248" s="99">
        <f t="shared" si="163"/>
        <v>188804.78769246931</v>
      </c>
      <c r="L248" s="99">
        <f t="shared" si="163"/>
        <v>188465.64406169526</v>
      </c>
      <c r="M248" s="99">
        <f t="shared" si="163"/>
        <v>188136.6747398444</v>
      </c>
      <c r="N248" s="99">
        <f t="shared" si="163"/>
        <v>456008.98074764916</v>
      </c>
      <c r="O248" s="99">
        <f t="shared" si="163"/>
        <v>450771.63328691362</v>
      </c>
      <c r="P248" s="99">
        <f t="shared" si="163"/>
        <v>177500</v>
      </c>
      <c r="Q248" s="99">
        <f t="shared" si="163"/>
        <v>419126.23353983014</v>
      </c>
      <c r="R248" s="99">
        <f t="shared" si="163"/>
        <v>419126.23353983014</v>
      </c>
      <c r="S248" s="99">
        <f t="shared" si="163"/>
        <v>177500</v>
      </c>
      <c r="T248" s="99">
        <f t="shared" si="163"/>
        <v>398025.73944349703</v>
      </c>
      <c r="U248" s="99">
        <f t="shared" si="163"/>
        <v>398025.73944349703</v>
      </c>
      <c r="V248" s="99">
        <f t="shared" si="163"/>
        <v>177500</v>
      </c>
      <c r="W248" s="99">
        <f t="shared" si="163"/>
        <v>177500</v>
      </c>
      <c r="X248" s="99">
        <f t="shared" si="163"/>
        <v>177500</v>
      </c>
      <c r="Y248" s="99">
        <f t="shared" si="163"/>
        <v>193750</v>
      </c>
      <c r="Z248" s="99">
        <f t="shared" si="163"/>
        <v>352651.90942406538</v>
      </c>
      <c r="AA248" s="99">
        <f t="shared" si="163"/>
        <v>352651.90942406538</v>
      </c>
      <c r="AB248" s="99">
        <f t="shared" si="163"/>
        <v>210000</v>
      </c>
      <c r="AC248" s="99">
        <f t="shared" si="163"/>
        <v>430296.00185396464</v>
      </c>
      <c r="AD248" s="99">
        <f t="shared" si="163"/>
        <v>430296.00185396464</v>
      </c>
      <c r="AE248" s="99">
        <f t="shared" si="163"/>
        <v>210000</v>
      </c>
      <c r="AF248" s="99">
        <f t="shared" si="163"/>
        <v>411058.21290006384</v>
      </c>
      <c r="AG248" s="99">
        <f t="shared" si="163"/>
        <v>411058.21290006384</v>
      </c>
      <c r="AH248" s="99">
        <f t="shared" si="163"/>
        <v>210000</v>
      </c>
      <c r="AI248" s="99">
        <f t="shared" si="163"/>
        <v>210000</v>
      </c>
      <c r="AJ248" s="99">
        <f t="shared" si="163"/>
        <v>210000</v>
      </c>
      <c r="AK248" s="99">
        <f t="shared" si="163"/>
        <v>230833.33333333326</v>
      </c>
      <c r="AL248" s="99">
        <f t="shared" si="163"/>
        <v>363385.96687186381</v>
      </c>
      <c r="AM248" s="99">
        <f t="shared" si="163"/>
        <v>363385.96687186405</v>
      </c>
      <c r="AN248" s="99">
        <f t="shared" si="163"/>
        <v>251666.66666666674</v>
      </c>
      <c r="AO248" s="99">
        <f t="shared" si="163"/>
        <v>465776.95377353707</v>
      </c>
      <c r="AP248" s="99">
        <f t="shared" si="163"/>
        <v>465776.9537735373</v>
      </c>
      <c r="AQ248" s="99">
        <f t="shared" si="163"/>
        <v>251666.66666666686</v>
      </c>
      <c r="AR248" s="99">
        <f t="shared" si="163"/>
        <v>447079.3447313559</v>
      </c>
      <c r="AS248" s="99">
        <f t="shared" si="163"/>
        <v>447079.34473135613</v>
      </c>
      <c r="AT248" s="99">
        <f t="shared" si="163"/>
        <v>251666.66666666674</v>
      </c>
      <c r="AU248" s="99">
        <f t="shared" si="163"/>
        <v>251666.66666666674</v>
      </c>
      <c r="AV248" s="99">
        <f t="shared" si="163"/>
        <v>251666.66666666674</v>
      </c>
      <c r="AW248" s="99">
        <f t="shared" si="163"/>
        <v>272500</v>
      </c>
      <c r="AX248" s="99">
        <f t="shared" si="163"/>
        <v>395197.53385300573</v>
      </c>
      <c r="AY248" s="99">
        <f t="shared" si="163"/>
        <v>395197.53385300597</v>
      </c>
      <c r="AZ248" s="99">
        <f t="shared" si="163"/>
        <v>293333.33333333326</v>
      </c>
      <c r="BA248" s="99">
        <f t="shared" si="163"/>
        <v>503151.70951563492</v>
      </c>
      <c r="BB248" s="99">
        <f t="shared" si="163"/>
        <v>503151.70951563539</v>
      </c>
      <c r="BC248" s="99">
        <f t="shared" si="163"/>
        <v>293333.33333333372</v>
      </c>
      <c r="BD248" s="99">
        <f t="shared" si="163"/>
        <v>484828.90017876425</v>
      </c>
      <c r="BE248" s="99">
        <f t="shared" si="163"/>
        <v>484828.90017876378</v>
      </c>
      <c r="BF248" s="135">
        <f>BE248</f>
        <v>484828.90017876378</v>
      </c>
      <c r="BG248" s="135">
        <f>BF248</f>
        <v>484828.90017876378</v>
      </c>
      <c r="BH248" s="135">
        <f>BG248</f>
        <v>484828.90017876378</v>
      </c>
      <c r="BI248" s="135">
        <f>BH248</f>
        <v>484828.90017876378</v>
      </c>
      <c r="BJ248" s="135">
        <f>BI248</f>
        <v>484828.90017876378</v>
      </c>
    </row>
    <row r="249" spans="1:62">
      <c r="A249" s="6" t="s">
        <v>269</v>
      </c>
      <c r="C249" s="99">
        <f>(C248-150000)</f>
        <v>41924.093749999942</v>
      </c>
      <c r="D249" s="99">
        <f t="shared" ref="D249:BJ249" si="164">(D248-150000)</f>
        <v>41491.370937500003</v>
      </c>
      <c r="E249" s="99">
        <f t="shared" si="164"/>
        <v>41071.629809375008</v>
      </c>
      <c r="F249" s="99">
        <f t="shared" si="164"/>
        <v>40664.480915093765</v>
      </c>
      <c r="G249" s="99">
        <f t="shared" si="164"/>
        <v>40269.546487640968</v>
      </c>
      <c r="H249" s="99">
        <f t="shared" si="164"/>
        <v>39886.46009301173</v>
      </c>
      <c r="I249" s="99">
        <f t="shared" si="164"/>
        <v>39514.86629022134</v>
      </c>
      <c r="J249" s="99">
        <f t="shared" si="164"/>
        <v>39154.420301514707</v>
      </c>
      <c r="K249" s="99">
        <f t="shared" si="164"/>
        <v>38804.787692469312</v>
      </c>
      <c r="L249" s="99">
        <f t="shared" si="164"/>
        <v>38465.64406169526</v>
      </c>
      <c r="M249" s="99">
        <f t="shared" si="164"/>
        <v>38136.674739844399</v>
      </c>
      <c r="N249" s="99">
        <f t="shared" si="164"/>
        <v>306008.98074764916</v>
      </c>
      <c r="O249" s="99">
        <f t="shared" si="164"/>
        <v>300771.63328691362</v>
      </c>
      <c r="P249" s="99">
        <f t="shared" si="164"/>
        <v>27500</v>
      </c>
      <c r="Q249" s="99">
        <f t="shared" si="164"/>
        <v>269126.23353983014</v>
      </c>
      <c r="R249" s="99">
        <f t="shared" si="164"/>
        <v>269126.23353983014</v>
      </c>
      <c r="S249" s="99">
        <f t="shared" si="164"/>
        <v>27500</v>
      </c>
      <c r="T249" s="99">
        <f t="shared" si="164"/>
        <v>248025.73944349703</v>
      </c>
      <c r="U249" s="99">
        <f t="shared" si="164"/>
        <v>248025.73944349703</v>
      </c>
      <c r="V249" s="99">
        <f t="shared" si="164"/>
        <v>27500</v>
      </c>
      <c r="W249" s="99">
        <f t="shared" si="164"/>
        <v>27500</v>
      </c>
      <c r="X249" s="99">
        <f t="shared" si="164"/>
        <v>27500</v>
      </c>
      <c r="Y249" s="99">
        <f t="shared" si="164"/>
        <v>43750</v>
      </c>
      <c r="Z249" s="99">
        <f t="shared" si="164"/>
        <v>202651.90942406538</v>
      </c>
      <c r="AA249" s="99">
        <f t="shared" si="164"/>
        <v>202651.90942406538</v>
      </c>
      <c r="AB249" s="99">
        <f t="shared" si="164"/>
        <v>60000</v>
      </c>
      <c r="AC249" s="99">
        <f t="shared" si="164"/>
        <v>280296.00185396464</v>
      </c>
      <c r="AD249" s="99">
        <f t="shared" si="164"/>
        <v>280296.00185396464</v>
      </c>
      <c r="AE249" s="99">
        <f t="shared" si="164"/>
        <v>60000</v>
      </c>
      <c r="AF249" s="99">
        <f t="shared" si="164"/>
        <v>261058.21290006384</v>
      </c>
      <c r="AG249" s="99">
        <f t="shared" si="164"/>
        <v>261058.21290006384</v>
      </c>
      <c r="AH249" s="99">
        <f t="shared" si="164"/>
        <v>60000</v>
      </c>
      <c r="AI249" s="99">
        <f t="shared" si="164"/>
        <v>60000</v>
      </c>
      <c r="AJ249" s="99">
        <f t="shared" si="164"/>
        <v>60000</v>
      </c>
      <c r="AK249" s="99">
        <f t="shared" si="164"/>
        <v>80833.333333333256</v>
      </c>
      <c r="AL249" s="99">
        <f t="shared" si="164"/>
        <v>213385.96687186381</v>
      </c>
      <c r="AM249" s="99">
        <f t="shared" si="164"/>
        <v>213385.96687186405</v>
      </c>
      <c r="AN249" s="99">
        <f t="shared" si="164"/>
        <v>101666.66666666674</v>
      </c>
      <c r="AO249" s="99">
        <f t="shared" si="164"/>
        <v>315776.95377353707</v>
      </c>
      <c r="AP249" s="99">
        <f t="shared" si="164"/>
        <v>315776.9537735373</v>
      </c>
      <c r="AQ249" s="99">
        <f t="shared" si="164"/>
        <v>101666.66666666686</v>
      </c>
      <c r="AR249" s="99">
        <f t="shared" si="164"/>
        <v>297079.3447313559</v>
      </c>
      <c r="AS249" s="99">
        <f t="shared" si="164"/>
        <v>297079.34473135613</v>
      </c>
      <c r="AT249" s="99">
        <f t="shared" si="164"/>
        <v>101666.66666666674</v>
      </c>
      <c r="AU249" s="99">
        <f t="shared" si="164"/>
        <v>101666.66666666674</v>
      </c>
      <c r="AV249" s="99">
        <f t="shared" si="164"/>
        <v>101666.66666666674</v>
      </c>
      <c r="AW249" s="99">
        <f t="shared" si="164"/>
        <v>122500</v>
      </c>
      <c r="AX249" s="99">
        <f t="shared" si="164"/>
        <v>245197.53385300573</v>
      </c>
      <c r="AY249" s="99">
        <f t="shared" si="164"/>
        <v>245197.53385300597</v>
      </c>
      <c r="AZ249" s="99">
        <f t="shared" si="164"/>
        <v>143333.33333333326</v>
      </c>
      <c r="BA249" s="99">
        <f t="shared" si="164"/>
        <v>353151.70951563492</v>
      </c>
      <c r="BB249" s="99">
        <f t="shared" si="164"/>
        <v>353151.70951563539</v>
      </c>
      <c r="BC249" s="99">
        <f t="shared" si="164"/>
        <v>143333.33333333372</v>
      </c>
      <c r="BD249" s="99">
        <f t="shared" si="164"/>
        <v>334828.90017876425</v>
      </c>
      <c r="BE249" s="99">
        <f t="shared" si="164"/>
        <v>334828.90017876378</v>
      </c>
      <c r="BF249" s="99">
        <f t="shared" si="164"/>
        <v>334828.90017876378</v>
      </c>
      <c r="BG249" s="99">
        <f t="shared" si="164"/>
        <v>334828.90017876378</v>
      </c>
      <c r="BH249" s="99">
        <f t="shared" si="164"/>
        <v>334828.90017876378</v>
      </c>
      <c r="BI249" s="99">
        <f t="shared" si="164"/>
        <v>334828.90017876378</v>
      </c>
      <c r="BJ249" s="99">
        <f t="shared" si="164"/>
        <v>334828.90017876378</v>
      </c>
    </row>
    <row r="251" spans="1:62">
      <c r="A251" s="6" t="s">
        <v>307</v>
      </c>
      <c r="AL251" s="100"/>
      <c r="AX251" s="100"/>
    </row>
    <row r="252" spans="1:62">
      <c r="A252" s="105" t="s">
        <v>308</v>
      </c>
      <c r="O252" s="81">
        <v>0</v>
      </c>
      <c r="P252" s="81">
        <f>O255</f>
        <v>14000000</v>
      </c>
      <c r="Q252" s="81">
        <f t="shared" ref="Q252:AZ252" si="165">P255</f>
        <v>14000000</v>
      </c>
      <c r="R252" s="81">
        <f t="shared" si="165"/>
        <v>14000000</v>
      </c>
      <c r="S252" s="81">
        <f t="shared" si="165"/>
        <v>14000000</v>
      </c>
      <c r="T252" s="81">
        <f t="shared" si="165"/>
        <v>14000000</v>
      </c>
      <c r="U252" s="81">
        <f t="shared" si="165"/>
        <v>14000000</v>
      </c>
      <c r="V252" s="81">
        <f t="shared" si="165"/>
        <v>14000000</v>
      </c>
      <c r="W252" s="81">
        <f t="shared" si="165"/>
        <v>14000000</v>
      </c>
      <c r="X252" s="81">
        <f t="shared" si="165"/>
        <v>14000000</v>
      </c>
      <c r="Y252" s="81">
        <f t="shared" si="165"/>
        <v>14000000</v>
      </c>
      <c r="Z252" s="81">
        <f t="shared" si="165"/>
        <v>14000000</v>
      </c>
      <c r="AA252" s="81">
        <f t="shared" si="165"/>
        <v>14000000</v>
      </c>
      <c r="AB252" s="81">
        <f t="shared" si="165"/>
        <v>23708333.333333332</v>
      </c>
      <c r="AC252" s="81">
        <f t="shared" si="165"/>
        <v>23416666.666666664</v>
      </c>
      <c r="AD252" s="81">
        <f t="shared" si="165"/>
        <v>23124999.999999996</v>
      </c>
      <c r="AE252" s="81">
        <f t="shared" si="165"/>
        <v>22833333.333333328</v>
      </c>
      <c r="AF252" s="81">
        <f t="shared" si="165"/>
        <v>22541666.66666666</v>
      </c>
      <c r="AG252" s="81">
        <f t="shared" si="165"/>
        <v>22249999.999999993</v>
      </c>
      <c r="AH252" s="81">
        <f t="shared" si="165"/>
        <v>21958333.333333325</v>
      </c>
      <c r="AI252" s="81">
        <f t="shared" si="165"/>
        <v>21666666.666666657</v>
      </c>
      <c r="AJ252" s="81">
        <f t="shared" si="165"/>
        <v>21374999.999999989</v>
      </c>
      <c r="AK252" s="81">
        <f t="shared" si="165"/>
        <v>21083333.333333321</v>
      </c>
      <c r="AL252" s="81">
        <f t="shared" si="165"/>
        <v>20791666.666666653</v>
      </c>
      <c r="AM252" s="81">
        <f t="shared" si="165"/>
        <v>20499999.999999985</v>
      </c>
      <c r="AN252" s="81">
        <f t="shared" si="165"/>
        <v>25066840.277777765</v>
      </c>
      <c r="AO252" s="81">
        <f t="shared" si="165"/>
        <v>24633680.555555545</v>
      </c>
      <c r="AP252" s="81">
        <f t="shared" si="165"/>
        <v>24200520.833333325</v>
      </c>
      <c r="AQ252" s="81">
        <f t="shared" si="165"/>
        <v>23767361.111111104</v>
      </c>
      <c r="AR252" s="81">
        <f t="shared" si="165"/>
        <v>23334201.388888884</v>
      </c>
      <c r="AS252" s="81">
        <f t="shared" si="165"/>
        <v>22901041.666666664</v>
      </c>
      <c r="AT252" s="81">
        <f t="shared" si="165"/>
        <v>22467881.944444444</v>
      </c>
      <c r="AU252" s="81">
        <f t="shared" si="165"/>
        <v>22034722.222222224</v>
      </c>
      <c r="AV252" s="81">
        <f t="shared" si="165"/>
        <v>21601562.500000004</v>
      </c>
      <c r="AW252" s="81">
        <f t="shared" si="165"/>
        <v>21168402.777777784</v>
      </c>
      <c r="AX252" s="81">
        <f t="shared" si="165"/>
        <v>20735243.055555563</v>
      </c>
      <c r="AY252" s="81">
        <f t="shared" si="165"/>
        <v>20302083.333333343</v>
      </c>
      <c r="AZ252" s="81">
        <f t="shared" si="165"/>
        <v>24870099.103009269</v>
      </c>
      <c r="BA252" s="81">
        <f t="shared" ref="BA252:BJ252" si="166">AZ255</f>
        <v>24438114.872685194</v>
      </c>
      <c r="BB252" s="81">
        <f t="shared" si="166"/>
        <v>24006130.642361119</v>
      </c>
      <c r="BC252" s="81">
        <f t="shared" si="166"/>
        <v>23574146.412037045</v>
      </c>
      <c r="BD252" s="81">
        <f t="shared" si="166"/>
        <v>23142162.18171297</v>
      </c>
      <c r="BE252" s="81">
        <f t="shared" si="166"/>
        <v>22710177.951388896</v>
      </c>
      <c r="BF252" s="81">
        <f t="shared" si="166"/>
        <v>22278193.721064821</v>
      </c>
      <c r="BG252" s="81">
        <f t="shared" si="166"/>
        <v>21846209.490740746</v>
      </c>
      <c r="BH252" s="81">
        <f t="shared" si="166"/>
        <v>21414225.260416672</v>
      </c>
      <c r="BI252" s="81">
        <f t="shared" si="166"/>
        <v>20982241.030092597</v>
      </c>
      <c r="BJ252" s="81">
        <f t="shared" si="166"/>
        <v>20550256.799768522</v>
      </c>
    </row>
    <row r="253" spans="1:62">
      <c r="A253" s="105" t="s">
        <v>309</v>
      </c>
      <c r="O253" s="81">
        <v>14000000</v>
      </c>
      <c r="P253" s="81">
        <v>0</v>
      </c>
      <c r="Q253" s="81">
        <v>0</v>
      </c>
      <c r="R253" s="81">
        <v>0</v>
      </c>
      <c r="S253" s="81">
        <v>0</v>
      </c>
      <c r="T253" s="81">
        <v>0</v>
      </c>
      <c r="U253" s="81">
        <v>0</v>
      </c>
      <c r="V253" s="81">
        <v>0</v>
      </c>
      <c r="W253" s="81">
        <v>0</v>
      </c>
      <c r="X253" s="81">
        <v>0</v>
      </c>
      <c r="Y253" s="81">
        <v>0</v>
      </c>
      <c r="Z253" s="81">
        <v>0</v>
      </c>
      <c r="AA253" s="81">
        <v>10000000</v>
      </c>
      <c r="AB253" s="81">
        <v>0</v>
      </c>
      <c r="AC253" s="81">
        <v>0</v>
      </c>
      <c r="AD253" s="81">
        <v>0</v>
      </c>
      <c r="AE253" s="81">
        <v>0</v>
      </c>
      <c r="AF253" s="81">
        <v>0</v>
      </c>
      <c r="AG253" s="81">
        <v>0</v>
      </c>
      <c r="AH253" s="81">
        <v>0</v>
      </c>
      <c r="AI253" s="81">
        <v>0</v>
      </c>
      <c r="AJ253" s="81">
        <v>0</v>
      </c>
      <c r="AK253" s="81">
        <v>0</v>
      </c>
      <c r="AL253" s="81">
        <v>0</v>
      </c>
      <c r="AM253" s="81">
        <v>5000000</v>
      </c>
      <c r="AN253" s="81">
        <v>0</v>
      </c>
      <c r="AO253" s="81">
        <v>0</v>
      </c>
      <c r="AP253" s="81">
        <v>0</v>
      </c>
      <c r="AQ253" s="81">
        <v>0</v>
      </c>
      <c r="AR253" s="81">
        <v>0</v>
      </c>
      <c r="AS253" s="81">
        <v>0</v>
      </c>
      <c r="AT253" s="81">
        <v>0</v>
      </c>
      <c r="AU253" s="81">
        <v>0</v>
      </c>
      <c r="AV253" s="81">
        <v>0</v>
      </c>
      <c r="AW253" s="81">
        <v>0</v>
      </c>
      <c r="AX253" s="81">
        <v>0</v>
      </c>
      <c r="AY253" s="81">
        <v>5000000</v>
      </c>
      <c r="AZ253" s="81">
        <v>0</v>
      </c>
      <c r="BA253" s="81">
        <v>0</v>
      </c>
      <c r="BB253" s="81">
        <v>0</v>
      </c>
      <c r="BC253" s="81">
        <v>0</v>
      </c>
      <c r="BD253" s="81">
        <v>0</v>
      </c>
      <c r="BE253" s="81">
        <v>0</v>
      </c>
      <c r="BF253" s="81">
        <v>0</v>
      </c>
      <c r="BG253" s="81">
        <v>0</v>
      </c>
      <c r="BH253" s="81">
        <v>0</v>
      </c>
      <c r="BI253" s="81">
        <v>0</v>
      </c>
      <c r="BJ253" s="81">
        <v>0</v>
      </c>
    </row>
    <row r="254" spans="1:62">
      <c r="A254" s="105" t="s">
        <v>310</v>
      </c>
      <c r="O254" s="81">
        <v>0</v>
      </c>
      <c r="P254" s="81">
        <v>0</v>
      </c>
      <c r="Q254" s="81">
        <v>0</v>
      </c>
      <c r="R254" s="81">
        <v>0</v>
      </c>
      <c r="S254" s="81">
        <v>0</v>
      </c>
      <c r="T254" s="81">
        <v>0</v>
      </c>
      <c r="U254" s="81">
        <v>0</v>
      </c>
      <c r="V254" s="81">
        <v>0</v>
      </c>
      <c r="W254" s="81">
        <v>0</v>
      </c>
      <c r="X254" s="81">
        <v>0</v>
      </c>
      <c r="Y254" s="81">
        <v>0</v>
      </c>
      <c r="Z254" s="81">
        <v>0</v>
      </c>
      <c r="AA254" s="81">
        <f>IF(COLUMN()&gt;26,$Z$252/48,0)</f>
        <v>291666.66666666669</v>
      </c>
      <c r="AB254" s="81">
        <f t="shared" ref="AB254:AL254" si="167">IF(COLUMN()&gt;26,$Z$252/48,0)</f>
        <v>291666.66666666669</v>
      </c>
      <c r="AC254" s="81">
        <f t="shared" si="167"/>
        <v>291666.66666666669</v>
      </c>
      <c r="AD254" s="81">
        <f t="shared" si="167"/>
        <v>291666.66666666669</v>
      </c>
      <c r="AE254" s="81">
        <f t="shared" si="167"/>
        <v>291666.66666666669</v>
      </c>
      <c r="AF254" s="81">
        <f t="shared" si="167"/>
        <v>291666.66666666669</v>
      </c>
      <c r="AG254" s="81">
        <f t="shared" si="167"/>
        <v>291666.66666666669</v>
      </c>
      <c r="AH254" s="81">
        <f t="shared" si="167"/>
        <v>291666.66666666669</v>
      </c>
      <c r="AI254" s="81">
        <f t="shared" si="167"/>
        <v>291666.66666666669</v>
      </c>
      <c r="AJ254" s="81">
        <f t="shared" si="167"/>
        <v>291666.66666666669</v>
      </c>
      <c r="AK254" s="81">
        <f t="shared" si="167"/>
        <v>291666.66666666669</v>
      </c>
      <c r="AL254" s="75">
        <f t="shared" si="167"/>
        <v>291666.66666666669</v>
      </c>
      <c r="AM254" s="75">
        <f>IF(COLUMN()&gt;38,$AL$252/48,0)</f>
        <v>433159.72222222196</v>
      </c>
      <c r="AN254" s="75">
        <f t="shared" ref="AN254:AX254" si="168">IF(COLUMN()&gt;38,$AL$252/48,0)</f>
        <v>433159.72222222196</v>
      </c>
      <c r="AO254" s="75">
        <f t="shared" si="168"/>
        <v>433159.72222222196</v>
      </c>
      <c r="AP254" s="75">
        <f t="shared" si="168"/>
        <v>433159.72222222196</v>
      </c>
      <c r="AQ254" s="75">
        <f t="shared" si="168"/>
        <v>433159.72222222196</v>
      </c>
      <c r="AR254" s="75">
        <f t="shared" si="168"/>
        <v>433159.72222222196</v>
      </c>
      <c r="AS254" s="75">
        <f t="shared" si="168"/>
        <v>433159.72222222196</v>
      </c>
      <c r="AT254" s="75">
        <f t="shared" si="168"/>
        <v>433159.72222222196</v>
      </c>
      <c r="AU254" s="75">
        <f t="shared" si="168"/>
        <v>433159.72222222196</v>
      </c>
      <c r="AV254" s="75">
        <f t="shared" si="168"/>
        <v>433159.72222222196</v>
      </c>
      <c r="AW254" s="75">
        <f t="shared" si="168"/>
        <v>433159.72222222196</v>
      </c>
      <c r="AX254" s="75">
        <f t="shared" si="168"/>
        <v>433159.72222222196</v>
      </c>
      <c r="AY254" s="75">
        <f>IF(COLUMN()&gt;50,$AX$252/48,0)</f>
        <v>431984.23032407422</v>
      </c>
      <c r="AZ254" s="75">
        <f>IF(COLUMN()&gt;50,$AX$252/48,0)</f>
        <v>431984.23032407422</v>
      </c>
      <c r="BA254" s="75">
        <f t="shared" ref="BA254:BJ254" si="169">IF(COLUMN()&gt;50,$AX$252/48,0)</f>
        <v>431984.23032407422</v>
      </c>
      <c r="BB254" s="75">
        <f t="shared" si="169"/>
        <v>431984.23032407422</v>
      </c>
      <c r="BC254" s="75">
        <f t="shared" si="169"/>
        <v>431984.23032407422</v>
      </c>
      <c r="BD254" s="75">
        <f t="shared" si="169"/>
        <v>431984.23032407422</v>
      </c>
      <c r="BE254" s="75">
        <f t="shared" si="169"/>
        <v>431984.23032407422</v>
      </c>
      <c r="BF254" s="75">
        <f t="shared" si="169"/>
        <v>431984.23032407422</v>
      </c>
      <c r="BG254" s="75">
        <f t="shared" si="169"/>
        <v>431984.23032407422</v>
      </c>
      <c r="BH254" s="75">
        <f t="shared" si="169"/>
        <v>431984.23032407422</v>
      </c>
      <c r="BI254" s="75">
        <f t="shared" si="169"/>
        <v>431984.23032407422</v>
      </c>
      <c r="BJ254" s="75">
        <f t="shared" si="169"/>
        <v>431984.23032407422</v>
      </c>
    </row>
    <row r="255" spans="1:62">
      <c r="A255" s="105" t="s">
        <v>311</v>
      </c>
      <c r="O255" s="81">
        <f>O252+O253-O254</f>
        <v>14000000</v>
      </c>
      <c r="P255" s="81">
        <f>P252+P253-P254</f>
        <v>14000000</v>
      </c>
      <c r="Q255" s="81">
        <f t="shared" ref="Q255:AA255" si="170">Q252+Q253-Q254</f>
        <v>14000000</v>
      </c>
      <c r="R255" s="81">
        <f t="shared" si="170"/>
        <v>14000000</v>
      </c>
      <c r="S255" s="81">
        <f t="shared" si="170"/>
        <v>14000000</v>
      </c>
      <c r="T255" s="81">
        <f t="shared" si="170"/>
        <v>14000000</v>
      </c>
      <c r="U255" s="81">
        <f t="shared" si="170"/>
        <v>14000000</v>
      </c>
      <c r="V255" s="81">
        <f t="shared" si="170"/>
        <v>14000000</v>
      </c>
      <c r="W255" s="81">
        <f t="shared" si="170"/>
        <v>14000000</v>
      </c>
      <c r="X255" s="81">
        <f t="shared" si="170"/>
        <v>14000000</v>
      </c>
      <c r="Y255" s="81">
        <f t="shared" si="170"/>
        <v>14000000</v>
      </c>
      <c r="Z255" s="81">
        <f t="shared" si="170"/>
        <v>14000000</v>
      </c>
      <c r="AA255" s="81">
        <f t="shared" si="170"/>
        <v>23708333.333333332</v>
      </c>
      <c r="AB255" s="81">
        <f t="shared" ref="AB255:BJ255" si="171">AB252+AB253-AB254</f>
        <v>23416666.666666664</v>
      </c>
      <c r="AC255" s="81">
        <f t="shared" si="171"/>
        <v>23124999.999999996</v>
      </c>
      <c r="AD255" s="81">
        <f t="shared" si="171"/>
        <v>22833333.333333328</v>
      </c>
      <c r="AE255" s="81">
        <f t="shared" si="171"/>
        <v>22541666.66666666</v>
      </c>
      <c r="AF255" s="81">
        <f t="shared" si="171"/>
        <v>22249999.999999993</v>
      </c>
      <c r="AG255" s="81">
        <f t="shared" si="171"/>
        <v>21958333.333333325</v>
      </c>
      <c r="AH255" s="81">
        <f t="shared" si="171"/>
        <v>21666666.666666657</v>
      </c>
      <c r="AI255" s="81">
        <f t="shared" si="171"/>
        <v>21374999.999999989</v>
      </c>
      <c r="AJ255" s="81">
        <f t="shared" si="171"/>
        <v>21083333.333333321</v>
      </c>
      <c r="AK255" s="81">
        <f t="shared" si="171"/>
        <v>20791666.666666653</v>
      </c>
      <c r="AL255" s="81">
        <f t="shared" si="171"/>
        <v>20499999.999999985</v>
      </c>
      <c r="AM255" s="81">
        <f t="shared" si="171"/>
        <v>25066840.277777765</v>
      </c>
      <c r="AN255" s="81">
        <f t="shared" si="171"/>
        <v>24633680.555555545</v>
      </c>
      <c r="AO255" s="81">
        <f t="shared" si="171"/>
        <v>24200520.833333325</v>
      </c>
      <c r="AP255" s="81">
        <f t="shared" si="171"/>
        <v>23767361.111111104</v>
      </c>
      <c r="AQ255" s="81">
        <f t="shared" si="171"/>
        <v>23334201.388888884</v>
      </c>
      <c r="AR255" s="81">
        <f t="shared" si="171"/>
        <v>22901041.666666664</v>
      </c>
      <c r="AS255" s="81">
        <f t="shared" si="171"/>
        <v>22467881.944444444</v>
      </c>
      <c r="AT255" s="81">
        <f t="shared" si="171"/>
        <v>22034722.222222224</v>
      </c>
      <c r="AU255" s="81">
        <f t="shared" si="171"/>
        <v>21601562.500000004</v>
      </c>
      <c r="AV255" s="81">
        <f t="shared" si="171"/>
        <v>21168402.777777784</v>
      </c>
      <c r="AW255" s="81">
        <f t="shared" si="171"/>
        <v>20735243.055555563</v>
      </c>
      <c r="AX255" s="81">
        <f t="shared" si="171"/>
        <v>20302083.333333343</v>
      </c>
      <c r="AY255" s="81">
        <f t="shared" si="171"/>
        <v>24870099.103009269</v>
      </c>
      <c r="AZ255" s="81">
        <f t="shared" si="171"/>
        <v>24438114.872685194</v>
      </c>
      <c r="BA255" s="81">
        <f t="shared" si="171"/>
        <v>24006130.642361119</v>
      </c>
      <c r="BB255" s="81">
        <f t="shared" si="171"/>
        <v>23574146.412037045</v>
      </c>
      <c r="BC255" s="81">
        <f t="shared" si="171"/>
        <v>23142162.18171297</v>
      </c>
      <c r="BD255" s="81">
        <f t="shared" si="171"/>
        <v>22710177.951388896</v>
      </c>
      <c r="BE255" s="81">
        <f t="shared" si="171"/>
        <v>22278193.721064821</v>
      </c>
      <c r="BF255" s="81">
        <f t="shared" si="171"/>
        <v>21846209.490740746</v>
      </c>
      <c r="BG255" s="81">
        <f t="shared" si="171"/>
        <v>21414225.260416672</v>
      </c>
      <c r="BH255" s="81">
        <f t="shared" si="171"/>
        <v>20982241.030092597</v>
      </c>
      <c r="BI255" s="81">
        <f t="shared" si="171"/>
        <v>20550256.799768522</v>
      </c>
      <c r="BJ255" s="81">
        <f t="shared" si="171"/>
        <v>20118272.569444448</v>
      </c>
    </row>
    <row r="256" spans="1:62">
      <c r="A256" s="105" t="s">
        <v>91</v>
      </c>
      <c r="O256" s="81">
        <f>SUM(O254:Z254)</f>
        <v>0</v>
      </c>
      <c r="P256" s="81">
        <f>SUM(P254:AA254)</f>
        <v>291666.66666666669</v>
      </c>
      <c r="Q256" s="81">
        <f t="shared" ref="Q256:AA256" si="172">SUM(Q254:AB254)</f>
        <v>583333.33333333337</v>
      </c>
      <c r="R256" s="81">
        <f t="shared" si="172"/>
        <v>875000</v>
      </c>
      <c r="S256" s="81">
        <f t="shared" si="172"/>
        <v>1166666.6666666667</v>
      </c>
      <c r="T256" s="81">
        <f t="shared" si="172"/>
        <v>1458333.3333333335</v>
      </c>
      <c r="U256" s="81">
        <f t="shared" si="172"/>
        <v>1750000.0000000002</v>
      </c>
      <c r="V256" s="81">
        <f t="shared" si="172"/>
        <v>2041666.666666667</v>
      </c>
      <c r="W256" s="81">
        <f t="shared" si="172"/>
        <v>2333333.3333333335</v>
      </c>
      <c r="X256" s="81">
        <f t="shared" si="172"/>
        <v>2625000</v>
      </c>
      <c r="Y256" s="81">
        <f t="shared" si="172"/>
        <v>2916666.6666666665</v>
      </c>
      <c r="Z256" s="81">
        <f t="shared" si="172"/>
        <v>3208333.333333333</v>
      </c>
      <c r="AA256" s="81">
        <f t="shared" si="172"/>
        <v>3499999.9999999995</v>
      </c>
      <c r="AB256" s="81">
        <f t="shared" ref="AB256:AZ256" si="173">SUM(AB254:AM254)</f>
        <v>3641493.055555555</v>
      </c>
      <c r="AC256" s="81">
        <f t="shared" si="173"/>
        <v>3782986.1111111105</v>
      </c>
      <c r="AD256" s="81">
        <f t="shared" si="173"/>
        <v>3924479.166666666</v>
      </c>
      <c r="AE256" s="81">
        <f t="shared" si="173"/>
        <v>4065972.2222222215</v>
      </c>
      <c r="AF256" s="81">
        <f t="shared" si="173"/>
        <v>4207465.2777777771</v>
      </c>
      <c r="AG256" s="81">
        <f t="shared" si="173"/>
        <v>4348958.3333333321</v>
      </c>
      <c r="AH256" s="81">
        <f t="shared" si="173"/>
        <v>4490451.3888888871</v>
      </c>
      <c r="AI256" s="81">
        <f t="shared" si="173"/>
        <v>4631944.4444444422</v>
      </c>
      <c r="AJ256" s="81">
        <f t="shared" si="173"/>
        <v>4773437.4999999981</v>
      </c>
      <c r="AK256" s="81">
        <f t="shared" si="173"/>
        <v>4914930.5555555532</v>
      </c>
      <c r="AL256" s="81">
        <f t="shared" si="173"/>
        <v>5056423.6111111082</v>
      </c>
      <c r="AM256" s="81">
        <f t="shared" si="173"/>
        <v>5197916.6666666633</v>
      </c>
      <c r="AN256" s="81">
        <f t="shared" si="173"/>
        <v>5196741.1747685159</v>
      </c>
      <c r="AO256" s="81">
        <f t="shared" si="173"/>
        <v>5195565.6828703685</v>
      </c>
      <c r="AP256" s="81">
        <f t="shared" si="173"/>
        <v>5194390.1909722211</v>
      </c>
      <c r="AQ256" s="81">
        <f t="shared" si="173"/>
        <v>5193214.6990740737</v>
      </c>
      <c r="AR256" s="81">
        <f t="shared" si="173"/>
        <v>5192039.2071759254</v>
      </c>
      <c r="AS256" s="81">
        <f t="shared" si="173"/>
        <v>5190863.715277778</v>
      </c>
      <c r="AT256" s="81">
        <f t="shared" si="173"/>
        <v>5189688.2233796297</v>
      </c>
      <c r="AU256" s="81">
        <f t="shared" si="173"/>
        <v>5188512.7314814823</v>
      </c>
      <c r="AV256" s="81">
        <f t="shared" si="173"/>
        <v>5187337.2395833349</v>
      </c>
      <c r="AW256" s="81">
        <f t="shared" si="173"/>
        <v>5186161.7476851866</v>
      </c>
      <c r="AX256" s="81">
        <f t="shared" si="173"/>
        <v>5184986.2557870392</v>
      </c>
      <c r="AY256" s="81">
        <f t="shared" si="173"/>
        <v>5183810.7638888918</v>
      </c>
      <c r="AZ256" s="81">
        <f t="shared" si="173"/>
        <v>4751826.5335648172</v>
      </c>
      <c r="BA256" s="81">
        <f>BA254*12</f>
        <v>5183810.7638888909</v>
      </c>
      <c r="BB256" s="81">
        <f t="shared" ref="BB256:BJ256" si="174">BB254*12</f>
        <v>5183810.7638888909</v>
      </c>
      <c r="BC256" s="81">
        <f t="shared" si="174"/>
        <v>5183810.7638888909</v>
      </c>
      <c r="BD256" s="81">
        <f t="shared" si="174"/>
        <v>5183810.7638888909</v>
      </c>
      <c r="BE256" s="81">
        <f t="shared" si="174"/>
        <v>5183810.7638888909</v>
      </c>
      <c r="BF256" s="81">
        <f t="shared" si="174"/>
        <v>5183810.7638888909</v>
      </c>
      <c r="BG256" s="81">
        <f t="shared" si="174"/>
        <v>5183810.7638888909</v>
      </c>
      <c r="BH256" s="81">
        <f t="shared" si="174"/>
        <v>5183810.7638888909</v>
      </c>
      <c r="BI256" s="81">
        <f t="shared" si="174"/>
        <v>5183810.7638888909</v>
      </c>
      <c r="BJ256" s="81">
        <f t="shared" si="174"/>
        <v>5183810.7638888909</v>
      </c>
    </row>
    <row r="257" spans="1:62">
      <c r="A257" s="105" t="s">
        <v>312</v>
      </c>
      <c r="O257" s="81">
        <f>O255-O256</f>
        <v>14000000</v>
      </c>
      <c r="P257" s="81">
        <f>P255-P256</f>
        <v>13708333.333333334</v>
      </c>
      <c r="Q257" s="81">
        <f t="shared" ref="Q257:AA257" si="175">Q255-Q256</f>
        <v>13416666.666666666</v>
      </c>
      <c r="R257" s="81">
        <f t="shared" si="175"/>
        <v>13125000</v>
      </c>
      <c r="S257" s="81">
        <f t="shared" si="175"/>
        <v>12833333.333333334</v>
      </c>
      <c r="T257" s="81">
        <f t="shared" si="175"/>
        <v>12541666.666666666</v>
      </c>
      <c r="U257" s="81">
        <f t="shared" si="175"/>
        <v>12250000</v>
      </c>
      <c r="V257" s="81">
        <f t="shared" si="175"/>
        <v>11958333.333333332</v>
      </c>
      <c r="W257" s="81">
        <f t="shared" si="175"/>
        <v>11666666.666666666</v>
      </c>
      <c r="X257" s="81">
        <f t="shared" si="175"/>
        <v>11375000</v>
      </c>
      <c r="Y257" s="81">
        <f t="shared" si="175"/>
        <v>11083333.333333334</v>
      </c>
      <c r="Z257" s="81">
        <f t="shared" si="175"/>
        <v>10791666.666666668</v>
      </c>
      <c r="AA257" s="81">
        <f t="shared" si="175"/>
        <v>20208333.333333332</v>
      </c>
      <c r="AB257" s="81">
        <f t="shared" ref="AB257:BJ257" si="176">AB255-AB256</f>
        <v>19775173.611111108</v>
      </c>
      <c r="AC257" s="81">
        <f t="shared" si="176"/>
        <v>19342013.888888884</v>
      </c>
      <c r="AD257" s="81">
        <f t="shared" si="176"/>
        <v>18908854.166666664</v>
      </c>
      <c r="AE257" s="81">
        <f t="shared" si="176"/>
        <v>18475694.44444444</v>
      </c>
      <c r="AF257" s="81">
        <f t="shared" si="176"/>
        <v>18042534.722222216</v>
      </c>
      <c r="AG257" s="81">
        <f t="shared" si="176"/>
        <v>17609374.999999993</v>
      </c>
      <c r="AH257" s="81">
        <f t="shared" si="176"/>
        <v>17176215.277777769</v>
      </c>
      <c r="AI257" s="81">
        <f t="shared" si="176"/>
        <v>16743055.555555547</v>
      </c>
      <c r="AJ257" s="81">
        <f t="shared" si="176"/>
        <v>16309895.833333323</v>
      </c>
      <c r="AK257" s="81">
        <f t="shared" si="176"/>
        <v>15876736.111111101</v>
      </c>
      <c r="AL257" s="81">
        <f t="shared" si="176"/>
        <v>15443576.388888877</v>
      </c>
      <c r="AM257" s="81">
        <f t="shared" si="176"/>
        <v>19868923.611111101</v>
      </c>
      <c r="AN257" s="81">
        <f t="shared" si="176"/>
        <v>19436939.38078703</v>
      </c>
      <c r="AO257" s="81">
        <f t="shared" si="176"/>
        <v>19004955.150462955</v>
      </c>
      <c r="AP257" s="81">
        <f t="shared" si="176"/>
        <v>18572970.920138884</v>
      </c>
      <c r="AQ257" s="81">
        <f t="shared" si="176"/>
        <v>18140986.68981481</v>
      </c>
      <c r="AR257" s="81">
        <f t="shared" si="176"/>
        <v>17709002.459490739</v>
      </c>
      <c r="AS257" s="81">
        <f t="shared" si="176"/>
        <v>17277018.229166664</v>
      </c>
      <c r="AT257" s="81">
        <f t="shared" si="176"/>
        <v>16845033.998842593</v>
      </c>
      <c r="AU257" s="81">
        <f t="shared" si="176"/>
        <v>16413049.768518522</v>
      </c>
      <c r="AV257" s="81">
        <f t="shared" si="176"/>
        <v>15981065.538194448</v>
      </c>
      <c r="AW257" s="81">
        <f t="shared" si="176"/>
        <v>15549081.307870377</v>
      </c>
      <c r="AX257" s="81">
        <f t="shared" si="176"/>
        <v>15117097.077546304</v>
      </c>
      <c r="AY257" s="81">
        <f t="shared" si="176"/>
        <v>19686288.339120377</v>
      </c>
      <c r="AZ257" s="81">
        <f t="shared" si="176"/>
        <v>19686288.339120377</v>
      </c>
      <c r="BA257" s="81">
        <f t="shared" si="176"/>
        <v>18822319.878472228</v>
      </c>
      <c r="BB257" s="81">
        <f t="shared" si="176"/>
        <v>18390335.648148153</v>
      </c>
      <c r="BC257" s="81">
        <f t="shared" si="176"/>
        <v>17958351.417824078</v>
      </c>
      <c r="BD257" s="81">
        <f t="shared" si="176"/>
        <v>17526367.187500004</v>
      </c>
      <c r="BE257" s="81">
        <f t="shared" si="176"/>
        <v>17094382.957175929</v>
      </c>
      <c r="BF257" s="81">
        <f t="shared" si="176"/>
        <v>16662398.726851854</v>
      </c>
      <c r="BG257" s="81">
        <f t="shared" si="176"/>
        <v>16230414.49652778</v>
      </c>
      <c r="BH257" s="81">
        <f t="shared" si="176"/>
        <v>15798430.266203705</v>
      </c>
      <c r="BI257" s="81">
        <f t="shared" si="176"/>
        <v>15366446.035879631</v>
      </c>
      <c r="BJ257" s="81">
        <f t="shared" si="176"/>
        <v>14934461.805555556</v>
      </c>
    </row>
    <row r="258" spans="1:62">
      <c r="A258" s="105" t="s">
        <v>68</v>
      </c>
      <c r="B258" s="7">
        <f>0.11/12</f>
        <v>9.1666666666666667E-3</v>
      </c>
      <c r="O258" s="81">
        <f>O252*$B$258</f>
        <v>0</v>
      </c>
      <c r="P258" s="81">
        <f t="shared" ref="P258:BJ258" si="177">P252*$B$258</f>
        <v>128333.33333333333</v>
      </c>
      <c r="Q258" s="81">
        <f t="shared" si="177"/>
        <v>128333.33333333333</v>
      </c>
      <c r="R258" s="81">
        <f t="shared" si="177"/>
        <v>128333.33333333333</v>
      </c>
      <c r="S258" s="81">
        <f t="shared" si="177"/>
        <v>128333.33333333333</v>
      </c>
      <c r="T258" s="81">
        <f t="shared" si="177"/>
        <v>128333.33333333333</v>
      </c>
      <c r="U258" s="81">
        <f t="shared" si="177"/>
        <v>128333.33333333333</v>
      </c>
      <c r="V258" s="81">
        <f t="shared" si="177"/>
        <v>128333.33333333333</v>
      </c>
      <c r="W258" s="81">
        <f t="shared" si="177"/>
        <v>128333.33333333333</v>
      </c>
      <c r="X258" s="81">
        <f t="shared" si="177"/>
        <v>128333.33333333333</v>
      </c>
      <c r="Y258" s="81">
        <f t="shared" si="177"/>
        <v>128333.33333333333</v>
      </c>
      <c r="Z258" s="81">
        <f t="shared" si="177"/>
        <v>128333.33333333333</v>
      </c>
      <c r="AA258" s="81">
        <f t="shared" si="177"/>
        <v>128333.33333333333</v>
      </c>
      <c r="AB258" s="81">
        <f t="shared" si="177"/>
        <v>217326.38888888888</v>
      </c>
      <c r="AC258" s="81">
        <f t="shared" si="177"/>
        <v>214652.77777777775</v>
      </c>
      <c r="AD258" s="81">
        <f t="shared" si="177"/>
        <v>211979.16666666663</v>
      </c>
      <c r="AE258" s="81">
        <f t="shared" si="177"/>
        <v>209305.5555555555</v>
      </c>
      <c r="AF258" s="81">
        <f t="shared" si="177"/>
        <v>206631.94444444438</v>
      </c>
      <c r="AG258" s="81">
        <f t="shared" si="177"/>
        <v>203958.33333333326</v>
      </c>
      <c r="AH258" s="81">
        <f t="shared" si="177"/>
        <v>201284.72222222213</v>
      </c>
      <c r="AI258" s="81">
        <f t="shared" si="177"/>
        <v>198611.11111111101</v>
      </c>
      <c r="AJ258" s="81">
        <f t="shared" si="177"/>
        <v>195937.49999999991</v>
      </c>
      <c r="AK258" s="81">
        <f t="shared" si="177"/>
        <v>193263.88888888879</v>
      </c>
      <c r="AL258" s="81">
        <f t="shared" si="177"/>
        <v>190590.27777777766</v>
      </c>
      <c r="AM258" s="81">
        <f t="shared" si="177"/>
        <v>187916.66666666654</v>
      </c>
      <c r="AN258" s="81">
        <f t="shared" si="177"/>
        <v>229779.36921296283</v>
      </c>
      <c r="AO258" s="81">
        <f t="shared" si="177"/>
        <v>225808.73842592584</v>
      </c>
      <c r="AP258" s="81">
        <f t="shared" si="177"/>
        <v>221838.10763888882</v>
      </c>
      <c r="AQ258" s="81">
        <f t="shared" si="177"/>
        <v>217867.4768518518</v>
      </c>
      <c r="AR258" s="81">
        <f t="shared" si="177"/>
        <v>213896.84606481477</v>
      </c>
      <c r="AS258" s="81">
        <f t="shared" si="177"/>
        <v>209926.21527777775</v>
      </c>
      <c r="AT258" s="81">
        <f t="shared" si="177"/>
        <v>205955.58449074073</v>
      </c>
      <c r="AU258" s="81">
        <f t="shared" si="177"/>
        <v>201984.95370370371</v>
      </c>
      <c r="AV258" s="81">
        <f t="shared" si="177"/>
        <v>198014.32291666672</v>
      </c>
      <c r="AW258" s="81">
        <f t="shared" si="177"/>
        <v>194043.69212962969</v>
      </c>
      <c r="AX258" s="81">
        <f t="shared" si="177"/>
        <v>190073.06134259267</v>
      </c>
      <c r="AY258" s="81">
        <f t="shared" si="177"/>
        <v>186102.43055555565</v>
      </c>
      <c r="AZ258" s="81">
        <f t="shared" si="177"/>
        <v>227975.90844425163</v>
      </c>
      <c r="BA258" s="81">
        <f t="shared" si="177"/>
        <v>224016.05299961427</v>
      </c>
      <c r="BB258" s="81">
        <f t="shared" si="177"/>
        <v>220056.19755497694</v>
      </c>
      <c r="BC258" s="81">
        <f t="shared" si="177"/>
        <v>216096.34211033958</v>
      </c>
      <c r="BD258" s="81">
        <f t="shared" si="177"/>
        <v>212136.48666570222</v>
      </c>
      <c r="BE258" s="81">
        <f t="shared" si="177"/>
        <v>208176.63122106489</v>
      </c>
      <c r="BF258" s="81">
        <f t="shared" si="177"/>
        <v>204216.77577642753</v>
      </c>
      <c r="BG258" s="81">
        <f t="shared" si="177"/>
        <v>200256.92033179017</v>
      </c>
      <c r="BH258" s="81">
        <f t="shared" si="177"/>
        <v>196297.06488715281</v>
      </c>
      <c r="BI258" s="81">
        <f t="shared" si="177"/>
        <v>192337.20944251548</v>
      </c>
      <c r="BJ258" s="81">
        <f t="shared" si="177"/>
        <v>188377.35399787812</v>
      </c>
    </row>
    <row r="260" spans="1:62" s="6" customFormat="1">
      <c r="A260" s="102" t="s">
        <v>76</v>
      </c>
      <c r="C260" s="136">
        <f>C46</f>
        <v>3179582.7373511884</v>
      </c>
      <c r="D260" s="136">
        <f t="shared" ref="D260:BJ260" si="178">D46</f>
        <v>3083638.9728279472</v>
      </c>
      <c r="E260" s="136">
        <f t="shared" si="178"/>
        <v>3035337.7829555329</v>
      </c>
      <c r="F260" s="136">
        <f t="shared" si="178"/>
        <v>2992285.7074587084</v>
      </c>
      <c r="G260" s="136">
        <f t="shared" si="178"/>
        <v>2954312.4648704897</v>
      </c>
      <c r="H260" s="136">
        <f t="shared" si="178"/>
        <v>2920792.8821679051</v>
      </c>
      <c r="I260" s="136">
        <f t="shared" si="178"/>
        <v>2891422.9915186716</v>
      </c>
      <c r="J260" s="136">
        <f t="shared" si="178"/>
        <v>2866651.131625474</v>
      </c>
      <c r="K260" s="136">
        <f t="shared" si="178"/>
        <v>2846470.3035299191</v>
      </c>
      <c r="L260" s="136">
        <f t="shared" si="178"/>
        <v>2830590.5307423589</v>
      </c>
      <c r="M260" s="136">
        <f t="shared" si="178"/>
        <v>2818869.973567843</v>
      </c>
      <c r="N260" s="136">
        <f t="shared" si="178"/>
        <v>2801273.1308355969</v>
      </c>
      <c r="O260" s="136">
        <f t="shared" si="178"/>
        <v>10125991.817179373</v>
      </c>
      <c r="P260" s="136">
        <f t="shared" si="178"/>
        <v>8457354.2508325391</v>
      </c>
      <c r="Q260" s="136">
        <f t="shared" si="178"/>
        <v>8536247.3989207018</v>
      </c>
      <c r="R260" s="136">
        <f t="shared" si="178"/>
        <v>6519785.4760024752</v>
      </c>
      <c r="S260" s="136">
        <f t="shared" si="178"/>
        <v>5196006.3665875327</v>
      </c>
      <c r="T260" s="136">
        <f t="shared" si="178"/>
        <v>5444118.6717868894</v>
      </c>
      <c r="U260" s="136">
        <f t="shared" si="178"/>
        <v>3587562.1369743804</v>
      </c>
      <c r="V260" s="136">
        <f t="shared" si="178"/>
        <v>2458696.9394647647</v>
      </c>
      <c r="W260" s="136">
        <f t="shared" si="178"/>
        <v>2831380.3685364351</v>
      </c>
      <c r="X260" s="136">
        <f t="shared" si="178"/>
        <v>3195047.437989579</v>
      </c>
      <c r="Y260" s="136">
        <f t="shared" si="178"/>
        <v>3553624.794040923</v>
      </c>
      <c r="Z260" s="136">
        <f t="shared" si="178"/>
        <v>3889569.2264109664</v>
      </c>
      <c r="AA260" s="136">
        <f t="shared" si="178"/>
        <v>11792587.655029876</v>
      </c>
      <c r="AB260" s="136">
        <f t="shared" si="178"/>
        <v>10564184.015325002</v>
      </c>
      <c r="AC260" s="136">
        <f t="shared" si="178"/>
        <v>10615232.20518128</v>
      </c>
      <c r="AD260" s="136">
        <f t="shared" si="178"/>
        <v>8561239.558110496</v>
      </c>
      <c r="AE260" s="136">
        <f t="shared" si="178"/>
        <v>7264105.8900586395</v>
      </c>
      <c r="AF260" s="136">
        <f t="shared" si="178"/>
        <v>7464908.4610043997</v>
      </c>
      <c r="AG260" s="136">
        <f t="shared" si="178"/>
        <v>5534496.9235220244</v>
      </c>
      <c r="AH260" s="136">
        <f t="shared" si="178"/>
        <v>4449779.8919914365</v>
      </c>
      <c r="AI260" s="136">
        <f t="shared" si="178"/>
        <v>4771071.4206626806</v>
      </c>
      <c r="AJ260" s="136">
        <f t="shared" si="178"/>
        <v>5074396.2568580471</v>
      </c>
      <c r="AK260" s="136">
        <f t="shared" si="178"/>
        <v>5372528.6594098564</v>
      </c>
      <c r="AL260" s="136">
        <f t="shared" si="178"/>
        <v>5645571.205196471</v>
      </c>
      <c r="AM260" s="136">
        <f t="shared" si="178"/>
        <v>8628841.679827556</v>
      </c>
      <c r="AN260" s="136">
        <f t="shared" si="178"/>
        <v>7606407.2347411197</v>
      </c>
      <c r="AO260" s="136">
        <f t="shared" si="178"/>
        <v>7767169.22926223</v>
      </c>
      <c r="AP260" s="136">
        <f t="shared" si="178"/>
        <v>5801860.3613148304</v>
      </c>
      <c r="AQ260" s="136">
        <f t="shared" si="178"/>
        <v>4642500.3311720183</v>
      </c>
      <c r="AR260" s="136">
        <f t="shared" si="178"/>
        <v>4933550.5610447433</v>
      </c>
      <c r="AS260" s="136">
        <f t="shared" si="178"/>
        <v>3114668.4147260324</v>
      </c>
      <c r="AT260" s="136">
        <f t="shared" si="178"/>
        <v>2192045.3122335579</v>
      </c>
      <c r="AU260" s="136">
        <f t="shared" si="178"/>
        <v>2617399.768543574</v>
      </c>
      <c r="AV260" s="136">
        <f t="shared" si="178"/>
        <v>3043942.0382712861</v>
      </c>
      <c r="AW260" s="136">
        <f t="shared" si="178"/>
        <v>3443836.9982427275</v>
      </c>
      <c r="AX260" s="136">
        <f t="shared" si="178"/>
        <v>3837829.6754378304</v>
      </c>
      <c r="AY260" s="136">
        <f t="shared" si="178"/>
        <v>7054521.7166410191</v>
      </c>
      <c r="AZ260" s="136">
        <f t="shared" si="178"/>
        <v>6282043.7117414977</v>
      </c>
      <c r="BA260" s="136">
        <f t="shared" si="178"/>
        <v>6671865.1241067033</v>
      </c>
      <c r="BB260" s="136">
        <f t="shared" si="178"/>
        <v>4954679.394877471</v>
      </c>
      <c r="BC260" s="136">
        <f t="shared" si="178"/>
        <v>4088099.5389815876</v>
      </c>
      <c r="BD260" s="136">
        <f t="shared" si="178"/>
        <v>4627609.9804792423</v>
      </c>
      <c r="BE260" s="136">
        <f t="shared" si="178"/>
        <v>3055860.1872161301</v>
      </c>
      <c r="BF260" s="136">
        <f t="shared" si="178"/>
        <v>2370070.1575960964</v>
      </c>
      <c r="BG260" s="136">
        <f t="shared" si="178"/>
        <v>3043885.8476034724</v>
      </c>
      <c r="BH260" s="136">
        <f t="shared" si="178"/>
        <v>3717390.8695506654</v>
      </c>
      <c r="BI260" s="136">
        <f t="shared" si="178"/>
        <v>4363246.2719477396</v>
      </c>
      <c r="BJ260" s="136">
        <f t="shared" si="178"/>
        <v>5007966.9199671336</v>
      </c>
    </row>
  </sheetData>
  <phoneticPr fontId="2" type="noConversion"/>
  <pageMargins left="0.75" right="0.75" top="1" bottom="1" header="0.5" footer="0.5"/>
  <headerFooter>
    <oddFooter>&amp;L&amp;"Arial Narrow,Bold"GH Capital Partners_x000D_Robert H. Hacker_x000D_rhhfla@mindspring.com&amp;C&amp;"Arial Narrow,Bold"CONFIDENTIAL&amp;R&amp;"Arial Narrow,Bold"&amp;D  &amp;T</oddFooter>
  </headerFooter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1"/>
  <sheetViews>
    <sheetView zoomScale="75" workbookViewId="0">
      <pane xSplit="1" ySplit="6" topLeftCell="B7" activePane="bottomRight" state="frozen"/>
      <selection activeCell="A117" sqref="A117"/>
      <selection pane="topRight" activeCell="A117" sqref="A117"/>
      <selection pane="bottomLeft" activeCell="A117" sqref="A117"/>
      <selection pane="bottomRight" activeCell="B23" sqref="B23"/>
    </sheetView>
  </sheetViews>
  <sheetFormatPr baseColWidth="10" defaultColWidth="23.3984375" defaultRowHeight="19" x14ac:dyDescent="0"/>
  <cols>
    <col min="1" max="1" width="44.59765625" style="95" customWidth="1"/>
    <col min="2" max="16384" width="23.3984375" style="95"/>
  </cols>
  <sheetData>
    <row r="1" spans="1:62">
      <c r="A1" s="6"/>
    </row>
    <row r="2" spans="1:62">
      <c r="A2" s="6" t="s">
        <v>297</v>
      </c>
    </row>
    <row r="3" spans="1:62">
      <c r="A3" s="6" t="s">
        <v>0</v>
      </c>
    </row>
    <row r="6" spans="1:62">
      <c r="C6" s="91">
        <v>39455</v>
      </c>
      <c r="D6" s="91">
        <v>39486</v>
      </c>
      <c r="E6" s="91">
        <v>39515</v>
      </c>
      <c r="F6" s="91">
        <v>39546</v>
      </c>
      <c r="G6" s="91">
        <v>39576</v>
      </c>
      <c r="H6" s="91">
        <v>39607</v>
      </c>
      <c r="I6" s="91">
        <v>39637</v>
      </c>
      <c r="J6" s="91">
        <v>39668</v>
      </c>
      <c r="K6" s="91">
        <v>39699</v>
      </c>
      <c r="L6" s="91">
        <v>39729</v>
      </c>
      <c r="M6" s="91">
        <v>39760</v>
      </c>
      <c r="N6" s="91">
        <v>39790</v>
      </c>
      <c r="O6" s="91">
        <v>39821</v>
      </c>
      <c r="P6" s="91">
        <v>39852</v>
      </c>
      <c r="Q6" s="91">
        <v>39880</v>
      </c>
      <c r="R6" s="91">
        <v>39911</v>
      </c>
      <c r="S6" s="91">
        <v>39941</v>
      </c>
      <c r="T6" s="91">
        <v>39972</v>
      </c>
      <c r="U6" s="91">
        <v>40002</v>
      </c>
      <c r="V6" s="91">
        <v>40033</v>
      </c>
      <c r="W6" s="91">
        <v>40064</v>
      </c>
      <c r="X6" s="91">
        <v>40094</v>
      </c>
      <c r="Y6" s="91">
        <v>40125</v>
      </c>
      <c r="Z6" s="91">
        <v>40155</v>
      </c>
      <c r="AA6" s="91">
        <v>40186</v>
      </c>
      <c r="AB6" s="91">
        <v>40217</v>
      </c>
      <c r="AC6" s="91">
        <v>40245</v>
      </c>
      <c r="AD6" s="91">
        <v>40276</v>
      </c>
      <c r="AE6" s="91">
        <v>40306</v>
      </c>
      <c r="AF6" s="91">
        <v>40337</v>
      </c>
      <c r="AG6" s="91">
        <v>40367</v>
      </c>
      <c r="AH6" s="91">
        <v>40398</v>
      </c>
      <c r="AI6" s="91">
        <v>40429</v>
      </c>
      <c r="AJ6" s="91">
        <v>40459</v>
      </c>
      <c r="AK6" s="91">
        <v>40490</v>
      </c>
      <c r="AL6" s="91">
        <v>40520</v>
      </c>
      <c r="AM6" s="91">
        <v>40551</v>
      </c>
      <c r="AN6" s="91">
        <v>40582</v>
      </c>
      <c r="AO6" s="91">
        <v>40610</v>
      </c>
      <c r="AP6" s="91">
        <v>40641</v>
      </c>
      <c r="AQ6" s="91">
        <v>40671</v>
      </c>
      <c r="AR6" s="91">
        <v>40702</v>
      </c>
      <c r="AS6" s="91">
        <v>40732</v>
      </c>
      <c r="AT6" s="91">
        <v>40763</v>
      </c>
      <c r="AU6" s="91">
        <v>40794</v>
      </c>
      <c r="AV6" s="91">
        <v>40824</v>
      </c>
      <c r="AW6" s="91">
        <v>40855</v>
      </c>
      <c r="AX6" s="91">
        <v>40885</v>
      </c>
      <c r="AY6" s="91">
        <v>40916</v>
      </c>
      <c r="AZ6" s="91">
        <v>40947</v>
      </c>
      <c r="BA6" s="91">
        <v>40976</v>
      </c>
      <c r="BB6" s="91">
        <v>41007</v>
      </c>
      <c r="BC6" s="91">
        <v>41037</v>
      </c>
      <c r="BD6" s="91">
        <v>41068</v>
      </c>
      <c r="BE6" s="91">
        <v>41098</v>
      </c>
      <c r="BF6" s="91">
        <v>41129</v>
      </c>
      <c r="BG6" s="91">
        <v>41160</v>
      </c>
      <c r="BH6" s="91">
        <v>41190</v>
      </c>
      <c r="BI6" s="91">
        <v>41221</v>
      </c>
      <c r="BJ6" s="91">
        <v>41251</v>
      </c>
    </row>
    <row r="8" spans="1:62">
      <c r="A8" s="6" t="s">
        <v>272</v>
      </c>
    </row>
    <row r="10" spans="1:62">
      <c r="A10" s="6" t="s">
        <v>273</v>
      </c>
    </row>
    <row r="11" spans="1:62">
      <c r="A11" s="105" t="s">
        <v>274</v>
      </c>
      <c r="C11" s="93">
        <f>'Financial Statements &amp; Detail'!C83</f>
        <v>-102573.2507440428</v>
      </c>
      <c r="D11" s="93">
        <f>'Financial Statements &amp; Detail'!D83</f>
        <v>-23581.394999431941</v>
      </c>
      <c r="E11" s="93">
        <f>'Financial Statements &amp; Detail'!E83</f>
        <v>-26663.564202175505</v>
      </c>
      <c r="F11" s="93">
        <f>'Financial Statements &amp; Detail'!F83</f>
        <v>-24163.246007408365</v>
      </c>
      <c r="G11" s="93">
        <f>'Financial Statements &amp; Detail'!G83</f>
        <v>-21501.540037055558</v>
      </c>
      <c r="H11" s="93">
        <f>'Financial Statements &amp; Detail'!H83</f>
        <v>-20169.662924384873</v>
      </c>
      <c r="I11" s="93">
        <f>'Financial Statements &amp; Detail'!I83</f>
        <v>-18036.444803665567</v>
      </c>
      <c r="J11" s="93">
        <f>'Financial Statements &amp; Detail'!J83</f>
        <v>-15730.825905139296</v>
      </c>
      <c r="K11" s="93">
        <f>'Financial Statements &amp; Detail'!K83</f>
        <v>-13536.853252140339</v>
      </c>
      <c r="L11" s="93">
        <f>'Financial Statements &amp; Detail'!L83</f>
        <v>-11738.677457302634</v>
      </c>
      <c r="M11" s="93">
        <f>'Financial Statements &amp; Detail'!M83</f>
        <v>-9758.0496148814273</v>
      </c>
      <c r="N11" s="93">
        <f>'Financial Statements &amp; Detail'!N83</f>
        <v>-8087.6516196380253</v>
      </c>
      <c r="O11" s="93">
        <f>'Financial Statements &amp; Detail'!O83</f>
        <v>-98826.898940652696</v>
      </c>
      <c r="P11" s="93">
        <f>'Financial Statements &amp; Detail'!P83</f>
        <v>-118534.57690248209</v>
      </c>
      <c r="Q11" s="93">
        <f>'Financial Statements &amp; Detail'!Q83</f>
        <v>-70726.309473746849</v>
      </c>
      <c r="R11" s="93">
        <f>'Financial Statements &amp; Detail'!R83</f>
        <v>-112666.16281481778</v>
      </c>
      <c r="S11" s="93">
        <f>'Financial Statements &amp; Detail'!S83</f>
        <v>-3486.3457639920089</v>
      </c>
      <c r="T11" s="93">
        <f>'Financial Statements &amp; Detail'!T83</f>
        <v>24194.821517480901</v>
      </c>
      <c r="U11" s="93">
        <f>'Financial Statements &amp; Detail'!U83</f>
        <v>-9332.0445483939693</v>
      </c>
      <c r="V11" s="93">
        <f>'Financial Statements &amp; Detail'!V83</f>
        <v>58331.296213948735</v>
      </c>
      <c r="W11" s="93">
        <f>'Financial Statements &amp; Detail'!W83</f>
        <v>80903.070696022565</v>
      </c>
      <c r="X11" s="93">
        <f>'Financial Statements &amp; Detail'!X83</f>
        <v>71889.666705725569</v>
      </c>
      <c r="Y11" s="93">
        <f>'Financial Statements &amp; Detail'!Y83</f>
        <v>59150.793510733158</v>
      </c>
      <c r="Z11" s="93">
        <f>'Financial Statements &amp; Detail'!Z83</f>
        <v>46827.603103851841</v>
      </c>
      <c r="AA11" s="93">
        <f>'Financial Statements &amp; Detail'!AA83</f>
        <v>50256.981550079916</v>
      </c>
      <c r="AB11" s="93">
        <f>'Financial Statements &amp; Detail'!AB83</f>
        <v>78990.597101219551</v>
      </c>
      <c r="AC11" s="93">
        <f>'Financial Statements &amp; Detail'!AC83</f>
        <v>105315.68762572213</v>
      </c>
      <c r="AD11" s="93">
        <f>'Financial Statements &amp; Detail'!AD83</f>
        <v>74436.054482942141</v>
      </c>
      <c r="AE11" s="93">
        <f>'Financial Statements &amp; Detail'!AE83</f>
        <v>156353.41498720227</v>
      </c>
      <c r="AF11" s="93">
        <f>'Financial Statements &amp; Detail'!AF83</f>
        <v>182532.08234001088</v>
      </c>
      <c r="AG11" s="93">
        <f>'Financial Statements &amp; Detail'!AG83</f>
        <v>148050.15013086487</v>
      </c>
      <c r="AH11" s="93">
        <f>'Financial Statements &amp; Detail'!AH83</f>
        <v>228754.39588575566</v>
      </c>
      <c r="AI11" s="93">
        <f>'Financial Statements &amp; Detail'!AI83</f>
        <v>246909.4105473934</v>
      </c>
      <c r="AJ11" s="93">
        <f>'Financial Statements &amp; Detail'!AJ83</f>
        <v>230101.26504453304</v>
      </c>
      <c r="AK11" s="93">
        <f>'Financial Statements &amp; Detail'!AK83</f>
        <v>214272.26241866307</v>
      </c>
      <c r="AL11" s="93">
        <f>'Financial Statements &amp; Detail'!AL83</f>
        <v>198276.72380014081</v>
      </c>
      <c r="AM11" s="93">
        <f>'Financial Statements &amp; Detail'!AM83</f>
        <v>198767.47905647452</v>
      </c>
      <c r="AN11" s="93">
        <f>'Financial Statements &amp; Detail'!AN83</f>
        <v>271251.76107030141</v>
      </c>
      <c r="AO11" s="93">
        <f>'Financial Statements &amp; Detail'!AO83</f>
        <v>294888.13328422792</v>
      </c>
      <c r="AP11" s="93">
        <f>'Financial Statements &amp; Detail'!AP83</f>
        <v>261411.59199523</v>
      </c>
      <c r="AQ11" s="93">
        <f>'Financial Statements &amp; Detail'!AQ83</f>
        <v>351219.24979371275</v>
      </c>
      <c r="AR11" s="93">
        <f>'Financial Statements &amp; Detail'!AR83</f>
        <v>370235.90771612758</v>
      </c>
      <c r="AS11" s="93">
        <f>'Financial Statements &amp; Detail'!AS83</f>
        <v>333476.94593938894</v>
      </c>
      <c r="AT11" s="93">
        <f>'Financial Statements &amp; Detail'!AT83</f>
        <v>427572.11136392242</v>
      </c>
      <c r="AU11" s="93">
        <f>'Financial Statements &amp; Detail'!AU83</f>
        <v>442210.12730667775</v>
      </c>
      <c r="AV11" s="93">
        <f>'Financial Statements &amp; Detail'!AV83</f>
        <v>423148.65874050604</v>
      </c>
      <c r="AW11" s="93">
        <f>'Financial Statements &amp; Detail'!AW83</f>
        <v>404001.08596619079</v>
      </c>
      <c r="AX11" s="93">
        <f>'Financial Statements &amp; Detail'!AX83</f>
        <v>385731.19044330926</v>
      </c>
      <c r="AY11" s="93">
        <f>'Financial Statements &amp; Detail'!AY83</f>
        <v>368527.21068854618</v>
      </c>
      <c r="AZ11" s="93">
        <f>'Financial Statements &amp; Detail'!AZ83</f>
        <v>442623.79713276576</v>
      </c>
      <c r="BA11" s="93">
        <f>'Financial Statements &amp; Detail'!BA83</f>
        <v>462956.85594650859</v>
      </c>
      <c r="BB11" s="93">
        <f>'Financial Statements &amp; Detail'!BB83</f>
        <v>427041.51225706679</v>
      </c>
      <c r="BC11" s="93">
        <f>'Financial Statements &amp; Detail'!BC83</f>
        <v>527931.70200311509</v>
      </c>
      <c r="BD11" s="93">
        <f>'Financial Statements &amp; Detail'!BD83</f>
        <v>543533.15563830081</v>
      </c>
      <c r="BE11" s="93">
        <f>'Financial Statements &amp; Detail'!BE83</f>
        <v>503900.38469139091</v>
      </c>
      <c r="BF11" s="93">
        <f>'Financial Statements &amp; Detail'!BF83</f>
        <v>599151.28208353603</v>
      </c>
      <c r="BG11" s="93">
        <f>'Financial Statements &amp; Detail'!BG83</f>
        <v>610434.32742559258</v>
      </c>
      <c r="BH11" s="93">
        <f>'Financial Statements &amp; Detail'!BH83</f>
        <v>588246.67765799339</v>
      </c>
      <c r="BI11" s="93">
        <f>'Financial Statements &amp; Detail'!BI83</f>
        <v>566547.9149217346</v>
      </c>
      <c r="BJ11" s="93">
        <f>'Financial Statements &amp; Detail'!BJ83</f>
        <v>549153.76843921165</v>
      </c>
    </row>
    <row r="12" spans="1:62">
      <c r="A12" s="106" t="s">
        <v>275</v>
      </c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</row>
    <row r="13" spans="1:62">
      <c r="A13" s="105" t="s">
        <v>219</v>
      </c>
      <c r="C13" s="93">
        <f>'Financial Statements &amp; Detail'!C244</f>
        <v>80169.300595238092</v>
      </c>
      <c r="D13" s="93">
        <f>'Financial Statements &amp; Detail'!D244</f>
        <v>81852.769940476181</v>
      </c>
      <c r="E13" s="93">
        <f>'Financial Statements &amp; Detail'!E244</f>
        <v>83358.050681547626</v>
      </c>
      <c r="F13" s="93">
        <f>'Financial Statements &amp; Detail'!F244</f>
        <v>84852.155143244032</v>
      </c>
      <c r="G13" s="93">
        <f>'Financial Statements &amp; Detail'!G244</f>
        <v>86335.41861394672</v>
      </c>
      <c r="H13" s="93">
        <f>'Financial Statements &amp; Detail'!H244</f>
        <v>87808.166323385463</v>
      </c>
      <c r="I13" s="93">
        <f>'Financial Statements &amp; Detail'!I244</f>
        <v>89270.713744398192</v>
      </c>
      <c r="J13" s="93">
        <f>'Financial Statements &amp; Detail'!J244</f>
        <v>90723.366885637675</v>
      </c>
      <c r="K13" s="93">
        <f>'Financial Statements &amp; Detail'!K244</f>
        <v>92166.422575497098</v>
      </c>
      <c r="L13" s="93">
        <f>'Financial Statements &amp; Detail'!L244</f>
        <v>93600.168737517917</v>
      </c>
      <c r="M13" s="93">
        <f>'Financial Statements &amp; Detail'!M244</f>
        <v>95024.884657535236</v>
      </c>
      <c r="N13" s="93">
        <f>'Financial Statements &amp; Detail'!N244</f>
        <v>96607.507909475855</v>
      </c>
      <c r="O13" s="93">
        <f>'Financial Statements &amp; Detail'!O244</f>
        <v>199681.63460671538</v>
      </c>
      <c r="P13" s="93">
        <f>'Financial Statements &amp; Detail'!P244</f>
        <v>220398.67313389992</v>
      </c>
      <c r="Q13" s="93">
        <f>'Financial Statements &amp; Detail'!Q244</f>
        <v>221531.411229138</v>
      </c>
      <c r="R13" s="93">
        <f>'Financial Statements &amp; Detail'!R244</f>
        <v>248080.81599104276</v>
      </c>
      <c r="S13" s="93">
        <f>'Financial Statements &amp; Detail'!S244</f>
        <v>265911.43369368778</v>
      </c>
      <c r="T13" s="93">
        <f>'Financial Statements &amp; Detail'!T244</f>
        <v>267044.17178892595</v>
      </c>
      <c r="U13" s="93">
        <f>'Financial Statements &amp; Detail'!U244</f>
        <v>293426.90988416399</v>
      </c>
      <c r="V13" s="93">
        <f>'Financial Statements &amp; Detail'!V244</f>
        <v>310577.42511948448</v>
      </c>
      <c r="W13" s="93">
        <f>'Financial Statements &amp; Detail'!W244</f>
        <v>311543.49654805585</v>
      </c>
      <c r="X13" s="93">
        <f>'Financial Statements &amp; Detail'!X244</f>
        <v>312676.23464329407</v>
      </c>
      <c r="Y13" s="93">
        <f>'Financial Statements &amp; Detail'!Y244</f>
        <v>313642.30607186543</v>
      </c>
      <c r="Z13" s="93">
        <f>'Financial Statements &amp; Detail'!Z244</f>
        <v>314775.04416710348</v>
      </c>
      <c r="AA13" s="93">
        <f>'Financial Statements &amp; Detail'!AA244</f>
        <v>342663.13940519874</v>
      </c>
      <c r="AB13" s="93">
        <f>'Financial Statements &amp; Detail'!AB244</f>
        <v>357191.67615520186</v>
      </c>
      <c r="AC13" s="93">
        <f>'Financial Statements &amp; Detail'!AC244</f>
        <v>359663.10472663044</v>
      </c>
      <c r="AD13" s="93">
        <f>'Financial Statements &amp; Detail'!AD244</f>
        <v>387384.53329805908</v>
      </c>
      <c r="AE13" s="93">
        <f>'Financial Statements &amp; Detail'!AE244</f>
        <v>405864.51957144478</v>
      </c>
      <c r="AF13" s="93">
        <f>'Financial Statements &amp; Detail'!AF244</f>
        <v>408169.28147620667</v>
      </c>
      <c r="AG13" s="93">
        <f>'Financial Statements &amp; Detail'!AG244</f>
        <v>436057.37671430188</v>
      </c>
      <c r="AH13" s="93">
        <f>'Financial Statements &amp; Detail'!AH244</f>
        <v>453182.01143440034</v>
      </c>
      <c r="AI13" s="93">
        <f>'Financial Statements &amp; Detail'!AI244</f>
        <v>455486.77333916223</v>
      </c>
      <c r="AJ13" s="93">
        <f>'Financial Statements &amp; Detail'!AJ244</f>
        <v>457958.20191059075</v>
      </c>
      <c r="AK13" s="93">
        <f>'Financial Statements &amp; Detail'!AK244</f>
        <v>460262.9638153527</v>
      </c>
      <c r="AL13" s="93">
        <f>'Financial Statements &amp; Detail'!AL244</f>
        <v>462734.39238678123</v>
      </c>
      <c r="AM13" s="93">
        <f>'Financial Statements &amp; Detail'!AM244</f>
        <v>492172.09079947969</v>
      </c>
      <c r="AN13" s="93">
        <f>'Financial Statements &amp; Detail'!AN244</f>
        <v>507067.74308091734</v>
      </c>
      <c r="AO13" s="93">
        <f>'Financial Statements &amp; Detail'!AO244</f>
        <v>511088.77482694911</v>
      </c>
      <c r="AP13" s="93">
        <f>'Financial Statements &amp; Detail'!AP244</f>
        <v>540693.13990631409</v>
      </c>
      <c r="AQ13" s="93">
        <f>'Financial Statements &amp; Detail'!AQ244</f>
        <v>560474.49477289466</v>
      </c>
      <c r="AR13" s="93">
        <f>'Financial Statements &amp; Detail'!AR244</f>
        <v>564662.19318559312</v>
      </c>
      <c r="AS13" s="93">
        <f>'Financial Statements &amp; Detail'!AS244</f>
        <v>594099.89159829146</v>
      </c>
      <c r="AT13" s="93">
        <f>'Financial Statements &amp; Detail'!AT244</f>
        <v>612297.57249287539</v>
      </c>
      <c r="AU13" s="93">
        <f>'Financial Statements &amp; Detail'!AU244</f>
        <v>616485.27090557362</v>
      </c>
      <c r="AV13" s="93">
        <f>'Financial Statements &amp; Detail'!AV244</f>
        <v>620506.30265160545</v>
      </c>
      <c r="AW13" s="93">
        <f>'Financial Statements &amp; Detail'!AW244</f>
        <v>624694.00106430391</v>
      </c>
      <c r="AX13" s="93">
        <f>'Financial Statements &amp; Detail'!AX244</f>
        <v>628715.03281033563</v>
      </c>
      <c r="AY13" s="93">
        <f>'Financial Statements &amp; Detail'!AY244</f>
        <v>660035.66773097054</v>
      </c>
      <c r="AZ13" s="93">
        <f>'Financial Statements &amp; Detail'!AZ244</f>
        <v>676532.43039578793</v>
      </c>
      <c r="BA13" s="93">
        <f>'Financial Statements &amp; Detail'!BA244</f>
        <v>682436.3986497561</v>
      </c>
      <c r="BB13" s="93">
        <f>'Financial Statements &amp; Detail'!BB244</f>
        <v>713590.36690372438</v>
      </c>
      <c r="BC13" s="93">
        <f>'Financial Statements &amp; Detail'!BC244</f>
        <v>734499.08927686291</v>
      </c>
      <c r="BD13" s="93">
        <f>'Financial Statements &amp; Detail'!BD244</f>
        <v>740403.0575308312</v>
      </c>
      <c r="BE13" s="93">
        <f>'Financial Statements &amp; Detail'!BE244</f>
        <v>771557.02578479948</v>
      </c>
      <c r="BF13" s="93">
        <f>'Financial Statements &amp; Detail'!BF244</f>
        <v>791730.44834345812</v>
      </c>
      <c r="BG13" s="93">
        <f>'Financial Statements &amp; Detail'!BG244</f>
        <v>797634.4165974264</v>
      </c>
      <c r="BH13" s="93">
        <f>'Financial Statements &amp; Detail'!BH244</f>
        <v>803371.71818472806</v>
      </c>
      <c r="BI13" s="93">
        <f>'Financial Statements &amp; Detail'!BI244</f>
        <v>809275.68643869634</v>
      </c>
      <c r="BJ13" s="93">
        <f>'Financial Statements &amp; Detail'!BJ244</f>
        <v>815012.98802599788</v>
      </c>
    </row>
    <row r="14" spans="1:62">
      <c r="A14" s="105" t="s">
        <v>276</v>
      </c>
      <c r="C14" s="93">
        <v>0</v>
      </c>
      <c r="D14" s="93">
        <v>0</v>
      </c>
      <c r="E14" s="93">
        <v>0</v>
      </c>
      <c r="F14" s="93">
        <v>0</v>
      </c>
      <c r="G14" s="93">
        <v>0</v>
      </c>
      <c r="H14" s="93">
        <v>0</v>
      </c>
      <c r="I14" s="93">
        <v>0</v>
      </c>
      <c r="J14" s="93">
        <v>0</v>
      </c>
      <c r="K14" s="93">
        <v>0</v>
      </c>
      <c r="L14" s="93">
        <v>0</v>
      </c>
      <c r="M14" s="93">
        <v>0</v>
      </c>
      <c r="N14" s="93">
        <v>0</v>
      </c>
      <c r="O14" s="93">
        <v>0</v>
      </c>
      <c r="P14" s="93">
        <v>0</v>
      </c>
      <c r="Q14" s="93">
        <v>0</v>
      </c>
      <c r="R14" s="93">
        <v>0</v>
      </c>
      <c r="S14" s="93">
        <v>0</v>
      </c>
      <c r="T14" s="93">
        <v>0</v>
      </c>
      <c r="U14" s="93">
        <v>0</v>
      </c>
      <c r="V14" s="93">
        <v>0</v>
      </c>
      <c r="W14" s="93">
        <v>0</v>
      </c>
      <c r="X14" s="93">
        <v>0</v>
      </c>
      <c r="Y14" s="93">
        <v>0</v>
      </c>
      <c r="Z14" s="93">
        <v>0</v>
      </c>
      <c r="AA14" s="93">
        <v>0</v>
      </c>
      <c r="AB14" s="93">
        <v>0</v>
      </c>
      <c r="AC14" s="93">
        <v>0</v>
      </c>
      <c r="AD14" s="93">
        <v>0</v>
      </c>
      <c r="AE14" s="93">
        <v>0</v>
      </c>
      <c r="AF14" s="93">
        <v>0</v>
      </c>
      <c r="AG14" s="93">
        <v>0</v>
      </c>
      <c r="AH14" s="93">
        <v>0</v>
      </c>
      <c r="AI14" s="93">
        <v>0</v>
      </c>
      <c r="AJ14" s="93">
        <v>0</v>
      </c>
      <c r="AK14" s="93">
        <v>0</v>
      </c>
      <c r="AL14" s="93">
        <v>0</v>
      </c>
      <c r="AM14" s="93">
        <v>0</v>
      </c>
      <c r="AN14" s="93">
        <v>0</v>
      </c>
      <c r="AO14" s="93">
        <v>0</v>
      </c>
      <c r="AP14" s="93">
        <v>0</v>
      </c>
      <c r="AQ14" s="93">
        <v>0</v>
      </c>
      <c r="AR14" s="93">
        <v>0</v>
      </c>
      <c r="AS14" s="93">
        <v>0</v>
      </c>
      <c r="AT14" s="93">
        <v>0</v>
      </c>
      <c r="AU14" s="93">
        <v>0</v>
      </c>
      <c r="AV14" s="93">
        <v>0</v>
      </c>
      <c r="AW14" s="93">
        <v>0</v>
      </c>
      <c r="AX14" s="93">
        <v>0</v>
      </c>
      <c r="AY14" s="93">
        <v>0</v>
      </c>
      <c r="AZ14" s="93">
        <v>0</v>
      </c>
      <c r="BA14" s="93">
        <v>0</v>
      </c>
      <c r="BB14" s="93">
        <v>0</v>
      </c>
      <c r="BC14" s="93">
        <v>0</v>
      </c>
      <c r="BD14" s="93">
        <v>0</v>
      </c>
      <c r="BE14" s="93">
        <v>0</v>
      </c>
      <c r="BF14" s="93">
        <v>0</v>
      </c>
      <c r="BG14" s="93">
        <v>0</v>
      </c>
      <c r="BH14" s="93">
        <v>0</v>
      </c>
      <c r="BI14" s="93">
        <v>0</v>
      </c>
      <c r="BJ14" s="93">
        <v>0</v>
      </c>
    </row>
    <row r="15" spans="1:62">
      <c r="A15" s="105" t="s">
        <v>277</v>
      </c>
      <c r="C15" s="93">
        <v>0</v>
      </c>
      <c r="D15" s="93">
        <v>0</v>
      </c>
      <c r="E15" s="93">
        <v>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  <c r="AA15" s="93">
        <v>0</v>
      </c>
      <c r="AB15" s="93">
        <v>0</v>
      </c>
      <c r="AC15" s="93">
        <v>0</v>
      </c>
      <c r="AD15" s="93">
        <v>0</v>
      </c>
      <c r="AE15" s="93">
        <v>0</v>
      </c>
      <c r="AF15" s="93">
        <v>0</v>
      </c>
      <c r="AG15" s="93">
        <v>0</v>
      </c>
      <c r="AH15" s="93">
        <v>0</v>
      </c>
      <c r="AI15" s="93">
        <v>0</v>
      </c>
      <c r="AJ15" s="93">
        <v>0</v>
      </c>
      <c r="AK15" s="93">
        <v>0</v>
      </c>
      <c r="AL15" s="93">
        <v>0</v>
      </c>
      <c r="AM15" s="93">
        <v>0</v>
      </c>
      <c r="AN15" s="93">
        <v>0</v>
      </c>
      <c r="AO15" s="93">
        <v>0</v>
      </c>
      <c r="AP15" s="93">
        <v>0</v>
      </c>
      <c r="AQ15" s="93">
        <v>0</v>
      </c>
      <c r="AR15" s="93">
        <v>0</v>
      </c>
      <c r="AS15" s="93">
        <v>0</v>
      </c>
      <c r="AT15" s="93">
        <v>0</v>
      </c>
      <c r="AU15" s="93">
        <v>0</v>
      </c>
      <c r="AV15" s="93">
        <v>0</v>
      </c>
      <c r="AW15" s="93">
        <v>0</v>
      </c>
      <c r="AX15" s="93">
        <v>0</v>
      </c>
      <c r="AY15" s="93">
        <v>0</v>
      </c>
      <c r="AZ15" s="93">
        <v>0</v>
      </c>
      <c r="BA15" s="93">
        <v>0</v>
      </c>
      <c r="BB15" s="93">
        <v>0</v>
      </c>
      <c r="BC15" s="93">
        <v>0</v>
      </c>
      <c r="BD15" s="93">
        <v>0</v>
      </c>
      <c r="BE15" s="93">
        <v>0</v>
      </c>
      <c r="BF15" s="93">
        <v>0</v>
      </c>
      <c r="BG15" s="93">
        <v>0</v>
      </c>
      <c r="BH15" s="93">
        <v>0</v>
      </c>
      <c r="BI15" s="93">
        <v>0</v>
      </c>
      <c r="BJ15" s="93">
        <v>0</v>
      </c>
    </row>
    <row r="16" spans="1:62">
      <c r="A16" s="105" t="s">
        <v>278</v>
      </c>
      <c r="C16" s="93">
        <f>SUM(C13:C15)</f>
        <v>80169.300595238092</v>
      </c>
      <c r="D16" s="93">
        <f t="shared" ref="D16:BJ16" si="0">SUM(D13:D15)</f>
        <v>81852.769940476181</v>
      </c>
      <c r="E16" s="93">
        <f t="shared" si="0"/>
        <v>83358.050681547626</v>
      </c>
      <c r="F16" s="93">
        <f t="shared" si="0"/>
        <v>84852.155143244032</v>
      </c>
      <c r="G16" s="93">
        <f t="shared" si="0"/>
        <v>86335.41861394672</v>
      </c>
      <c r="H16" s="93">
        <f t="shared" si="0"/>
        <v>87808.166323385463</v>
      </c>
      <c r="I16" s="93">
        <f t="shared" si="0"/>
        <v>89270.713744398192</v>
      </c>
      <c r="J16" s="93">
        <f t="shared" si="0"/>
        <v>90723.366885637675</v>
      </c>
      <c r="K16" s="93">
        <f t="shared" si="0"/>
        <v>92166.422575497098</v>
      </c>
      <c r="L16" s="93">
        <f t="shared" si="0"/>
        <v>93600.168737517917</v>
      </c>
      <c r="M16" s="93">
        <f t="shared" si="0"/>
        <v>95024.884657535236</v>
      </c>
      <c r="N16" s="93">
        <f t="shared" si="0"/>
        <v>96607.507909475855</v>
      </c>
      <c r="O16" s="93">
        <f t="shared" si="0"/>
        <v>199681.63460671538</v>
      </c>
      <c r="P16" s="93">
        <f t="shared" si="0"/>
        <v>220398.67313389992</v>
      </c>
      <c r="Q16" s="93">
        <f t="shared" si="0"/>
        <v>221531.411229138</v>
      </c>
      <c r="R16" s="93">
        <f t="shared" si="0"/>
        <v>248080.81599104276</v>
      </c>
      <c r="S16" s="93">
        <f t="shared" si="0"/>
        <v>265911.43369368778</v>
      </c>
      <c r="T16" s="93">
        <f t="shared" si="0"/>
        <v>267044.17178892595</v>
      </c>
      <c r="U16" s="93">
        <f t="shared" si="0"/>
        <v>293426.90988416399</v>
      </c>
      <c r="V16" s="93">
        <f t="shared" si="0"/>
        <v>310577.42511948448</v>
      </c>
      <c r="W16" s="93">
        <f t="shared" si="0"/>
        <v>311543.49654805585</v>
      </c>
      <c r="X16" s="93">
        <f t="shared" si="0"/>
        <v>312676.23464329407</v>
      </c>
      <c r="Y16" s="93">
        <f t="shared" si="0"/>
        <v>313642.30607186543</v>
      </c>
      <c r="Z16" s="93">
        <f t="shared" si="0"/>
        <v>314775.04416710348</v>
      </c>
      <c r="AA16" s="93">
        <f t="shared" si="0"/>
        <v>342663.13940519874</v>
      </c>
      <c r="AB16" s="93">
        <f t="shared" si="0"/>
        <v>357191.67615520186</v>
      </c>
      <c r="AC16" s="93">
        <f t="shared" si="0"/>
        <v>359663.10472663044</v>
      </c>
      <c r="AD16" s="93">
        <f t="shared" si="0"/>
        <v>387384.53329805908</v>
      </c>
      <c r="AE16" s="93">
        <f t="shared" si="0"/>
        <v>405864.51957144478</v>
      </c>
      <c r="AF16" s="93">
        <f t="shared" si="0"/>
        <v>408169.28147620667</v>
      </c>
      <c r="AG16" s="93">
        <f t="shared" si="0"/>
        <v>436057.37671430188</v>
      </c>
      <c r="AH16" s="93">
        <f t="shared" si="0"/>
        <v>453182.01143440034</v>
      </c>
      <c r="AI16" s="93">
        <f t="shared" si="0"/>
        <v>455486.77333916223</v>
      </c>
      <c r="AJ16" s="93">
        <f t="shared" si="0"/>
        <v>457958.20191059075</v>
      </c>
      <c r="AK16" s="93">
        <f t="shared" si="0"/>
        <v>460262.9638153527</v>
      </c>
      <c r="AL16" s="93">
        <f t="shared" si="0"/>
        <v>462734.39238678123</v>
      </c>
      <c r="AM16" s="93">
        <f t="shared" si="0"/>
        <v>492172.09079947969</v>
      </c>
      <c r="AN16" s="93">
        <f t="shared" si="0"/>
        <v>507067.74308091734</v>
      </c>
      <c r="AO16" s="93">
        <f t="shared" si="0"/>
        <v>511088.77482694911</v>
      </c>
      <c r="AP16" s="93">
        <f t="shared" si="0"/>
        <v>540693.13990631409</v>
      </c>
      <c r="AQ16" s="93">
        <f t="shared" si="0"/>
        <v>560474.49477289466</v>
      </c>
      <c r="AR16" s="93">
        <f t="shared" si="0"/>
        <v>564662.19318559312</v>
      </c>
      <c r="AS16" s="93">
        <f t="shared" si="0"/>
        <v>594099.89159829146</v>
      </c>
      <c r="AT16" s="93">
        <f t="shared" si="0"/>
        <v>612297.57249287539</v>
      </c>
      <c r="AU16" s="93">
        <f t="shared" si="0"/>
        <v>616485.27090557362</v>
      </c>
      <c r="AV16" s="93">
        <f t="shared" si="0"/>
        <v>620506.30265160545</v>
      </c>
      <c r="AW16" s="93">
        <f t="shared" si="0"/>
        <v>624694.00106430391</v>
      </c>
      <c r="AX16" s="93">
        <f t="shared" si="0"/>
        <v>628715.03281033563</v>
      </c>
      <c r="AY16" s="93">
        <f t="shared" si="0"/>
        <v>660035.66773097054</v>
      </c>
      <c r="AZ16" s="93">
        <f t="shared" si="0"/>
        <v>676532.43039578793</v>
      </c>
      <c r="BA16" s="93">
        <f t="shared" si="0"/>
        <v>682436.3986497561</v>
      </c>
      <c r="BB16" s="93">
        <f t="shared" si="0"/>
        <v>713590.36690372438</v>
      </c>
      <c r="BC16" s="93">
        <f t="shared" si="0"/>
        <v>734499.08927686291</v>
      </c>
      <c r="BD16" s="93">
        <f t="shared" si="0"/>
        <v>740403.0575308312</v>
      </c>
      <c r="BE16" s="93">
        <f t="shared" si="0"/>
        <v>771557.02578479948</v>
      </c>
      <c r="BF16" s="93">
        <f t="shared" si="0"/>
        <v>791730.44834345812</v>
      </c>
      <c r="BG16" s="93">
        <f t="shared" si="0"/>
        <v>797634.4165974264</v>
      </c>
      <c r="BH16" s="93">
        <f t="shared" si="0"/>
        <v>803371.71818472806</v>
      </c>
      <c r="BI16" s="93">
        <f t="shared" si="0"/>
        <v>809275.68643869634</v>
      </c>
      <c r="BJ16" s="93">
        <f t="shared" si="0"/>
        <v>815012.98802599788</v>
      </c>
    </row>
    <row r="17" spans="1:63">
      <c r="A17" s="6" t="s">
        <v>279</v>
      </c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</row>
    <row r="18" spans="1:63">
      <c r="A18" s="105" t="s">
        <v>280</v>
      </c>
      <c r="C18" s="93">
        <f>'Financial Statements &amp; Detail'!B47-'Financial Statements &amp; Detail'!C47</f>
        <v>-755433.93750000733</v>
      </c>
      <c r="D18" s="93">
        <f>'Financial Statements &amp; Detail'!C47-'Financial Statements &amp; Detail'!D47</f>
        <v>-15108.678749999963</v>
      </c>
      <c r="E18" s="93">
        <f>'Financial Statements &amp; Detail'!D47-'Financial Statements &amp; Detail'!E47</f>
        <v>-14655.418387500336</v>
      </c>
      <c r="F18" s="93">
        <f>'Financial Statements &amp; Detail'!E47-'Financial Statements &amp; Detail'!F47</f>
        <v>-14215.755835874821</v>
      </c>
      <c r="G18" s="93">
        <f>'Financial Statements &amp; Detail'!F47-'Financial Statements &amp; Detail'!G47</f>
        <v>-13789.28316079895</v>
      </c>
      <c r="H18" s="93">
        <f>'Financial Statements &amp; Detail'!G47-'Financial Statements &amp; Detail'!H47</f>
        <v>-13375.60466597497</v>
      </c>
      <c r="I18" s="93">
        <f>'Financial Statements &amp; Detail'!H47-'Financial Statements &amp; Detail'!I47</f>
        <v>-12974.336525995634</v>
      </c>
      <c r="J18" s="93">
        <f>'Financial Statements &amp; Detail'!I47-'Financial Statements &amp; Detail'!J47</f>
        <v>-12585.106430215994</v>
      </c>
      <c r="K18" s="93">
        <f>'Financial Statements &amp; Detail'!J47-'Financial Statements &amp; Detail'!K47</f>
        <v>-12207.553237309097</v>
      </c>
      <c r="L18" s="93">
        <f>'Financial Statements &amp; Detail'!K47-'Financial Statements &amp; Detail'!L47</f>
        <v>-11841.326640190207</v>
      </c>
      <c r="M18" s="93">
        <f>'Financial Statements &amp; Detail'!L47-'Financial Statements &amp; Detail'!M47</f>
        <v>-11486.086840984412</v>
      </c>
      <c r="N18" s="93">
        <f>'Financial Statements &amp; Detail'!M47-'Financial Statements &amp; Detail'!N47</f>
        <v>-11141.504235754721</v>
      </c>
      <c r="O18" s="93">
        <f>'Financial Statements &amp; Detail'!N47-'Financial Statements &amp; Detail'!O47</f>
        <v>-10981.598474787083</v>
      </c>
      <c r="P18" s="93">
        <f>'Financial Statements &amp; Detail'!O47-'Financial Statements &amp; Detail'!P47</f>
        <v>-564003.70740444423</v>
      </c>
      <c r="Q18" s="93">
        <f>'Financial Statements &amp; Detail'!P47-'Financial Statements &amp; Detail'!Q47</f>
        <v>25324.528817695333</v>
      </c>
      <c r="R18" s="93">
        <f>'Financial Statements &amp; Detail'!Q47-'Financial Statements &amp; Detail'!R47</f>
        <v>24564.792953164084</v>
      </c>
      <c r="S18" s="93">
        <f>'Financial Statements &amp; Detail'!R47-'Financial Statements &amp; Detail'!S47</f>
        <v>-548580.2758354363</v>
      </c>
      <c r="T18" s="93">
        <f>'Financial Statements &amp; Detail'!S47-'Financial Statements &amp; Detail'!T47</f>
        <v>40285.257439631736</v>
      </c>
      <c r="U18" s="93">
        <f>'Financial Statements &amp; Detail'!T47-'Financial Statements &amp; Detail'!U47</f>
        <v>39076.699716443662</v>
      </c>
      <c r="V18" s="93">
        <f>'Financial Statements &amp; Detail'!U47-'Financial Statements &amp; Detail'!V47</f>
        <v>-534503.7262750559</v>
      </c>
      <c r="W18" s="93">
        <f>'Financial Statements &amp; Detail'!V47-'Financial Statements &amp; Detail'!W47</f>
        <v>53939.510513201822</v>
      </c>
      <c r="X18" s="93">
        <f>'Financial Statements &amp; Detail'!W47-'Financial Statements &amp; Detail'!X47</f>
        <v>52321.325197806116</v>
      </c>
      <c r="Y18" s="93">
        <f>'Financial Statements &amp; Detail'!X47-'Financial Statements &amp; Detail'!Y47</f>
        <v>50751.685441871174</v>
      </c>
      <c r="Z18" s="93">
        <f>'Financial Statements &amp; Detail'!Y47-'Financial Statements &amp; Detail'!Z47</f>
        <v>49229.134878615383</v>
      </c>
      <c r="AA18" s="93">
        <f>'Financial Statements &amp; Detail'!Z47-'Financial Statements &amp; Detail'!AA47</f>
        <v>47252.433555228636</v>
      </c>
      <c r="AB18" s="93">
        <f>'Financial Statements &amp; Detail'!AA47-'Financial Statements &amp; Detail'!AB47</f>
        <v>-548538.45604940597</v>
      </c>
      <c r="AC18" s="93">
        <f>'Financial Statements &amp; Detail'!AB47-'Financial Statements &amp; Detail'!AC47</f>
        <v>40457.447632081341</v>
      </c>
      <c r="AD18" s="93">
        <f>'Financial Statements &amp; Detail'!AC47-'Financial Statements &amp; Detail'!AD47</f>
        <v>39243.72420311952</v>
      </c>
      <c r="AE18" s="93">
        <f>'Financial Statements &amp; Detail'!AD47-'Financial Statements &amp; Detail'!AE47</f>
        <v>-534473.33752297983</v>
      </c>
      <c r="AF18" s="93">
        <f>'Financial Statements &amp; Detail'!AE47-'Financial Statements &amp; Detail'!AF47</f>
        <v>54100.61260271538</v>
      </c>
      <c r="AG18" s="93">
        <f>'Financial Statements &amp; Detail'!AF47-'Financial Statements &amp; Detail'!AG47</f>
        <v>52477.594224633649</v>
      </c>
      <c r="AH18" s="93">
        <f>'Financial Statements &amp; Detail'!AG47-'Financial Statements &amp; Detail'!AH47</f>
        <v>-521636.4836021103</v>
      </c>
      <c r="AI18" s="93">
        <f>'Financial Statements &amp; Detail'!AH47-'Financial Statements &amp; Detail'!AI47</f>
        <v>66552.36090595834</v>
      </c>
      <c r="AJ18" s="93">
        <f>'Financial Statements &amp; Detail'!AI47-'Financial Statements &amp; Detail'!AJ47</f>
        <v>64555.790078779217</v>
      </c>
      <c r="AK18" s="93">
        <f>'Financial Statements &amp; Detail'!AJ47-'Financial Statements &amp; Detail'!AK47</f>
        <v>62619.116376415826</v>
      </c>
      <c r="AL18" s="93">
        <f>'Financial Statements &amp; Detail'!AK47-'Financial Statements &amp; Detail'!AL47</f>
        <v>60740.542885123286</v>
      </c>
      <c r="AM18" s="93">
        <f>'Financial Statements &amp; Detail'!AL47-'Financial Statements &amp; Detail'!AM47</f>
        <v>58013.695595595986</v>
      </c>
      <c r="AN18" s="93">
        <f>'Financial Statements &amp; Detail'!AM47-'Financial Statements &amp; Detail'!AN47</f>
        <v>-544166.04166930448</v>
      </c>
      <c r="AO18" s="93">
        <f>'Financial Statements &amp; Detail'!AN47-'Financial Statements &amp; Detail'!AO47</f>
        <v>44856.639580781572</v>
      </c>
      <c r="AP18" s="93">
        <f>'Financial Statements &amp; Detail'!AO47-'Financial Statements &amp; Detail'!AP47</f>
        <v>43510.940393356606</v>
      </c>
      <c r="AQ18" s="93">
        <f>'Financial Statements &amp; Detail'!AP47-'Financial Statements &amp; Detail'!AQ47</f>
        <v>-530492.08781844843</v>
      </c>
      <c r="AR18" s="93">
        <f>'Financial Statements &amp; Detail'!AQ47-'Financial Statements &amp; Detail'!AR47</f>
        <v>58120.374816110358</v>
      </c>
      <c r="AS18" s="93">
        <f>'Financial Statements &amp; Detail'!AR47-'Financial Statements &amp; Detail'!AS47</f>
        <v>56376.763571626972</v>
      </c>
      <c r="AT18" s="93">
        <f>'Financial Statements &amp; Detail'!AS47-'Financial Statements &amp; Detail'!AT47</f>
        <v>-518012.23933552811</v>
      </c>
      <c r="AU18" s="93">
        <f>'Financial Statements &amp; Detail'!AT47-'Financial Statements &amp; Detail'!AU47</f>
        <v>70225.827844542451</v>
      </c>
      <c r="AV18" s="93">
        <f>'Financial Statements &amp; Detail'!AU47-'Financial Statements &amp; Detail'!AV47</f>
        <v>68119.053009208292</v>
      </c>
      <c r="AW18" s="93">
        <f>'Financial Statements &amp; Detail'!AV47-'Financial Statements &amp; Detail'!AW47</f>
        <v>66075.481418931857</v>
      </c>
      <c r="AX18" s="93">
        <f>'Financial Statements &amp; Detail'!AW47-'Financial Statements &amp; Detail'!AX47</f>
        <v>64093.216976363212</v>
      </c>
      <c r="AY18" s="93">
        <f>'Financial Statements &amp; Detail'!AX47-'Financial Statements &amp; Detail'!AY47</f>
        <v>60734.336418918334</v>
      </c>
      <c r="AZ18" s="93">
        <f>'Financial Statements &amp; Detail'!AY47-'Financial Statements &amp; Detail'!AZ47</f>
        <v>-541206.33550550137</v>
      </c>
      <c r="BA18" s="93">
        <f>'Financial Statements &amp; Detail'!AZ47-'Financial Statements &amp; Detail'!BA47</f>
        <v>47917.094559670426</v>
      </c>
      <c r="BB18" s="93">
        <f>'Financial Statements &amp; Detail'!BA47-'Financial Statements &amp; Detail'!BB47</f>
        <v>46479.581722879782</v>
      </c>
      <c r="BC18" s="93">
        <f>'Financial Statements &amp; Detail'!BB47-'Financial Statements &amp; Detail'!BC47</f>
        <v>-527802.04572881199</v>
      </c>
      <c r="BD18" s="93">
        <f>'Financial Statements &amp; Detail'!BC47-'Financial Statements &amp; Detail'!BD47</f>
        <v>60919.255643057637</v>
      </c>
      <c r="BE18" s="93">
        <f>'Financial Statements &amp; Detail'!BD47-'Financial Statements &amp; Detail'!BE47</f>
        <v>59091.677973764017</v>
      </c>
      <c r="BF18" s="93">
        <f>'Financial Statements &amp; Detail'!BE47-'Financial Statements &amp; Detail'!BF47</f>
        <v>-515568.31236545183</v>
      </c>
      <c r="BG18" s="93">
        <f>'Financial Statements &amp; Detail'!BF47-'Financial Statements &amp; Detail'!BG47</f>
        <v>72785.97700551711</v>
      </c>
      <c r="BH18" s="93">
        <f>'Financial Statements &amp; Detail'!BG47-'Financial Statements &amp; Detail'!BH47</f>
        <v>70602.397695350461</v>
      </c>
      <c r="BI18" s="93">
        <f>'Financial Statements &amp; Detail'!BH47-'Financial Statements &amp; Detail'!BI47</f>
        <v>68484.325764492154</v>
      </c>
      <c r="BJ18" s="93">
        <f>'Financial Statements &amp; Detail'!BI47-'Financial Statements &amp; Detail'!BJ47</f>
        <v>66429.795991552994</v>
      </c>
    </row>
    <row r="19" spans="1:63">
      <c r="A19" s="105" t="s">
        <v>281</v>
      </c>
      <c r="C19" s="93">
        <f>'Financial Statements &amp; Detail'!B48-'Financial Statements &amp; Detail'!C48</f>
        <v>-191924.09374999994</v>
      </c>
      <c r="D19" s="93">
        <f>'Financial Statements &amp; Detail'!C48-'Financial Statements &amp; Detail'!D48</f>
        <v>432.7228124999383</v>
      </c>
      <c r="E19" s="93">
        <f>'Financial Statements &amp; Detail'!D48-'Financial Statements &amp; Detail'!E48</f>
        <v>419.74112812499516</v>
      </c>
      <c r="F19" s="93">
        <f>'Financial Statements &amp; Detail'!E48-'Financial Statements &amp; Detail'!F48</f>
        <v>407.14889428124297</v>
      </c>
      <c r="G19" s="93">
        <f>'Financial Statements &amp; Detail'!F48-'Financial Statements &amp; Detail'!G48</f>
        <v>394.93442745279754</v>
      </c>
      <c r="H19" s="93">
        <f>'Financial Statements &amp; Detail'!G48-'Financial Statements &amp; Detail'!H48</f>
        <v>383.08639462923747</v>
      </c>
      <c r="I19" s="93">
        <f>'Financial Statements &amp; Detail'!H48-'Financial Statements &amp; Detail'!I48</f>
        <v>371.59380279039033</v>
      </c>
      <c r="J19" s="93">
        <f>'Financial Statements &amp; Detail'!I48-'Financial Statements &amp; Detail'!J48</f>
        <v>360.44598870663322</v>
      </c>
      <c r="K19" s="93">
        <f>'Financial Statements &amp; Detail'!J48-'Financial Statements &amp; Detail'!K48</f>
        <v>349.63260904539493</v>
      </c>
      <c r="L19" s="93">
        <f>'Financial Statements &amp; Detail'!K48-'Financial Statements &amp; Detail'!L48</f>
        <v>339.14363077405142</v>
      </c>
      <c r="M19" s="93">
        <f>'Financial Statements &amp; Detail'!L48-'Financial Statements &amp; Detail'!M48</f>
        <v>328.96932185086189</v>
      </c>
      <c r="N19" s="93">
        <f>'Financial Statements &amp; Detail'!M48-'Financial Statements &amp; Detail'!N48</f>
        <v>-267872.30600780476</v>
      </c>
      <c r="O19" s="93">
        <f>'Financial Statements &amp; Detail'!N48-'Financial Statements &amp; Detail'!O48</f>
        <v>5237.3474607355311</v>
      </c>
      <c r="P19" s="93">
        <f>'Financial Statements &amp; Detail'!O48-'Financial Statements &amp; Detail'!P48</f>
        <v>273271.63328691362</v>
      </c>
      <c r="Q19" s="93">
        <f>'Financial Statements &amp; Detail'!P48-'Financial Statements &amp; Detail'!Q48</f>
        <v>-241626.23353983014</v>
      </c>
      <c r="R19" s="93">
        <f>'Financial Statements &amp; Detail'!Q48-'Financial Statements &amp; Detail'!R48</f>
        <v>0</v>
      </c>
      <c r="S19" s="93">
        <f>'Financial Statements &amp; Detail'!R48-'Financial Statements &amp; Detail'!S48</f>
        <v>241626.23353983014</v>
      </c>
      <c r="T19" s="93">
        <f>'Financial Statements &amp; Detail'!S48-'Financial Statements &amp; Detail'!T48</f>
        <v>-220525.73944349703</v>
      </c>
      <c r="U19" s="93">
        <f>'Financial Statements &amp; Detail'!T48-'Financial Statements &amp; Detail'!U48</f>
        <v>0</v>
      </c>
      <c r="V19" s="93">
        <f>'Financial Statements &amp; Detail'!U48-'Financial Statements &amp; Detail'!V48</f>
        <v>220525.73944349703</v>
      </c>
      <c r="W19" s="93">
        <f>'Financial Statements &amp; Detail'!V48-'Financial Statements &amp; Detail'!W48</f>
        <v>0</v>
      </c>
      <c r="X19" s="93">
        <f>'Financial Statements &amp; Detail'!W48-'Financial Statements &amp; Detail'!X48</f>
        <v>0</v>
      </c>
      <c r="Y19" s="93">
        <f>'Financial Statements &amp; Detail'!X48-'Financial Statements &amp; Detail'!Y48</f>
        <v>-16250</v>
      </c>
      <c r="Z19" s="93">
        <f>'Financial Statements &amp; Detail'!Y48-'Financial Statements &amp; Detail'!Z48</f>
        <v>-158901.90942406538</v>
      </c>
      <c r="AA19" s="93">
        <f>'Financial Statements &amp; Detail'!Z48-'Financial Statements &amp; Detail'!AA48</f>
        <v>0</v>
      </c>
      <c r="AB19" s="93">
        <f>'Financial Statements &amp; Detail'!AA48-'Financial Statements &amp; Detail'!AB48</f>
        <v>142651.90942406538</v>
      </c>
      <c r="AC19" s="93">
        <f>'Financial Statements &amp; Detail'!AB48-'Financial Statements &amp; Detail'!AC48</f>
        <v>-220296.00185396464</v>
      </c>
      <c r="AD19" s="93">
        <f>'Financial Statements &amp; Detail'!AC48-'Financial Statements &amp; Detail'!AD48</f>
        <v>0</v>
      </c>
      <c r="AE19" s="93">
        <f>'Financial Statements &amp; Detail'!AD48-'Financial Statements &amp; Detail'!AE48</f>
        <v>220296.00185396464</v>
      </c>
      <c r="AF19" s="93">
        <f>'Financial Statements &amp; Detail'!AE48-'Financial Statements &amp; Detail'!AF48</f>
        <v>-201058.21290006384</v>
      </c>
      <c r="AG19" s="93">
        <f>'Financial Statements &amp; Detail'!AF48-'Financial Statements &amp; Detail'!AG48</f>
        <v>0</v>
      </c>
      <c r="AH19" s="93">
        <f>'Financial Statements &amp; Detail'!AG48-'Financial Statements &amp; Detail'!AH48</f>
        <v>201058.21290006384</v>
      </c>
      <c r="AI19" s="93">
        <f>'Financial Statements &amp; Detail'!AH48-'Financial Statements &amp; Detail'!AI48</f>
        <v>0</v>
      </c>
      <c r="AJ19" s="93">
        <f>'Financial Statements &amp; Detail'!AI48-'Financial Statements &amp; Detail'!AJ48</f>
        <v>0</v>
      </c>
      <c r="AK19" s="93">
        <f>'Financial Statements &amp; Detail'!AJ48-'Financial Statements &amp; Detail'!AK48</f>
        <v>-20833.333333333256</v>
      </c>
      <c r="AL19" s="93">
        <f>'Financial Statements &amp; Detail'!AK48-'Financial Statements &amp; Detail'!AL48</f>
        <v>-132552.63353853056</v>
      </c>
      <c r="AM19" s="93">
        <f>'Financial Statements &amp; Detail'!AL48-'Financial Statements &amp; Detail'!AM48</f>
        <v>0</v>
      </c>
      <c r="AN19" s="93">
        <f>'Financial Statements &amp; Detail'!AM48-'Financial Statements &amp; Detail'!AN48</f>
        <v>111719.3002051973</v>
      </c>
      <c r="AO19" s="93">
        <f>'Financial Statements &amp; Detail'!AN48-'Financial Statements &amp; Detail'!AO48</f>
        <v>-214110.28710687032</v>
      </c>
      <c r="AP19" s="93">
        <f>'Financial Statements &amp; Detail'!AO48-'Financial Statements &amp; Detail'!AP48</f>
        <v>0</v>
      </c>
      <c r="AQ19" s="93">
        <f>'Financial Statements &amp; Detail'!AP48-'Financial Statements &amp; Detail'!AQ48</f>
        <v>214110.28710687044</v>
      </c>
      <c r="AR19" s="93">
        <f>'Financial Statements &amp; Detail'!AQ48-'Financial Statements &amp; Detail'!AR48</f>
        <v>-195412.67806468904</v>
      </c>
      <c r="AS19" s="93">
        <f>'Financial Statements &amp; Detail'!AR48-'Financial Statements &amp; Detail'!AS48</f>
        <v>0</v>
      </c>
      <c r="AT19" s="93">
        <f>'Financial Statements &amp; Detail'!AS48-'Financial Statements &amp; Detail'!AT48</f>
        <v>195412.67806468939</v>
      </c>
      <c r="AU19" s="93">
        <f>'Financial Statements &amp; Detail'!AT48-'Financial Statements &amp; Detail'!AU48</f>
        <v>0</v>
      </c>
      <c r="AV19" s="93">
        <f>'Financial Statements &amp; Detail'!AU48-'Financial Statements &amp; Detail'!AV48</f>
        <v>0</v>
      </c>
      <c r="AW19" s="93">
        <f>'Financial Statements &amp; Detail'!AV48-'Financial Statements &amp; Detail'!AW48</f>
        <v>-20833.333333333256</v>
      </c>
      <c r="AX19" s="93">
        <f>'Financial Statements &amp; Detail'!AW48-'Financial Statements &amp; Detail'!AX48</f>
        <v>-122697.53385300573</v>
      </c>
      <c r="AY19" s="93">
        <f>'Financial Statements &amp; Detail'!AX48-'Financial Statements &amp; Detail'!AY48</f>
        <v>0</v>
      </c>
      <c r="AZ19" s="93">
        <f>'Financial Statements &amp; Detail'!AY48-'Financial Statements &amp; Detail'!AZ48</f>
        <v>101864.20051967271</v>
      </c>
      <c r="BA19" s="93">
        <f>'Financial Statements &amp; Detail'!AZ48-'Financial Statements &amp; Detail'!BA48</f>
        <v>-209818.37618230167</v>
      </c>
      <c r="BB19" s="93">
        <f>'Financial Statements &amp; Detail'!BA48-'Financial Statements &amp; Detail'!BB48</f>
        <v>-4.6566128730773926E-10</v>
      </c>
      <c r="BC19" s="93">
        <f>'Financial Statements &amp; Detail'!BB48-'Financial Statements &amp; Detail'!BC48</f>
        <v>209818.37618230167</v>
      </c>
      <c r="BD19" s="93">
        <f>'Financial Statements &amp; Detail'!BC48-'Financial Statements &amp; Detail'!BD48</f>
        <v>-191495.56684543053</v>
      </c>
      <c r="BE19" s="93">
        <f>'Financial Statements &amp; Detail'!BD48-'Financial Statements &amp; Detail'!BE48</f>
        <v>4.6566128730773926E-10</v>
      </c>
      <c r="BF19" s="93">
        <f>'Financial Statements &amp; Detail'!BE48-'Financial Statements &amp; Detail'!BF48</f>
        <v>0</v>
      </c>
      <c r="BG19" s="93">
        <f>'Financial Statements &amp; Detail'!BF48-'Financial Statements &amp; Detail'!BG48</f>
        <v>0</v>
      </c>
      <c r="BH19" s="93">
        <f>'Financial Statements &amp; Detail'!BG48-'Financial Statements &amp; Detail'!BH48</f>
        <v>0</v>
      </c>
      <c r="BI19" s="93">
        <f>'Financial Statements &amp; Detail'!BH48-'Financial Statements &amp; Detail'!BI48</f>
        <v>0</v>
      </c>
      <c r="BJ19" s="93">
        <f>'Financial Statements &amp; Detail'!BI48-'Financial Statements &amp; Detail'!BJ48</f>
        <v>0</v>
      </c>
    </row>
    <row r="20" spans="1:63">
      <c r="A20" s="105" t="s">
        <v>282</v>
      </c>
      <c r="C20" s="93">
        <f>'Financial Statements &amp; Detail'!B49-'Financial Statements &amp; Detail'!C49</f>
        <v>0</v>
      </c>
      <c r="D20" s="93">
        <f>'Financial Statements &amp; Detail'!C49-'Financial Statements &amp; Detail'!D49</f>
        <v>0</v>
      </c>
      <c r="E20" s="93">
        <f>'Financial Statements &amp; Detail'!D49-'Financial Statements &amp; Detail'!E49</f>
        <v>0</v>
      </c>
      <c r="F20" s="93">
        <f>'Financial Statements &amp; Detail'!E49-'Financial Statements &amp; Detail'!F49</f>
        <v>0</v>
      </c>
      <c r="G20" s="93">
        <f>'Financial Statements &amp; Detail'!F49-'Financial Statements &amp; Detail'!G49</f>
        <v>0</v>
      </c>
      <c r="H20" s="93">
        <f>'Financial Statements &amp; Detail'!G49-'Financial Statements &amp; Detail'!H49</f>
        <v>0</v>
      </c>
      <c r="I20" s="93">
        <f>'Financial Statements &amp; Detail'!H49-'Financial Statements &amp; Detail'!I49</f>
        <v>0</v>
      </c>
      <c r="J20" s="93">
        <f>'Financial Statements &amp; Detail'!I49-'Financial Statements &amp; Detail'!J49</f>
        <v>0</v>
      </c>
      <c r="K20" s="93">
        <f>'Financial Statements &amp; Detail'!J49-'Financial Statements &amp; Detail'!K49</f>
        <v>0</v>
      </c>
      <c r="L20" s="93">
        <f>'Financial Statements &amp; Detail'!K49-'Financial Statements &amp; Detail'!L49</f>
        <v>0</v>
      </c>
      <c r="M20" s="93">
        <f>'Financial Statements &amp; Detail'!L49-'Financial Statements &amp; Detail'!M49</f>
        <v>0</v>
      </c>
      <c r="N20" s="93">
        <f>'Financial Statements &amp; Detail'!M49-'Financial Statements &amp; Detail'!N49</f>
        <v>0</v>
      </c>
      <c r="O20" s="93">
        <f>'Financial Statements &amp; Detail'!N49-'Financial Statements &amp; Detail'!O49</f>
        <v>0</v>
      </c>
      <c r="P20" s="93">
        <f>'Financial Statements &amp; Detail'!O49-'Financial Statements &amp; Detail'!P49</f>
        <v>0</v>
      </c>
      <c r="Q20" s="93">
        <f>'Financial Statements &amp; Detail'!P49-'Financial Statements &amp; Detail'!Q49</f>
        <v>0</v>
      </c>
      <c r="R20" s="93">
        <f>'Financial Statements &amp; Detail'!Q49-'Financial Statements &amp; Detail'!R49</f>
        <v>0</v>
      </c>
      <c r="S20" s="93">
        <f>'Financial Statements &amp; Detail'!R49-'Financial Statements &amp; Detail'!S49</f>
        <v>0</v>
      </c>
      <c r="T20" s="93">
        <f>'Financial Statements &amp; Detail'!S49-'Financial Statements &amp; Detail'!T49</f>
        <v>0</v>
      </c>
      <c r="U20" s="93">
        <f>'Financial Statements &amp; Detail'!T49-'Financial Statements &amp; Detail'!U49</f>
        <v>0</v>
      </c>
      <c r="V20" s="93">
        <f>'Financial Statements &amp; Detail'!U49-'Financial Statements &amp; Detail'!V49</f>
        <v>0</v>
      </c>
      <c r="W20" s="93">
        <f>'Financial Statements &amp; Detail'!V49-'Financial Statements &amp; Detail'!W49</f>
        <v>0</v>
      </c>
      <c r="X20" s="93">
        <f>'Financial Statements &amp; Detail'!W49-'Financial Statements &amp; Detail'!X49</f>
        <v>0</v>
      </c>
      <c r="Y20" s="93">
        <f>'Financial Statements &amp; Detail'!X49-'Financial Statements &amp; Detail'!Y49</f>
        <v>0</v>
      </c>
      <c r="Z20" s="93">
        <f>'Financial Statements &amp; Detail'!Y49-'Financial Statements &amp; Detail'!Z49</f>
        <v>0</v>
      </c>
      <c r="AA20" s="93">
        <f>'Financial Statements &amp; Detail'!Z49-'Financial Statements &amp; Detail'!AA49</f>
        <v>0</v>
      </c>
      <c r="AB20" s="93">
        <f>'Financial Statements &amp; Detail'!AA49-'Financial Statements &amp; Detail'!AB49</f>
        <v>0</v>
      </c>
      <c r="AC20" s="93">
        <f>'Financial Statements &amp; Detail'!AB49-'Financial Statements &amp; Detail'!AC49</f>
        <v>0</v>
      </c>
      <c r="AD20" s="93">
        <f>'Financial Statements &amp; Detail'!AC49-'Financial Statements &amp; Detail'!AD49</f>
        <v>0</v>
      </c>
      <c r="AE20" s="93">
        <f>'Financial Statements &amp; Detail'!AD49-'Financial Statements &amp; Detail'!AE49</f>
        <v>0</v>
      </c>
      <c r="AF20" s="93">
        <f>'Financial Statements &amp; Detail'!AE49-'Financial Statements &amp; Detail'!AF49</f>
        <v>0</v>
      </c>
      <c r="AG20" s="93">
        <f>'Financial Statements &amp; Detail'!AF49-'Financial Statements &amp; Detail'!AG49</f>
        <v>0</v>
      </c>
      <c r="AH20" s="93">
        <f>'Financial Statements &amp; Detail'!AG49-'Financial Statements &amp; Detail'!AH49</f>
        <v>0</v>
      </c>
      <c r="AI20" s="93">
        <f>'Financial Statements &amp; Detail'!AH49-'Financial Statements &amp; Detail'!AI49</f>
        <v>0</v>
      </c>
      <c r="AJ20" s="93">
        <f>'Financial Statements &amp; Detail'!AI49-'Financial Statements &amp; Detail'!AJ49</f>
        <v>0</v>
      </c>
      <c r="AK20" s="93">
        <f>'Financial Statements &amp; Detail'!AJ49-'Financial Statements &amp; Detail'!AK49</f>
        <v>0</v>
      </c>
      <c r="AL20" s="93">
        <f>'Financial Statements &amp; Detail'!AK49-'Financial Statements &amp; Detail'!AL49</f>
        <v>0</v>
      </c>
      <c r="AM20" s="93">
        <f>'Financial Statements &amp; Detail'!AL49-'Financial Statements &amp; Detail'!AM49</f>
        <v>0</v>
      </c>
      <c r="AN20" s="93">
        <f>'Financial Statements &amp; Detail'!AM49-'Financial Statements &amp; Detail'!AN49</f>
        <v>0</v>
      </c>
      <c r="AO20" s="93">
        <f>'Financial Statements &amp; Detail'!AN49-'Financial Statements &amp; Detail'!AO49</f>
        <v>0</v>
      </c>
      <c r="AP20" s="93">
        <f>'Financial Statements &amp; Detail'!AO49-'Financial Statements &amp; Detail'!AP49</f>
        <v>0</v>
      </c>
      <c r="AQ20" s="93">
        <f>'Financial Statements &amp; Detail'!AP49-'Financial Statements &amp; Detail'!AQ49</f>
        <v>0</v>
      </c>
      <c r="AR20" s="93">
        <f>'Financial Statements &amp; Detail'!AQ49-'Financial Statements &amp; Detail'!AR49</f>
        <v>0</v>
      </c>
      <c r="AS20" s="93">
        <f>'Financial Statements &amp; Detail'!AR49-'Financial Statements &amp; Detail'!AS49</f>
        <v>0</v>
      </c>
      <c r="AT20" s="93">
        <f>'Financial Statements &amp; Detail'!AS49-'Financial Statements &amp; Detail'!AT49</f>
        <v>0</v>
      </c>
      <c r="AU20" s="93">
        <f>'Financial Statements &amp; Detail'!AT49-'Financial Statements &amp; Detail'!AU49</f>
        <v>0</v>
      </c>
      <c r="AV20" s="93">
        <f>'Financial Statements &amp; Detail'!AU49-'Financial Statements &amp; Detail'!AV49</f>
        <v>0</v>
      </c>
      <c r="AW20" s="93">
        <f>'Financial Statements &amp; Detail'!AV49-'Financial Statements &amp; Detail'!AW49</f>
        <v>0</v>
      </c>
      <c r="AX20" s="93">
        <f>'Financial Statements &amp; Detail'!AW49-'Financial Statements &amp; Detail'!AX49</f>
        <v>0</v>
      </c>
      <c r="AY20" s="93">
        <f>'Financial Statements &amp; Detail'!AX49-'Financial Statements &amp; Detail'!AY49</f>
        <v>0</v>
      </c>
      <c r="AZ20" s="93">
        <f>'Financial Statements &amp; Detail'!AY49-'Financial Statements &amp; Detail'!AZ49</f>
        <v>0</v>
      </c>
      <c r="BA20" s="93">
        <f>'Financial Statements &amp; Detail'!AZ49-'Financial Statements &amp; Detail'!BA49</f>
        <v>0</v>
      </c>
      <c r="BB20" s="93">
        <f>'Financial Statements &amp; Detail'!BA49-'Financial Statements &amp; Detail'!BB49</f>
        <v>0</v>
      </c>
      <c r="BC20" s="93">
        <f>'Financial Statements &amp; Detail'!BB49-'Financial Statements &amp; Detail'!BC49</f>
        <v>0</v>
      </c>
      <c r="BD20" s="93">
        <f>'Financial Statements &amp; Detail'!BC49-'Financial Statements &amp; Detail'!BD49</f>
        <v>0</v>
      </c>
      <c r="BE20" s="93">
        <f>'Financial Statements &amp; Detail'!BD49-'Financial Statements &amp; Detail'!BE49</f>
        <v>0</v>
      </c>
      <c r="BF20" s="93">
        <f>'Financial Statements &amp; Detail'!BE49-'Financial Statements &amp; Detail'!BF49</f>
        <v>0</v>
      </c>
      <c r="BG20" s="93">
        <f>'Financial Statements &amp; Detail'!BF49-'Financial Statements &amp; Detail'!BG49</f>
        <v>0</v>
      </c>
      <c r="BH20" s="93">
        <f>'Financial Statements &amp; Detail'!BG49-'Financial Statements &amp; Detail'!BH49</f>
        <v>0</v>
      </c>
      <c r="BI20" s="93">
        <f>'Financial Statements &amp; Detail'!BH49-'Financial Statements &amp; Detail'!BI49</f>
        <v>0</v>
      </c>
      <c r="BJ20" s="93">
        <f>'Financial Statements &amp; Detail'!BI49-'Financial Statements &amp; Detail'!BJ49</f>
        <v>0</v>
      </c>
    </row>
    <row r="21" spans="1:63">
      <c r="A21" s="105" t="s">
        <v>86</v>
      </c>
      <c r="C21" s="93">
        <f>'Financial Statements &amp; Detail'!B58-'Financial Statements &amp; Detail'!C58</f>
        <v>-6500000</v>
      </c>
      <c r="D21" s="93">
        <f>'Financial Statements &amp; Detail'!C58-'Financial Statements &amp; Detail'!D58</f>
        <v>0</v>
      </c>
      <c r="E21" s="93">
        <f>'Financial Statements &amp; Detail'!D58-'Financial Statements &amp; Detail'!E58</f>
        <v>0</v>
      </c>
      <c r="F21" s="93">
        <f>'Financial Statements &amp; Detail'!E58-'Financial Statements &amp; Detail'!F58</f>
        <v>0</v>
      </c>
      <c r="G21" s="93">
        <f>'Financial Statements &amp; Detail'!F58-'Financial Statements &amp; Detail'!G58</f>
        <v>0</v>
      </c>
      <c r="H21" s="93">
        <f>'Financial Statements &amp; Detail'!G58-'Financial Statements &amp; Detail'!H58</f>
        <v>0</v>
      </c>
      <c r="I21" s="93">
        <f>'Financial Statements &amp; Detail'!H58-'Financial Statements &amp; Detail'!I58</f>
        <v>0</v>
      </c>
      <c r="J21" s="93">
        <f>'Financial Statements &amp; Detail'!I58-'Financial Statements &amp; Detail'!J58</f>
        <v>0</v>
      </c>
      <c r="K21" s="93">
        <f>'Financial Statements &amp; Detail'!J58-'Financial Statements &amp; Detail'!K58</f>
        <v>0</v>
      </c>
      <c r="L21" s="93">
        <f>'Financial Statements &amp; Detail'!K58-'Financial Statements &amp; Detail'!L58</f>
        <v>0</v>
      </c>
      <c r="M21" s="93">
        <f>'Financial Statements &amp; Detail'!L58-'Financial Statements &amp; Detail'!M58</f>
        <v>0</v>
      </c>
      <c r="N21" s="93">
        <f>'Financial Statements &amp; Detail'!M58-'Financial Statements &amp; Detail'!N58</f>
        <v>0</v>
      </c>
      <c r="O21" s="93">
        <f>'Financial Statements &amp; Detail'!N58-'Financial Statements &amp; Detail'!O58</f>
        <v>-2666666.6666666679</v>
      </c>
      <c r="P21" s="93">
        <f>'Financial Statements &amp; Detail'!O58-'Financial Statements &amp; Detail'!P58</f>
        <v>0</v>
      </c>
      <c r="Q21" s="93">
        <f>'Financial Statements &amp; Detail'!P58-'Financial Statements &amp; Detail'!Q58</f>
        <v>0</v>
      </c>
      <c r="R21" s="93">
        <f>'Financial Statements &amp; Detail'!Q58-'Financial Statements &amp; Detail'!R58</f>
        <v>-2666666.666666666</v>
      </c>
      <c r="S21" s="93">
        <f>'Financial Statements &amp; Detail'!R58-'Financial Statements &amp; Detail'!S58</f>
        <v>0</v>
      </c>
      <c r="T21" s="93">
        <f>'Financial Statements &amp; Detail'!S58-'Financial Statements &amp; Detail'!T58</f>
        <v>0</v>
      </c>
      <c r="U21" s="93">
        <f>'Financial Statements &amp; Detail'!T58-'Financial Statements &amp; Detail'!U58</f>
        <v>-2666666.666666666</v>
      </c>
      <c r="V21" s="93">
        <f>'Financial Statements &amp; Detail'!U58-'Financial Statements &amp; Detail'!V58</f>
        <v>0</v>
      </c>
      <c r="W21" s="93">
        <f>'Financial Statements &amp; Detail'!V58-'Financial Statements &amp; Detail'!W58</f>
        <v>0</v>
      </c>
      <c r="X21" s="93">
        <f>'Financial Statements &amp; Detail'!W58-'Financial Statements &amp; Detail'!X58</f>
        <v>0</v>
      </c>
      <c r="Y21" s="93">
        <f>'Financial Statements &amp; Detail'!X58-'Financial Statements &amp; Detail'!Y58</f>
        <v>0</v>
      </c>
      <c r="Z21" s="93">
        <f>'Financial Statements &amp; Detail'!Y58-'Financial Statements &amp; Detail'!Z58</f>
        <v>0</v>
      </c>
      <c r="AA21" s="93">
        <f>'Financial Statements &amp; Detail'!Z58-'Financial Statements &amp; Detail'!AA58</f>
        <v>-2666666.6666666679</v>
      </c>
      <c r="AB21" s="93">
        <f>'Financial Statements &amp; Detail'!AA58-'Financial Statements &amp; Detail'!AB58</f>
        <v>0</v>
      </c>
      <c r="AC21" s="93">
        <f>'Financial Statements &amp; Detail'!AB58-'Financial Statements &amp; Detail'!AC58</f>
        <v>0</v>
      </c>
      <c r="AD21" s="93">
        <f>'Financial Statements &amp; Detail'!AC58-'Financial Statements &amp; Detail'!AD58</f>
        <v>-2666666.6666666679</v>
      </c>
      <c r="AE21" s="93">
        <f>'Financial Statements &amp; Detail'!AD58-'Financial Statements &amp; Detail'!AE58</f>
        <v>0</v>
      </c>
      <c r="AF21" s="93">
        <f>'Financial Statements &amp; Detail'!AE58-'Financial Statements &amp; Detail'!AF58</f>
        <v>0</v>
      </c>
      <c r="AG21" s="93">
        <f>'Financial Statements &amp; Detail'!AF58-'Financial Statements &amp; Detail'!AG58</f>
        <v>-2666666.6666666679</v>
      </c>
      <c r="AH21" s="93">
        <f>'Financial Statements &amp; Detail'!AG58-'Financial Statements &amp; Detail'!AH58</f>
        <v>0</v>
      </c>
      <c r="AI21" s="93">
        <f>'Financial Statements &amp; Detail'!AH58-'Financial Statements &amp; Detail'!AI58</f>
        <v>0</v>
      </c>
      <c r="AJ21" s="93">
        <f>'Financial Statements &amp; Detail'!AI58-'Financial Statements &amp; Detail'!AJ58</f>
        <v>0</v>
      </c>
      <c r="AK21" s="93">
        <f>'Financial Statements &amp; Detail'!AJ58-'Financial Statements &amp; Detail'!AK58</f>
        <v>0</v>
      </c>
      <c r="AL21" s="93">
        <f>'Financial Statements &amp; Detail'!AK58-'Financial Statements &amp; Detail'!AL58</f>
        <v>0</v>
      </c>
      <c r="AM21" s="93">
        <f>'Financial Statements &amp; Detail'!AL58-'Financial Statements &amp; Detail'!AM58</f>
        <v>-2666666.6666666679</v>
      </c>
      <c r="AN21" s="93">
        <f>'Financial Statements &amp; Detail'!AM58-'Financial Statements &amp; Detail'!AN58</f>
        <v>0</v>
      </c>
      <c r="AO21" s="93">
        <f>'Financial Statements &amp; Detail'!AN58-'Financial Statements &amp; Detail'!AO58</f>
        <v>0</v>
      </c>
      <c r="AP21" s="93">
        <f>'Financial Statements &amp; Detail'!AO58-'Financial Statements &amp; Detail'!AP58</f>
        <v>-2666666.6666666679</v>
      </c>
      <c r="AQ21" s="93">
        <f>'Financial Statements &amp; Detail'!AP58-'Financial Statements &amp; Detail'!AQ58</f>
        <v>0</v>
      </c>
      <c r="AR21" s="93">
        <f>'Financial Statements &amp; Detail'!AQ58-'Financial Statements &amp; Detail'!AR58</f>
        <v>0</v>
      </c>
      <c r="AS21" s="93">
        <f>'Financial Statements &amp; Detail'!AR58-'Financial Statements &amp; Detail'!AS58</f>
        <v>-2666666.6666666679</v>
      </c>
      <c r="AT21" s="93">
        <f>'Financial Statements &amp; Detail'!AS58-'Financial Statements &amp; Detail'!AT58</f>
        <v>0</v>
      </c>
      <c r="AU21" s="93">
        <f>'Financial Statements &amp; Detail'!AT58-'Financial Statements &amp; Detail'!AU58</f>
        <v>0</v>
      </c>
      <c r="AV21" s="93">
        <f>'Financial Statements &amp; Detail'!AU58-'Financial Statements &amp; Detail'!AV58</f>
        <v>0</v>
      </c>
      <c r="AW21" s="93">
        <f>'Financial Statements &amp; Detail'!AV58-'Financial Statements &amp; Detail'!AW58</f>
        <v>0</v>
      </c>
      <c r="AX21" s="93">
        <f>'Financial Statements &amp; Detail'!AW58-'Financial Statements &amp; Detail'!AX58</f>
        <v>0</v>
      </c>
      <c r="AY21" s="93">
        <f>'Financial Statements &amp; Detail'!AX58-'Financial Statements &amp; Detail'!AY58</f>
        <v>-2666666.6666666679</v>
      </c>
      <c r="AZ21" s="93">
        <f>'Financial Statements &amp; Detail'!AY58-'Financial Statements &amp; Detail'!AZ58</f>
        <v>0</v>
      </c>
      <c r="BA21" s="93">
        <f>'Financial Statements &amp; Detail'!AZ58-'Financial Statements &amp; Detail'!BA58</f>
        <v>0</v>
      </c>
      <c r="BB21" s="93">
        <f>'Financial Statements &amp; Detail'!BA58-'Financial Statements &amp; Detail'!BB58</f>
        <v>-2666666.6666666679</v>
      </c>
      <c r="BC21" s="93">
        <f>'Financial Statements &amp; Detail'!BB58-'Financial Statements &amp; Detail'!BC58</f>
        <v>0</v>
      </c>
      <c r="BD21" s="93">
        <f>'Financial Statements &amp; Detail'!BC58-'Financial Statements &amp; Detail'!BD58</f>
        <v>0</v>
      </c>
      <c r="BE21" s="93">
        <f>'Financial Statements &amp; Detail'!BD58-'Financial Statements &amp; Detail'!BE58</f>
        <v>-2666666.6666666642</v>
      </c>
      <c r="BF21" s="93">
        <f>'Financial Statements &amp; Detail'!BE58-'Financial Statements &amp; Detail'!BF58</f>
        <v>0</v>
      </c>
      <c r="BG21" s="93">
        <f>'Financial Statements &amp; Detail'!BF58-'Financial Statements &amp; Detail'!BG58</f>
        <v>0</v>
      </c>
      <c r="BH21" s="93">
        <f>'Financial Statements &amp; Detail'!BG58-'Financial Statements &amp; Detail'!BH58</f>
        <v>0</v>
      </c>
      <c r="BI21" s="93">
        <f>'Financial Statements &amp; Detail'!BH58-'Financial Statements &amp; Detail'!BI58</f>
        <v>0</v>
      </c>
      <c r="BJ21" s="93">
        <f>'Financial Statements &amp; Detail'!BI58-'Financial Statements &amp; Detail'!BJ58</f>
        <v>0</v>
      </c>
    </row>
    <row r="22" spans="1:63">
      <c r="A22" s="105" t="s">
        <v>283</v>
      </c>
      <c r="C22" s="93">
        <f>'Financial Statements &amp; Detail'!C66-'Financial Statements &amp; Detail'!B66</f>
        <v>41924.093749999942</v>
      </c>
      <c r="D22" s="93">
        <f>'Financial Statements &amp; Detail'!D66-'Financial Statements &amp; Detail'!C66</f>
        <v>-432.7228124999383</v>
      </c>
      <c r="E22" s="93">
        <f>'Financial Statements &amp; Detail'!E66-'Financial Statements &amp; Detail'!D66</f>
        <v>-419.74112812499516</v>
      </c>
      <c r="F22" s="93">
        <f>'Financial Statements &amp; Detail'!F66-'Financial Statements &amp; Detail'!E66</f>
        <v>-407.14889428124297</v>
      </c>
      <c r="G22" s="93">
        <f>'Financial Statements &amp; Detail'!G66-'Financial Statements &amp; Detail'!F66</f>
        <v>-394.93442745279754</v>
      </c>
      <c r="H22" s="93">
        <f>'Financial Statements &amp; Detail'!H66-'Financial Statements &amp; Detail'!G66</f>
        <v>-383.08639462923747</v>
      </c>
      <c r="I22" s="93">
        <f>'Financial Statements &amp; Detail'!I66-'Financial Statements &amp; Detail'!H66</f>
        <v>-371.59380279039033</v>
      </c>
      <c r="J22" s="93">
        <f>'Financial Statements &amp; Detail'!J66-'Financial Statements &amp; Detail'!I66</f>
        <v>-360.44598870663322</v>
      </c>
      <c r="K22" s="93">
        <f>'Financial Statements &amp; Detail'!K66-'Financial Statements &amp; Detail'!J66</f>
        <v>-349.63260904539493</v>
      </c>
      <c r="L22" s="93">
        <f>'Financial Statements &amp; Detail'!L66-'Financial Statements &amp; Detail'!K66</f>
        <v>-339.14363077405142</v>
      </c>
      <c r="M22" s="93">
        <f>'Financial Statements &amp; Detail'!M66-'Financial Statements &amp; Detail'!L66</f>
        <v>-328.96932185086189</v>
      </c>
      <c r="N22" s="93">
        <f>'Financial Statements &amp; Detail'!N66-'Financial Statements &amp; Detail'!M66</f>
        <v>267872.30600780476</v>
      </c>
      <c r="O22" s="93">
        <f>'Financial Statements &amp; Detail'!O66-'Financial Statements &amp; Detail'!N66</f>
        <v>-5237.3474607355311</v>
      </c>
      <c r="P22" s="93">
        <f>'Financial Statements &amp; Detail'!P66-'Financial Statements &amp; Detail'!O66</f>
        <v>-273271.63328691362</v>
      </c>
      <c r="Q22" s="93">
        <f>'Financial Statements &amp; Detail'!Q66-'Financial Statements &amp; Detail'!P66</f>
        <v>241626.23353983014</v>
      </c>
      <c r="R22" s="93">
        <f>'Financial Statements &amp; Detail'!R66-'Financial Statements &amp; Detail'!Q66</f>
        <v>0</v>
      </c>
      <c r="S22" s="93">
        <f>'Financial Statements &amp; Detail'!S66-'Financial Statements &amp; Detail'!R66</f>
        <v>-241626.23353983014</v>
      </c>
      <c r="T22" s="93">
        <f>'Financial Statements &amp; Detail'!T66-'Financial Statements &amp; Detail'!S66</f>
        <v>220525.73944349703</v>
      </c>
      <c r="U22" s="93">
        <f>'Financial Statements &amp; Detail'!U66-'Financial Statements &amp; Detail'!T66</f>
        <v>0</v>
      </c>
      <c r="V22" s="93">
        <f>'Financial Statements &amp; Detail'!V66-'Financial Statements &amp; Detail'!U66</f>
        <v>-220525.73944349703</v>
      </c>
      <c r="W22" s="93">
        <f>'Financial Statements &amp; Detail'!W66-'Financial Statements &amp; Detail'!V66</f>
        <v>0</v>
      </c>
      <c r="X22" s="93">
        <f>'Financial Statements &amp; Detail'!X66-'Financial Statements &amp; Detail'!W66</f>
        <v>0</v>
      </c>
      <c r="Y22" s="93">
        <f>'Financial Statements &amp; Detail'!Y66-'Financial Statements &amp; Detail'!X66</f>
        <v>16250</v>
      </c>
      <c r="Z22" s="93">
        <f>'Financial Statements &amp; Detail'!Z66-'Financial Statements &amp; Detail'!Y66</f>
        <v>158901.90942406538</v>
      </c>
      <c r="AA22" s="93">
        <f>'Financial Statements &amp; Detail'!AA66-'Financial Statements &amp; Detail'!Z66</f>
        <v>0</v>
      </c>
      <c r="AB22" s="93">
        <f>'Financial Statements &amp; Detail'!AB66-'Financial Statements &amp; Detail'!AA66</f>
        <v>-142651.90942406538</v>
      </c>
      <c r="AC22" s="93">
        <f>'Financial Statements &amp; Detail'!AC66-'Financial Statements &amp; Detail'!AB66</f>
        <v>220296.00185396464</v>
      </c>
      <c r="AD22" s="93">
        <f>'Financial Statements &amp; Detail'!AD66-'Financial Statements &amp; Detail'!AC66</f>
        <v>0</v>
      </c>
      <c r="AE22" s="93">
        <f>'Financial Statements &amp; Detail'!AE66-'Financial Statements &amp; Detail'!AD66</f>
        <v>-220296.00185396464</v>
      </c>
      <c r="AF22" s="93">
        <f>'Financial Statements &amp; Detail'!AF66-'Financial Statements &amp; Detail'!AE66</f>
        <v>201058.21290006384</v>
      </c>
      <c r="AG22" s="93">
        <f>'Financial Statements &amp; Detail'!AG66-'Financial Statements &amp; Detail'!AF66</f>
        <v>0</v>
      </c>
      <c r="AH22" s="93">
        <f>'Financial Statements &amp; Detail'!AH66-'Financial Statements &amp; Detail'!AG66</f>
        <v>-201058.21290006384</v>
      </c>
      <c r="AI22" s="93">
        <f>'Financial Statements &amp; Detail'!AI66-'Financial Statements &amp; Detail'!AH66</f>
        <v>0</v>
      </c>
      <c r="AJ22" s="93">
        <f>'Financial Statements &amp; Detail'!AJ66-'Financial Statements &amp; Detail'!AI66</f>
        <v>0</v>
      </c>
      <c r="AK22" s="93">
        <f>'Financial Statements &amp; Detail'!AK66-'Financial Statements &amp; Detail'!AJ66</f>
        <v>20833.333333333256</v>
      </c>
      <c r="AL22" s="93">
        <f>'Financial Statements &amp; Detail'!AL66-'Financial Statements &amp; Detail'!AK66</f>
        <v>132552.63353853056</v>
      </c>
      <c r="AM22" s="93">
        <f>'Financial Statements &amp; Detail'!AM66-'Financial Statements &amp; Detail'!AL66</f>
        <v>2.3283064365386963E-10</v>
      </c>
      <c r="AN22" s="93">
        <f>'Financial Statements &amp; Detail'!AN66-'Financial Statements &amp; Detail'!AM66</f>
        <v>-111719.3002051973</v>
      </c>
      <c r="AO22" s="93">
        <f>'Financial Statements &amp; Detail'!AO66-'Financial Statements &amp; Detail'!AN66</f>
        <v>214110.28710687032</v>
      </c>
      <c r="AP22" s="93">
        <f>'Financial Statements &amp; Detail'!AP66-'Financial Statements &amp; Detail'!AO66</f>
        <v>0</v>
      </c>
      <c r="AQ22" s="93">
        <f>'Financial Statements &amp; Detail'!AQ66-'Financial Statements &amp; Detail'!AP66</f>
        <v>-214110.28710687044</v>
      </c>
      <c r="AR22" s="93">
        <f>'Financial Statements &amp; Detail'!AR66-'Financial Statements &amp; Detail'!AQ66</f>
        <v>195412.67806468904</v>
      </c>
      <c r="AS22" s="93">
        <f>'Financial Statements &amp; Detail'!AS66-'Financial Statements &amp; Detail'!AR66</f>
        <v>0</v>
      </c>
      <c r="AT22" s="93">
        <f>'Financial Statements &amp; Detail'!AT66-'Financial Statements &amp; Detail'!AS66</f>
        <v>-195412.67806468939</v>
      </c>
      <c r="AU22" s="93">
        <f>'Financial Statements &amp; Detail'!AU66-'Financial Statements &amp; Detail'!AT66</f>
        <v>0</v>
      </c>
      <c r="AV22" s="93">
        <f>'Financial Statements &amp; Detail'!AV66-'Financial Statements &amp; Detail'!AU66</f>
        <v>0</v>
      </c>
      <c r="AW22" s="93">
        <f>'Financial Statements &amp; Detail'!AW66-'Financial Statements &amp; Detail'!AV66</f>
        <v>20833.333333333256</v>
      </c>
      <c r="AX22" s="93">
        <f>'Financial Statements &amp; Detail'!AX66-'Financial Statements &amp; Detail'!AW66</f>
        <v>122697.53385300573</v>
      </c>
      <c r="AY22" s="93">
        <f>'Financial Statements &amp; Detail'!AY66-'Financial Statements &amp; Detail'!AX66</f>
        <v>2.3283064365386963E-10</v>
      </c>
      <c r="AZ22" s="93">
        <f>'Financial Statements &amp; Detail'!AZ66-'Financial Statements &amp; Detail'!AY66</f>
        <v>-101864.20051967271</v>
      </c>
      <c r="BA22" s="93">
        <f>'Financial Statements &amp; Detail'!BA66-'Financial Statements &amp; Detail'!AZ66</f>
        <v>209818.37618230167</v>
      </c>
      <c r="BB22" s="93">
        <f>'Financial Statements &amp; Detail'!BB66-'Financial Statements &amp; Detail'!BA66</f>
        <v>4.6566128730773926E-10</v>
      </c>
      <c r="BC22" s="93">
        <f>'Financial Statements &amp; Detail'!BC66-'Financial Statements &amp; Detail'!BB66</f>
        <v>-209818.37618230167</v>
      </c>
      <c r="BD22" s="93">
        <f>'Financial Statements &amp; Detail'!BD66-'Financial Statements &amp; Detail'!BC66</f>
        <v>191495.56684543053</v>
      </c>
      <c r="BE22" s="93">
        <f>'Financial Statements &amp; Detail'!BE66-'Financial Statements &amp; Detail'!BD66</f>
        <v>-4.6566128730773926E-10</v>
      </c>
      <c r="BF22" s="93">
        <f>'Financial Statements &amp; Detail'!BF66-'Financial Statements &amp; Detail'!BE66</f>
        <v>0</v>
      </c>
      <c r="BG22" s="93">
        <f>'Financial Statements &amp; Detail'!BG66-'Financial Statements &amp; Detail'!BF66</f>
        <v>0</v>
      </c>
      <c r="BH22" s="93">
        <f>'Financial Statements &amp; Detail'!BH66-'Financial Statements &amp; Detail'!BG66</f>
        <v>0</v>
      </c>
      <c r="BI22" s="93">
        <f>'Financial Statements &amp; Detail'!BI66-'Financial Statements &amp; Detail'!BH66</f>
        <v>0</v>
      </c>
      <c r="BJ22" s="93">
        <f>'Financial Statements &amp; Detail'!BJ66-'Financial Statements &amp; Detail'!BI66</f>
        <v>0</v>
      </c>
    </row>
    <row r="23" spans="1:63">
      <c r="A23" s="105" t="s">
        <v>284</v>
      </c>
      <c r="B23" s="6"/>
      <c r="C23" s="93">
        <f>'Financial Statements &amp; Detail'!C67-'Financial Statements &amp; Detail'!B67</f>
        <v>107420.625</v>
      </c>
      <c r="D23" s="93">
        <f>'Financial Statements &amp; Detail'!D67-'Financial Statements &amp; Detail'!C67</f>
        <v>-38098.300000000003</v>
      </c>
      <c r="E23" s="93">
        <f>'Financial Statements &amp; Detail'!E67-'Financial Statements &amp; Detail'!D67</f>
        <v>-23.413499999995111</v>
      </c>
      <c r="F23" s="93">
        <f>'Financial Statements &amp; Detail'!F67-'Financial Statements &amp; Detail'!E67</f>
        <v>121.03890500000853</v>
      </c>
      <c r="G23" s="93">
        <f>'Financial Statements &amp; Detail'!G67-'Financial Statements &amp; Detail'!F67</f>
        <v>-22.02976215002127</v>
      </c>
      <c r="H23" s="93">
        <f>'Financial Statements &amp; Detail'!H67-'Financial Statements &amp; Detail'!G67</f>
        <v>582.38113071452244</v>
      </c>
      <c r="I23" s="93">
        <f>'Financial Statements &amp; Detail'!I67-'Financial Statements &amp; Detail'!H67</f>
        <v>123.02219679305563</v>
      </c>
      <c r="J23" s="93">
        <f>'Financial Statements &amp; Detail'!J67-'Financial Statements &amp; Detail'!I67</f>
        <v>-20.105969110722071</v>
      </c>
      <c r="K23" s="93">
        <f>'Financial Statements &amp; Detail'!K67-'Financial Statements &amp; Detail'!J67</f>
        <v>-19.502790037411614</v>
      </c>
      <c r="L23" s="93">
        <f>'Financial Statements &amp; Detail'!L67-'Financial Statements &amp; Detail'!K67</f>
        <v>124.83229366372689</v>
      </c>
      <c r="M23" s="93">
        <f>'Financial Statements &amp; Detail'!M67-'Financial Statements &amp; Detail'!L67</f>
        <v>-18.350175146202673</v>
      </c>
      <c r="N23" s="93">
        <f>'Financial Statements &amp; Detail'!N67-'Financial Statements &amp; Detail'!M67</f>
        <v>-17.799669891814119</v>
      </c>
      <c r="O23" s="93">
        <f>'Financial Statements &amp; Detail'!O67-'Financial Statements &amp; Detail'!N67</f>
        <v>2626.4843202049524</v>
      </c>
      <c r="P23" s="93">
        <f>'Financial Statements &amp; Detail'!P67-'Financial Statements &amp; Detail'!O67</f>
        <v>36524.356457265487</v>
      </c>
      <c r="Q23" s="93">
        <f>'Financial Statements &amp; Detail'!Q67-'Financial Statements &amp; Detail'!P67</f>
        <v>-29272.196770638911</v>
      </c>
      <c r="R23" s="93">
        <f>'Financial Statements &amp; Detail'!R67-'Financial Statements &amp; Detail'!Q67</f>
        <v>-143.75</v>
      </c>
      <c r="S23" s="93">
        <f>'Financial Statements &amp; Detail'!S67-'Financial Statements &amp; Detail'!R67</f>
        <v>32213.140649499328</v>
      </c>
      <c r="T23" s="93">
        <f>'Financial Statements &amp; Detail'!T67-'Financial Statements &amp; Detail'!S67</f>
        <v>-28475.640649499328</v>
      </c>
      <c r="U23" s="93">
        <f>'Financial Statements &amp; Detail'!U67-'Financial Statements &amp; Detail'!T67</f>
        <v>-402.5</v>
      </c>
      <c r="V23" s="93">
        <f>'Financial Statements &amp; Detail'!V67-'Financial Statements &amp; Detail'!U67</f>
        <v>34351.562051417131</v>
      </c>
      <c r="W23" s="93">
        <f>'Financial Statements &amp; Detail'!W67-'Financial Statements &amp; Detail'!V67</f>
        <v>-27892.39538475046</v>
      </c>
      <c r="X23" s="93">
        <f>'Financial Statements &amp; Detail'!X67-'Financial Statements &amp; Detail'!W67</f>
        <v>-402.5</v>
      </c>
      <c r="Y23" s="93">
        <f>'Financial Statements &amp; Detail'!Y67-'Financial Statements &amp; Detail'!X67</f>
        <v>-143.75</v>
      </c>
      <c r="Z23" s="93">
        <f>'Financial Statements &amp; Detail'!Z67-'Financial Statements &amp; Detail'!Y67</f>
        <v>-287.5</v>
      </c>
      <c r="AA23" s="93">
        <f>'Financial Statements &amp; Detail'!AA67-'Financial Statements &amp; Detail'!Z67</f>
        <v>9285</v>
      </c>
      <c r="AB23" s="93">
        <f>'Financial Statements &amp; Detail'!AB67-'Financial Statements &amp; Detail'!AA67</f>
        <v>31859.467919734685</v>
      </c>
      <c r="AC23" s="93">
        <f>'Financial Statements &amp; Detail'!AC67-'Financial Statements &amp; Detail'!AB67</f>
        <v>-28610.717919734685</v>
      </c>
      <c r="AD23" s="93">
        <f>'Financial Statements &amp; Detail'!AD67-'Financial Statements &amp; Detail'!AC67</f>
        <v>-143.75</v>
      </c>
      <c r="AE23" s="93">
        <f>'Financial Statements &amp; Detail'!AE67-'Financial Statements &amp; Detail'!AD67</f>
        <v>31478.23001845798</v>
      </c>
      <c r="AF23" s="93">
        <f>'Financial Statements &amp; Detail'!AF67-'Financial Statements &amp; Detail'!AE67</f>
        <v>-28143.23001845798</v>
      </c>
      <c r="AG23" s="93">
        <f>'Financial Statements &amp; Detail'!AG67-'Financial Statements &amp; Detail'!AF67</f>
        <v>-143.75</v>
      </c>
      <c r="AH23" s="93">
        <f>'Financial Statements &amp; Detail'!AH67-'Financial Statements &amp; Detail'!AG67</f>
        <v>30671.662294386158</v>
      </c>
      <c r="AI23" s="93">
        <f>'Financial Statements &amp; Detail'!AI67-'Financial Statements &amp; Detail'!AH67</f>
        <v>-27480.412294386158</v>
      </c>
      <c r="AJ23" s="93">
        <f>'Financial Statements &amp; Detail'!AJ67-'Financial Statements &amp; Detail'!AI67</f>
        <v>-287.5</v>
      </c>
      <c r="AK23" s="93">
        <f>'Financial Statements &amp; Detail'!AK67-'Financial Statements &amp; Detail'!AJ67</f>
        <v>-546.25</v>
      </c>
      <c r="AL23" s="93">
        <f>'Financial Statements &amp; Detail'!AL67-'Financial Statements &amp; Detail'!AK67</f>
        <v>-143.75</v>
      </c>
      <c r="AM23" s="93">
        <f>'Financial Statements &amp; Detail'!AM67-'Financial Statements &amp; Detail'!AL67</f>
        <v>16807.916666666672</v>
      </c>
      <c r="AN23" s="93">
        <f>'Financial Statements &amp; Detail'!AN67-'Financial Statements &amp; Detail'!AM67</f>
        <v>31280.953532681611</v>
      </c>
      <c r="AO23" s="93">
        <f>'Financial Statements &amp; Detail'!AO67-'Financial Statements &amp; Detail'!AN67</f>
        <v>-28377.203532681611</v>
      </c>
      <c r="AP23" s="93">
        <f>'Financial Statements &amp; Detail'!AP67-'Financial Statements &amp; Detail'!AO67</f>
        <v>-143.75</v>
      </c>
      <c r="AQ23" s="93">
        <f>'Financial Statements &amp; Detail'!AQ67-'Financial Statements &amp; Detail'!AP67</f>
        <v>31121.357742283129</v>
      </c>
      <c r="AR23" s="93">
        <f>'Financial Statements &amp; Detail'!AR67-'Financial Statements &amp; Detail'!AQ67</f>
        <v>-27786.357742283129</v>
      </c>
      <c r="AS23" s="93">
        <f>'Financial Statements &amp; Detail'!AS67-'Financial Statements &amp; Detail'!AR67</f>
        <v>-287.5</v>
      </c>
      <c r="AT23" s="93">
        <f>'Financial Statements &amp; Detail'!AT67-'Financial Statements &amp; Detail'!AS67</f>
        <v>29873.401347222753</v>
      </c>
      <c r="AU23" s="93">
        <f>'Financial Statements &amp; Detail'!AU67-'Financial Statements &amp; Detail'!AT67</f>
        <v>-27027.151347222767</v>
      </c>
      <c r="AV23" s="93">
        <f>'Financial Statements &amp; Detail'!AV67-'Financial Statements &amp; Detail'!AU67</f>
        <v>-546.25</v>
      </c>
      <c r="AW23" s="93">
        <f>'Financial Statements &amp; Detail'!AW67-'Financial Statements &amp; Detail'!AV67</f>
        <v>-143.75</v>
      </c>
      <c r="AX23" s="93">
        <f>'Financial Statements &amp; Detail'!AX67-'Financial Statements &amp; Detail'!AW67</f>
        <v>-287.5</v>
      </c>
      <c r="AY23" s="93">
        <f>'Financial Statements &amp; Detail'!AY67-'Financial Statements &amp; Detail'!AX67</f>
        <v>31214.166666666686</v>
      </c>
      <c r="AZ23" s="93">
        <f>'Financial Statements &amp; Detail'!AZ67-'Financial Statements &amp; Detail'!AY67</f>
        <v>31463.931359042355</v>
      </c>
      <c r="BA23" s="93">
        <f>'Financial Statements &amp; Detail'!BA67-'Financial Statements &amp; Detail'!AZ67</f>
        <v>-28215.181359042355</v>
      </c>
      <c r="BB23" s="93">
        <f>'Financial Statements &amp; Detail'!BB67-'Financial Statements &amp; Detail'!BA67</f>
        <v>-402.5</v>
      </c>
      <c r="BC23" s="93">
        <f>'Financial Statements &amp; Detail'!BC67-'Financial Statements &amp; Detail'!BB67</f>
        <v>30973.484479001199</v>
      </c>
      <c r="BD23" s="93">
        <f>'Financial Statements &amp; Detail'!BD67-'Financial Statements &amp; Detail'!BC67</f>
        <v>-27523.484479001199</v>
      </c>
      <c r="BE23" s="93">
        <f>'Financial Statements &amp; Detail'!BE67-'Financial Statements &amp; Detail'!BD67</f>
        <v>-402.5</v>
      </c>
      <c r="BF23" s="93">
        <f>'Financial Statements &amp; Detail'!BF67-'Financial Statements &amp; Detail'!BE67</f>
        <v>29997.191412403481</v>
      </c>
      <c r="BG23" s="93">
        <f>'Financial Statements &amp; Detail'!BG67-'Financial Statements &amp; Detail'!BF67</f>
        <v>-26892.191412403481</v>
      </c>
      <c r="BH23" s="93">
        <f>'Financial Statements &amp; Detail'!BH67-'Financial Statements &amp; Detail'!BG67</f>
        <v>-546.25</v>
      </c>
      <c r="BI23" s="93">
        <f>'Financial Statements &amp; Detail'!BI67-'Financial Statements &amp; Detail'!BH67</f>
        <v>-546.25</v>
      </c>
      <c r="BJ23" s="93">
        <f>'Financial Statements &amp; Detail'!BJ67-'Financial Statements &amp; Detail'!BI67</f>
        <v>-287.5</v>
      </c>
    </row>
    <row r="24" spans="1:63">
      <c r="A24" s="105" t="s">
        <v>285</v>
      </c>
      <c r="C24" s="93">
        <f>'Financial Statements &amp; Detail'!C68-'Financial Statements &amp; Detail'!B68</f>
        <v>0</v>
      </c>
      <c r="D24" s="93">
        <f>'Financial Statements &amp; Detail'!D68-'Financial Statements &amp; Detail'!C68</f>
        <v>0</v>
      </c>
      <c r="E24" s="93">
        <f>'Financial Statements &amp; Detail'!E68-'Financial Statements &amp; Detail'!D68</f>
        <v>0</v>
      </c>
      <c r="F24" s="93">
        <f>'Financial Statements &amp; Detail'!F68-'Financial Statements &amp; Detail'!E68</f>
        <v>0</v>
      </c>
      <c r="G24" s="93">
        <f>'Financial Statements &amp; Detail'!G68-'Financial Statements &amp; Detail'!F68</f>
        <v>0</v>
      </c>
      <c r="H24" s="93">
        <f>'Financial Statements &amp; Detail'!H68-'Financial Statements &amp; Detail'!G68</f>
        <v>0</v>
      </c>
      <c r="I24" s="93">
        <f>'Financial Statements &amp; Detail'!I68-'Financial Statements &amp; Detail'!H68</f>
        <v>0</v>
      </c>
      <c r="J24" s="93">
        <f>'Financial Statements &amp; Detail'!J68-'Financial Statements &amp; Detail'!I68</f>
        <v>0</v>
      </c>
      <c r="K24" s="93">
        <f>'Financial Statements &amp; Detail'!K68-'Financial Statements &amp; Detail'!J68</f>
        <v>0</v>
      </c>
      <c r="L24" s="93">
        <f>'Financial Statements &amp; Detail'!L68-'Financial Statements &amp; Detail'!K68</f>
        <v>0</v>
      </c>
      <c r="M24" s="93">
        <f>'Financial Statements &amp; Detail'!M68-'Financial Statements &amp; Detail'!L68</f>
        <v>0</v>
      </c>
      <c r="N24" s="93">
        <f>'Financial Statements &amp; Detail'!N68-'Financial Statements &amp; Detail'!M68</f>
        <v>0</v>
      </c>
      <c r="O24" s="93">
        <f>'Financial Statements &amp; Detail'!O68-'Financial Statements &amp; Detail'!N68</f>
        <v>0</v>
      </c>
      <c r="P24" s="93">
        <f>'Financial Statements &amp; Detail'!P68-'Financial Statements &amp; Detail'!O68</f>
        <v>0</v>
      </c>
      <c r="Q24" s="93">
        <f>'Financial Statements &amp; Detail'!Q68-'Financial Statements &amp; Detail'!P68</f>
        <v>0</v>
      </c>
      <c r="R24" s="93">
        <f>'Financial Statements &amp; Detail'!R68-'Financial Statements &amp; Detail'!Q68</f>
        <v>0</v>
      </c>
      <c r="S24" s="93">
        <f>'Financial Statements &amp; Detail'!S68-'Financial Statements &amp; Detail'!R68</f>
        <v>0</v>
      </c>
      <c r="T24" s="93">
        <f>'Financial Statements &amp; Detail'!T68-'Financial Statements &amp; Detail'!S68</f>
        <v>13027.980817105099</v>
      </c>
      <c r="U24" s="93">
        <f>'Financial Statements &amp; Detail'!U68-'Financial Statements &amp; Detail'!T68</f>
        <v>-13027.980817105099</v>
      </c>
      <c r="V24" s="93">
        <f>'Financial Statements &amp; Detail'!V68-'Financial Statements &amp; Detail'!U68</f>
        <v>31409.159499818546</v>
      </c>
      <c r="W24" s="93">
        <f>'Financial Statements &amp; Detail'!W68-'Financial Statements &amp; Detail'!V68</f>
        <v>12154.032413424378</v>
      </c>
      <c r="X24" s="93">
        <f>'Financial Statements &amp; Detail'!X68-'Financial Statements &amp; Detail'!W68</f>
        <v>-4853.3713793907009</v>
      </c>
      <c r="Y24" s="93">
        <f>'Financial Statements &amp; Detail'!Y68-'Financial Statements &amp; Detail'!X68</f>
        <v>-6859.3932588420685</v>
      </c>
      <c r="Z24" s="93">
        <f>'Financial Statements &amp; Detail'!Z68-'Financial Statements &amp; Detail'!Y68</f>
        <v>-6635.5640652437796</v>
      </c>
      <c r="AA24" s="93">
        <f>'Financial Statements &amp; Detail'!AA68-'Financial Statements &amp; Detail'!Z68</f>
        <v>1846.5883941228094</v>
      </c>
      <c r="AB24" s="93">
        <f>'Financial Statements &amp; Detail'!AB68-'Financial Statements &amp; Detail'!AA68</f>
        <v>15471.946835229024</v>
      </c>
      <c r="AC24" s="93">
        <f>'Financial Statements &amp; Detail'!AC68-'Financial Statements &amp; Detail'!AB68</f>
        <v>14175.048743962929</v>
      </c>
      <c r="AD24" s="93">
        <f>'Financial Statements &amp; Detail'!AD68-'Financial Statements &amp; Detail'!AC68</f>
        <v>-16627.494769189216</v>
      </c>
      <c r="AE24" s="93">
        <f>'Financial Statements &amp; Detail'!AE68-'Financial Statements &amp; Detail'!AD68</f>
        <v>44109.347963832362</v>
      </c>
      <c r="AF24" s="93">
        <f>'Financial Statements &amp; Detail'!AF68-'Financial Statements &amp; Detail'!AE68</f>
        <v>14096.205497666175</v>
      </c>
      <c r="AG24" s="93">
        <f>'Financial Statements &amp; Detail'!AG68-'Financial Statements &amp; Detail'!AF68</f>
        <v>-18567.194266463237</v>
      </c>
      <c r="AH24" s="93">
        <f>'Financial Statements &amp; Detail'!AH68-'Financial Statements &amp; Detail'!AG68</f>
        <v>43456.132329556596</v>
      </c>
      <c r="AI24" s="93">
        <f>'Financial Statements &amp; Detail'!AI68-'Financial Statements &amp; Detail'!AH68</f>
        <v>9775.7771254972176</v>
      </c>
      <c r="AJ24" s="93">
        <f>'Financial Statements &amp; Detail'!AJ68-'Financial Statements &amp; Detail'!AI68</f>
        <v>-9050.5398861555732</v>
      </c>
      <c r="AK24" s="93">
        <f>'Financial Statements &amp; Detail'!AK68-'Financial Statements &amp; Detail'!AJ68</f>
        <v>-8523.309106237677</v>
      </c>
      <c r="AL24" s="93">
        <f>'Financial Statements &amp; Detail'!AL68-'Financial Statements &amp; Detail'!AK68</f>
        <v>-8612.9823330504441</v>
      </c>
      <c r="AM24" s="93">
        <f>'Financial Statements &amp; Detail'!AM68-'Financial Statements &amp; Detail'!AL68</f>
        <v>264.25283033355663</v>
      </c>
      <c r="AN24" s="93">
        <f>'Financial Statements &amp; Detail'!AN68-'Financial Statements &amp; Detail'!AM68</f>
        <v>39029.998007445232</v>
      </c>
      <c r="AO24" s="93">
        <f>'Financial Statements &amp; Detail'!AO68-'Financial Statements &amp; Detail'!AN68</f>
        <v>12727.277345960407</v>
      </c>
      <c r="AP24" s="93">
        <f>'Financial Statements &amp; Detail'!AP68-'Financial Statements &amp; Detail'!AO68</f>
        <v>-18025.82992484502</v>
      </c>
      <c r="AQ24" s="93">
        <f>'Financial Statements &amp; Detail'!AQ68-'Financial Statements &amp; Detail'!AP68</f>
        <v>48357.969583798404</v>
      </c>
      <c r="AR24" s="93">
        <f>'Financial Statements &amp; Detail'!AR68-'Financial Statements &amp; Detail'!AQ68</f>
        <v>10239.73888130032</v>
      </c>
      <c r="AS24" s="93">
        <f>'Financial Statements &amp; Detail'!AS68-'Financial Statements &amp; Detail'!AR68</f>
        <v>-19793.287110551581</v>
      </c>
      <c r="AT24" s="93">
        <f>'Financial Statements &amp; Detail'!AT68-'Financial Statements &amp; Detail'!AS68</f>
        <v>50666.62753628724</v>
      </c>
      <c r="AU24" s="93">
        <f>'Financial Statements &amp; Detail'!AU68-'Financial Statements &amp; Detail'!AT68</f>
        <v>7882.0085845605354</v>
      </c>
      <c r="AV24" s="93">
        <f>'Financial Statements &amp; Detail'!AV68-'Financial Statements &amp; Detail'!AU68</f>
        <v>-10263.867689477047</v>
      </c>
      <c r="AW24" s="93">
        <f>'Financial Statements &amp; Detail'!AW68-'Financial Statements &amp; Detail'!AV68</f>
        <v>-10310.231493862084</v>
      </c>
      <c r="AX24" s="93">
        <f>'Financial Statements &amp; Detail'!AX68-'Financial Statements &amp; Detail'!AW68</f>
        <v>-9837.636050782341</v>
      </c>
      <c r="AY24" s="93">
        <f>'Financial Statements &amp; Detail'!AY68-'Financial Statements &amp; Detail'!AX68</f>
        <v>-9263.6814064108767</v>
      </c>
      <c r="AZ24" s="93">
        <f>'Financial Statements &amp; Detail'!AZ68-'Financial Statements &amp; Detail'!AY68</f>
        <v>39898.161931502866</v>
      </c>
      <c r="BA24" s="93">
        <f>'Financial Statements &amp; Detail'!BA68-'Financial Statements &amp; Detail'!AZ68</f>
        <v>10948.570130476874</v>
      </c>
      <c r="BB24" s="93">
        <f>'Financial Statements &amp; Detail'!BB68-'Financial Statements &amp; Detail'!BA68</f>
        <v>-19339.031217391719</v>
      </c>
      <c r="BC24" s="93">
        <f>'Financial Statements &amp; Detail'!BC68-'Financial Statements &amp; Detail'!BB68</f>
        <v>54325.486786333669</v>
      </c>
      <c r="BD24" s="93">
        <f>'Financial Statements &amp; Detail'!BD68-'Financial Statements &amp; Detail'!BC68</f>
        <v>8400.7827266384847</v>
      </c>
      <c r="BE24" s="93">
        <f>'Financial Statements &amp; Detail'!BE68-'Financial Statements &amp; Detail'!BD68</f>
        <v>-21340.722817566886</v>
      </c>
      <c r="BF24" s="93">
        <f>'Financial Statements &amp; Detail'!BF68-'Financial Statements &amp; Detail'!BE68</f>
        <v>51288.94474961661</v>
      </c>
      <c r="BG24" s="93">
        <f>'Financial Statements &amp; Detail'!BG68-'Financial Statements &amp; Detail'!BF68</f>
        <v>6075.4859534150455</v>
      </c>
      <c r="BH24" s="93">
        <f>'Financial Statements &amp; Detail'!BH68-'Financial Statements &amp; Detail'!BG68</f>
        <v>-11947.196028707258</v>
      </c>
      <c r="BI24" s="93">
        <f>'Financial Statements &amp; Detail'!BI68-'Financial Statements &amp; Detail'!BH68</f>
        <v>-11683.949165677768</v>
      </c>
      <c r="BJ24" s="93">
        <f>'Financial Statements &amp; Detail'!BJ68-'Financial Statements &amp; Detail'!BI68</f>
        <v>-9366.0788752047229</v>
      </c>
    </row>
    <row r="25" spans="1:63">
      <c r="A25" s="105" t="s">
        <v>278</v>
      </c>
      <c r="C25" s="93">
        <f>SUM(C18:C24)</f>
        <v>-7298013.3125000075</v>
      </c>
      <c r="D25" s="93">
        <f t="shared" ref="D25:BJ25" si="1">SUM(D18:D24)</f>
        <v>-53206.978749999966</v>
      </c>
      <c r="E25" s="93">
        <f t="shared" si="1"/>
        <v>-14678.831887500332</v>
      </c>
      <c r="F25" s="93">
        <f t="shared" si="1"/>
        <v>-14094.716930874813</v>
      </c>
      <c r="G25" s="93">
        <f t="shared" si="1"/>
        <v>-13811.312922948971</v>
      </c>
      <c r="H25" s="93">
        <f t="shared" si="1"/>
        <v>-12793.223535260448</v>
      </c>
      <c r="I25" s="93">
        <f t="shared" si="1"/>
        <v>-12851.314329202578</v>
      </c>
      <c r="J25" s="93">
        <f t="shared" si="1"/>
        <v>-12605.212399326716</v>
      </c>
      <c r="K25" s="93">
        <f t="shared" si="1"/>
        <v>-12227.056027346509</v>
      </c>
      <c r="L25" s="93">
        <f t="shared" si="1"/>
        <v>-11716.494346526481</v>
      </c>
      <c r="M25" s="93">
        <f t="shared" si="1"/>
        <v>-11504.437016130614</v>
      </c>
      <c r="N25" s="93">
        <f t="shared" si="1"/>
        <v>-11159.303905646535</v>
      </c>
      <c r="O25" s="93">
        <f t="shared" si="1"/>
        <v>-2675021.7808212498</v>
      </c>
      <c r="P25" s="93">
        <f t="shared" si="1"/>
        <v>-527479.35094717878</v>
      </c>
      <c r="Q25" s="93">
        <f t="shared" si="1"/>
        <v>-3947.6679529435787</v>
      </c>
      <c r="R25" s="93">
        <f t="shared" si="1"/>
        <v>-2642245.6237135017</v>
      </c>
      <c r="S25" s="93">
        <f t="shared" si="1"/>
        <v>-516367.13518593699</v>
      </c>
      <c r="T25" s="93">
        <f t="shared" si="1"/>
        <v>24837.597607237505</v>
      </c>
      <c r="U25" s="93">
        <f t="shared" si="1"/>
        <v>-2641020.4477673275</v>
      </c>
      <c r="V25" s="93">
        <f t="shared" si="1"/>
        <v>-468743.00472382025</v>
      </c>
      <c r="W25" s="93">
        <f t="shared" si="1"/>
        <v>38201.14754187574</v>
      </c>
      <c r="X25" s="93">
        <f t="shared" si="1"/>
        <v>47065.453818415415</v>
      </c>
      <c r="Y25" s="93">
        <f t="shared" si="1"/>
        <v>43748.542183029102</v>
      </c>
      <c r="Z25" s="93">
        <f t="shared" si="1"/>
        <v>42306.070813371603</v>
      </c>
      <c r="AA25" s="93">
        <f t="shared" si="1"/>
        <v>-2608282.6447173166</v>
      </c>
      <c r="AB25" s="93">
        <f t="shared" si="1"/>
        <v>-501207.04129444232</v>
      </c>
      <c r="AC25" s="93">
        <f t="shared" si="1"/>
        <v>26021.778456309585</v>
      </c>
      <c r="AD25" s="93">
        <f t="shared" si="1"/>
        <v>-2644194.1872327374</v>
      </c>
      <c r="AE25" s="93">
        <f t="shared" si="1"/>
        <v>-458885.75954068947</v>
      </c>
      <c r="AF25" s="93">
        <f t="shared" si="1"/>
        <v>40053.588081923575</v>
      </c>
      <c r="AG25" s="93">
        <f t="shared" si="1"/>
        <v>-2632900.0167084974</v>
      </c>
      <c r="AH25" s="93">
        <f t="shared" si="1"/>
        <v>-447508.68897816748</v>
      </c>
      <c r="AI25" s="93">
        <f t="shared" si="1"/>
        <v>48847.725737069399</v>
      </c>
      <c r="AJ25" s="93">
        <f t="shared" si="1"/>
        <v>55217.750192623644</v>
      </c>
      <c r="AK25" s="93">
        <f t="shared" si="1"/>
        <v>53549.557270178149</v>
      </c>
      <c r="AL25" s="93">
        <f t="shared" si="1"/>
        <v>51983.810552072842</v>
      </c>
      <c r="AM25" s="93">
        <f t="shared" si="1"/>
        <v>-2591580.8015740719</v>
      </c>
      <c r="AN25" s="93">
        <f t="shared" si="1"/>
        <v>-473855.09012917761</v>
      </c>
      <c r="AO25" s="93">
        <f t="shared" si="1"/>
        <v>29206.713394060367</v>
      </c>
      <c r="AP25" s="93">
        <f t="shared" si="1"/>
        <v>-2641325.3061981564</v>
      </c>
      <c r="AQ25" s="93">
        <f t="shared" si="1"/>
        <v>-451012.76049236686</v>
      </c>
      <c r="AR25" s="93">
        <f t="shared" si="1"/>
        <v>40573.755955127548</v>
      </c>
      <c r="AS25" s="93">
        <f t="shared" si="1"/>
        <v>-2630370.6902055927</v>
      </c>
      <c r="AT25" s="93">
        <f t="shared" si="1"/>
        <v>-437472.21045201813</v>
      </c>
      <c r="AU25" s="93">
        <f t="shared" si="1"/>
        <v>51080.68508188022</v>
      </c>
      <c r="AV25" s="93">
        <f t="shared" si="1"/>
        <v>57308.935319731245</v>
      </c>
      <c r="AW25" s="93">
        <f t="shared" si="1"/>
        <v>55621.499925069773</v>
      </c>
      <c r="AX25" s="93">
        <f t="shared" si="1"/>
        <v>53968.080925580871</v>
      </c>
      <c r="AY25" s="93">
        <f t="shared" si="1"/>
        <v>-2583981.8449874939</v>
      </c>
      <c r="AZ25" s="93">
        <f t="shared" si="1"/>
        <v>-469844.24221495615</v>
      </c>
      <c r="BA25" s="93">
        <f t="shared" si="1"/>
        <v>30650.483331104944</v>
      </c>
      <c r="BB25" s="93">
        <f t="shared" si="1"/>
        <v>-2639928.6161611797</v>
      </c>
      <c r="BC25" s="93">
        <f t="shared" si="1"/>
        <v>-442503.07446347713</v>
      </c>
      <c r="BD25" s="93">
        <f t="shared" si="1"/>
        <v>41796.553890694922</v>
      </c>
      <c r="BE25" s="93">
        <f t="shared" si="1"/>
        <v>-2629318.2115104669</v>
      </c>
      <c r="BF25" s="93">
        <f t="shared" si="1"/>
        <v>-434282.17620343174</v>
      </c>
      <c r="BG25" s="93">
        <f t="shared" si="1"/>
        <v>51969.271546528675</v>
      </c>
      <c r="BH25" s="93">
        <f t="shared" si="1"/>
        <v>58108.951666643203</v>
      </c>
      <c r="BI25" s="93">
        <f t="shared" si="1"/>
        <v>56254.126598814386</v>
      </c>
      <c r="BJ25" s="93">
        <f t="shared" si="1"/>
        <v>56776.217116348271</v>
      </c>
    </row>
    <row r="26" spans="1:63">
      <c r="A26" s="6" t="s">
        <v>286</v>
      </c>
      <c r="C26" s="93">
        <f>C11+C16+C25</f>
        <v>-7320417.2626488125</v>
      </c>
      <c r="D26" s="93">
        <f t="shared" ref="D26:BJ26" si="2">D11+D16+D25</f>
        <v>5064.396191044274</v>
      </c>
      <c r="E26" s="93">
        <f t="shared" si="2"/>
        <v>42015.654591871789</v>
      </c>
      <c r="F26" s="93">
        <f t="shared" si="2"/>
        <v>46594.192204960855</v>
      </c>
      <c r="G26" s="93">
        <f t="shared" si="2"/>
        <v>51022.565653942191</v>
      </c>
      <c r="H26" s="93">
        <f t="shared" si="2"/>
        <v>54845.279863740143</v>
      </c>
      <c r="I26" s="93">
        <f t="shared" si="2"/>
        <v>58382.954611530047</v>
      </c>
      <c r="J26" s="93">
        <f t="shared" si="2"/>
        <v>62387.328581171663</v>
      </c>
      <c r="K26" s="93">
        <f t="shared" si="2"/>
        <v>66402.513296010249</v>
      </c>
      <c r="L26" s="93">
        <f t="shared" si="2"/>
        <v>70144.996933688803</v>
      </c>
      <c r="M26" s="93">
        <f t="shared" si="2"/>
        <v>73762.398026523195</v>
      </c>
      <c r="N26" s="93">
        <f t="shared" si="2"/>
        <v>77360.552384191295</v>
      </c>
      <c r="O26" s="93">
        <f t="shared" si="2"/>
        <v>-2574167.0451551871</v>
      </c>
      <c r="P26" s="93">
        <f t="shared" si="2"/>
        <v>-425615.25471576094</v>
      </c>
      <c r="Q26" s="93">
        <f t="shared" si="2"/>
        <v>146857.43380244757</v>
      </c>
      <c r="R26" s="93">
        <f t="shared" si="2"/>
        <v>-2506830.9705372769</v>
      </c>
      <c r="S26" s="93">
        <f t="shared" si="2"/>
        <v>-253942.0472562412</v>
      </c>
      <c r="T26" s="93">
        <f t="shared" si="2"/>
        <v>316076.59091364435</v>
      </c>
      <c r="U26" s="93">
        <f t="shared" si="2"/>
        <v>-2356925.5824315576</v>
      </c>
      <c r="V26" s="93">
        <f t="shared" si="2"/>
        <v>-99834.28339038702</v>
      </c>
      <c r="W26" s="93">
        <f t="shared" si="2"/>
        <v>430647.7147859541</v>
      </c>
      <c r="X26" s="93">
        <f t="shared" si="2"/>
        <v>431631.35516743502</v>
      </c>
      <c r="Y26" s="93">
        <f t="shared" si="2"/>
        <v>416541.64176562772</v>
      </c>
      <c r="Z26" s="93">
        <f t="shared" si="2"/>
        <v>403908.71808432695</v>
      </c>
      <c r="AA26" s="93">
        <f t="shared" si="2"/>
        <v>-2215362.523762038</v>
      </c>
      <c r="AB26" s="93">
        <f t="shared" si="2"/>
        <v>-65024.768038020877</v>
      </c>
      <c r="AC26" s="93">
        <f t="shared" si="2"/>
        <v>491000.57080866216</v>
      </c>
      <c r="AD26" s="93">
        <f t="shared" si="2"/>
        <v>-2182373.5994517361</v>
      </c>
      <c r="AE26" s="93">
        <f t="shared" si="2"/>
        <v>103332.17501795752</v>
      </c>
      <c r="AF26" s="93">
        <f t="shared" si="2"/>
        <v>630754.95189814107</v>
      </c>
      <c r="AG26" s="93">
        <f t="shared" si="2"/>
        <v>-2048792.4898633307</v>
      </c>
      <c r="AH26" s="93">
        <f t="shared" si="2"/>
        <v>234427.71834198851</v>
      </c>
      <c r="AI26" s="93">
        <f t="shared" si="2"/>
        <v>751243.90962362499</v>
      </c>
      <c r="AJ26" s="93">
        <f t="shared" si="2"/>
        <v>743277.21714774752</v>
      </c>
      <c r="AK26" s="93">
        <f t="shared" si="2"/>
        <v>728084.78350419388</v>
      </c>
      <c r="AL26" s="93">
        <f t="shared" si="2"/>
        <v>712994.92673899489</v>
      </c>
      <c r="AM26" s="93">
        <f t="shared" si="2"/>
        <v>-1900641.2317181176</v>
      </c>
      <c r="AN26" s="93">
        <f t="shared" si="2"/>
        <v>304464.41402204119</v>
      </c>
      <c r="AO26" s="93">
        <f t="shared" si="2"/>
        <v>835183.62150523742</v>
      </c>
      <c r="AP26" s="93">
        <f t="shared" si="2"/>
        <v>-1839220.5742966123</v>
      </c>
      <c r="AQ26" s="93">
        <f t="shared" si="2"/>
        <v>460680.98407424055</v>
      </c>
      <c r="AR26" s="93">
        <f t="shared" si="2"/>
        <v>975471.85685684823</v>
      </c>
      <c r="AS26" s="93">
        <f t="shared" si="2"/>
        <v>-1702793.8526679124</v>
      </c>
      <c r="AT26" s="93">
        <f t="shared" si="2"/>
        <v>602397.4734047798</v>
      </c>
      <c r="AU26" s="93">
        <f t="shared" si="2"/>
        <v>1109776.0832941316</v>
      </c>
      <c r="AV26" s="93">
        <f t="shared" si="2"/>
        <v>1100963.8967118426</v>
      </c>
      <c r="AW26" s="93">
        <f t="shared" si="2"/>
        <v>1084316.5869555646</v>
      </c>
      <c r="AX26" s="93">
        <f t="shared" si="2"/>
        <v>1068414.3041792258</v>
      </c>
      <c r="AY26" s="93">
        <f t="shared" si="2"/>
        <v>-1555418.9665679773</v>
      </c>
      <c r="AZ26" s="93">
        <f t="shared" si="2"/>
        <v>649311.9853135976</v>
      </c>
      <c r="BA26" s="93">
        <f t="shared" si="2"/>
        <v>1176043.7379273695</v>
      </c>
      <c r="BB26" s="93">
        <f t="shared" si="2"/>
        <v>-1499296.7370003886</v>
      </c>
      <c r="BC26" s="93">
        <f t="shared" si="2"/>
        <v>819927.71681650099</v>
      </c>
      <c r="BD26" s="93">
        <f t="shared" si="2"/>
        <v>1325732.7670598268</v>
      </c>
      <c r="BE26" s="93">
        <f t="shared" si="2"/>
        <v>-1353860.8010342764</v>
      </c>
      <c r="BF26" s="93">
        <f t="shared" si="2"/>
        <v>956599.55422356236</v>
      </c>
      <c r="BG26" s="93">
        <f t="shared" si="2"/>
        <v>1460038.0155695477</v>
      </c>
      <c r="BH26" s="93">
        <f t="shared" si="2"/>
        <v>1449727.3475093646</v>
      </c>
      <c r="BI26" s="93">
        <f t="shared" si="2"/>
        <v>1432077.7279592454</v>
      </c>
      <c r="BJ26" s="93">
        <f t="shared" si="2"/>
        <v>1420942.9735815579</v>
      </c>
      <c r="BK26" s="137">
        <f>SUM(AY26:BJ26)</f>
        <v>6281825.321357931</v>
      </c>
    </row>
    <row r="27" spans="1:63">
      <c r="A27" s="6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</row>
    <row r="28" spans="1:63">
      <c r="A28" s="6" t="s">
        <v>287</v>
      </c>
    </row>
    <row r="29" spans="1:63">
      <c r="A29" s="105" t="s">
        <v>288</v>
      </c>
      <c r="C29" s="93">
        <f>'Financial Statements &amp; Detail'!B54-'Financial Statements &amp; Detail'!C54</f>
        <v>-4810158.0357142854</v>
      </c>
      <c r="D29" s="93">
        <f>'Financial Statements &amp; Detail'!C54-'Financial Statements &amp; Detail'!D54</f>
        <v>-101008.16071428545</v>
      </c>
      <c r="E29" s="93">
        <f>'Financial Statements &amp; Detail'!D54-'Financial Statements &amp; Detail'!E54</f>
        <v>-90316.844464286231</v>
      </c>
      <c r="F29" s="93">
        <f>'Financial Statements &amp; Detail'!E54-'Financial Statements &amp; Detail'!F54</f>
        <v>-89646.26770178508</v>
      </c>
      <c r="G29" s="93">
        <f>'Financial Statements &amp; Detail'!F54-'Financial Statements &amp; Detail'!G54</f>
        <v>-88995.808242160827</v>
      </c>
      <c r="H29" s="93">
        <f>'Financial Statements &amp; Detail'!G54-'Financial Statements &amp; Detail'!H54</f>
        <v>-88364.862566324882</v>
      </c>
      <c r="I29" s="93">
        <f>'Financial Statements &amp; Detail'!H54-'Financial Statements &amp; Detail'!I54</f>
        <v>-87752.845260763541</v>
      </c>
      <c r="J29" s="93">
        <f>'Financial Statements &amp; Detail'!I54-'Financial Statements &amp; Detail'!J54</f>
        <v>-87159.188474369235</v>
      </c>
      <c r="K29" s="93">
        <f>'Financial Statements &amp; Detail'!J54-'Financial Statements &amp; Detail'!K54</f>
        <v>-86583.341391565278</v>
      </c>
      <c r="L29" s="93">
        <f>'Financial Statements &amp; Detail'!K54-'Financial Statements &amp; Detail'!L54</f>
        <v>-86024.769721249118</v>
      </c>
      <c r="M29" s="93">
        <f>'Financial Statements &amp; Detail'!L54-'Financial Statements &amp; Detail'!M54</f>
        <v>-85482.955201039091</v>
      </c>
      <c r="N29" s="93">
        <f>'Financial Statements &amp; Detail'!M54-'Financial Statements &amp; Detail'!N54</f>
        <v>-94957.395116437227</v>
      </c>
      <c r="O29" s="93">
        <f>'Financial Statements &amp; Detail'!N54-'Financial Statements &amp; Detail'!O54</f>
        <v>-6184447.6018343717</v>
      </c>
      <c r="P29" s="93">
        <f>'Financial Statements &amp; Detail'!O54-'Financial Statements &amp; Detail'!P54</f>
        <v>-1243022.3116310723</v>
      </c>
      <c r="Q29" s="93">
        <f>'Financial Statements &amp; Detail'!P54-'Financial Statements &amp; Detail'!Q54</f>
        <v>-67964.285714285448</v>
      </c>
      <c r="R29" s="93">
        <f>'Financial Statements &amp; Detail'!Q54-'Financial Statements &amp; Detail'!R54</f>
        <v>-1592964.2857142854</v>
      </c>
      <c r="S29" s="93">
        <f>'Financial Statements &amp; Detail'!R54-'Financial Statements &amp; Detail'!S54</f>
        <v>-1069837.0621587019</v>
      </c>
      <c r="T29" s="93">
        <f>'Financial Statements &amp; Detail'!S54-'Financial Statements &amp; Detail'!T54</f>
        <v>-67964.285714287311</v>
      </c>
      <c r="U29" s="93">
        <f>'Financial Statements &amp; Detail'!T54-'Financial Statements &amp; Detail'!U54</f>
        <v>-1582964.2857142836</v>
      </c>
      <c r="V29" s="93">
        <f>'Financial Statements &amp; Detail'!U54-'Financial Statements &amp; Detail'!V54</f>
        <v>-1029030.9141192287</v>
      </c>
      <c r="W29" s="93">
        <f>'Financial Statements &amp; Detail'!V54-'Financial Statements &amp; Detail'!W54</f>
        <v>-57964.285714283586</v>
      </c>
      <c r="X29" s="93">
        <f>'Financial Statements &amp; Detail'!W54-'Financial Statements &amp; Detail'!X54</f>
        <v>-67964.285714291036</v>
      </c>
      <c r="Y29" s="93">
        <f>'Financial Statements &amp; Detail'!X54-'Financial Statements &amp; Detail'!Y54</f>
        <v>-57964.285714283586</v>
      </c>
      <c r="Z29" s="93">
        <f>'Financial Statements &amp; Detail'!Y54-'Financial Statements &amp; Detail'!Z54</f>
        <v>-67964.285714283586</v>
      </c>
      <c r="AA29" s="93">
        <f>'Financial Statements &amp; Detail'!Z54-'Financial Statements &amp; Detail'!AA54</f>
        <v>-1673285.7142857164</v>
      </c>
      <c r="AB29" s="93">
        <f>'Financial Statements &amp; Detail'!AA54-'Financial Statements &amp; Detail'!AB54</f>
        <v>-871712.20500018448</v>
      </c>
      <c r="AC29" s="93">
        <f>'Financial Statements &amp; Detail'!AB54-'Financial Statements &amp; Detail'!AC54</f>
        <v>-148285.71428571641</v>
      </c>
      <c r="AD29" s="93">
        <f>'Financial Statements &amp; Detail'!AC54-'Financial Statements &amp; Detail'!AD54</f>
        <v>-1663285.7142857164</v>
      </c>
      <c r="AE29" s="93">
        <f>'Financial Statements &amp; Detail'!AD54-'Financial Statements &amp; Detail'!AE54</f>
        <v>-1108799.1764031425</v>
      </c>
      <c r="AF29" s="93">
        <f>'Financial Statements &amp; Detail'!AE54-'Financial Statements &amp; Detail'!AF54</f>
        <v>-138285.71428571269</v>
      </c>
      <c r="AG29" s="93">
        <f>'Financial Statements &amp; Detail'!AF54-'Financial Statements &amp; Detail'!AG54</f>
        <v>-1673285.7142857127</v>
      </c>
      <c r="AH29" s="93">
        <f>'Financial Statements &amp; Detail'!AG54-'Financial Statements &amp; Detail'!AH54</f>
        <v>-1027478.0832059085</v>
      </c>
      <c r="AI29" s="93">
        <f>'Financial Statements &amp; Detail'!AH54-'Financial Statements &amp; Detail'!AI54</f>
        <v>-138285.71428571269</v>
      </c>
      <c r="AJ29" s="93">
        <f>'Financial Statements &amp; Detail'!AI54-'Financial Statements &amp; Detail'!AJ54</f>
        <v>-148285.71428571269</v>
      </c>
      <c r="AK29" s="93">
        <f>'Financial Statements &amp; Detail'!AJ54-'Financial Statements &amp; Detail'!AK54</f>
        <v>-138285.71428571641</v>
      </c>
      <c r="AL29" s="93">
        <f>'Financial Statements &amp; Detail'!AK54-'Financial Statements &amp; Detail'!AL54</f>
        <v>-148285.71428571269</v>
      </c>
      <c r="AM29" s="93">
        <f>'Financial Statements &amp; Detail'!AL54-'Financial Statements &amp; Detail'!AM54</f>
        <v>-1766261.9047619067</v>
      </c>
      <c r="AN29" s="93">
        <f>'Financial Statements &amp; Detail'!AM54-'Financial Statements &amp; Detail'!AN54</f>
        <v>-893739.13688625768</v>
      </c>
      <c r="AO29" s="93">
        <f>'Financial Statements &amp; Detail'!AN54-'Financial Statements &amp; Detail'!AO54</f>
        <v>-241261.90476190671</v>
      </c>
      <c r="AP29" s="93">
        <f>'Financial Statements &amp; Detail'!AO54-'Financial Statements &amp; Detail'!AP54</f>
        <v>-1776261.904761903</v>
      </c>
      <c r="AQ29" s="93">
        <f>'Financial Statements &amp; Detail'!AP54-'Financial Statements &amp; Detail'!AQ54</f>
        <v>-1186881.2919948325</v>
      </c>
      <c r="AR29" s="93">
        <f>'Financial Statements &amp; Detail'!AQ54-'Financial Statements &amp; Detail'!AR54</f>
        <v>-251261.90476190299</v>
      </c>
      <c r="AS29" s="93">
        <f>'Financial Statements &amp; Detail'!AR54-'Financial Statements &amp; Detail'!AS54</f>
        <v>-1766261.904761903</v>
      </c>
      <c r="AT29" s="93">
        <f>'Financial Statements &amp; Detail'!AS54-'Financial Statements &amp; Detail'!AT54</f>
        <v>-1091860.8536750376</v>
      </c>
      <c r="AU29" s="93">
        <f>'Financial Statements &amp; Detail'!AT54-'Financial Statements &amp; Detail'!AU54</f>
        <v>-251261.90476189554</v>
      </c>
      <c r="AV29" s="93">
        <f>'Financial Statements &amp; Detail'!AU54-'Financial Statements &amp; Detail'!AV54</f>
        <v>-241261.90476191044</v>
      </c>
      <c r="AW29" s="93">
        <f>'Financial Statements &amp; Detail'!AV54-'Financial Statements &amp; Detail'!AW54</f>
        <v>-251261.90476190299</v>
      </c>
      <c r="AX29" s="93">
        <f>'Financial Statements &amp; Detail'!AW54-'Financial Statements &amp; Detail'!AX54</f>
        <v>-241261.90476190299</v>
      </c>
      <c r="AY29" s="93">
        <f>'Financial Statements &amp; Detail'!AX54-'Financial Statements &amp; Detail'!AY54</f>
        <v>-1879238.095238097</v>
      </c>
      <c r="AZ29" s="93">
        <f>'Financial Statements &amp; Detail'!AY54-'Financial Statements &amp; Detail'!AZ54</f>
        <v>-989805.75988904387</v>
      </c>
      <c r="BA29" s="93">
        <f>'Financial Statements &amp; Detail'!AZ54-'Financial Statements &amp; Detail'!BA54</f>
        <v>-354238.09523808956</v>
      </c>
      <c r="BB29" s="93">
        <f>'Financial Statements &amp; Detail'!BA54-'Financial Statements &amp; Detail'!BB54</f>
        <v>-1869238.095238097</v>
      </c>
      <c r="BC29" s="93">
        <f>'Financial Statements &amp; Detail'!BB54-'Financial Statements &amp; Detail'!BC54</f>
        <v>-1254523.3423883095</v>
      </c>
      <c r="BD29" s="93">
        <f>'Financial Statements &amp; Detail'!BC54-'Financial Statements &amp; Detail'!BD54</f>
        <v>-354238.09523809701</v>
      </c>
      <c r="BE29" s="93">
        <f>'Financial Statements &amp; Detail'!BD54-'Financial Statements &amp; Detail'!BE54</f>
        <v>-1869238.095238097</v>
      </c>
      <c r="BF29" s="93">
        <f>'Financial Statements &amp; Detail'!BE54-'Financial Statements &amp; Detail'!BF54</f>
        <v>-1210405.3535195217</v>
      </c>
      <c r="BG29" s="93">
        <f>'Financial Statements &amp; Detail'!BF54-'Financial Statements &amp; Detail'!BG54</f>
        <v>-354238.09523809701</v>
      </c>
      <c r="BH29" s="93">
        <f>'Financial Statements &amp; Detail'!BG54-'Financial Statements &amp; Detail'!BH54</f>
        <v>-344238.09523809701</v>
      </c>
      <c r="BI29" s="93">
        <f>'Financial Statements &amp; Detail'!BH54-'Financial Statements &amp; Detail'!BI54</f>
        <v>-354238.09523809701</v>
      </c>
      <c r="BJ29" s="93">
        <f>'Financial Statements &amp; Detail'!BI54-'Financial Statements &amp; Detail'!BJ54</f>
        <v>-344238.09523808956</v>
      </c>
    </row>
    <row r="30" spans="1:63">
      <c r="A30" s="105" t="s">
        <v>289</v>
      </c>
      <c r="C30" s="93">
        <v>0</v>
      </c>
      <c r="D30" s="93">
        <v>0</v>
      </c>
      <c r="E30" s="93"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0</v>
      </c>
      <c r="L30" s="93">
        <v>0</v>
      </c>
      <c r="M30" s="93">
        <v>0</v>
      </c>
      <c r="N30" s="93">
        <v>0</v>
      </c>
      <c r="O30" s="93">
        <v>0</v>
      </c>
      <c r="P30" s="93">
        <v>0</v>
      </c>
      <c r="Q30" s="93">
        <v>0</v>
      </c>
      <c r="R30" s="93">
        <v>0</v>
      </c>
      <c r="S30" s="93">
        <v>0</v>
      </c>
      <c r="T30" s="93">
        <v>0</v>
      </c>
      <c r="U30" s="93">
        <v>0</v>
      </c>
      <c r="V30" s="93">
        <v>0</v>
      </c>
      <c r="W30" s="93">
        <v>0</v>
      </c>
      <c r="X30" s="93">
        <v>0</v>
      </c>
      <c r="Y30" s="93">
        <v>0</v>
      </c>
      <c r="Z30" s="93">
        <v>0</v>
      </c>
      <c r="AA30" s="93">
        <v>0</v>
      </c>
      <c r="AB30" s="93">
        <v>0</v>
      </c>
      <c r="AC30" s="93">
        <v>0</v>
      </c>
      <c r="AD30" s="93">
        <v>0</v>
      </c>
      <c r="AE30" s="93">
        <v>0</v>
      </c>
      <c r="AF30" s="93">
        <v>0</v>
      </c>
      <c r="AG30" s="93">
        <v>0</v>
      </c>
      <c r="AH30" s="93">
        <v>0</v>
      </c>
      <c r="AI30" s="93">
        <v>0</v>
      </c>
      <c r="AJ30" s="93">
        <v>0</v>
      </c>
      <c r="AK30" s="93">
        <v>0</v>
      </c>
      <c r="AL30" s="93">
        <v>0</v>
      </c>
      <c r="AM30" s="93">
        <v>0</v>
      </c>
      <c r="AN30" s="93">
        <v>0</v>
      </c>
      <c r="AO30" s="93">
        <v>0</v>
      </c>
      <c r="AP30" s="93">
        <v>0</v>
      </c>
      <c r="AQ30" s="93">
        <v>0</v>
      </c>
      <c r="AR30" s="93">
        <v>0</v>
      </c>
      <c r="AS30" s="93">
        <v>0</v>
      </c>
      <c r="AT30" s="93">
        <v>0</v>
      </c>
      <c r="AU30" s="93">
        <v>0</v>
      </c>
      <c r="AV30" s="93">
        <v>0</v>
      </c>
      <c r="AW30" s="93">
        <v>0</v>
      </c>
      <c r="AX30" s="93">
        <v>0</v>
      </c>
      <c r="AY30" s="93">
        <v>0</v>
      </c>
      <c r="AZ30" s="93">
        <v>0</v>
      </c>
      <c r="BA30" s="93">
        <v>0</v>
      </c>
      <c r="BB30" s="93">
        <v>0</v>
      </c>
      <c r="BC30" s="93">
        <v>0</v>
      </c>
      <c r="BD30" s="93">
        <v>0</v>
      </c>
      <c r="BE30" s="93">
        <v>0</v>
      </c>
      <c r="BF30" s="93">
        <v>0</v>
      </c>
      <c r="BG30" s="93">
        <v>0</v>
      </c>
      <c r="BH30" s="93">
        <v>0</v>
      </c>
      <c r="BI30" s="93">
        <v>0</v>
      </c>
      <c r="BJ30" s="93">
        <v>0</v>
      </c>
    </row>
    <row r="31" spans="1:63">
      <c r="A31" s="105" t="s">
        <v>66</v>
      </c>
      <c r="C31" s="93">
        <f>SUM(C29:C30)</f>
        <v>-4810158.0357142854</v>
      </c>
      <c r="D31" s="93">
        <f t="shared" ref="D31:BJ31" si="3">SUM(D29:D30)</f>
        <v>-101008.16071428545</v>
      </c>
      <c r="E31" s="93">
        <f t="shared" si="3"/>
        <v>-90316.844464286231</v>
      </c>
      <c r="F31" s="93">
        <f t="shared" si="3"/>
        <v>-89646.26770178508</v>
      </c>
      <c r="G31" s="93">
        <f t="shared" si="3"/>
        <v>-88995.808242160827</v>
      </c>
      <c r="H31" s="93">
        <f t="shared" si="3"/>
        <v>-88364.862566324882</v>
      </c>
      <c r="I31" s="93">
        <f t="shared" si="3"/>
        <v>-87752.845260763541</v>
      </c>
      <c r="J31" s="93">
        <f t="shared" si="3"/>
        <v>-87159.188474369235</v>
      </c>
      <c r="K31" s="93">
        <f t="shared" si="3"/>
        <v>-86583.341391565278</v>
      </c>
      <c r="L31" s="93">
        <f t="shared" si="3"/>
        <v>-86024.769721249118</v>
      </c>
      <c r="M31" s="93">
        <f t="shared" si="3"/>
        <v>-85482.955201039091</v>
      </c>
      <c r="N31" s="93">
        <f t="shared" si="3"/>
        <v>-94957.395116437227</v>
      </c>
      <c r="O31" s="93">
        <f t="shared" si="3"/>
        <v>-6184447.6018343717</v>
      </c>
      <c r="P31" s="93">
        <f t="shared" si="3"/>
        <v>-1243022.3116310723</v>
      </c>
      <c r="Q31" s="93">
        <f t="shared" si="3"/>
        <v>-67964.285714285448</v>
      </c>
      <c r="R31" s="93">
        <f t="shared" si="3"/>
        <v>-1592964.2857142854</v>
      </c>
      <c r="S31" s="93">
        <f t="shared" si="3"/>
        <v>-1069837.0621587019</v>
      </c>
      <c r="T31" s="93">
        <f t="shared" si="3"/>
        <v>-67964.285714287311</v>
      </c>
      <c r="U31" s="93">
        <f t="shared" si="3"/>
        <v>-1582964.2857142836</v>
      </c>
      <c r="V31" s="93">
        <f t="shared" si="3"/>
        <v>-1029030.9141192287</v>
      </c>
      <c r="W31" s="93">
        <f t="shared" si="3"/>
        <v>-57964.285714283586</v>
      </c>
      <c r="X31" s="93">
        <f t="shared" si="3"/>
        <v>-67964.285714291036</v>
      </c>
      <c r="Y31" s="93">
        <f t="shared" si="3"/>
        <v>-57964.285714283586</v>
      </c>
      <c r="Z31" s="93">
        <f t="shared" si="3"/>
        <v>-67964.285714283586</v>
      </c>
      <c r="AA31" s="93">
        <f t="shared" si="3"/>
        <v>-1673285.7142857164</v>
      </c>
      <c r="AB31" s="93">
        <f t="shared" si="3"/>
        <v>-871712.20500018448</v>
      </c>
      <c r="AC31" s="93">
        <f t="shared" si="3"/>
        <v>-148285.71428571641</v>
      </c>
      <c r="AD31" s="93">
        <f t="shared" si="3"/>
        <v>-1663285.7142857164</v>
      </c>
      <c r="AE31" s="93">
        <f t="shared" si="3"/>
        <v>-1108799.1764031425</v>
      </c>
      <c r="AF31" s="93">
        <f t="shared" si="3"/>
        <v>-138285.71428571269</v>
      </c>
      <c r="AG31" s="93">
        <f t="shared" si="3"/>
        <v>-1673285.7142857127</v>
      </c>
      <c r="AH31" s="93">
        <f t="shared" si="3"/>
        <v>-1027478.0832059085</v>
      </c>
      <c r="AI31" s="93">
        <f t="shared" si="3"/>
        <v>-138285.71428571269</v>
      </c>
      <c r="AJ31" s="93">
        <f t="shared" si="3"/>
        <v>-148285.71428571269</v>
      </c>
      <c r="AK31" s="93">
        <f t="shared" si="3"/>
        <v>-138285.71428571641</v>
      </c>
      <c r="AL31" s="93">
        <f t="shared" si="3"/>
        <v>-148285.71428571269</v>
      </c>
      <c r="AM31" s="93">
        <f t="shared" si="3"/>
        <v>-1766261.9047619067</v>
      </c>
      <c r="AN31" s="93">
        <f t="shared" si="3"/>
        <v>-893739.13688625768</v>
      </c>
      <c r="AO31" s="93">
        <f t="shared" si="3"/>
        <v>-241261.90476190671</v>
      </c>
      <c r="AP31" s="93">
        <f t="shared" si="3"/>
        <v>-1776261.904761903</v>
      </c>
      <c r="AQ31" s="93">
        <f t="shared" si="3"/>
        <v>-1186881.2919948325</v>
      </c>
      <c r="AR31" s="93">
        <f t="shared" si="3"/>
        <v>-251261.90476190299</v>
      </c>
      <c r="AS31" s="93">
        <f t="shared" si="3"/>
        <v>-1766261.904761903</v>
      </c>
      <c r="AT31" s="93">
        <f t="shared" si="3"/>
        <v>-1091860.8536750376</v>
      </c>
      <c r="AU31" s="93">
        <f t="shared" si="3"/>
        <v>-251261.90476189554</v>
      </c>
      <c r="AV31" s="93">
        <f t="shared" si="3"/>
        <v>-241261.90476191044</v>
      </c>
      <c r="AW31" s="93">
        <f t="shared" si="3"/>
        <v>-251261.90476190299</v>
      </c>
      <c r="AX31" s="93">
        <f t="shared" si="3"/>
        <v>-241261.90476190299</v>
      </c>
      <c r="AY31" s="93">
        <f t="shared" si="3"/>
        <v>-1879238.095238097</v>
      </c>
      <c r="AZ31" s="93">
        <f t="shared" si="3"/>
        <v>-989805.75988904387</v>
      </c>
      <c r="BA31" s="93">
        <f t="shared" si="3"/>
        <v>-354238.09523808956</v>
      </c>
      <c r="BB31" s="93">
        <f t="shared" si="3"/>
        <v>-1869238.095238097</v>
      </c>
      <c r="BC31" s="93">
        <f t="shared" si="3"/>
        <v>-1254523.3423883095</v>
      </c>
      <c r="BD31" s="93">
        <f t="shared" si="3"/>
        <v>-354238.09523809701</v>
      </c>
      <c r="BE31" s="93">
        <f t="shared" si="3"/>
        <v>-1869238.095238097</v>
      </c>
      <c r="BF31" s="93">
        <f t="shared" si="3"/>
        <v>-1210405.3535195217</v>
      </c>
      <c r="BG31" s="93">
        <f t="shared" si="3"/>
        <v>-354238.09523809701</v>
      </c>
      <c r="BH31" s="93">
        <f t="shared" si="3"/>
        <v>-344238.09523809701</v>
      </c>
      <c r="BI31" s="93">
        <f t="shared" si="3"/>
        <v>-354238.09523809701</v>
      </c>
      <c r="BJ31" s="93">
        <f t="shared" si="3"/>
        <v>-344238.09523808956</v>
      </c>
      <c r="BK31" s="137">
        <f>SUM(AY31:BJ31)</f>
        <v>-11177877.312939733</v>
      </c>
    </row>
    <row r="32" spans="1:63">
      <c r="A32" s="6" t="s">
        <v>290</v>
      </c>
    </row>
    <row r="33" spans="1:62">
      <c r="A33" s="105" t="s">
        <v>291</v>
      </c>
      <c r="C33" s="93">
        <f>'Financial Statements &amp; Detail'!C64-'Financial Statements &amp; Detail'!B64</f>
        <v>0</v>
      </c>
      <c r="D33" s="93">
        <f>'Financial Statements &amp; Detail'!D64-'Financial Statements &amp; Detail'!C64</f>
        <v>0</v>
      </c>
      <c r="E33" s="93">
        <f>'Financial Statements &amp; Detail'!E64-'Financial Statements &amp; Detail'!D64</f>
        <v>0</v>
      </c>
      <c r="F33" s="93">
        <f>'Financial Statements &amp; Detail'!F64-'Financial Statements &amp; Detail'!E64</f>
        <v>0</v>
      </c>
      <c r="G33" s="93">
        <f>'Financial Statements &amp; Detail'!G64-'Financial Statements &amp; Detail'!F64</f>
        <v>0</v>
      </c>
      <c r="H33" s="93">
        <f>'Financial Statements &amp; Detail'!H64-'Financial Statements &amp; Detail'!G64</f>
        <v>0</v>
      </c>
      <c r="I33" s="93">
        <f>'Financial Statements &amp; Detail'!I64-'Financial Statements &amp; Detail'!H64</f>
        <v>0</v>
      </c>
      <c r="J33" s="93">
        <f>'Financial Statements &amp; Detail'!J64-'Financial Statements &amp; Detail'!I64</f>
        <v>0</v>
      </c>
      <c r="K33" s="93">
        <f>'Financial Statements &amp; Detail'!K64-'Financial Statements &amp; Detail'!J64</f>
        <v>0</v>
      </c>
      <c r="L33" s="93">
        <f>'Financial Statements &amp; Detail'!L64-'Financial Statements &amp; Detail'!K64</f>
        <v>0</v>
      </c>
      <c r="M33" s="93">
        <f>'Financial Statements &amp; Detail'!M64-'Financial Statements &amp; Detail'!L64</f>
        <v>0</v>
      </c>
      <c r="N33" s="93">
        <f>'Financial Statements &amp; Detail'!N64-'Financial Statements &amp; Detail'!M64</f>
        <v>0</v>
      </c>
      <c r="O33" s="93">
        <f>'Financial Statements &amp; Detail'!O64-'Financial Statements &amp; Detail'!N64</f>
        <v>0</v>
      </c>
      <c r="P33" s="93">
        <f>'Financial Statements &amp; Detail'!P64-'Financial Statements &amp; Detail'!O64</f>
        <v>0</v>
      </c>
      <c r="Q33" s="93">
        <f>'Financial Statements &amp; Detail'!Q64-'Financial Statements &amp; Detail'!P64</f>
        <v>0</v>
      </c>
      <c r="R33" s="93">
        <f>'Financial Statements &amp; Detail'!R64-'Financial Statements &amp; Detail'!Q64</f>
        <v>0</v>
      </c>
      <c r="S33" s="93">
        <f>'Financial Statements &amp; Detail'!S64-'Financial Statements &amp; Detail'!R64</f>
        <v>0</v>
      </c>
      <c r="T33" s="93">
        <f>'Financial Statements &amp; Detail'!T64-'Financial Statements &amp; Detail'!S64</f>
        <v>0</v>
      </c>
      <c r="U33" s="93">
        <f>'Financial Statements &amp; Detail'!U64-'Financial Statements &amp; Detail'!T64</f>
        <v>0</v>
      </c>
      <c r="V33" s="93">
        <f>'Financial Statements &amp; Detail'!V64-'Financial Statements &amp; Detail'!U64</f>
        <v>0</v>
      </c>
      <c r="W33" s="93">
        <f>'Financial Statements &amp; Detail'!W64-'Financial Statements &amp; Detail'!V64</f>
        <v>0</v>
      </c>
      <c r="X33" s="93">
        <f>'Financial Statements &amp; Detail'!X64-'Financial Statements &amp; Detail'!W64</f>
        <v>0</v>
      </c>
      <c r="Y33" s="93">
        <f>'Financial Statements &amp; Detail'!Y64-'Financial Statements &amp; Detail'!X64</f>
        <v>0</v>
      </c>
      <c r="Z33" s="93">
        <f>'Financial Statements &amp; Detail'!Z64-'Financial Statements &amp; Detail'!Y64</f>
        <v>0</v>
      </c>
      <c r="AA33" s="93">
        <f>'Financial Statements &amp; Detail'!AA64-'Financial Statements &amp; Detail'!Z64</f>
        <v>0</v>
      </c>
      <c r="AB33" s="93">
        <f>'Financial Statements &amp; Detail'!AB64-'Financial Statements &amp; Detail'!AA64</f>
        <v>0</v>
      </c>
      <c r="AC33" s="93">
        <f>'Financial Statements &amp; Detail'!AC64-'Financial Statements &amp; Detail'!AB64</f>
        <v>0</v>
      </c>
      <c r="AD33" s="93">
        <f>'Financial Statements &amp; Detail'!AD64-'Financial Statements &amp; Detail'!AC64</f>
        <v>0</v>
      </c>
      <c r="AE33" s="93">
        <f>'Financial Statements &amp; Detail'!AE64-'Financial Statements &amp; Detail'!AD64</f>
        <v>0</v>
      </c>
      <c r="AF33" s="93">
        <f>'Financial Statements &amp; Detail'!AF64-'Financial Statements &amp; Detail'!AE64</f>
        <v>0</v>
      </c>
      <c r="AG33" s="93">
        <f>'Financial Statements &amp; Detail'!AG64-'Financial Statements &amp; Detail'!AF64</f>
        <v>0</v>
      </c>
      <c r="AH33" s="93">
        <f>'Financial Statements &amp; Detail'!AH64-'Financial Statements &amp; Detail'!AG64</f>
        <v>0</v>
      </c>
      <c r="AI33" s="93">
        <f>'Financial Statements &amp; Detail'!AI64-'Financial Statements &amp; Detail'!AH64</f>
        <v>0</v>
      </c>
      <c r="AJ33" s="93">
        <f>'Financial Statements &amp; Detail'!AJ64-'Financial Statements &amp; Detail'!AI64</f>
        <v>0</v>
      </c>
      <c r="AK33" s="93">
        <f>'Financial Statements &amp; Detail'!AK64-'Financial Statements &amp; Detail'!AJ64</f>
        <v>0</v>
      </c>
      <c r="AL33" s="93">
        <f>'Financial Statements &amp; Detail'!AL64-'Financial Statements &amp; Detail'!AK64</f>
        <v>0</v>
      </c>
      <c r="AM33" s="93">
        <f>'Financial Statements &amp; Detail'!AM64-'Financial Statements &amp; Detail'!AL64</f>
        <v>0</v>
      </c>
      <c r="AN33" s="93">
        <f>'Financial Statements &amp; Detail'!AN64-'Financial Statements &amp; Detail'!AM64</f>
        <v>0</v>
      </c>
      <c r="AO33" s="93">
        <f>'Financial Statements &amp; Detail'!AO64-'Financial Statements &amp; Detail'!AN64</f>
        <v>0</v>
      </c>
      <c r="AP33" s="93">
        <f>'Financial Statements &amp; Detail'!AP64-'Financial Statements &amp; Detail'!AO64</f>
        <v>0</v>
      </c>
      <c r="AQ33" s="93">
        <f>'Financial Statements &amp; Detail'!AQ64-'Financial Statements &amp; Detail'!AP64</f>
        <v>0</v>
      </c>
      <c r="AR33" s="93">
        <f>'Financial Statements &amp; Detail'!AR64-'Financial Statements &amp; Detail'!AQ64</f>
        <v>0</v>
      </c>
      <c r="AS33" s="93">
        <f>'Financial Statements &amp; Detail'!AS64-'Financial Statements &amp; Detail'!AR64</f>
        <v>0</v>
      </c>
      <c r="AT33" s="93">
        <f>'Financial Statements &amp; Detail'!AT64-'Financial Statements &amp; Detail'!AS64</f>
        <v>0</v>
      </c>
      <c r="AU33" s="93">
        <f>'Financial Statements &amp; Detail'!AU64-'Financial Statements &amp; Detail'!AT64</f>
        <v>0</v>
      </c>
      <c r="AV33" s="93">
        <f>'Financial Statements &amp; Detail'!AV64-'Financial Statements &amp; Detail'!AU64</f>
        <v>0</v>
      </c>
      <c r="AW33" s="93">
        <f>'Financial Statements &amp; Detail'!AW64-'Financial Statements &amp; Detail'!AV64</f>
        <v>0</v>
      </c>
      <c r="AX33" s="93">
        <f>'Financial Statements &amp; Detail'!AX64-'Financial Statements &amp; Detail'!AW64</f>
        <v>0</v>
      </c>
      <c r="AY33" s="93">
        <f>'Financial Statements &amp; Detail'!AY64-'Financial Statements &amp; Detail'!AX64</f>
        <v>0</v>
      </c>
      <c r="AZ33" s="93">
        <f>'Financial Statements &amp; Detail'!AZ64-'Financial Statements &amp; Detail'!AY64</f>
        <v>0</v>
      </c>
      <c r="BA33" s="93">
        <f>'Financial Statements &amp; Detail'!BA64-'Financial Statements &amp; Detail'!AZ64</f>
        <v>0</v>
      </c>
      <c r="BB33" s="93">
        <f>'Financial Statements &amp; Detail'!BB64-'Financial Statements &amp; Detail'!BA64</f>
        <v>0</v>
      </c>
      <c r="BC33" s="93">
        <f>'Financial Statements &amp; Detail'!BC64-'Financial Statements &amp; Detail'!BB64</f>
        <v>0</v>
      </c>
      <c r="BD33" s="93">
        <f>'Financial Statements &amp; Detail'!BD64-'Financial Statements &amp; Detail'!BC64</f>
        <v>0</v>
      </c>
      <c r="BE33" s="93">
        <f>'Financial Statements &amp; Detail'!BE64-'Financial Statements &amp; Detail'!BD64</f>
        <v>0</v>
      </c>
      <c r="BF33" s="93">
        <f>'Financial Statements &amp; Detail'!BF64-'Financial Statements &amp; Detail'!BE64</f>
        <v>0</v>
      </c>
      <c r="BG33" s="93">
        <f>'Financial Statements &amp; Detail'!BG64-'Financial Statements &amp; Detail'!BF64</f>
        <v>0</v>
      </c>
      <c r="BH33" s="93">
        <f>'Financial Statements &amp; Detail'!BH64-'Financial Statements &amp; Detail'!BG64</f>
        <v>0</v>
      </c>
      <c r="BI33" s="93">
        <f>'Financial Statements &amp; Detail'!BI64-'Financial Statements &amp; Detail'!BH64</f>
        <v>0</v>
      </c>
      <c r="BJ33" s="93">
        <f>'Financial Statements &amp; Detail'!BJ64-'Financial Statements &amp; Detail'!BI64</f>
        <v>0</v>
      </c>
    </row>
    <row r="34" spans="1:62">
      <c r="A34" s="105" t="s">
        <v>97</v>
      </c>
      <c r="C34" s="93">
        <f>'Financial Statements &amp; Detail'!C65+'Financial Statements &amp; Detail'!C72-'Financial Statements &amp; Detail'!B65-'Financial Statements &amp; Detail'!B72</f>
        <v>0</v>
      </c>
      <c r="D34" s="93">
        <f>'Financial Statements &amp; Detail'!D65+'Financial Statements &amp; Detail'!D72-'Financial Statements &amp; Detail'!C65-'Financial Statements &amp; Detail'!C72</f>
        <v>0</v>
      </c>
      <c r="E34" s="93">
        <f>'Financial Statements &amp; Detail'!E65+'Financial Statements &amp; Detail'!E72-'Financial Statements &amp; Detail'!D65-'Financial Statements &amp; Detail'!D72</f>
        <v>0</v>
      </c>
      <c r="F34" s="93">
        <f>'Financial Statements &amp; Detail'!F65+'Financial Statements &amp; Detail'!F72-'Financial Statements &amp; Detail'!E65-'Financial Statements &amp; Detail'!E72</f>
        <v>0</v>
      </c>
      <c r="G34" s="93">
        <f>'Financial Statements &amp; Detail'!G65+'Financial Statements &amp; Detail'!G72-'Financial Statements &amp; Detail'!F65-'Financial Statements &amp; Detail'!F72</f>
        <v>0</v>
      </c>
      <c r="H34" s="93">
        <f>'Financial Statements &amp; Detail'!H65+'Financial Statements &amp; Detail'!H72-'Financial Statements &amp; Detail'!G65-'Financial Statements &amp; Detail'!G72</f>
        <v>0</v>
      </c>
      <c r="I34" s="93">
        <f>'Financial Statements &amp; Detail'!I65+'Financial Statements &amp; Detail'!I72-'Financial Statements &amp; Detail'!H65-'Financial Statements &amp; Detail'!H72</f>
        <v>0</v>
      </c>
      <c r="J34" s="93">
        <f>'Financial Statements &amp; Detail'!J65+'Financial Statements &amp; Detail'!J72-'Financial Statements &amp; Detail'!I65-'Financial Statements &amp; Detail'!I72</f>
        <v>0</v>
      </c>
      <c r="K34" s="93">
        <f>'Financial Statements &amp; Detail'!K65+'Financial Statements &amp; Detail'!K72-'Financial Statements &amp; Detail'!J65-'Financial Statements &amp; Detail'!J72</f>
        <v>0</v>
      </c>
      <c r="L34" s="93">
        <f>'Financial Statements &amp; Detail'!L65+'Financial Statements &amp; Detail'!L72-'Financial Statements &amp; Detail'!K65-'Financial Statements &amp; Detail'!K72</f>
        <v>0</v>
      </c>
      <c r="M34" s="93">
        <f>'Financial Statements &amp; Detail'!M65+'Financial Statements &amp; Detail'!M72-'Financial Statements &amp; Detail'!L65-'Financial Statements &amp; Detail'!L72</f>
        <v>0</v>
      </c>
      <c r="N34" s="93">
        <f>'Financial Statements &amp; Detail'!N65+'Financial Statements &amp; Detail'!N72-'Financial Statements &amp; Detail'!M65-'Financial Statements &amp; Detail'!M72</f>
        <v>0</v>
      </c>
      <c r="O34" s="93">
        <f>'Financial Statements &amp; Detail'!O65+'Financial Statements &amp; Detail'!O72-'Financial Statements &amp; Detail'!N65-'Financial Statements &amp; Detail'!N72</f>
        <v>14000000</v>
      </c>
      <c r="P34" s="93">
        <f>'Financial Statements &amp; Detail'!P65+'Financial Statements &amp; Detail'!P72-'Financial Statements &amp; Detail'!O65-'Financial Statements &amp; Detail'!O72</f>
        <v>0</v>
      </c>
      <c r="Q34" s="93">
        <f>'Financial Statements &amp; Detail'!Q65+'Financial Statements &amp; Detail'!Q72-'Financial Statements &amp; Detail'!P65-'Financial Statements &amp; Detail'!P72</f>
        <v>0</v>
      </c>
      <c r="R34" s="93">
        <f>'Financial Statements &amp; Detail'!R65+'Financial Statements &amp; Detail'!R72-'Financial Statements &amp; Detail'!Q65-'Financial Statements &amp; Detail'!Q72</f>
        <v>0</v>
      </c>
      <c r="S34" s="93">
        <f>'Financial Statements &amp; Detail'!S65+'Financial Statements &amp; Detail'!S72-'Financial Statements &amp; Detail'!R65-'Financial Statements &amp; Detail'!R72</f>
        <v>0</v>
      </c>
      <c r="T34" s="93">
        <f>'Financial Statements &amp; Detail'!T65+'Financial Statements &amp; Detail'!T72-'Financial Statements &amp; Detail'!S65-'Financial Statements &amp; Detail'!S72</f>
        <v>0</v>
      </c>
      <c r="U34" s="93">
        <f>'Financial Statements &amp; Detail'!U65+'Financial Statements &amp; Detail'!U72-'Financial Statements &amp; Detail'!T65-'Financial Statements &amp; Detail'!T72</f>
        <v>0</v>
      </c>
      <c r="V34" s="93">
        <f>'Financial Statements &amp; Detail'!V65+'Financial Statements &amp; Detail'!V72-'Financial Statements &amp; Detail'!U65-'Financial Statements &amp; Detail'!U72</f>
        <v>0</v>
      </c>
      <c r="W34" s="93">
        <f>'Financial Statements &amp; Detail'!W65+'Financial Statements &amp; Detail'!W72-'Financial Statements &amp; Detail'!V65-'Financial Statements &amp; Detail'!V72</f>
        <v>0</v>
      </c>
      <c r="X34" s="93">
        <f>'Financial Statements &amp; Detail'!X65+'Financial Statements &amp; Detail'!X72-'Financial Statements &amp; Detail'!W65-'Financial Statements &amp; Detail'!W72</f>
        <v>0</v>
      </c>
      <c r="Y34" s="93">
        <f>'Financial Statements &amp; Detail'!Y65+'Financial Statements &amp; Detail'!Y72-'Financial Statements &amp; Detail'!X65-'Financial Statements &amp; Detail'!X72</f>
        <v>0</v>
      </c>
      <c r="Z34" s="93">
        <f>'Financial Statements &amp; Detail'!Z65+'Financial Statements &amp; Detail'!Z72-'Financial Statements &amp; Detail'!Y65-'Financial Statements &amp; Detail'!Y72</f>
        <v>0</v>
      </c>
      <c r="AA34" s="93">
        <f>'Financial Statements &amp; Detail'!AA65+'Financial Statements &amp; Detail'!AA72-'Financial Statements &amp; Detail'!Z65-'Financial Statements &amp; Detail'!Z72</f>
        <v>9708333.3333333321</v>
      </c>
      <c r="AB34" s="93">
        <f>'Financial Statements &amp; Detail'!AB65+'Financial Statements &amp; Detail'!AB72-'Financial Statements &amp; Detail'!AA65-'Financial Statements &amp; Detail'!AA72</f>
        <v>-291666.66666666791</v>
      </c>
      <c r="AC34" s="93">
        <f>'Financial Statements &amp; Detail'!AC65+'Financial Statements &amp; Detail'!AC72-'Financial Statements &amp; Detail'!AB65-'Financial Statements &amp; Detail'!AB72</f>
        <v>-291666.66666666791</v>
      </c>
      <c r="AD34" s="93">
        <f>'Financial Statements &amp; Detail'!AD65+'Financial Statements &amp; Detail'!AD72-'Financial Statements &amp; Detail'!AC65-'Financial Statements &amp; Detail'!AC72</f>
        <v>-291666.66666666791</v>
      </c>
      <c r="AE34" s="93">
        <f>'Financial Statements &amp; Detail'!AE65+'Financial Statements &amp; Detail'!AE72-'Financial Statements &amp; Detail'!AD65-'Financial Statements &amp; Detail'!AD72</f>
        <v>-291666.66666667163</v>
      </c>
      <c r="AF34" s="93">
        <f>'Financial Statements &amp; Detail'!AF65+'Financial Statements &amp; Detail'!AF72-'Financial Statements &amp; Detail'!AE65-'Financial Statements &amp; Detail'!AE72</f>
        <v>-291666.66666666791</v>
      </c>
      <c r="AG34" s="93">
        <f>'Financial Statements &amp; Detail'!AG65+'Financial Statements &amp; Detail'!AG72-'Financial Statements &amp; Detail'!AF65-'Financial Statements &amp; Detail'!AF72</f>
        <v>-291666.66666666791</v>
      </c>
      <c r="AH34" s="93">
        <f>'Financial Statements &amp; Detail'!AH65+'Financial Statements &amp; Detail'!AH72-'Financial Statements &amp; Detail'!AG65-'Financial Statements &amp; Detail'!AG72</f>
        <v>-291666.66666666791</v>
      </c>
      <c r="AI34" s="93">
        <f>'Financial Statements &amp; Detail'!AI65+'Financial Statements &amp; Detail'!AI72-'Financial Statements &amp; Detail'!AH65-'Financial Statements &amp; Detail'!AH72</f>
        <v>-291666.66666666791</v>
      </c>
      <c r="AJ34" s="93">
        <f>'Financial Statements &amp; Detail'!AJ65+'Financial Statements &amp; Detail'!AJ72-'Financial Statements &amp; Detail'!AI65-'Financial Statements &amp; Detail'!AI72</f>
        <v>-291666.66666666791</v>
      </c>
      <c r="AK34" s="93">
        <f>'Financial Statements &amp; Detail'!AK65+'Financial Statements &amp; Detail'!AK72-'Financial Statements &amp; Detail'!AJ65-'Financial Statements &amp; Detail'!AJ72</f>
        <v>-291666.66666666791</v>
      </c>
      <c r="AL34" s="93">
        <f>'Financial Statements &amp; Detail'!AL65+'Financial Statements &amp; Detail'!AL72-'Financial Statements &amp; Detail'!AK65-'Financial Statements &amp; Detail'!AK72</f>
        <v>-291666.66666666791</v>
      </c>
      <c r="AM34" s="93">
        <f>'Financial Statements &amp; Detail'!AM65+'Financial Statements &amp; Detail'!AM72-'Financial Statements &amp; Detail'!AL65-'Financial Statements &amp; Detail'!AL72</f>
        <v>4566840.2777777798</v>
      </c>
      <c r="AN34" s="93">
        <f>'Financial Statements &amp; Detail'!AN65+'Financial Statements &amp; Detail'!AN72-'Financial Statements &amp; Detail'!AM65-'Financial Statements &amp; Detail'!AM72</f>
        <v>-433159.72222222015</v>
      </c>
      <c r="AO34" s="93">
        <f>'Financial Statements &amp; Detail'!AO65+'Financial Statements &amp; Detail'!AO72-'Financial Statements &amp; Detail'!AN65-'Financial Statements &amp; Detail'!AN72</f>
        <v>-433159.72222222015</v>
      </c>
      <c r="AP34" s="93">
        <f>'Financial Statements &amp; Detail'!AP65+'Financial Statements &amp; Detail'!AP72-'Financial Statements &amp; Detail'!AO65-'Financial Statements &amp; Detail'!AO72</f>
        <v>-433159.72222222015</v>
      </c>
      <c r="AQ34" s="93">
        <f>'Financial Statements &amp; Detail'!AQ65+'Financial Statements &amp; Detail'!AQ72-'Financial Statements &amp; Detail'!AP65-'Financial Statements &amp; Detail'!AP72</f>
        <v>-433159.72222222015</v>
      </c>
      <c r="AR34" s="93">
        <f>'Financial Statements &amp; Detail'!AR65+'Financial Statements &amp; Detail'!AR72-'Financial Statements &amp; Detail'!AQ65-'Financial Statements &amp; Detail'!AQ72</f>
        <v>-433159.72222222015</v>
      </c>
      <c r="AS34" s="93">
        <f>'Financial Statements &amp; Detail'!AS65+'Financial Statements &amp; Detail'!AS72-'Financial Statements &amp; Detail'!AR65-'Financial Statements &amp; Detail'!AR72</f>
        <v>-433159.72222222388</v>
      </c>
      <c r="AT34" s="93">
        <f>'Financial Statements &amp; Detail'!AT65+'Financial Statements &amp; Detail'!AT72-'Financial Statements &amp; Detail'!AS65-'Financial Statements &amp; Detail'!AS72</f>
        <v>-433159.72222221643</v>
      </c>
      <c r="AU34" s="93">
        <f>'Financial Statements &amp; Detail'!AU65+'Financial Statements &amp; Detail'!AU72-'Financial Statements &amp; Detail'!AT65-'Financial Statements &amp; Detail'!AT72</f>
        <v>-433159.72222222015</v>
      </c>
      <c r="AV34" s="93">
        <f>'Financial Statements &amp; Detail'!AV65+'Financial Statements &amp; Detail'!AV72-'Financial Statements &amp; Detail'!AU65-'Financial Statements &amp; Detail'!AU72</f>
        <v>-433159.72222222015</v>
      </c>
      <c r="AW34" s="93">
        <f>'Financial Statements &amp; Detail'!AW65+'Financial Statements &amp; Detail'!AW72-'Financial Statements &amp; Detail'!AV65-'Financial Statements &amp; Detail'!AV72</f>
        <v>-433159.72222222015</v>
      </c>
      <c r="AX34" s="93">
        <f>'Financial Statements &amp; Detail'!AX65+'Financial Statements &amp; Detail'!AX72-'Financial Statements &amp; Detail'!AW65-'Financial Statements &amp; Detail'!AW72</f>
        <v>-433159.72222222015</v>
      </c>
      <c r="AY34" s="93">
        <f>'Financial Statements &amp; Detail'!AY65+'Financial Statements &amp; Detail'!AY72-'Financial Statements &amp; Detail'!AX65-'Financial Statements &amp; Detail'!AX72</f>
        <v>4568015.7696759272</v>
      </c>
      <c r="AZ34" s="93">
        <f>'Financial Statements &amp; Detail'!AZ65+'Financial Statements &amp; Detail'!AZ72-'Financial Statements &amp; Detail'!AY65-'Financial Statements &amp; Detail'!AY72</f>
        <v>-431984.23032407463</v>
      </c>
      <c r="BA34" s="93">
        <f>'Financial Statements &amp; Detail'!BA65+'Financial Statements &amp; Detail'!BA72-'Financial Statements &amp; Detail'!AZ65-'Financial Statements &amp; Detail'!AZ72</f>
        <v>-431984.23032407463</v>
      </c>
      <c r="BB34" s="93">
        <f>'Financial Statements &amp; Detail'!BB65+'Financial Statements &amp; Detail'!BB72-'Financial Statements &amp; Detail'!BA65-'Financial Statements &amp; Detail'!BA72</f>
        <v>-431984.23032407463</v>
      </c>
      <c r="BC34" s="93">
        <f>'Financial Statements &amp; Detail'!BC65+'Financial Statements &amp; Detail'!BC72-'Financial Statements &amp; Detail'!BB65-'Financial Statements &amp; Detail'!BB72</f>
        <v>-431984.23032407463</v>
      </c>
      <c r="BD34" s="93">
        <f>'Financial Statements &amp; Detail'!BD65+'Financial Statements &amp; Detail'!BD72-'Financial Statements &amp; Detail'!BC65-'Financial Statements &amp; Detail'!BC72</f>
        <v>-431984.23032407463</v>
      </c>
      <c r="BE34" s="93">
        <f>'Financial Statements &amp; Detail'!BE65+'Financial Statements &amp; Detail'!BE72-'Financial Statements &amp; Detail'!BD65-'Financial Statements &amp; Detail'!BD72</f>
        <v>-431984.23032407463</v>
      </c>
      <c r="BF34" s="93">
        <f>'Financial Statements &amp; Detail'!BF65+'Financial Statements &amp; Detail'!BF72-'Financial Statements &amp; Detail'!BE65-'Financial Statements &amp; Detail'!BE72</f>
        <v>-431984.23032407463</v>
      </c>
      <c r="BG34" s="93">
        <f>'Financial Statements &amp; Detail'!BG65+'Financial Statements &amp; Detail'!BG72-'Financial Statements &amp; Detail'!BF65-'Financial Statements &amp; Detail'!BF72</f>
        <v>-431984.23032407463</v>
      </c>
      <c r="BH34" s="93">
        <f>'Financial Statements &amp; Detail'!BH65+'Financial Statements &amp; Detail'!BH72-'Financial Statements &amp; Detail'!BG65-'Financial Statements &amp; Detail'!BG72</f>
        <v>-431984.23032407463</v>
      </c>
      <c r="BI34" s="93">
        <f>'Financial Statements &amp; Detail'!BI65+'Financial Statements &amp; Detail'!BI72-'Financial Statements &amp; Detail'!BH65-'Financial Statements &amp; Detail'!BH72</f>
        <v>-431984.23032407463</v>
      </c>
      <c r="BJ34" s="93">
        <f>'Financial Statements &amp; Detail'!BJ65+'Financial Statements &amp; Detail'!BJ72-'Financial Statements &amp; Detail'!BI65-'Financial Statements &amp; Detail'!BI72</f>
        <v>-431984.23032407463</v>
      </c>
    </row>
    <row r="35" spans="1:62">
      <c r="A35" s="105" t="s">
        <v>292</v>
      </c>
      <c r="C35" s="93">
        <f>'Financial Statements &amp; Detail'!C78-'Financial Statements &amp; Detail'!B78</f>
        <v>15310158.035714285</v>
      </c>
      <c r="D35" s="93">
        <f>'Financial Statements &amp; Detail'!D78-'Financial Statements &amp; Detail'!C78</f>
        <v>0</v>
      </c>
      <c r="E35" s="93">
        <f>'Financial Statements &amp; Detail'!E78-'Financial Statements &amp; Detail'!D78</f>
        <v>0</v>
      </c>
      <c r="F35" s="93">
        <f>'Financial Statements &amp; Detail'!F78-'Financial Statements &amp; Detail'!E78</f>
        <v>0</v>
      </c>
      <c r="G35" s="93">
        <f>'Financial Statements &amp; Detail'!G78-'Financial Statements &amp; Detail'!F78</f>
        <v>0</v>
      </c>
      <c r="H35" s="93">
        <f>'Financial Statements &amp; Detail'!H78-'Financial Statements &amp; Detail'!G78</f>
        <v>0</v>
      </c>
      <c r="I35" s="93">
        <f>'Financial Statements &amp; Detail'!I78-'Financial Statements &amp; Detail'!H78</f>
        <v>0</v>
      </c>
      <c r="J35" s="93">
        <f>'Financial Statements &amp; Detail'!J78-'Financial Statements &amp; Detail'!I78</f>
        <v>0</v>
      </c>
      <c r="K35" s="93">
        <f>'Financial Statements &amp; Detail'!K78-'Financial Statements &amp; Detail'!J78</f>
        <v>0</v>
      </c>
      <c r="L35" s="93">
        <f>'Financial Statements &amp; Detail'!L78-'Financial Statements &amp; Detail'!K78</f>
        <v>0</v>
      </c>
      <c r="M35" s="93">
        <f>'Financial Statements &amp; Detail'!M78-'Financial Statements &amp; Detail'!L78</f>
        <v>0</v>
      </c>
      <c r="N35" s="93">
        <f>'Financial Statements &amp; Detail'!N78-'Financial Statements &amp; Detail'!M78</f>
        <v>0</v>
      </c>
      <c r="O35" s="93">
        <f>'Financial Statements &amp; Detail'!O78-'Financial Statements &amp; Detail'!N78</f>
        <v>2083333.333333334</v>
      </c>
      <c r="P35" s="93">
        <f>'Financial Statements &amp; Detail'!P78-'Financial Statements &amp; Detail'!O78</f>
        <v>0</v>
      </c>
      <c r="Q35" s="93">
        <f>'Financial Statements &amp; Detail'!Q78-'Financial Statements &amp; Detail'!P78</f>
        <v>0</v>
      </c>
      <c r="R35" s="93">
        <f>'Financial Statements &amp; Detail'!R78-'Financial Statements &amp; Detail'!Q78</f>
        <v>2083333.3333333358</v>
      </c>
      <c r="S35" s="93">
        <f>'Financial Statements &amp; Detail'!S78-'Financial Statements &amp; Detail'!R78</f>
        <v>0</v>
      </c>
      <c r="T35" s="93">
        <f>'Financial Statements &amp; Detail'!T78-'Financial Statements &amp; Detail'!S78</f>
        <v>0</v>
      </c>
      <c r="U35" s="93">
        <f>'Financial Statements &amp; Detail'!U78-'Financial Statements &amp; Detail'!T78</f>
        <v>2083333.3333333321</v>
      </c>
      <c r="V35" s="93">
        <f>'Financial Statements &amp; Detail'!V78-'Financial Statements &amp; Detail'!U78</f>
        <v>0</v>
      </c>
      <c r="W35" s="93">
        <f>'Financial Statements &amp; Detail'!W78-'Financial Statements &amp; Detail'!V78</f>
        <v>0</v>
      </c>
      <c r="X35" s="93">
        <f>'Financial Statements &amp; Detail'!X78-'Financial Statements &amp; Detail'!W78</f>
        <v>0</v>
      </c>
      <c r="Y35" s="93">
        <f>'Financial Statements &amp; Detail'!Y78-'Financial Statements &amp; Detail'!X78</f>
        <v>0</v>
      </c>
      <c r="Z35" s="93">
        <f>'Financial Statements &amp; Detail'!Z78-'Financial Statements &amp; Detail'!Y78</f>
        <v>0</v>
      </c>
      <c r="AA35" s="93">
        <f>'Financial Statements &amp; Detail'!AA78-'Financial Statements &amp; Detail'!Z78</f>
        <v>2083333.3333333321</v>
      </c>
      <c r="AB35" s="93">
        <f>'Financial Statements &amp; Detail'!AB78-'Financial Statements &amp; Detail'!AA78</f>
        <v>0</v>
      </c>
      <c r="AC35" s="93">
        <f>'Financial Statements &amp; Detail'!AC78-'Financial Statements &amp; Detail'!AB78</f>
        <v>0</v>
      </c>
      <c r="AD35" s="93">
        <f>'Financial Statements &amp; Detail'!AD78-'Financial Statements &amp; Detail'!AC78</f>
        <v>2083333.3333333358</v>
      </c>
      <c r="AE35" s="93">
        <f>'Financial Statements &amp; Detail'!AE78-'Financial Statements &amp; Detail'!AD78</f>
        <v>0</v>
      </c>
      <c r="AF35" s="93">
        <f>'Financial Statements &amp; Detail'!AF78-'Financial Statements &amp; Detail'!AE78</f>
        <v>0</v>
      </c>
      <c r="AG35" s="93">
        <f>'Financial Statements &amp; Detail'!AG78-'Financial Statements &amp; Detail'!AF78</f>
        <v>2083333.3333333358</v>
      </c>
      <c r="AH35" s="93">
        <f>'Financial Statements &amp; Detail'!AH78-'Financial Statements &amp; Detail'!AG78</f>
        <v>0</v>
      </c>
      <c r="AI35" s="93">
        <f>'Financial Statements &amp; Detail'!AI78-'Financial Statements &amp; Detail'!AH78</f>
        <v>0</v>
      </c>
      <c r="AJ35" s="93">
        <f>'Financial Statements &amp; Detail'!AJ78-'Financial Statements &amp; Detail'!AI78</f>
        <v>0</v>
      </c>
      <c r="AK35" s="93">
        <f>'Financial Statements &amp; Detail'!AK78-'Financial Statements &amp; Detail'!AJ78</f>
        <v>0</v>
      </c>
      <c r="AL35" s="93">
        <f>'Financial Statements &amp; Detail'!AL78-'Financial Statements &amp; Detail'!AK78</f>
        <v>0</v>
      </c>
      <c r="AM35" s="93">
        <f>'Financial Statements &amp; Detail'!AM78-'Financial Statements &amp; Detail'!AL78</f>
        <v>2083333.3333333284</v>
      </c>
      <c r="AN35" s="93">
        <f>'Financial Statements &amp; Detail'!AN78-'Financial Statements &amp; Detail'!AM78</f>
        <v>0</v>
      </c>
      <c r="AO35" s="93">
        <f>'Financial Statements &amp; Detail'!AO78-'Financial Statements &amp; Detail'!AN78</f>
        <v>0</v>
      </c>
      <c r="AP35" s="93">
        <f>'Financial Statements &amp; Detail'!AP78-'Financial Statements &amp; Detail'!AO78</f>
        <v>2083333.3333333358</v>
      </c>
      <c r="AQ35" s="93">
        <f>'Financial Statements &amp; Detail'!AQ78-'Financial Statements &amp; Detail'!AP78</f>
        <v>0</v>
      </c>
      <c r="AR35" s="93">
        <f>'Financial Statements &amp; Detail'!AR78-'Financial Statements &amp; Detail'!AQ78</f>
        <v>0</v>
      </c>
      <c r="AS35" s="93">
        <f>'Financial Statements &amp; Detail'!AS78-'Financial Statements &amp; Detail'!AR78</f>
        <v>2083333.3333333284</v>
      </c>
      <c r="AT35" s="93">
        <f>'Financial Statements &amp; Detail'!AT78-'Financial Statements &amp; Detail'!AS78</f>
        <v>0</v>
      </c>
      <c r="AU35" s="93">
        <f>'Financial Statements &amp; Detail'!AU78-'Financial Statements &amp; Detail'!AT78</f>
        <v>0</v>
      </c>
      <c r="AV35" s="93">
        <f>'Financial Statements &amp; Detail'!AV78-'Financial Statements &amp; Detail'!AU78</f>
        <v>0</v>
      </c>
      <c r="AW35" s="93">
        <f>'Financial Statements &amp; Detail'!AW78-'Financial Statements &amp; Detail'!AV78</f>
        <v>0</v>
      </c>
      <c r="AX35" s="93">
        <f>'Financial Statements &amp; Detail'!AX78-'Financial Statements &amp; Detail'!AW78</f>
        <v>0</v>
      </c>
      <c r="AY35" s="93">
        <f>'Financial Statements &amp; Detail'!AY78-'Financial Statements &amp; Detail'!AX78</f>
        <v>2083333.3333333358</v>
      </c>
      <c r="AZ35" s="93">
        <f>'Financial Statements &amp; Detail'!AZ78-'Financial Statements &amp; Detail'!AY78</f>
        <v>0</v>
      </c>
      <c r="BA35" s="93">
        <f>'Financial Statements &amp; Detail'!BA78-'Financial Statements &amp; Detail'!AZ78</f>
        <v>0</v>
      </c>
      <c r="BB35" s="93">
        <f>'Financial Statements &amp; Detail'!BB78-'Financial Statements &amp; Detail'!BA78</f>
        <v>2083333.3333333284</v>
      </c>
      <c r="BC35" s="93">
        <f>'Financial Statements &amp; Detail'!BC78-'Financial Statements &amp; Detail'!BB78</f>
        <v>0</v>
      </c>
      <c r="BD35" s="93">
        <f>'Financial Statements &amp; Detail'!BD78-'Financial Statements &amp; Detail'!BC78</f>
        <v>0</v>
      </c>
      <c r="BE35" s="93">
        <f>'Financial Statements &amp; Detail'!BE78-'Financial Statements &amp; Detail'!BD78</f>
        <v>2083333.3333333358</v>
      </c>
      <c r="BF35" s="93">
        <f>'Financial Statements &amp; Detail'!BF78-'Financial Statements &amp; Detail'!BE78</f>
        <v>0</v>
      </c>
      <c r="BG35" s="93">
        <f>'Financial Statements &amp; Detail'!BG78-'Financial Statements &amp; Detail'!BF78</f>
        <v>0</v>
      </c>
      <c r="BH35" s="93">
        <f>'Financial Statements &amp; Detail'!BH78-'Financial Statements &amp; Detail'!BG78</f>
        <v>0</v>
      </c>
      <c r="BI35" s="93">
        <f>'Financial Statements &amp; Detail'!BI78-'Financial Statements &amp; Detail'!BH78</f>
        <v>0</v>
      </c>
      <c r="BJ35" s="93">
        <f>'Financial Statements &amp; Detail'!BJ78-'Financial Statements &amp; Detail'!BI78</f>
        <v>0</v>
      </c>
    </row>
    <row r="36" spans="1:62">
      <c r="A36" s="105" t="s">
        <v>293</v>
      </c>
      <c r="C36" s="93">
        <f>'Financial Statements &amp; Detail'!C73-'Financial Statements &amp; Detail'!B73</f>
        <v>0</v>
      </c>
      <c r="D36" s="93">
        <f>'Financial Statements &amp; Detail'!D73-'Financial Statements &amp; Detail'!C73</f>
        <v>0</v>
      </c>
      <c r="E36" s="93">
        <f>'Financial Statements &amp; Detail'!E73-'Financial Statements &amp; Detail'!D73</f>
        <v>0</v>
      </c>
      <c r="F36" s="93">
        <f>'Financial Statements &amp; Detail'!F73-'Financial Statements &amp; Detail'!E73</f>
        <v>0</v>
      </c>
      <c r="G36" s="93">
        <f>'Financial Statements &amp; Detail'!G73-'Financial Statements &amp; Detail'!F73</f>
        <v>0</v>
      </c>
      <c r="H36" s="93">
        <f>'Financial Statements &amp; Detail'!H73-'Financial Statements &amp; Detail'!G73</f>
        <v>0</v>
      </c>
      <c r="I36" s="93">
        <f>'Financial Statements &amp; Detail'!I73-'Financial Statements &amp; Detail'!H73</f>
        <v>0</v>
      </c>
      <c r="J36" s="93">
        <f>'Financial Statements &amp; Detail'!J73-'Financial Statements &amp; Detail'!I73</f>
        <v>0</v>
      </c>
      <c r="K36" s="93">
        <f>'Financial Statements &amp; Detail'!K73-'Financial Statements &amp; Detail'!J73</f>
        <v>0</v>
      </c>
      <c r="L36" s="93">
        <f>'Financial Statements &amp; Detail'!L73-'Financial Statements &amp; Detail'!K73</f>
        <v>0</v>
      </c>
      <c r="M36" s="93">
        <f>'Financial Statements &amp; Detail'!M73-'Financial Statements &amp; Detail'!L73</f>
        <v>0</v>
      </c>
      <c r="N36" s="93">
        <f>'Financial Statements &amp; Detail'!N73-'Financial Statements &amp; Detail'!M73</f>
        <v>0</v>
      </c>
      <c r="O36" s="93">
        <f>'Financial Statements &amp; Detail'!O73-'Financial Statements &amp; Detail'!N73</f>
        <v>0</v>
      </c>
      <c r="P36" s="93">
        <f>'Financial Statements &amp; Detail'!P73-'Financial Statements &amp; Detail'!O73</f>
        <v>0</v>
      </c>
      <c r="Q36" s="93">
        <f>'Financial Statements &amp; Detail'!Q73-'Financial Statements &amp; Detail'!P73</f>
        <v>0</v>
      </c>
      <c r="R36" s="93">
        <f>'Financial Statements &amp; Detail'!R73-'Financial Statements &amp; Detail'!Q73</f>
        <v>0</v>
      </c>
      <c r="S36" s="93">
        <f>'Financial Statements &amp; Detail'!S73-'Financial Statements &amp; Detail'!R73</f>
        <v>0</v>
      </c>
      <c r="T36" s="93">
        <f>'Financial Statements &amp; Detail'!T73-'Financial Statements &amp; Detail'!S73</f>
        <v>0</v>
      </c>
      <c r="U36" s="93">
        <f>'Financial Statements &amp; Detail'!U73-'Financial Statements &amp; Detail'!T73</f>
        <v>0</v>
      </c>
      <c r="V36" s="93">
        <f>'Financial Statements &amp; Detail'!V73-'Financial Statements &amp; Detail'!U73</f>
        <v>0</v>
      </c>
      <c r="W36" s="93">
        <f>'Financial Statements &amp; Detail'!W73-'Financial Statements &amp; Detail'!V73</f>
        <v>0</v>
      </c>
      <c r="X36" s="93">
        <f>'Financial Statements &amp; Detail'!X73-'Financial Statements &amp; Detail'!W73</f>
        <v>0</v>
      </c>
      <c r="Y36" s="93">
        <f>'Financial Statements &amp; Detail'!Y73-'Financial Statements &amp; Detail'!X73</f>
        <v>0</v>
      </c>
      <c r="Z36" s="93">
        <f>'Financial Statements &amp; Detail'!Z73-'Financial Statements &amp; Detail'!Y73</f>
        <v>0</v>
      </c>
      <c r="AA36" s="93">
        <f>'Financial Statements &amp; Detail'!AA73-'Financial Statements &amp; Detail'!Z73</f>
        <v>0</v>
      </c>
      <c r="AB36" s="93">
        <f>'Financial Statements &amp; Detail'!AB73-'Financial Statements &amp; Detail'!AA73</f>
        <v>0</v>
      </c>
      <c r="AC36" s="93">
        <f>'Financial Statements &amp; Detail'!AC73-'Financial Statements &amp; Detail'!AB73</f>
        <v>0</v>
      </c>
      <c r="AD36" s="93">
        <f>'Financial Statements &amp; Detail'!AD73-'Financial Statements &amp; Detail'!AC73</f>
        <v>0</v>
      </c>
      <c r="AE36" s="93">
        <f>'Financial Statements &amp; Detail'!AE73-'Financial Statements &amp; Detail'!AD73</f>
        <v>0</v>
      </c>
      <c r="AF36" s="93">
        <f>'Financial Statements &amp; Detail'!AF73-'Financial Statements &amp; Detail'!AE73</f>
        <v>0</v>
      </c>
      <c r="AG36" s="93">
        <f>'Financial Statements &amp; Detail'!AG73-'Financial Statements &amp; Detail'!AF73</f>
        <v>0</v>
      </c>
      <c r="AH36" s="93">
        <f>'Financial Statements &amp; Detail'!AH73-'Financial Statements &amp; Detail'!AG73</f>
        <v>0</v>
      </c>
      <c r="AI36" s="93">
        <f>'Financial Statements &amp; Detail'!AI73-'Financial Statements &amp; Detail'!AH73</f>
        <v>0</v>
      </c>
      <c r="AJ36" s="93">
        <f>'Financial Statements &amp; Detail'!AJ73-'Financial Statements &amp; Detail'!AI73</f>
        <v>0</v>
      </c>
      <c r="AK36" s="93">
        <f>'Financial Statements &amp; Detail'!AK73-'Financial Statements &amp; Detail'!AJ73</f>
        <v>0</v>
      </c>
      <c r="AL36" s="93">
        <f>'Financial Statements &amp; Detail'!AL73-'Financial Statements &amp; Detail'!AK73</f>
        <v>0</v>
      </c>
      <c r="AM36" s="93">
        <f>'Financial Statements &amp; Detail'!AM73-'Financial Statements &amp; Detail'!AL73</f>
        <v>0</v>
      </c>
      <c r="AN36" s="93">
        <f>'Financial Statements &amp; Detail'!AN73-'Financial Statements &amp; Detail'!AM73</f>
        <v>0</v>
      </c>
      <c r="AO36" s="93">
        <f>'Financial Statements &amp; Detail'!AO73-'Financial Statements &amp; Detail'!AN73</f>
        <v>0</v>
      </c>
      <c r="AP36" s="93">
        <f>'Financial Statements &amp; Detail'!AP73-'Financial Statements &amp; Detail'!AO73</f>
        <v>0</v>
      </c>
      <c r="AQ36" s="93">
        <f>'Financial Statements &amp; Detail'!AQ73-'Financial Statements &amp; Detail'!AP73</f>
        <v>0</v>
      </c>
      <c r="AR36" s="93">
        <f>'Financial Statements &amp; Detail'!AR73-'Financial Statements &amp; Detail'!AQ73</f>
        <v>0</v>
      </c>
      <c r="AS36" s="93">
        <f>'Financial Statements &amp; Detail'!AS73-'Financial Statements &amp; Detail'!AR73</f>
        <v>0</v>
      </c>
      <c r="AT36" s="93">
        <f>'Financial Statements &amp; Detail'!AT73-'Financial Statements &amp; Detail'!AS73</f>
        <v>0</v>
      </c>
      <c r="AU36" s="93">
        <f>'Financial Statements &amp; Detail'!AU73-'Financial Statements &amp; Detail'!AT73</f>
        <v>0</v>
      </c>
      <c r="AV36" s="93">
        <f>'Financial Statements &amp; Detail'!AV73-'Financial Statements &amp; Detail'!AU73</f>
        <v>0</v>
      </c>
      <c r="AW36" s="93">
        <f>'Financial Statements &amp; Detail'!AW73-'Financial Statements &amp; Detail'!AV73</f>
        <v>0</v>
      </c>
      <c r="AX36" s="93">
        <f>'Financial Statements &amp; Detail'!AX73-'Financial Statements &amp; Detail'!AW73</f>
        <v>0</v>
      </c>
      <c r="AY36" s="93">
        <f>'Financial Statements &amp; Detail'!AY73-'Financial Statements &amp; Detail'!AX73</f>
        <v>0</v>
      </c>
      <c r="AZ36" s="93">
        <f>'Financial Statements &amp; Detail'!AZ73-'Financial Statements &amp; Detail'!AY73</f>
        <v>0</v>
      </c>
      <c r="BA36" s="93">
        <f>'Financial Statements &amp; Detail'!BA73-'Financial Statements &amp; Detail'!AZ73</f>
        <v>0</v>
      </c>
      <c r="BB36" s="93">
        <f>'Financial Statements &amp; Detail'!BB73-'Financial Statements &amp; Detail'!BA73</f>
        <v>0</v>
      </c>
      <c r="BC36" s="93">
        <f>'Financial Statements &amp; Detail'!BC73-'Financial Statements &amp; Detail'!BB73</f>
        <v>0</v>
      </c>
      <c r="BD36" s="93">
        <f>'Financial Statements &amp; Detail'!BD73-'Financial Statements &amp; Detail'!BC73</f>
        <v>0</v>
      </c>
      <c r="BE36" s="93">
        <f>'Financial Statements &amp; Detail'!BE73-'Financial Statements &amp; Detail'!BD73</f>
        <v>0</v>
      </c>
      <c r="BF36" s="93">
        <f>'Financial Statements &amp; Detail'!BF73-'Financial Statements &amp; Detail'!BE73</f>
        <v>0</v>
      </c>
      <c r="BG36" s="93">
        <f>'Financial Statements &amp; Detail'!BG73-'Financial Statements &amp; Detail'!BF73</f>
        <v>0</v>
      </c>
      <c r="BH36" s="93">
        <f>'Financial Statements &amp; Detail'!BH73-'Financial Statements &amp; Detail'!BG73</f>
        <v>0</v>
      </c>
      <c r="BI36" s="93">
        <f>'Financial Statements &amp; Detail'!BI73-'Financial Statements &amp; Detail'!BH73</f>
        <v>0</v>
      </c>
      <c r="BJ36" s="93">
        <f>'Financial Statements &amp; Detail'!BJ73-'Financial Statements &amp; Detail'!BI73</f>
        <v>0</v>
      </c>
    </row>
    <row r="37" spans="1:62">
      <c r="A37" s="105" t="s">
        <v>66</v>
      </c>
      <c r="C37" s="93">
        <f>SUM(C33:C36)</f>
        <v>15310158.035714285</v>
      </c>
      <c r="D37" s="93">
        <f t="shared" ref="D37:BJ37" si="4">SUM(D33:D36)</f>
        <v>0</v>
      </c>
      <c r="E37" s="93">
        <f t="shared" si="4"/>
        <v>0</v>
      </c>
      <c r="F37" s="93">
        <f t="shared" si="4"/>
        <v>0</v>
      </c>
      <c r="G37" s="93">
        <f t="shared" si="4"/>
        <v>0</v>
      </c>
      <c r="H37" s="93">
        <f t="shared" si="4"/>
        <v>0</v>
      </c>
      <c r="I37" s="93">
        <f t="shared" si="4"/>
        <v>0</v>
      </c>
      <c r="J37" s="93">
        <f t="shared" si="4"/>
        <v>0</v>
      </c>
      <c r="K37" s="93">
        <f t="shared" si="4"/>
        <v>0</v>
      </c>
      <c r="L37" s="93">
        <f t="shared" si="4"/>
        <v>0</v>
      </c>
      <c r="M37" s="93">
        <f t="shared" si="4"/>
        <v>0</v>
      </c>
      <c r="N37" s="93">
        <f t="shared" si="4"/>
        <v>0</v>
      </c>
      <c r="O37" s="93">
        <f t="shared" si="4"/>
        <v>16083333.333333334</v>
      </c>
      <c r="P37" s="93">
        <f t="shared" si="4"/>
        <v>0</v>
      </c>
      <c r="Q37" s="93">
        <f t="shared" si="4"/>
        <v>0</v>
      </c>
      <c r="R37" s="93">
        <f t="shared" si="4"/>
        <v>2083333.3333333358</v>
      </c>
      <c r="S37" s="93">
        <f t="shared" si="4"/>
        <v>0</v>
      </c>
      <c r="T37" s="93">
        <f t="shared" si="4"/>
        <v>0</v>
      </c>
      <c r="U37" s="93">
        <f t="shared" si="4"/>
        <v>2083333.3333333321</v>
      </c>
      <c r="V37" s="93">
        <f t="shared" si="4"/>
        <v>0</v>
      </c>
      <c r="W37" s="93">
        <f t="shared" si="4"/>
        <v>0</v>
      </c>
      <c r="X37" s="93">
        <f t="shared" si="4"/>
        <v>0</v>
      </c>
      <c r="Y37" s="93">
        <f t="shared" si="4"/>
        <v>0</v>
      </c>
      <c r="Z37" s="93">
        <f t="shared" si="4"/>
        <v>0</v>
      </c>
      <c r="AA37" s="93">
        <f t="shared" si="4"/>
        <v>11791666.666666664</v>
      </c>
      <c r="AB37" s="93">
        <f t="shared" si="4"/>
        <v>-291666.66666666791</v>
      </c>
      <c r="AC37" s="93">
        <f t="shared" si="4"/>
        <v>-291666.66666666791</v>
      </c>
      <c r="AD37" s="93">
        <f t="shared" si="4"/>
        <v>1791666.6666666679</v>
      </c>
      <c r="AE37" s="93">
        <f t="shared" si="4"/>
        <v>-291666.66666667163</v>
      </c>
      <c r="AF37" s="93">
        <f t="shared" si="4"/>
        <v>-291666.66666666791</v>
      </c>
      <c r="AG37" s="93">
        <f t="shared" si="4"/>
        <v>1791666.6666666679</v>
      </c>
      <c r="AH37" s="93">
        <f t="shared" si="4"/>
        <v>-291666.66666666791</v>
      </c>
      <c r="AI37" s="93">
        <f t="shared" si="4"/>
        <v>-291666.66666666791</v>
      </c>
      <c r="AJ37" s="93">
        <f t="shared" si="4"/>
        <v>-291666.66666666791</v>
      </c>
      <c r="AK37" s="93">
        <f t="shared" si="4"/>
        <v>-291666.66666666791</v>
      </c>
      <c r="AL37" s="93">
        <f t="shared" si="4"/>
        <v>-291666.66666666791</v>
      </c>
      <c r="AM37" s="93">
        <f t="shared" si="4"/>
        <v>6650173.6111111082</v>
      </c>
      <c r="AN37" s="93">
        <f t="shared" si="4"/>
        <v>-433159.72222222015</v>
      </c>
      <c r="AO37" s="93">
        <f t="shared" si="4"/>
        <v>-433159.72222222015</v>
      </c>
      <c r="AP37" s="93">
        <f t="shared" si="4"/>
        <v>1650173.6111111157</v>
      </c>
      <c r="AQ37" s="93">
        <f t="shared" si="4"/>
        <v>-433159.72222222015</v>
      </c>
      <c r="AR37" s="93">
        <f t="shared" si="4"/>
        <v>-433159.72222222015</v>
      </c>
      <c r="AS37" s="93">
        <f t="shared" si="4"/>
        <v>1650173.6111111045</v>
      </c>
      <c r="AT37" s="93">
        <f t="shared" si="4"/>
        <v>-433159.72222221643</v>
      </c>
      <c r="AU37" s="93">
        <f t="shared" si="4"/>
        <v>-433159.72222222015</v>
      </c>
      <c r="AV37" s="93">
        <f t="shared" si="4"/>
        <v>-433159.72222222015</v>
      </c>
      <c r="AW37" s="93">
        <f t="shared" si="4"/>
        <v>-433159.72222222015</v>
      </c>
      <c r="AX37" s="93">
        <f t="shared" si="4"/>
        <v>-433159.72222222015</v>
      </c>
      <c r="AY37" s="93">
        <f t="shared" si="4"/>
        <v>6651349.1030092631</v>
      </c>
      <c r="AZ37" s="93">
        <f t="shared" si="4"/>
        <v>-431984.23032407463</v>
      </c>
      <c r="BA37" s="93">
        <f t="shared" si="4"/>
        <v>-431984.23032407463</v>
      </c>
      <c r="BB37" s="93">
        <f t="shared" si="4"/>
        <v>1651349.1030092537</v>
      </c>
      <c r="BC37" s="93">
        <f t="shared" si="4"/>
        <v>-431984.23032407463</v>
      </c>
      <c r="BD37" s="93">
        <f t="shared" si="4"/>
        <v>-431984.23032407463</v>
      </c>
      <c r="BE37" s="93">
        <f t="shared" si="4"/>
        <v>1651349.1030092612</v>
      </c>
      <c r="BF37" s="93">
        <f t="shared" si="4"/>
        <v>-431984.23032407463</v>
      </c>
      <c r="BG37" s="93">
        <f t="shared" si="4"/>
        <v>-431984.23032407463</v>
      </c>
      <c r="BH37" s="93">
        <f t="shared" si="4"/>
        <v>-431984.23032407463</v>
      </c>
      <c r="BI37" s="93">
        <f t="shared" si="4"/>
        <v>-431984.23032407463</v>
      </c>
      <c r="BJ37" s="93">
        <f t="shared" si="4"/>
        <v>-431984.23032407463</v>
      </c>
    </row>
    <row r="39" spans="1:62">
      <c r="A39" s="6" t="s">
        <v>294</v>
      </c>
      <c r="C39" s="137">
        <f>C26+C31+C37</f>
        <v>3179582.7373511884</v>
      </c>
      <c r="D39" s="137">
        <f t="shared" ref="D39:BJ39" si="5">D26+D31+D37</f>
        <v>-95943.764523241174</v>
      </c>
      <c r="E39" s="137">
        <f t="shared" si="5"/>
        <v>-48301.189872414441</v>
      </c>
      <c r="F39" s="137">
        <f t="shared" si="5"/>
        <v>-43052.075496824225</v>
      </c>
      <c r="G39" s="137">
        <f t="shared" si="5"/>
        <v>-37973.242588218636</v>
      </c>
      <c r="H39" s="137">
        <f t="shared" si="5"/>
        <v>-33519.582702584739</v>
      </c>
      <c r="I39" s="137">
        <f t="shared" si="5"/>
        <v>-29369.890649233494</v>
      </c>
      <c r="J39" s="137">
        <f t="shared" si="5"/>
        <v>-24771.859893197572</v>
      </c>
      <c r="K39" s="137">
        <f t="shared" si="5"/>
        <v>-20180.828095555029</v>
      </c>
      <c r="L39" s="137">
        <f t="shared" si="5"/>
        <v>-15879.772787560316</v>
      </c>
      <c r="M39" s="137">
        <f t="shared" si="5"/>
        <v>-11720.557174515896</v>
      </c>
      <c r="N39" s="137">
        <f t="shared" si="5"/>
        <v>-17596.842732245932</v>
      </c>
      <c r="O39" s="137">
        <f t="shared" si="5"/>
        <v>7324718.6863437761</v>
      </c>
      <c r="P39" s="137">
        <f t="shared" si="5"/>
        <v>-1668637.5663468332</v>
      </c>
      <c r="Q39" s="137">
        <f t="shared" si="5"/>
        <v>78893.148088162125</v>
      </c>
      <c r="R39" s="137">
        <f t="shared" si="5"/>
        <v>-2016461.9229182266</v>
      </c>
      <c r="S39" s="137">
        <f t="shared" si="5"/>
        <v>-1323779.109414943</v>
      </c>
      <c r="T39" s="137">
        <f t="shared" si="5"/>
        <v>248112.30519935704</v>
      </c>
      <c r="U39" s="137">
        <f t="shared" si="5"/>
        <v>-1856556.5348125091</v>
      </c>
      <c r="V39" s="137">
        <f t="shared" si="5"/>
        <v>-1128865.1975096157</v>
      </c>
      <c r="W39" s="137">
        <f t="shared" si="5"/>
        <v>372683.42907167051</v>
      </c>
      <c r="X39" s="137">
        <f t="shared" si="5"/>
        <v>363667.06945314398</v>
      </c>
      <c r="Y39" s="137">
        <f t="shared" si="5"/>
        <v>358577.35605134413</v>
      </c>
      <c r="Z39" s="137">
        <f t="shared" si="5"/>
        <v>335944.43237004336</v>
      </c>
      <c r="AA39" s="137">
        <f t="shared" si="5"/>
        <v>7903018.4286189098</v>
      </c>
      <c r="AB39" s="137">
        <f t="shared" si="5"/>
        <v>-1228403.6397048733</v>
      </c>
      <c r="AC39" s="137">
        <f t="shared" si="5"/>
        <v>51048.189856277837</v>
      </c>
      <c r="AD39" s="137">
        <f t="shared" si="5"/>
        <v>-2053992.6470707846</v>
      </c>
      <c r="AE39" s="137">
        <f t="shared" si="5"/>
        <v>-1297133.6680518566</v>
      </c>
      <c r="AF39" s="137">
        <f t="shared" si="5"/>
        <v>200802.57094576047</v>
      </c>
      <c r="AG39" s="137">
        <f t="shared" si="5"/>
        <v>-1930411.5374823753</v>
      </c>
      <c r="AH39" s="137">
        <f t="shared" si="5"/>
        <v>-1084717.0315305879</v>
      </c>
      <c r="AI39" s="137">
        <f t="shared" si="5"/>
        <v>321291.52867124439</v>
      </c>
      <c r="AJ39" s="137">
        <f t="shared" si="5"/>
        <v>303324.83619536692</v>
      </c>
      <c r="AK39" s="137">
        <f t="shared" si="5"/>
        <v>298132.40255180956</v>
      </c>
      <c r="AL39" s="137">
        <f t="shared" si="5"/>
        <v>273042.5457866143</v>
      </c>
      <c r="AM39" s="137">
        <f t="shared" si="5"/>
        <v>2983270.4746310841</v>
      </c>
      <c r="AN39" s="137">
        <f t="shared" si="5"/>
        <v>-1022434.4450864366</v>
      </c>
      <c r="AO39" s="137">
        <f t="shared" si="5"/>
        <v>160761.99452111055</v>
      </c>
      <c r="AP39" s="137">
        <f t="shared" si="5"/>
        <v>-1965308.8679473996</v>
      </c>
      <c r="AQ39" s="137">
        <f t="shared" si="5"/>
        <v>-1159360.0301428121</v>
      </c>
      <c r="AR39" s="137">
        <f t="shared" si="5"/>
        <v>291050.22987272509</v>
      </c>
      <c r="AS39" s="137">
        <f t="shared" si="5"/>
        <v>-1818882.1463187109</v>
      </c>
      <c r="AT39" s="137">
        <f t="shared" si="5"/>
        <v>-922623.10249247425</v>
      </c>
      <c r="AU39" s="137">
        <f t="shared" si="5"/>
        <v>425354.45631001587</v>
      </c>
      <c r="AV39" s="137">
        <f t="shared" si="5"/>
        <v>426542.26972771203</v>
      </c>
      <c r="AW39" s="137">
        <f t="shared" si="5"/>
        <v>399894.95997144142</v>
      </c>
      <c r="AX39" s="137">
        <f t="shared" si="5"/>
        <v>393992.67719510267</v>
      </c>
      <c r="AY39" s="137">
        <f t="shared" si="5"/>
        <v>3216692.0412031887</v>
      </c>
      <c r="AZ39" s="137">
        <f t="shared" si="5"/>
        <v>-772478.00489952089</v>
      </c>
      <c r="BA39" s="137">
        <f t="shared" si="5"/>
        <v>389821.41236520535</v>
      </c>
      <c r="BB39" s="137">
        <f t="shared" si="5"/>
        <v>-1717185.7292292318</v>
      </c>
      <c r="BC39" s="137">
        <f t="shared" si="5"/>
        <v>-866579.85589588317</v>
      </c>
      <c r="BD39" s="137">
        <f t="shared" si="5"/>
        <v>539510.44149765512</v>
      </c>
      <c r="BE39" s="137">
        <f t="shared" si="5"/>
        <v>-1571749.7932631122</v>
      </c>
      <c r="BF39" s="137">
        <f t="shared" si="5"/>
        <v>-685790.02962003392</v>
      </c>
      <c r="BG39" s="137">
        <f t="shared" si="5"/>
        <v>673815.69000737602</v>
      </c>
      <c r="BH39" s="137">
        <f t="shared" si="5"/>
        <v>673505.02194719296</v>
      </c>
      <c r="BI39" s="137">
        <f t="shared" si="5"/>
        <v>645855.40239707381</v>
      </c>
      <c r="BJ39" s="137">
        <f t="shared" si="5"/>
        <v>644720.64801939367</v>
      </c>
    </row>
    <row r="40" spans="1:62">
      <c r="A40" s="6" t="s">
        <v>295</v>
      </c>
      <c r="C40" s="95">
        <v>0</v>
      </c>
      <c r="D40" s="137">
        <f>C41</f>
        <v>3179582.7373511884</v>
      </c>
      <c r="E40" s="137">
        <f t="shared" ref="E40:BJ40" si="6">D41</f>
        <v>3083638.9728279472</v>
      </c>
      <c r="F40" s="137">
        <f t="shared" si="6"/>
        <v>3035337.7829555329</v>
      </c>
      <c r="G40" s="137">
        <f t="shared" si="6"/>
        <v>2992285.7074587084</v>
      </c>
      <c r="H40" s="137">
        <f t="shared" si="6"/>
        <v>2954312.4648704897</v>
      </c>
      <c r="I40" s="137">
        <f t="shared" si="6"/>
        <v>2920792.8821679051</v>
      </c>
      <c r="J40" s="137">
        <f t="shared" si="6"/>
        <v>2891422.9915186716</v>
      </c>
      <c r="K40" s="137">
        <f t="shared" si="6"/>
        <v>2866651.131625474</v>
      </c>
      <c r="L40" s="137">
        <f t="shared" si="6"/>
        <v>2846470.3035299191</v>
      </c>
      <c r="M40" s="137">
        <f t="shared" si="6"/>
        <v>2830590.5307423589</v>
      </c>
      <c r="N40" s="137">
        <f t="shared" si="6"/>
        <v>2818869.973567843</v>
      </c>
      <c r="O40" s="137">
        <f t="shared" si="6"/>
        <v>2801273.1308355969</v>
      </c>
      <c r="P40" s="137">
        <f t="shared" si="6"/>
        <v>10125991.817179373</v>
      </c>
      <c r="Q40" s="137">
        <f t="shared" si="6"/>
        <v>8457354.2508325391</v>
      </c>
      <c r="R40" s="137">
        <f t="shared" si="6"/>
        <v>8536247.3989207018</v>
      </c>
      <c r="S40" s="137">
        <f t="shared" si="6"/>
        <v>6519785.4760024752</v>
      </c>
      <c r="T40" s="137">
        <f t="shared" si="6"/>
        <v>5196006.3665875327</v>
      </c>
      <c r="U40" s="137">
        <f t="shared" si="6"/>
        <v>5444118.6717868894</v>
      </c>
      <c r="V40" s="137">
        <f t="shared" si="6"/>
        <v>3587562.1369743804</v>
      </c>
      <c r="W40" s="137">
        <f t="shared" si="6"/>
        <v>2458696.9394647647</v>
      </c>
      <c r="X40" s="137">
        <f t="shared" si="6"/>
        <v>2831380.3685364351</v>
      </c>
      <c r="Y40" s="137">
        <f t="shared" si="6"/>
        <v>3195047.437989579</v>
      </c>
      <c r="Z40" s="137">
        <f t="shared" si="6"/>
        <v>3553624.794040923</v>
      </c>
      <c r="AA40" s="137">
        <f t="shared" si="6"/>
        <v>3889569.2264109664</v>
      </c>
      <c r="AB40" s="137">
        <f t="shared" si="6"/>
        <v>11792587.655029876</v>
      </c>
      <c r="AC40" s="137">
        <f t="shared" si="6"/>
        <v>10564184.015325002</v>
      </c>
      <c r="AD40" s="137">
        <f t="shared" si="6"/>
        <v>10615232.20518128</v>
      </c>
      <c r="AE40" s="137">
        <f t="shared" si="6"/>
        <v>8561239.558110496</v>
      </c>
      <c r="AF40" s="137">
        <f t="shared" si="6"/>
        <v>7264105.8900586395</v>
      </c>
      <c r="AG40" s="137">
        <f t="shared" si="6"/>
        <v>7464908.4610043997</v>
      </c>
      <c r="AH40" s="137">
        <f t="shared" si="6"/>
        <v>5534496.9235220244</v>
      </c>
      <c r="AI40" s="137">
        <f t="shared" si="6"/>
        <v>4449779.8919914365</v>
      </c>
      <c r="AJ40" s="137">
        <f t="shared" si="6"/>
        <v>4771071.4206626806</v>
      </c>
      <c r="AK40" s="137">
        <f t="shared" si="6"/>
        <v>5074396.2568580471</v>
      </c>
      <c r="AL40" s="137">
        <f t="shared" si="6"/>
        <v>5372528.6594098564</v>
      </c>
      <c r="AM40" s="137">
        <f t="shared" si="6"/>
        <v>5645571.205196471</v>
      </c>
      <c r="AN40" s="137">
        <f t="shared" si="6"/>
        <v>8628841.679827556</v>
      </c>
      <c r="AO40" s="137">
        <f t="shared" si="6"/>
        <v>7606407.2347411197</v>
      </c>
      <c r="AP40" s="137">
        <f t="shared" si="6"/>
        <v>7767169.22926223</v>
      </c>
      <c r="AQ40" s="137">
        <f t="shared" si="6"/>
        <v>5801860.3613148304</v>
      </c>
      <c r="AR40" s="137">
        <f t="shared" si="6"/>
        <v>4642500.3311720183</v>
      </c>
      <c r="AS40" s="137">
        <f t="shared" si="6"/>
        <v>4933550.5610447433</v>
      </c>
      <c r="AT40" s="137">
        <f t="shared" si="6"/>
        <v>3114668.4147260324</v>
      </c>
      <c r="AU40" s="137">
        <f t="shared" si="6"/>
        <v>2192045.3122335579</v>
      </c>
      <c r="AV40" s="137">
        <f t="shared" si="6"/>
        <v>2617399.768543574</v>
      </c>
      <c r="AW40" s="137">
        <f t="shared" si="6"/>
        <v>3043942.0382712861</v>
      </c>
      <c r="AX40" s="137">
        <f t="shared" si="6"/>
        <v>3443836.9982427275</v>
      </c>
      <c r="AY40" s="137">
        <f t="shared" si="6"/>
        <v>3837829.6754378304</v>
      </c>
      <c r="AZ40" s="137">
        <f t="shared" si="6"/>
        <v>7054521.7166410191</v>
      </c>
      <c r="BA40" s="137">
        <f t="shared" si="6"/>
        <v>6282043.7117414977</v>
      </c>
      <c r="BB40" s="137">
        <f t="shared" si="6"/>
        <v>6671865.1241067033</v>
      </c>
      <c r="BC40" s="137">
        <f t="shared" si="6"/>
        <v>4954679.394877471</v>
      </c>
      <c r="BD40" s="137">
        <f t="shared" si="6"/>
        <v>4088099.5389815876</v>
      </c>
      <c r="BE40" s="137">
        <f t="shared" si="6"/>
        <v>4627609.9804792423</v>
      </c>
      <c r="BF40" s="137">
        <f t="shared" si="6"/>
        <v>3055860.1872161301</v>
      </c>
      <c r="BG40" s="137">
        <f t="shared" si="6"/>
        <v>2370070.1575960964</v>
      </c>
      <c r="BH40" s="137">
        <f t="shared" si="6"/>
        <v>3043885.8476034724</v>
      </c>
      <c r="BI40" s="137">
        <f t="shared" si="6"/>
        <v>3717390.8695506654</v>
      </c>
      <c r="BJ40" s="137">
        <f t="shared" si="6"/>
        <v>4363246.2719477396</v>
      </c>
    </row>
    <row r="41" spans="1:62">
      <c r="A41" s="6" t="s">
        <v>296</v>
      </c>
      <c r="C41" s="137">
        <f>SUM(C39:C40)</f>
        <v>3179582.7373511884</v>
      </c>
      <c r="D41" s="137">
        <f t="shared" ref="D41:BJ41" si="7">SUM(D39:D40)</f>
        <v>3083638.9728279472</v>
      </c>
      <c r="E41" s="137">
        <f t="shared" si="7"/>
        <v>3035337.7829555329</v>
      </c>
      <c r="F41" s="137">
        <f t="shared" si="7"/>
        <v>2992285.7074587084</v>
      </c>
      <c r="G41" s="137">
        <f t="shared" si="7"/>
        <v>2954312.4648704897</v>
      </c>
      <c r="H41" s="137">
        <f t="shared" si="7"/>
        <v>2920792.8821679051</v>
      </c>
      <c r="I41" s="137">
        <f t="shared" si="7"/>
        <v>2891422.9915186716</v>
      </c>
      <c r="J41" s="137">
        <f t="shared" si="7"/>
        <v>2866651.131625474</v>
      </c>
      <c r="K41" s="137">
        <f t="shared" si="7"/>
        <v>2846470.3035299191</v>
      </c>
      <c r="L41" s="137">
        <f t="shared" si="7"/>
        <v>2830590.5307423589</v>
      </c>
      <c r="M41" s="137">
        <f t="shared" si="7"/>
        <v>2818869.973567843</v>
      </c>
      <c r="N41" s="137">
        <f t="shared" si="7"/>
        <v>2801273.1308355969</v>
      </c>
      <c r="O41" s="137">
        <f t="shared" si="7"/>
        <v>10125991.817179373</v>
      </c>
      <c r="P41" s="137">
        <f t="shared" si="7"/>
        <v>8457354.2508325391</v>
      </c>
      <c r="Q41" s="137">
        <f t="shared" si="7"/>
        <v>8536247.3989207018</v>
      </c>
      <c r="R41" s="137">
        <f t="shared" si="7"/>
        <v>6519785.4760024752</v>
      </c>
      <c r="S41" s="137">
        <f t="shared" si="7"/>
        <v>5196006.3665875327</v>
      </c>
      <c r="T41" s="137">
        <f t="shared" si="7"/>
        <v>5444118.6717868894</v>
      </c>
      <c r="U41" s="137">
        <f t="shared" si="7"/>
        <v>3587562.1369743804</v>
      </c>
      <c r="V41" s="137">
        <f t="shared" si="7"/>
        <v>2458696.9394647647</v>
      </c>
      <c r="W41" s="137">
        <f t="shared" si="7"/>
        <v>2831380.3685364351</v>
      </c>
      <c r="X41" s="137">
        <f t="shared" si="7"/>
        <v>3195047.437989579</v>
      </c>
      <c r="Y41" s="137">
        <f t="shared" si="7"/>
        <v>3553624.794040923</v>
      </c>
      <c r="Z41" s="137">
        <f t="shared" si="7"/>
        <v>3889569.2264109664</v>
      </c>
      <c r="AA41" s="137">
        <f t="shared" si="7"/>
        <v>11792587.655029876</v>
      </c>
      <c r="AB41" s="137">
        <f t="shared" si="7"/>
        <v>10564184.015325002</v>
      </c>
      <c r="AC41" s="137">
        <f t="shared" si="7"/>
        <v>10615232.20518128</v>
      </c>
      <c r="AD41" s="137">
        <f t="shared" si="7"/>
        <v>8561239.558110496</v>
      </c>
      <c r="AE41" s="137">
        <f t="shared" si="7"/>
        <v>7264105.8900586395</v>
      </c>
      <c r="AF41" s="137">
        <f t="shared" si="7"/>
        <v>7464908.4610043997</v>
      </c>
      <c r="AG41" s="137">
        <f t="shared" si="7"/>
        <v>5534496.9235220244</v>
      </c>
      <c r="AH41" s="137">
        <f t="shared" si="7"/>
        <v>4449779.8919914365</v>
      </c>
      <c r="AI41" s="137">
        <f t="shared" si="7"/>
        <v>4771071.4206626806</v>
      </c>
      <c r="AJ41" s="137">
        <f t="shared" si="7"/>
        <v>5074396.2568580471</v>
      </c>
      <c r="AK41" s="137">
        <f t="shared" si="7"/>
        <v>5372528.6594098564</v>
      </c>
      <c r="AL41" s="137">
        <f t="shared" si="7"/>
        <v>5645571.205196471</v>
      </c>
      <c r="AM41" s="137">
        <f t="shared" si="7"/>
        <v>8628841.679827556</v>
      </c>
      <c r="AN41" s="137">
        <f t="shared" si="7"/>
        <v>7606407.2347411197</v>
      </c>
      <c r="AO41" s="137">
        <f t="shared" si="7"/>
        <v>7767169.22926223</v>
      </c>
      <c r="AP41" s="137">
        <f t="shared" si="7"/>
        <v>5801860.3613148304</v>
      </c>
      <c r="AQ41" s="137">
        <f t="shared" si="7"/>
        <v>4642500.3311720183</v>
      </c>
      <c r="AR41" s="137">
        <f t="shared" si="7"/>
        <v>4933550.5610447433</v>
      </c>
      <c r="AS41" s="137">
        <f t="shared" si="7"/>
        <v>3114668.4147260324</v>
      </c>
      <c r="AT41" s="137">
        <f t="shared" si="7"/>
        <v>2192045.3122335579</v>
      </c>
      <c r="AU41" s="137">
        <f t="shared" si="7"/>
        <v>2617399.768543574</v>
      </c>
      <c r="AV41" s="137">
        <f t="shared" si="7"/>
        <v>3043942.0382712861</v>
      </c>
      <c r="AW41" s="137">
        <f t="shared" si="7"/>
        <v>3443836.9982427275</v>
      </c>
      <c r="AX41" s="137">
        <f t="shared" si="7"/>
        <v>3837829.6754378304</v>
      </c>
      <c r="AY41" s="137">
        <f t="shared" si="7"/>
        <v>7054521.7166410191</v>
      </c>
      <c r="AZ41" s="137">
        <f t="shared" si="7"/>
        <v>6282043.7117414977</v>
      </c>
      <c r="BA41" s="137">
        <f t="shared" si="7"/>
        <v>6671865.1241067033</v>
      </c>
      <c r="BB41" s="137">
        <f t="shared" si="7"/>
        <v>4954679.394877471</v>
      </c>
      <c r="BC41" s="137">
        <f t="shared" si="7"/>
        <v>4088099.5389815876</v>
      </c>
      <c r="BD41" s="137">
        <f t="shared" si="7"/>
        <v>4627609.9804792423</v>
      </c>
      <c r="BE41" s="137">
        <f t="shared" si="7"/>
        <v>3055860.1872161301</v>
      </c>
      <c r="BF41" s="137">
        <f t="shared" si="7"/>
        <v>2370070.1575960964</v>
      </c>
      <c r="BG41" s="137">
        <f t="shared" si="7"/>
        <v>3043885.8476034724</v>
      </c>
      <c r="BH41" s="137">
        <f t="shared" si="7"/>
        <v>3717390.8695506654</v>
      </c>
      <c r="BI41" s="137">
        <f t="shared" si="7"/>
        <v>4363246.2719477396</v>
      </c>
      <c r="BJ41" s="137">
        <f t="shared" si="7"/>
        <v>5007966.9199671336</v>
      </c>
    </row>
  </sheetData>
  <phoneticPr fontId="2" type="noConversion"/>
  <pageMargins left="0.75" right="0.75" top="1" bottom="1" header="0.5" footer="0.5"/>
  <headerFooter>
    <oddFooter>&amp;L&amp;"Arial Narrow,Bold"GH Capital Partners_x000D_Robert H. Hacker_x000D_rhhfla@mindspring.com&amp;C&amp;"Arial Narrow,Bold"CONFIDENTIAL&amp;R&amp;"Arial Narrow,Bold"&amp;D  &amp;T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J105"/>
  <sheetViews>
    <sheetView zoomScale="75" workbookViewId="0">
      <pane xSplit="1" ySplit="6" topLeftCell="B7" activePane="bottomRight" state="frozen"/>
      <selection activeCell="A117" sqref="A117"/>
      <selection pane="topRight" activeCell="A117" sqref="A117"/>
      <selection pane="bottomLeft" activeCell="A117" sqref="A117"/>
      <selection pane="bottomRight" activeCell="B7" sqref="B7"/>
    </sheetView>
  </sheetViews>
  <sheetFormatPr baseColWidth="10" defaultColWidth="9.3984375" defaultRowHeight="19" x14ac:dyDescent="0"/>
  <cols>
    <col min="1" max="1" width="58" style="8" bestFit="1" customWidth="1"/>
    <col min="2" max="2" width="5.59765625" style="8" customWidth="1"/>
    <col min="3" max="62" width="16.796875" style="8" bestFit="1" customWidth="1"/>
    <col min="63" max="16384" width="9.3984375" style="8"/>
  </cols>
  <sheetData>
    <row r="1" spans="1:62">
      <c r="A1" s="6"/>
    </row>
    <row r="2" spans="1:62">
      <c r="A2" s="6" t="s">
        <v>225</v>
      </c>
    </row>
    <row r="3" spans="1:62">
      <c r="A3" s="8" t="s">
        <v>0</v>
      </c>
    </row>
    <row r="6" spans="1:62">
      <c r="C6" s="91">
        <v>39455</v>
      </c>
      <c r="D6" s="91">
        <v>39486</v>
      </c>
      <c r="E6" s="91">
        <v>39515</v>
      </c>
      <c r="F6" s="91">
        <v>39546</v>
      </c>
      <c r="G6" s="91">
        <v>39576</v>
      </c>
      <c r="H6" s="91">
        <v>39607</v>
      </c>
      <c r="I6" s="91">
        <v>39637</v>
      </c>
      <c r="J6" s="91">
        <v>39668</v>
      </c>
      <c r="K6" s="91">
        <v>39699</v>
      </c>
      <c r="L6" s="91">
        <v>39729</v>
      </c>
      <c r="M6" s="91">
        <v>39760</v>
      </c>
      <c r="N6" s="91">
        <v>39790</v>
      </c>
      <c r="O6" s="91">
        <v>39821</v>
      </c>
      <c r="P6" s="91">
        <v>39852</v>
      </c>
      <c r="Q6" s="91">
        <v>39880</v>
      </c>
      <c r="R6" s="91">
        <v>39911</v>
      </c>
      <c r="S6" s="91">
        <v>39941</v>
      </c>
      <c r="T6" s="91">
        <v>39972</v>
      </c>
      <c r="U6" s="91">
        <v>40002</v>
      </c>
      <c r="V6" s="91">
        <v>40033</v>
      </c>
      <c r="W6" s="91">
        <v>40064</v>
      </c>
      <c r="X6" s="91">
        <v>40094</v>
      </c>
      <c r="Y6" s="91">
        <v>40125</v>
      </c>
      <c r="Z6" s="91">
        <v>40155</v>
      </c>
      <c r="AA6" s="91">
        <v>40186</v>
      </c>
      <c r="AB6" s="91">
        <v>40217</v>
      </c>
      <c r="AC6" s="91">
        <v>40245</v>
      </c>
      <c r="AD6" s="91">
        <v>40276</v>
      </c>
      <c r="AE6" s="91">
        <v>40306</v>
      </c>
      <c r="AF6" s="91">
        <v>40337</v>
      </c>
      <c r="AG6" s="91">
        <v>40367</v>
      </c>
      <c r="AH6" s="91">
        <v>40398</v>
      </c>
      <c r="AI6" s="91">
        <v>40429</v>
      </c>
      <c r="AJ6" s="91">
        <v>40459</v>
      </c>
      <c r="AK6" s="91">
        <v>40490</v>
      </c>
      <c r="AL6" s="91">
        <v>40520</v>
      </c>
      <c r="AM6" s="91">
        <v>40551</v>
      </c>
      <c r="AN6" s="91">
        <v>40582</v>
      </c>
      <c r="AO6" s="91">
        <v>40610</v>
      </c>
      <c r="AP6" s="91">
        <v>40641</v>
      </c>
      <c r="AQ6" s="91">
        <v>40671</v>
      </c>
      <c r="AR6" s="91">
        <v>40702</v>
      </c>
      <c r="AS6" s="91">
        <v>40732</v>
      </c>
      <c r="AT6" s="91">
        <v>40763</v>
      </c>
      <c r="AU6" s="91">
        <v>40794</v>
      </c>
      <c r="AV6" s="91">
        <v>40824</v>
      </c>
      <c r="AW6" s="91">
        <v>40855</v>
      </c>
      <c r="AX6" s="91">
        <v>40885</v>
      </c>
      <c r="AY6" s="91">
        <v>40916</v>
      </c>
      <c r="AZ6" s="91">
        <v>40947</v>
      </c>
      <c r="BA6" s="91">
        <v>40976</v>
      </c>
      <c r="BB6" s="91">
        <v>41007</v>
      </c>
      <c r="BC6" s="91">
        <v>41037</v>
      </c>
      <c r="BD6" s="91">
        <v>41068</v>
      </c>
      <c r="BE6" s="91">
        <v>41098</v>
      </c>
      <c r="BF6" s="91">
        <v>41129</v>
      </c>
      <c r="BG6" s="91">
        <v>41160</v>
      </c>
      <c r="BH6" s="91">
        <v>41190</v>
      </c>
      <c r="BI6" s="91">
        <v>41221</v>
      </c>
      <c r="BJ6" s="91">
        <v>41251</v>
      </c>
    </row>
    <row r="11" spans="1:62">
      <c r="A11" s="92" t="s">
        <v>48</v>
      </c>
      <c r="C11" s="137"/>
      <c r="D11" s="99"/>
      <c r="E11" s="99"/>
      <c r="F11" s="137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</row>
    <row r="12" spans="1:62">
      <c r="A12" s="94" t="s">
        <v>49</v>
      </c>
      <c r="C12" s="99">
        <f>C99</f>
        <v>79420</v>
      </c>
      <c r="D12" s="99">
        <f t="shared" ref="D12:BJ12" si="0">D99</f>
        <v>2935.8999999999924</v>
      </c>
      <c r="E12" s="99">
        <f t="shared" si="0"/>
        <v>2889.0729999999985</v>
      </c>
      <c r="F12" s="99">
        <f t="shared" si="0"/>
        <v>2843.6508100000037</v>
      </c>
      <c r="G12" s="99">
        <f t="shared" si="0"/>
        <v>2799.5912856999939</v>
      </c>
      <c r="H12" s="99">
        <f t="shared" si="0"/>
        <v>2756.8535471290124</v>
      </c>
      <c r="I12" s="99">
        <f t="shared" si="0"/>
        <v>2715.3979407151292</v>
      </c>
      <c r="J12" s="99">
        <f t="shared" si="0"/>
        <v>2675.1860024936832</v>
      </c>
      <c r="K12" s="99">
        <f t="shared" si="0"/>
        <v>2636.1804224188518</v>
      </c>
      <c r="L12" s="99">
        <f t="shared" si="0"/>
        <v>2598.3450097463083</v>
      </c>
      <c r="M12" s="99">
        <f t="shared" si="0"/>
        <v>2561.6446594539093</v>
      </c>
      <c r="N12" s="99">
        <f t="shared" si="0"/>
        <v>2526.045319670302</v>
      </c>
      <c r="O12" s="99">
        <f t="shared" si="0"/>
        <v>2491.5139600801922</v>
      </c>
      <c r="P12" s="99">
        <f t="shared" si="0"/>
        <v>59631.893541277808</v>
      </c>
      <c r="Q12" s="99">
        <f t="shared" si="0"/>
        <v>1375</v>
      </c>
      <c r="R12" s="99">
        <f t="shared" si="0"/>
        <v>1375</v>
      </c>
      <c r="S12" s="99">
        <f t="shared" si="0"/>
        <v>58038.781298998656</v>
      </c>
      <c r="T12" s="99">
        <f t="shared" si="0"/>
        <v>1375</v>
      </c>
      <c r="U12" s="99">
        <f t="shared" si="0"/>
        <v>1375</v>
      </c>
      <c r="V12" s="99">
        <f t="shared" si="0"/>
        <v>56584.790769500934</v>
      </c>
      <c r="W12" s="99">
        <f t="shared" si="0"/>
        <v>1375</v>
      </c>
      <c r="X12" s="99">
        <f t="shared" si="0"/>
        <v>1375</v>
      </c>
      <c r="Y12" s="99">
        <f t="shared" si="0"/>
        <v>1375</v>
      </c>
      <c r="Z12" s="99">
        <f t="shared" si="0"/>
        <v>1375</v>
      </c>
      <c r="AA12" s="99">
        <f t="shared" si="0"/>
        <v>3000</v>
      </c>
      <c r="AB12" s="99">
        <f t="shared" si="0"/>
        <v>59646.435839469377</v>
      </c>
      <c r="AC12" s="99">
        <f t="shared" si="0"/>
        <v>3000</v>
      </c>
      <c r="AD12" s="99">
        <f t="shared" si="0"/>
        <v>3000</v>
      </c>
      <c r="AE12" s="99">
        <f t="shared" si="0"/>
        <v>58193.960036915974</v>
      </c>
      <c r="AF12" s="99">
        <f t="shared" si="0"/>
        <v>3000</v>
      </c>
      <c r="AG12" s="99">
        <f t="shared" si="0"/>
        <v>3000</v>
      </c>
      <c r="AH12" s="99">
        <f t="shared" si="0"/>
        <v>56868.324588772288</v>
      </c>
      <c r="AI12" s="99">
        <f t="shared" si="0"/>
        <v>3000</v>
      </c>
      <c r="AJ12" s="99">
        <f t="shared" si="0"/>
        <v>3000</v>
      </c>
      <c r="AK12" s="99">
        <f t="shared" si="0"/>
        <v>3000</v>
      </c>
      <c r="AL12" s="99">
        <f t="shared" si="0"/>
        <v>3000</v>
      </c>
      <c r="AM12" s="99">
        <f t="shared" si="0"/>
        <v>5083.333333333333</v>
      </c>
      <c r="AN12" s="99">
        <f t="shared" si="0"/>
        <v>61262.740398696566</v>
      </c>
      <c r="AO12" s="99">
        <f t="shared" si="0"/>
        <v>5083.333333333333</v>
      </c>
      <c r="AP12" s="99">
        <f t="shared" si="0"/>
        <v>5083.333333333333</v>
      </c>
      <c r="AQ12" s="99">
        <f t="shared" si="0"/>
        <v>59851.048817899602</v>
      </c>
      <c r="AR12" s="99">
        <f t="shared" si="0"/>
        <v>5083.333333333333</v>
      </c>
      <c r="AS12" s="99">
        <f t="shared" si="0"/>
        <v>5083.333333333333</v>
      </c>
      <c r="AT12" s="99">
        <f t="shared" si="0"/>
        <v>58562.636027778841</v>
      </c>
      <c r="AU12" s="99">
        <f t="shared" si="0"/>
        <v>5083.333333333333</v>
      </c>
      <c r="AV12" s="99">
        <f t="shared" si="0"/>
        <v>5083.333333333333</v>
      </c>
      <c r="AW12" s="99">
        <f t="shared" si="0"/>
        <v>5083.333333333333</v>
      </c>
      <c r="AX12" s="99">
        <f t="shared" si="0"/>
        <v>5083.333333333333</v>
      </c>
      <c r="AY12" s="99">
        <f t="shared" si="0"/>
        <v>7166.6666666666661</v>
      </c>
      <c r="AZ12" s="99">
        <f t="shared" si="0"/>
        <v>63022.029384751389</v>
      </c>
      <c r="BA12" s="99">
        <f t="shared" si="0"/>
        <v>7166.6666666666661</v>
      </c>
      <c r="BB12" s="99">
        <f t="shared" si="0"/>
        <v>7166.6666666666661</v>
      </c>
      <c r="BC12" s="99">
        <f t="shared" si="0"/>
        <v>61638.635624669099</v>
      </c>
      <c r="BD12" s="99">
        <f t="shared" si="0"/>
        <v>7166.6666666666661</v>
      </c>
      <c r="BE12" s="99">
        <f t="shared" si="0"/>
        <v>7166.6666666666661</v>
      </c>
      <c r="BF12" s="99">
        <f t="shared" si="0"/>
        <v>60376.049491473663</v>
      </c>
      <c r="BG12" s="99">
        <f t="shared" si="0"/>
        <v>7166.6666666666661</v>
      </c>
      <c r="BH12" s="99">
        <f t="shared" si="0"/>
        <v>7166.6666666666661</v>
      </c>
      <c r="BI12" s="99">
        <f t="shared" si="0"/>
        <v>7166.6666666666661</v>
      </c>
      <c r="BJ12" s="99">
        <f t="shared" si="0"/>
        <v>7166.6666666666661</v>
      </c>
    </row>
    <row r="13" spans="1:62">
      <c r="A13" s="94" t="s">
        <v>50</v>
      </c>
      <c r="C13" s="99">
        <v>0</v>
      </c>
      <c r="D13" s="99">
        <v>0</v>
      </c>
      <c r="E13" s="99">
        <v>0</v>
      </c>
      <c r="F13" s="99">
        <v>0</v>
      </c>
      <c r="G13" s="99">
        <v>0</v>
      </c>
      <c r="H13" s="99">
        <v>0</v>
      </c>
      <c r="I13" s="99">
        <v>0</v>
      </c>
      <c r="J13" s="99">
        <v>0</v>
      </c>
      <c r="K13" s="99">
        <v>0</v>
      </c>
      <c r="L13" s="99">
        <v>0</v>
      </c>
      <c r="M13" s="99">
        <v>0</v>
      </c>
      <c r="N13" s="99">
        <v>0</v>
      </c>
      <c r="O13" s="99">
        <v>0</v>
      </c>
      <c r="P13" s="99">
        <v>0</v>
      </c>
      <c r="Q13" s="99">
        <v>0</v>
      </c>
      <c r="R13" s="99">
        <v>0</v>
      </c>
      <c r="S13" s="99">
        <v>0</v>
      </c>
      <c r="T13" s="99">
        <v>0</v>
      </c>
      <c r="U13" s="99">
        <v>0</v>
      </c>
      <c r="V13" s="99">
        <v>0</v>
      </c>
      <c r="W13" s="99">
        <v>0</v>
      </c>
      <c r="X13" s="99">
        <v>0</v>
      </c>
      <c r="Y13" s="99">
        <v>0</v>
      </c>
      <c r="Z13" s="99">
        <v>0</v>
      </c>
      <c r="AA13" s="99">
        <v>0</v>
      </c>
      <c r="AB13" s="99">
        <v>0</v>
      </c>
      <c r="AC13" s="99">
        <v>0</v>
      </c>
      <c r="AD13" s="99">
        <v>0</v>
      </c>
      <c r="AE13" s="99">
        <v>0</v>
      </c>
      <c r="AF13" s="99">
        <v>0</v>
      </c>
      <c r="AG13" s="99">
        <v>0</v>
      </c>
      <c r="AH13" s="99">
        <v>0</v>
      </c>
      <c r="AI13" s="99">
        <v>0</v>
      </c>
      <c r="AJ13" s="99">
        <v>0</v>
      </c>
      <c r="AK13" s="99">
        <v>0</v>
      </c>
      <c r="AL13" s="99">
        <v>0</v>
      </c>
      <c r="AM13" s="99">
        <v>0</v>
      </c>
      <c r="AN13" s="99">
        <v>0</v>
      </c>
      <c r="AO13" s="99">
        <v>0</v>
      </c>
      <c r="AP13" s="99">
        <v>0</v>
      </c>
      <c r="AQ13" s="99">
        <v>0</v>
      </c>
      <c r="AR13" s="99">
        <v>0</v>
      </c>
      <c r="AS13" s="99">
        <v>0</v>
      </c>
      <c r="AT13" s="99">
        <v>0</v>
      </c>
      <c r="AU13" s="99">
        <v>0</v>
      </c>
      <c r="AV13" s="99">
        <v>0</v>
      </c>
      <c r="AW13" s="99">
        <v>0</v>
      </c>
      <c r="AX13" s="99">
        <v>0</v>
      </c>
      <c r="AY13" s="99">
        <v>0</v>
      </c>
      <c r="AZ13" s="99">
        <v>0</v>
      </c>
      <c r="BA13" s="99">
        <v>0</v>
      </c>
      <c r="BB13" s="99">
        <v>0</v>
      </c>
      <c r="BC13" s="99">
        <v>0</v>
      </c>
      <c r="BD13" s="99">
        <v>0</v>
      </c>
      <c r="BE13" s="99">
        <v>0</v>
      </c>
      <c r="BF13" s="99">
        <v>0</v>
      </c>
      <c r="BG13" s="99">
        <v>0</v>
      </c>
      <c r="BH13" s="99">
        <v>0</v>
      </c>
      <c r="BI13" s="99">
        <v>0</v>
      </c>
      <c r="BJ13" s="99">
        <v>0</v>
      </c>
    </row>
    <row r="14" spans="1:62">
      <c r="A14" s="94" t="s">
        <v>51</v>
      </c>
      <c r="C14" s="99">
        <v>0</v>
      </c>
      <c r="D14" s="99">
        <v>0</v>
      </c>
      <c r="E14" s="99">
        <v>0</v>
      </c>
      <c r="F14" s="99">
        <v>0</v>
      </c>
      <c r="G14" s="99">
        <v>0</v>
      </c>
      <c r="H14" s="99">
        <v>0</v>
      </c>
      <c r="I14" s="99">
        <v>0</v>
      </c>
      <c r="J14" s="99">
        <v>0</v>
      </c>
      <c r="K14" s="99">
        <v>0</v>
      </c>
      <c r="L14" s="99">
        <v>0</v>
      </c>
      <c r="M14" s="99">
        <v>0</v>
      </c>
      <c r="N14" s="99">
        <v>0</v>
      </c>
      <c r="O14" s="99">
        <v>0</v>
      </c>
      <c r="P14" s="99">
        <v>0</v>
      </c>
      <c r="Q14" s="99">
        <v>0</v>
      </c>
      <c r="R14" s="99">
        <v>0</v>
      </c>
      <c r="S14" s="99">
        <v>0</v>
      </c>
      <c r="T14" s="99">
        <v>0</v>
      </c>
      <c r="U14" s="99">
        <v>0</v>
      </c>
      <c r="V14" s="99">
        <v>0</v>
      </c>
      <c r="W14" s="99">
        <v>0</v>
      </c>
      <c r="X14" s="99">
        <v>0</v>
      </c>
      <c r="Y14" s="99">
        <v>0</v>
      </c>
      <c r="Z14" s="99">
        <v>0</v>
      </c>
      <c r="AA14" s="99">
        <v>0</v>
      </c>
      <c r="AB14" s="99">
        <v>0</v>
      </c>
      <c r="AC14" s="99">
        <v>0</v>
      </c>
      <c r="AD14" s="99">
        <v>0</v>
      </c>
      <c r="AE14" s="99">
        <v>0</v>
      </c>
      <c r="AF14" s="99">
        <v>0</v>
      </c>
      <c r="AG14" s="99">
        <v>0</v>
      </c>
      <c r="AH14" s="99">
        <v>0</v>
      </c>
      <c r="AI14" s="99">
        <v>0</v>
      </c>
      <c r="AJ14" s="99">
        <v>0</v>
      </c>
      <c r="AK14" s="99">
        <v>0</v>
      </c>
      <c r="AL14" s="99">
        <v>0</v>
      </c>
      <c r="AM14" s="99">
        <v>0</v>
      </c>
      <c r="AN14" s="99">
        <v>0</v>
      </c>
      <c r="AO14" s="99">
        <v>0</v>
      </c>
      <c r="AP14" s="99">
        <v>0</v>
      </c>
      <c r="AQ14" s="99">
        <v>0</v>
      </c>
      <c r="AR14" s="99">
        <v>0</v>
      </c>
      <c r="AS14" s="99">
        <v>0</v>
      </c>
      <c r="AT14" s="99">
        <v>0</v>
      </c>
      <c r="AU14" s="99">
        <v>0</v>
      </c>
      <c r="AV14" s="99">
        <v>0</v>
      </c>
      <c r="AW14" s="99">
        <v>0</v>
      </c>
      <c r="AX14" s="99">
        <v>0</v>
      </c>
      <c r="AY14" s="99">
        <v>0</v>
      </c>
      <c r="AZ14" s="99">
        <v>0</v>
      </c>
      <c r="BA14" s="99">
        <v>0</v>
      </c>
      <c r="BB14" s="99">
        <v>0</v>
      </c>
      <c r="BC14" s="99">
        <v>0</v>
      </c>
      <c r="BD14" s="99">
        <v>0</v>
      </c>
      <c r="BE14" s="99">
        <v>0</v>
      </c>
      <c r="BF14" s="99">
        <v>0</v>
      </c>
      <c r="BG14" s="99">
        <v>0</v>
      </c>
      <c r="BH14" s="99">
        <v>0</v>
      </c>
      <c r="BI14" s="99">
        <v>0</v>
      </c>
      <c r="BJ14" s="99">
        <v>0</v>
      </c>
    </row>
    <row r="15" spans="1:62">
      <c r="A15" s="94" t="s">
        <v>52</v>
      </c>
      <c r="B15" s="95"/>
      <c r="C15" s="99">
        <v>0</v>
      </c>
      <c r="D15" s="99">
        <v>0</v>
      </c>
      <c r="E15" s="99">
        <v>0</v>
      </c>
      <c r="F15" s="99">
        <v>0</v>
      </c>
      <c r="G15" s="99">
        <v>0</v>
      </c>
      <c r="H15" s="99">
        <v>0</v>
      </c>
      <c r="I15" s="99">
        <v>0</v>
      </c>
      <c r="J15" s="99">
        <v>0</v>
      </c>
      <c r="K15" s="99">
        <v>0</v>
      </c>
      <c r="L15" s="99">
        <v>0</v>
      </c>
      <c r="M15" s="99">
        <v>0</v>
      </c>
      <c r="N15" s="99">
        <v>0</v>
      </c>
      <c r="O15" s="99">
        <v>0</v>
      </c>
      <c r="P15" s="99">
        <v>0</v>
      </c>
      <c r="Q15" s="99">
        <v>0</v>
      </c>
      <c r="R15" s="99">
        <v>0</v>
      </c>
      <c r="S15" s="99">
        <v>0</v>
      </c>
      <c r="T15" s="99">
        <v>0</v>
      </c>
      <c r="U15" s="99">
        <v>0</v>
      </c>
      <c r="V15" s="99">
        <v>0</v>
      </c>
      <c r="W15" s="99">
        <v>0</v>
      </c>
      <c r="X15" s="99">
        <v>0</v>
      </c>
      <c r="Y15" s="99">
        <v>0</v>
      </c>
      <c r="Z15" s="99">
        <v>0</v>
      </c>
      <c r="AA15" s="99">
        <v>0</v>
      </c>
      <c r="AB15" s="99">
        <v>0</v>
      </c>
      <c r="AC15" s="99">
        <v>0</v>
      </c>
      <c r="AD15" s="99">
        <v>0</v>
      </c>
      <c r="AE15" s="99">
        <v>0</v>
      </c>
      <c r="AF15" s="99">
        <v>0</v>
      </c>
      <c r="AG15" s="99">
        <v>0</v>
      </c>
      <c r="AH15" s="99">
        <v>0</v>
      </c>
      <c r="AI15" s="99">
        <v>0</v>
      </c>
      <c r="AJ15" s="99">
        <v>0</v>
      </c>
      <c r="AK15" s="99">
        <v>0</v>
      </c>
      <c r="AL15" s="99">
        <v>0</v>
      </c>
      <c r="AM15" s="99">
        <v>0</v>
      </c>
      <c r="AN15" s="99">
        <v>0</v>
      </c>
      <c r="AO15" s="99">
        <v>0</v>
      </c>
      <c r="AP15" s="99">
        <v>0</v>
      </c>
      <c r="AQ15" s="99">
        <v>0</v>
      </c>
      <c r="AR15" s="99">
        <v>0</v>
      </c>
      <c r="AS15" s="99">
        <v>0</v>
      </c>
      <c r="AT15" s="99">
        <v>0</v>
      </c>
      <c r="AU15" s="99">
        <v>0</v>
      </c>
      <c r="AV15" s="99">
        <v>0</v>
      </c>
      <c r="AW15" s="99">
        <v>0</v>
      </c>
      <c r="AX15" s="99">
        <v>0</v>
      </c>
      <c r="AY15" s="99">
        <v>0</v>
      </c>
      <c r="AZ15" s="99">
        <v>0</v>
      </c>
      <c r="BA15" s="99">
        <v>0</v>
      </c>
      <c r="BB15" s="99">
        <v>0</v>
      </c>
      <c r="BC15" s="99">
        <v>0</v>
      </c>
      <c r="BD15" s="99">
        <v>0</v>
      </c>
      <c r="BE15" s="99">
        <v>0</v>
      </c>
      <c r="BF15" s="99">
        <v>0</v>
      </c>
      <c r="BG15" s="99">
        <v>0</v>
      </c>
      <c r="BH15" s="99">
        <v>0</v>
      </c>
      <c r="BI15" s="99">
        <v>0</v>
      </c>
      <c r="BJ15" s="99">
        <v>0</v>
      </c>
    </row>
    <row r="16" spans="1:62">
      <c r="A16" s="94" t="s">
        <v>53</v>
      </c>
      <c r="C16" s="99">
        <v>0</v>
      </c>
      <c r="D16" s="99">
        <v>0</v>
      </c>
      <c r="E16" s="99">
        <v>0</v>
      </c>
      <c r="F16" s="99">
        <v>0</v>
      </c>
      <c r="G16" s="99">
        <v>0</v>
      </c>
      <c r="H16" s="99">
        <v>0</v>
      </c>
      <c r="I16" s="99">
        <v>0</v>
      </c>
      <c r="J16" s="99">
        <v>0</v>
      </c>
      <c r="K16" s="99">
        <v>0</v>
      </c>
      <c r="L16" s="99">
        <v>0</v>
      </c>
      <c r="M16" s="99">
        <v>0</v>
      </c>
      <c r="N16" s="99">
        <v>0</v>
      </c>
      <c r="O16" s="99">
        <v>0</v>
      </c>
      <c r="P16" s="99">
        <v>0</v>
      </c>
      <c r="Q16" s="99">
        <v>0</v>
      </c>
      <c r="R16" s="99">
        <v>0</v>
      </c>
      <c r="S16" s="99">
        <v>0</v>
      </c>
      <c r="T16" s="99">
        <v>0</v>
      </c>
      <c r="U16" s="99">
        <v>0</v>
      </c>
      <c r="V16" s="99">
        <v>0</v>
      </c>
      <c r="W16" s="99">
        <v>0</v>
      </c>
      <c r="X16" s="99">
        <v>0</v>
      </c>
      <c r="Y16" s="99">
        <v>0</v>
      </c>
      <c r="Z16" s="99">
        <v>0</v>
      </c>
      <c r="AA16" s="99">
        <v>0</v>
      </c>
      <c r="AB16" s="99">
        <v>0</v>
      </c>
      <c r="AC16" s="99">
        <v>0</v>
      </c>
      <c r="AD16" s="99">
        <v>0</v>
      </c>
      <c r="AE16" s="99">
        <v>0</v>
      </c>
      <c r="AF16" s="99">
        <v>0</v>
      </c>
      <c r="AG16" s="99">
        <v>0</v>
      </c>
      <c r="AH16" s="99">
        <v>0</v>
      </c>
      <c r="AI16" s="99">
        <v>0</v>
      </c>
      <c r="AJ16" s="99">
        <v>0</v>
      </c>
      <c r="AK16" s="99">
        <v>0</v>
      </c>
      <c r="AL16" s="99">
        <v>0</v>
      </c>
      <c r="AM16" s="99">
        <v>0</v>
      </c>
      <c r="AN16" s="99">
        <v>0</v>
      </c>
      <c r="AO16" s="99">
        <v>0</v>
      </c>
      <c r="AP16" s="99">
        <v>0</v>
      </c>
      <c r="AQ16" s="99">
        <v>0</v>
      </c>
      <c r="AR16" s="99">
        <v>0</v>
      </c>
      <c r="AS16" s="99">
        <v>0</v>
      </c>
      <c r="AT16" s="99">
        <v>0</v>
      </c>
      <c r="AU16" s="99">
        <v>0</v>
      </c>
      <c r="AV16" s="99">
        <v>0</v>
      </c>
      <c r="AW16" s="99">
        <v>0</v>
      </c>
      <c r="AX16" s="99">
        <v>0</v>
      </c>
      <c r="AY16" s="99">
        <v>0</v>
      </c>
      <c r="AZ16" s="99">
        <v>0</v>
      </c>
      <c r="BA16" s="99">
        <v>0</v>
      </c>
      <c r="BB16" s="99">
        <v>0</v>
      </c>
      <c r="BC16" s="99">
        <v>0</v>
      </c>
      <c r="BD16" s="99">
        <v>0</v>
      </c>
      <c r="BE16" s="99">
        <v>0</v>
      </c>
      <c r="BF16" s="99">
        <v>0</v>
      </c>
      <c r="BG16" s="99">
        <v>0</v>
      </c>
      <c r="BH16" s="99">
        <v>0</v>
      </c>
      <c r="BI16" s="99">
        <v>0</v>
      </c>
      <c r="BJ16" s="99">
        <v>0</v>
      </c>
    </row>
    <row r="17" spans="1:62">
      <c r="A17" s="94" t="s">
        <v>54</v>
      </c>
      <c r="C17" s="99">
        <f>C79</f>
        <v>13946.25</v>
      </c>
      <c r="D17" s="99">
        <f t="shared" ref="D17:BJ17" si="1">D79</f>
        <v>13983.75</v>
      </c>
      <c r="E17" s="99">
        <f t="shared" si="1"/>
        <v>13983.75</v>
      </c>
      <c r="F17" s="99">
        <f t="shared" si="1"/>
        <v>14021.25</v>
      </c>
      <c r="G17" s="99">
        <f t="shared" si="1"/>
        <v>14021.25</v>
      </c>
      <c r="H17" s="99">
        <f t="shared" si="1"/>
        <v>14178.75</v>
      </c>
      <c r="I17" s="99">
        <f t="shared" si="1"/>
        <v>14216.25</v>
      </c>
      <c r="J17" s="99">
        <f t="shared" si="1"/>
        <v>14216.25</v>
      </c>
      <c r="K17" s="99">
        <f t="shared" si="1"/>
        <v>14216.25</v>
      </c>
      <c r="L17" s="99">
        <f t="shared" si="1"/>
        <v>14253.75</v>
      </c>
      <c r="M17" s="99">
        <f t="shared" si="1"/>
        <v>14253.75</v>
      </c>
      <c r="N17" s="99">
        <f t="shared" si="1"/>
        <v>14253.75</v>
      </c>
      <c r="O17" s="99">
        <f t="shared" si="1"/>
        <v>14291.25</v>
      </c>
      <c r="P17" s="99">
        <f t="shared" si="1"/>
        <v>16366.25</v>
      </c>
      <c r="Q17" s="99">
        <f t="shared" si="1"/>
        <v>16328.75</v>
      </c>
      <c r="R17" s="99">
        <f t="shared" si="1"/>
        <v>16291.25</v>
      </c>
      <c r="S17" s="99">
        <f t="shared" si="1"/>
        <v>17303.75</v>
      </c>
      <c r="T17" s="99">
        <f t="shared" si="1"/>
        <v>17266.25</v>
      </c>
      <c r="U17" s="99">
        <f t="shared" si="1"/>
        <v>17161.25</v>
      </c>
      <c r="V17" s="99">
        <f t="shared" si="1"/>
        <v>18921.25</v>
      </c>
      <c r="W17" s="99">
        <f t="shared" si="1"/>
        <v>18846.25</v>
      </c>
      <c r="X17" s="99">
        <f t="shared" si="1"/>
        <v>18741.25</v>
      </c>
      <c r="Y17" s="99">
        <f t="shared" si="1"/>
        <v>18703.75</v>
      </c>
      <c r="Z17" s="99">
        <f t="shared" si="1"/>
        <v>18628.75</v>
      </c>
      <c r="AA17" s="99">
        <f t="shared" si="1"/>
        <v>18523.75</v>
      </c>
      <c r="AB17" s="99">
        <f t="shared" si="1"/>
        <v>19446.25</v>
      </c>
      <c r="AC17" s="99">
        <f t="shared" si="1"/>
        <v>19371.25</v>
      </c>
      <c r="AD17" s="99">
        <f t="shared" si="1"/>
        <v>19333.75</v>
      </c>
      <c r="AE17" s="99">
        <f t="shared" si="1"/>
        <v>20346.250000000004</v>
      </c>
      <c r="AF17" s="99">
        <f t="shared" si="1"/>
        <v>20203.750000000004</v>
      </c>
      <c r="AG17" s="99">
        <f t="shared" si="1"/>
        <v>20166.250000000004</v>
      </c>
      <c r="AH17" s="99">
        <f t="shared" si="1"/>
        <v>21141.250000000004</v>
      </c>
      <c r="AI17" s="99">
        <f t="shared" si="1"/>
        <v>20998.750000000004</v>
      </c>
      <c r="AJ17" s="99">
        <f t="shared" si="1"/>
        <v>20923.750000000004</v>
      </c>
      <c r="AK17" s="99">
        <f t="shared" si="1"/>
        <v>20781.250000000004</v>
      </c>
      <c r="AL17" s="99">
        <f t="shared" si="1"/>
        <v>20743.750000000004</v>
      </c>
      <c r="AM17" s="99">
        <f t="shared" si="1"/>
        <v>20601.250000000004</v>
      </c>
      <c r="AN17" s="99">
        <f t="shared" si="1"/>
        <v>21433.750000000004</v>
      </c>
      <c r="AO17" s="99">
        <f t="shared" si="1"/>
        <v>21358.750000000004</v>
      </c>
      <c r="AP17" s="99">
        <f t="shared" si="1"/>
        <v>21321.250000000004</v>
      </c>
      <c r="AQ17" s="99">
        <f t="shared" si="1"/>
        <v>22296.250000000004</v>
      </c>
      <c r="AR17" s="99">
        <f t="shared" si="1"/>
        <v>22191.250000000004</v>
      </c>
      <c r="AS17" s="99">
        <f t="shared" si="1"/>
        <v>22116.250000000004</v>
      </c>
      <c r="AT17" s="99">
        <f t="shared" si="1"/>
        <v>22933.750000000004</v>
      </c>
      <c r="AU17" s="99">
        <f t="shared" si="1"/>
        <v>22858.750000000004</v>
      </c>
      <c r="AV17" s="99">
        <f t="shared" si="1"/>
        <v>22716.250000000004</v>
      </c>
      <c r="AW17" s="99">
        <f t="shared" si="1"/>
        <v>22678.750000000004</v>
      </c>
      <c r="AX17" s="99">
        <f t="shared" si="1"/>
        <v>22603.750000000004</v>
      </c>
      <c r="AY17" s="99">
        <f t="shared" si="1"/>
        <v>22461.250000000004</v>
      </c>
      <c r="AZ17" s="99">
        <f t="shared" si="1"/>
        <v>23383.750000000004</v>
      </c>
      <c r="BA17" s="99">
        <f t="shared" si="1"/>
        <v>23308.750000000004</v>
      </c>
      <c r="BB17" s="99">
        <f t="shared" si="1"/>
        <v>23203.750000000004</v>
      </c>
      <c r="BC17" s="99">
        <f t="shared" si="1"/>
        <v>24178.750000000004</v>
      </c>
      <c r="BD17" s="99">
        <f t="shared" si="1"/>
        <v>24103.750000000004</v>
      </c>
      <c r="BE17" s="99">
        <f t="shared" si="1"/>
        <v>23998.750000000004</v>
      </c>
      <c r="BF17" s="99">
        <f t="shared" si="1"/>
        <v>24883.750000000004</v>
      </c>
      <c r="BG17" s="99">
        <f t="shared" si="1"/>
        <v>24808.750000000004</v>
      </c>
      <c r="BH17" s="99">
        <f t="shared" si="1"/>
        <v>24666.250000000004</v>
      </c>
      <c r="BI17" s="99">
        <f t="shared" si="1"/>
        <v>24523.750000000004</v>
      </c>
      <c r="BJ17" s="99">
        <f t="shared" si="1"/>
        <v>24448.750000000004</v>
      </c>
    </row>
    <row r="18" spans="1:62">
      <c r="A18" s="94" t="s">
        <v>55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Z18" s="99">
        <v>0</v>
      </c>
      <c r="AA18" s="99">
        <v>0</v>
      </c>
      <c r="AB18" s="99">
        <v>0</v>
      </c>
      <c r="AC18" s="99">
        <v>0</v>
      </c>
      <c r="AD18" s="99">
        <v>0</v>
      </c>
      <c r="AE18" s="99">
        <v>0</v>
      </c>
      <c r="AF18" s="99">
        <v>0</v>
      </c>
      <c r="AG18" s="99">
        <v>0</v>
      </c>
      <c r="AH18" s="99">
        <v>0</v>
      </c>
      <c r="AI18" s="99">
        <v>0</v>
      </c>
      <c r="AJ18" s="99">
        <v>0</v>
      </c>
      <c r="AK18" s="99">
        <v>0</v>
      </c>
      <c r="AL18" s="99">
        <v>0</v>
      </c>
      <c r="AM18" s="99">
        <v>0</v>
      </c>
      <c r="AN18" s="99">
        <v>0</v>
      </c>
      <c r="AO18" s="99">
        <v>0</v>
      </c>
      <c r="AP18" s="99">
        <v>0</v>
      </c>
      <c r="AQ18" s="99">
        <v>0</v>
      </c>
      <c r="AR18" s="99">
        <v>0</v>
      </c>
      <c r="AS18" s="99">
        <v>0</v>
      </c>
      <c r="AT18" s="99">
        <v>0</v>
      </c>
      <c r="AU18" s="99">
        <v>0</v>
      </c>
      <c r="AV18" s="99">
        <v>0</v>
      </c>
      <c r="AW18" s="99">
        <v>0</v>
      </c>
      <c r="AX18" s="99">
        <v>0</v>
      </c>
      <c r="AY18" s="99">
        <v>0</v>
      </c>
      <c r="AZ18" s="99">
        <v>0</v>
      </c>
      <c r="BA18" s="99">
        <v>0</v>
      </c>
      <c r="BB18" s="99">
        <v>0</v>
      </c>
      <c r="BC18" s="99">
        <v>0</v>
      </c>
      <c r="BD18" s="99">
        <v>0</v>
      </c>
      <c r="BE18" s="99">
        <v>0</v>
      </c>
      <c r="BF18" s="99">
        <v>0</v>
      </c>
      <c r="BG18" s="99">
        <v>0</v>
      </c>
      <c r="BH18" s="99">
        <v>0</v>
      </c>
      <c r="BI18" s="99">
        <v>0</v>
      </c>
      <c r="BJ18" s="99">
        <v>0</v>
      </c>
    </row>
    <row r="19" spans="1:62">
      <c r="A19" s="94" t="s">
        <v>56</v>
      </c>
      <c r="C19" s="99">
        <f>C103</f>
        <v>0</v>
      </c>
      <c r="D19" s="99">
        <f t="shared" ref="D19:BJ19" si="2">D103</f>
        <v>0</v>
      </c>
      <c r="E19" s="99">
        <f t="shared" si="2"/>
        <v>0</v>
      </c>
      <c r="F19" s="99">
        <f t="shared" si="2"/>
        <v>0</v>
      </c>
      <c r="G19" s="99">
        <f t="shared" si="2"/>
        <v>0</v>
      </c>
      <c r="H19" s="99">
        <f t="shared" si="2"/>
        <v>0</v>
      </c>
      <c r="I19" s="99">
        <f t="shared" si="2"/>
        <v>0</v>
      </c>
      <c r="J19" s="99">
        <f t="shared" si="2"/>
        <v>0</v>
      </c>
      <c r="K19" s="99">
        <f t="shared" si="2"/>
        <v>0</v>
      </c>
      <c r="L19" s="99">
        <f t="shared" si="2"/>
        <v>0</v>
      </c>
      <c r="M19" s="99">
        <f t="shared" si="2"/>
        <v>0</v>
      </c>
      <c r="N19" s="99">
        <f t="shared" si="2"/>
        <v>0</v>
      </c>
      <c r="O19" s="99">
        <f t="shared" si="2"/>
        <v>0</v>
      </c>
      <c r="P19" s="99">
        <f t="shared" si="2"/>
        <v>0</v>
      </c>
      <c r="Q19" s="99">
        <f t="shared" si="2"/>
        <v>0</v>
      </c>
      <c r="R19" s="99">
        <f t="shared" si="2"/>
        <v>0</v>
      </c>
      <c r="S19" s="99">
        <f t="shared" si="2"/>
        <v>0</v>
      </c>
      <c r="T19" s="99">
        <f t="shared" si="2"/>
        <v>0</v>
      </c>
      <c r="U19" s="99">
        <f t="shared" si="2"/>
        <v>0</v>
      </c>
      <c r="V19" s="99">
        <f t="shared" si="2"/>
        <v>0</v>
      </c>
      <c r="W19" s="99">
        <f t="shared" si="2"/>
        <v>0</v>
      </c>
      <c r="X19" s="99">
        <f t="shared" si="2"/>
        <v>0</v>
      </c>
      <c r="Y19" s="99">
        <f t="shared" si="2"/>
        <v>0</v>
      </c>
      <c r="Z19" s="99">
        <f t="shared" si="2"/>
        <v>0</v>
      </c>
      <c r="AA19" s="99">
        <f t="shared" si="2"/>
        <v>0</v>
      </c>
      <c r="AB19" s="99">
        <f t="shared" si="2"/>
        <v>0</v>
      </c>
      <c r="AC19" s="99">
        <f t="shared" si="2"/>
        <v>0</v>
      </c>
      <c r="AD19" s="99">
        <f t="shared" si="2"/>
        <v>0</v>
      </c>
      <c r="AE19" s="99">
        <f t="shared" si="2"/>
        <v>0</v>
      </c>
      <c r="AF19" s="99">
        <f t="shared" si="2"/>
        <v>0</v>
      </c>
      <c r="AG19" s="99">
        <f t="shared" si="2"/>
        <v>0</v>
      </c>
      <c r="AH19" s="99">
        <f t="shared" si="2"/>
        <v>0</v>
      </c>
      <c r="AI19" s="99">
        <f t="shared" si="2"/>
        <v>0</v>
      </c>
      <c r="AJ19" s="99">
        <f t="shared" si="2"/>
        <v>0</v>
      </c>
      <c r="AK19" s="99">
        <f t="shared" si="2"/>
        <v>0</v>
      </c>
      <c r="AL19" s="99">
        <f t="shared" si="2"/>
        <v>0</v>
      </c>
      <c r="AM19" s="99">
        <f t="shared" si="2"/>
        <v>0</v>
      </c>
      <c r="AN19" s="99">
        <f t="shared" si="2"/>
        <v>0</v>
      </c>
      <c r="AO19" s="99">
        <f t="shared" si="2"/>
        <v>0</v>
      </c>
      <c r="AP19" s="99">
        <f t="shared" si="2"/>
        <v>0</v>
      </c>
      <c r="AQ19" s="99">
        <f t="shared" si="2"/>
        <v>0</v>
      </c>
      <c r="AR19" s="99">
        <f t="shared" si="2"/>
        <v>0</v>
      </c>
      <c r="AS19" s="99">
        <f t="shared" si="2"/>
        <v>0</v>
      </c>
      <c r="AT19" s="99">
        <f t="shared" si="2"/>
        <v>0</v>
      </c>
      <c r="AU19" s="99">
        <f t="shared" si="2"/>
        <v>0</v>
      </c>
      <c r="AV19" s="99">
        <f t="shared" si="2"/>
        <v>0</v>
      </c>
      <c r="AW19" s="99">
        <f t="shared" si="2"/>
        <v>0</v>
      </c>
      <c r="AX19" s="99">
        <f t="shared" si="2"/>
        <v>0</v>
      </c>
      <c r="AY19" s="99">
        <f t="shared" si="2"/>
        <v>0</v>
      </c>
      <c r="AZ19" s="99">
        <f t="shared" si="2"/>
        <v>0</v>
      </c>
      <c r="BA19" s="99">
        <f t="shared" si="2"/>
        <v>0</v>
      </c>
      <c r="BB19" s="99">
        <f t="shared" si="2"/>
        <v>0</v>
      </c>
      <c r="BC19" s="99">
        <f t="shared" si="2"/>
        <v>0</v>
      </c>
      <c r="BD19" s="99">
        <f t="shared" si="2"/>
        <v>0</v>
      </c>
      <c r="BE19" s="99">
        <f t="shared" si="2"/>
        <v>0</v>
      </c>
      <c r="BF19" s="99">
        <f t="shared" si="2"/>
        <v>0</v>
      </c>
      <c r="BG19" s="99">
        <f t="shared" si="2"/>
        <v>0</v>
      </c>
      <c r="BH19" s="99">
        <f t="shared" si="2"/>
        <v>0</v>
      </c>
      <c r="BI19" s="99">
        <f t="shared" si="2"/>
        <v>0</v>
      </c>
      <c r="BJ19" s="99">
        <f t="shared" si="2"/>
        <v>0</v>
      </c>
    </row>
    <row r="20" spans="1:62">
      <c r="A20" s="94" t="s">
        <v>57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Z20" s="99">
        <v>0</v>
      </c>
      <c r="AA20" s="99">
        <v>0</v>
      </c>
      <c r="AB20" s="99">
        <v>0</v>
      </c>
      <c r="AC20" s="99">
        <v>0</v>
      </c>
      <c r="AD20" s="99">
        <v>0</v>
      </c>
      <c r="AE20" s="99">
        <v>0</v>
      </c>
      <c r="AF20" s="99">
        <v>0</v>
      </c>
      <c r="AG20" s="99">
        <v>0</v>
      </c>
      <c r="AH20" s="99">
        <v>0</v>
      </c>
      <c r="AI20" s="99">
        <v>0</v>
      </c>
      <c r="AJ20" s="99">
        <v>0</v>
      </c>
      <c r="AK20" s="99">
        <v>0</v>
      </c>
      <c r="AL20" s="99">
        <v>0</v>
      </c>
      <c r="AM20" s="99">
        <v>0</v>
      </c>
      <c r="AN20" s="99">
        <v>0</v>
      </c>
      <c r="AO20" s="99">
        <v>0</v>
      </c>
      <c r="AP20" s="99">
        <v>0</v>
      </c>
      <c r="AQ20" s="99">
        <v>0</v>
      </c>
      <c r="AR20" s="99">
        <v>0</v>
      </c>
      <c r="AS20" s="99">
        <v>0</v>
      </c>
      <c r="AT20" s="99">
        <v>0</v>
      </c>
      <c r="AU20" s="99">
        <v>0</v>
      </c>
      <c r="AV20" s="99">
        <v>0</v>
      </c>
      <c r="AW20" s="99">
        <v>0</v>
      </c>
      <c r="AX20" s="99">
        <v>0</v>
      </c>
      <c r="AY20" s="99">
        <v>0</v>
      </c>
      <c r="AZ20" s="99">
        <v>0</v>
      </c>
      <c r="BA20" s="99">
        <v>0</v>
      </c>
      <c r="BB20" s="99">
        <v>0</v>
      </c>
      <c r="BC20" s="99">
        <v>0</v>
      </c>
      <c r="BD20" s="99">
        <v>0</v>
      </c>
      <c r="BE20" s="99">
        <v>0</v>
      </c>
      <c r="BF20" s="99">
        <v>0</v>
      </c>
      <c r="BG20" s="99">
        <v>0</v>
      </c>
      <c r="BH20" s="99">
        <v>0</v>
      </c>
      <c r="BI20" s="99">
        <v>0</v>
      </c>
      <c r="BJ20" s="99">
        <v>0</v>
      </c>
    </row>
    <row r="21" spans="1:62">
      <c r="A21" s="94" t="s">
        <v>58</v>
      </c>
      <c r="C21" s="99">
        <f>C104</f>
        <v>10000</v>
      </c>
      <c r="D21" s="99">
        <f t="shared" ref="D21:BJ21" si="3">D104</f>
        <v>10000</v>
      </c>
      <c r="E21" s="99">
        <f t="shared" si="3"/>
        <v>10000</v>
      </c>
      <c r="F21" s="99">
        <f t="shared" si="3"/>
        <v>10000</v>
      </c>
      <c r="G21" s="99">
        <f t="shared" si="3"/>
        <v>10000</v>
      </c>
      <c r="H21" s="99">
        <f t="shared" si="3"/>
        <v>10000</v>
      </c>
      <c r="I21" s="99">
        <f t="shared" si="3"/>
        <v>10000</v>
      </c>
      <c r="J21" s="99">
        <f t="shared" si="3"/>
        <v>10000</v>
      </c>
      <c r="K21" s="99">
        <f t="shared" si="3"/>
        <v>10000</v>
      </c>
      <c r="L21" s="99">
        <f t="shared" si="3"/>
        <v>10000</v>
      </c>
      <c r="M21" s="99">
        <f t="shared" si="3"/>
        <v>10000</v>
      </c>
      <c r="N21" s="99">
        <f t="shared" si="3"/>
        <v>10000</v>
      </c>
      <c r="O21" s="99">
        <f t="shared" si="3"/>
        <v>10000</v>
      </c>
      <c r="P21" s="99">
        <f t="shared" si="3"/>
        <v>10000</v>
      </c>
      <c r="Q21" s="99">
        <f t="shared" si="3"/>
        <v>10000</v>
      </c>
      <c r="R21" s="99">
        <f t="shared" si="3"/>
        <v>10000</v>
      </c>
      <c r="S21" s="99">
        <f t="shared" si="3"/>
        <v>10000</v>
      </c>
      <c r="T21" s="99">
        <f t="shared" si="3"/>
        <v>10000</v>
      </c>
      <c r="U21" s="99">
        <f t="shared" si="3"/>
        <v>10000</v>
      </c>
      <c r="V21" s="99">
        <f t="shared" si="3"/>
        <v>10000</v>
      </c>
      <c r="W21" s="99">
        <f t="shared" si="3"/>
        <v>10000</v>
      </c>
      <c r="X21" s="99">
        <f t="shared" si="3"/>
        <v>10000</v>
      </c>
      <c r="Y21" s="99">
        <f t="shared" si="3"/>
        <v>10000</v>
      </c>
      <c r="Z21" s="99">
        <f t="shared" si="3"/>
        <v>10000</v>
      </c>
      <c r="AA21" s="99">
        <f t="shared" si="3"/>
        <v>20000</v>
      </c>
      <c r="AB21" s="99">
        <f t="shared" si="3"/>
        <v>20000</v>
      </c>
      <c r="AC21" s="99">
        <f t="shared" si="3"/>
        <v>20000</v>
      </c>
      <c r="AD21" s="99">
        <f t="shared" si="3"/>
        <v>20000</v>
      </c>
      <c r="AE21" s="99">
        <f t="shared" si="3"/>
        <v>20000</v>
      </c>
      <c r="AF21" s="99">
        <f t="shared" si="3"/>
        <v>20000</v>
      </c>
      <c r="AG21" s="99">
        <f t="shared" si="3"/>
        <v>20000</v>
      </c>
      <c r="AH21" s="99">
        <f t="shared" si="3"/>
        <v>20000</v>
      </c>
      <c r="AI21" s="99">
        <f t="shared" si="3"/>
        <v>20000</v>
      </c>
      <c r="AJ21" s="99">
        <f t="shared" si="3"/>
        <v>20000</v>
      </c>
      <c r="AK21" s="99">
        <f t="shared" si="3"/>
        <v>20000</v>
      </c>
      <c r="AL21" s="99">
        <f t="shared" si="3"/>
        <v>20000</v>
      </c>
      <c r="AM21" s="99">
        <f t="shared" si="3"/>
        <v>40000</v>
      </c>
      <c r="AN21" s="99">
        <f t="shared" si="3"/>
        <v>40000</v>
      </c>
      <c r="AO21" s="99">
        <f t="shared" si="3"/>
        <v>40000</v>
      </c>
      <c r="AP21" s="99">
        <f t="shared" si="3"/>
        <v>40000</v>
      </c>
      <c r="AQ21" s="99">
        <f t="shared" si="3"/>
        <v>40000</v>
      </c>
      <c r="AR21" s="99">
        <f t="shared" si="3"/>
        <v>40000</v>
      </c>
      <c r="AS21" s="99">
        <f t="shared" si="3"/>
        <v>40000</v>
      </c>
      <c r="AT21" s="99">
        <f t="shared" si="3"/>
        <v>40000</v>
      </c>
      <c r="AU21" s="99">
        <f t="shared" si="3"/>
        <v>40000</v>
      </c>
      <c r="AV21" s="99">
        <f t="shared" si="3"/>
        <v>40000</v>
      </c>
      <c r="AW21" s="99">
        <f t="shared" si="3"/>
        <v>40000</v>
      </c>
      <c r="AX21" s="99">
        <f t="shared" si="3"/>
        <v>40000</v>
      </c>
      <c r="AY21" s="99">
        <f t="shared" si="3"/>
        <v>80000</v>
      </c>
      <c r="AZ21" s="99">
        <f t="shared" si="3"/>
        <v>80000</v>
      </c>
      <c r="BA21" s="99">
        <f t="shared" si="3"/>
        <v>80000</v>
      </c>
      <c r="BB21" s="99">
        <f t="shared" si="3"/>
        <v>80000</v>
      </c>
      <c r="BC21" s="99">
        <f t="shared" si="3"/>
        <v>80000</v>
      </c>
      <c r="BD21" s="99">
        <f t="shared" si="3"/>
        <v>80000</v>
      </c>
      <c r="BE21" s="99">
        <f t="shared" si="3"/>
        <v>80000</v>
      </c>
      <c r="BF21" s="99">
        <f t="shared" si="3"/>
        <v>80000</v>
      </c>
      <c r="BG21" s="99">
        <f t="shared" si="3"/>
        <v>80000</v>
      </c>
      <c r="BH21" s="99">
        <f t="shared" si="3"/>
        <v>80000</v>
      </c>
      <c r="BI21" s="99">
        <f t="shared" si="3"/>
        <v>80000</v>
      </c>
      <c r="BJ21" s="99">
        <f t="shared" si="3"/>
        <v>80000</v>
      </c>
    </row>
    <row r="22" spans="1:62">
      <c r="A22" s="94" t="s">
        <v>59</v>
      </c>
      <c r="C22" s="99">
        <f>C105</f>
        <v>1500</v>
      </c>
      <c r="D22" s="99">
        <f t="shared" ref="D22:BJ22" si="4">D105</f>
        <v>1500</v>
      </c>
      <c r="E22" s="99">
        <f t="shared" si="4"/>
        <v>1500</v>
      </c>
      <c r="F22" s="99">
        <f t="shared" si="4"/>
        <v>1500</v>
      </c>
      <c r="G22" s="99">
        <f t="shared" si="4"/>
        <v>1500</v>
      </c>
      <c r="H22" s="99">
        <f t="shared" si="4"/>
        <v>1500</v>
      </c>
      <c r="I22" s="99">
        <f t="shared" si="4"/>
        <v>1500</v>
      </c>
      <c r="J22" s="99">
        <f t="shared" si="4"/>
        <v>1500</v>
      </c>
      <c r="K22" s="99">
        <f t="shared" si="4"/>
        <v>1500</v>
      </c>
      <c r="L22" s="99">
        <f t="shared" si="4"/>
        <v>1500</v>
      </c>
      <c r="M22" s="99">
        <f t="shared" si="4"/>
        <v>1500</v>
      </c>
      <c r="N22" s="99">
        <f t="shared" si="4"/>
        <v>1500</v>
      </c>
      <c r="O22" s="99">
        <f t="shared" si="4"/>
        <v>3000</v>
      </c>
      <c r="P22" s="99">
        <f t="shared" si="4"/>
        <v>3000</v>
      </c>
      <c r="Q22" s="99">
        <f t="shared" si="4"/>
        <v>3000</v>
      </c>
      <c r="R22" s="99">
        <f t="shared" si="4"/>
        <v>3000</v>
      </c>
      <c r="S22" s="99">
        <f t="shared" si="4"/>
        <v>3000</v>
      </c>
      <c r="T22" s="99">
        <f t="shared" si="4"/>
        <v>3000</v>
      </c>
      <c r="U22" s="99">
        <f t="shared" si="4"/>
        <v>3000</v>
      </c>
      <c r="V22" s="99">
        <f t="shared" si="4"/>
        <v>3000</v>
      </c>
      <c r="W22" s="99">
        <f t="shared" si="4"/>
        <v>3000</v>
      </c>
      <c r="X22" s="99">
        <f t="shared" si="4"/>
        <v>3000</v>
      </c>
      <c r="Y22" s="99">
        <f t="shared" si="4"/>
        <v>3000</v>
      </c>
      <c r="Z22" s="99">
        <f t="shared" si="4"/>
        <v>3000</v>
      </c>
      <c r="AA22" s="99">
        <f t="shared" si="4"/>
        <v>6000</v>
      </c>
      <c r="AB22" s="99">
        <f t="shared" si="4"/>
        <v>6000</v>
      </c>
      <c r="AC22" s="99">
        <f t="shared" si="4"/>
        <v>6000</v>
      </c>
      <c r="AD22" s="99">
        <f t="shared" si="4"/>
        <v>6000</v>
      </c>
      <c r="AE22" s="99">
        <f t="shared" si="4"/>
        <v>6000</v>
      </c>
      <c r="AF22" s="99">
        <f t="shared" si="4"/>
        <v>6000</v>
      </c>
      <c r="AG22" s="99">
        <f t="shared" si="4"/>
        <v>6000</v>
      </c>
      <c r="AH22" s="99">
        <f t="shared" si="4"/>
        <v>6000</v>
      </c>
      <c r="AI22" s="99">
        <f t="shared" si="4"/>
        <v>6000</v>
      </c>
      <c r="AJ22" s="99">
        <f t="shared" si="4"/>
        <v>6000</v>
      </c>
      <c r="AK22" s="99">
        <f t="shared" si="4"/>
        <v>6000</v>
      </c>
      <c r="AL22" s="99">
        <f t="shared" si="4"/>
        <v>6000</v>
      </c>
      <c r="AM22" s="99">
        <f t="shared" si="4"/>
        <v>12000</v>
      </c>
      <c r="AN22" s="99">
        <f t="shared" si="4"/>
        <v>12000</v>
      </c>
      <c r="AO22" s="99">
        <f t="shared" si="4"/>
        <v>12000</v>
      </c>
      <c r="AP22" s="99">
        <f t="shared" si="4"/>
        <v>12000</v>
      </c>
      <c r="AQ22" s="99">
        <f t="shared" si="4"/>
        <v>12000</v>
      </c>
      <c r="AR22" s="99">
        <f t="shared" si="4"/>
        <v>12000</v>
      </c>
      <c r="AS22" s="99">
        <f t="shared" si="4"/>
        <v>12000</v>
      </c>
      <c r="AT22" s="99">
        <f t="shared" si="4"/>
        <v>12000</v>
      </c>
      <c r="AU22" s="99">
        <f t="shared" si="4"/>
        <v>12000</v>
      </c>
      <c r="AV22" s="99">
        <f t="shared" si="4"/>
        <v>12000</v>
      </c>
      <c r="AW22" s="99">
        <f t="shared" si="4"/>
        <v>12000</v>
      </c>
      <c r="AX22" s="99">
        <f t="shared" si="4"/>
        <v>12000</v>
      </c>
      <c r="AY22" s="99">
        <f t="shared" si="4"/>
        <v>24000</v>
      </c>
      <c r="AZ22" s="99">
        <f t="shared" si="4"/>
        <v>24000</v>
      </c>
      <c r="BA22" s="99">
        <f t="shared" si="4"/>
        <v>24000</v>
      </c>
      <c r="BB22" s="99">
        <f t="shared" si="4"/>
        <v>24000</v>
      </c>
      <c r="BC22" s="99">
        <f t="shared" si="4"/>
        <v>24000</v>
      </c>
      <c r="BD22" s="99">
        <f t="shared" si="4"/>
        <v>24000</v>
      </c>
      <c r="BE22" s="99">
        <f t="shared" si="4"/>
        <v>24000</v>
      </c>
      <c r="BF22" s="99">
        <f t="shared" si="4"/>
        <v>24000</v>
      </c>
      <c r="BG22" s="99">
        <f t="shared" si="4"/>
        <v>24000</v>
      </c>
      <c r="BH22" s="99">
        <f t="shared" si="4"/>
        <v>24000</v>
      </c>
      <c r="BI22" s="99">
        <f t="shared" si="4"/>
        <v>24000</v>
      </c>
      <c r="BJ22" s="99">
        <f t="shared" si="4"/>
        <v>24000</v>
      </c>
    </row>
    <row r="23" spans="1:62">
      <c r="A23" s="94" t="s">
        <v>60</v>
      </c>
      <c r="B23" s="6"/>
      <c r="C23" s="99">
        <f>C101</f>
        <v>2000</v>
      </c>
      <c r="D23" s="99">
        <f t="shared" ref="D23:BJ23" si="5">D101</f>
        <v>2000</v>
      </c>
      <c r="E23" s="99">
        <f t="shared" si="5"/>
        <v>2000</v>
      </c>
      <c r="F23" s="99">
        <f t="shared" si="5"/>
        <v>2000</v>
      </c>
      <c r="G23" s="99">
        <f t="shared" si="5"/>
        <v>2000</v>
      </c>
      <c r="H23" s="99">
        <f t="shared" si="5"/>
        <v>2000</v>
      </c>
      <c r="I23" s="99">
        <f t="shared" si="5"/>
        <v>2000</v>
      </c>
      <c r="J23" s="99">
        <f t="shared" si="5"/>
        <v>2000</v>
      </c>
      <c r="K23" s="99">
        <f t="shared" si="5"/>
        <v>2000</v>
      </c>
      <c r="L23" s="99">
        <f t="shared" si="5"/>
        <v>2000</v>
      </c>
      <c r="M23" s="99">
        <f t="shared" si="5"/>
        <v>2000</v>
      </c>
      <c r="N23" s="99">
        <f t="shared" si="5"/>
        <v>2000</v>
      </c>
      <c r="O23" s="99">
        <f t="shared" si="5"/>
        <v>3000</v>
      </c>
      <c r="P23" s="99">
        <f t="shared" si="5"/>
        <v>3000</v>
      </c>
      <c r="Q23" s="99">
        <f t="shared" si="5"/>
        <v>3000</v>
      </c>
      <c r="R23" s="99">
        <f t="shared" si="5"/>
        <v>3000</v>
      </c>
      <c r="S23" s="99">
        <f t="shared" si="5"/>
        <v>3000</v>
      </c>
      <c r="T23" s="99">
        <f t="shared" si="5"/>
        <v>3000</v>
      </c>
      <c r="U23" s="99">
        <f t="shared" si="5"/>
        <v>3000</v>
      </c>
      <c r="V23" s="99">
        <f t="shared" si="5"/>
        <v>3000</v>
      </c>
      <c r="W23" s="99">
        <f t="shared" si="5"/>
        <v>3000</v>
      </c>
      <c r="X23" s="99">
        <f t="shared" si="5"/>
        <v>3000</v>
      </c>
      <c r="Y23" s="99">
        <f t="shared" si="5"/>
        <v>3000</v>
      </c>
      <c r="Z23" s="99">
        <f t="shared" si="5"/>
        <v>3000</v>
      </c>
      <c r="AA23" s="99">
        <f t="shared" si="5"/>
        <v>4000</v>
      </c>
      <c r="AB23" s="99">
        <f t="shared" si="5"/>
        <v>4000</v>
      </c>
      <c r="AC23" s="99">
        <f t="shared" si="5"/>
        <v>4000</v>
      </c>
      <c r="AD23" s="99">
        <f t="shared" si="5"/>
        <v>4000</v>
      </c>
      <c r="AE23" s="99">
        <f t="shared" si="5"/>
        <v>4000</v>
      </c>
      <c r="AF23" s="99">
        <f t="shared" si="5"/>
        <v>4000</v>
      </c>
      <c r="AG23" s="99">
        <f t="shared" si="5"/>
        <v>4000</v>
      </c>
      <c r="AH23" s="99">
        <f t="shared" si="5"/>
        <v>4000</v>
      </c>
      <c r="AI23" s="99">
        <f t="shared" si="5"/>
        <v>4000</v>
      </c>
      <c r="AJ23" s="99">
        <f t="shared" si="5"/>
        <v>4000</v>
      </c>
      <c r="AK23" s="99">
        <f t="shared" si="5"/>
        <v>4000</v>
      </c>
      <c r="AL23" s="99">
        <f t="shared" si="5"/>
        <v>4000</v>
      </c>
      <c r="AM23" s="99">
        <f t="shared" si="5"/>
        <v>5000</v>
      </c>
      <c r="AN23" s="99">
        <f t="shared" si="5"/>
        <v>5000</v>
      </c>
      <c r="AO23" s="99">
        <f t="shared" si="5"/>
        <v>5000</v>
      </c>
      <c r="AP23" s="99">
        <f t="shared" si="5"/>
        <v>5000</v>
      </c>
      <c r="AQ23" s="99">
        <f t="shared" si="5"/>
        <v>5000</v>
      </c>
      <c r="AR23" s="99">
        <f t="shared" si="5"/>
        <v>5000</v>
      </c>
      <c r="AS23" s="99">
        <f t="shared" si="5"/>
        <v>5000</v>
      </c>
      <c r="AT23" s="99">
        <f t="shared" si="5"/>
        <v>5000</v>
      </c>
      <c r="AU23" s="99">
        <f t="shared" si="5"/>
        <v>5000</v>
      </c>
      <c r="AV23" s="99">
        <f t="shared" si="5"/>
        <v>5000</v>
      </c>
      <c r="AW23" s="99">
        <f t="shared" si="5"/>
        <v>5000</v>
      </c>
      <c r="AX23" s="99">
        <f t="shared" si="5"/>
        <v>5000</v>
      </c>
      <c r="AY23" s="99">
        <f t="shared" si="5"/>
        <v>6000</v>
      </c>
      <c r="AZ23" s="99">
        <f t="shared" si="5"/>
        <v>6000</v>
      </c>
      <c r="BA23" s="99">
        <f t="shared" si="5"/>
        <v>6000</v>
      </c>
      <c r="BB23" s="99">
        <f t="shared" si="5"/>
        <v>6000</v>
      </c>
      <c r="BC23" s="99">
        <f t="shared" si="5"/>
        <v>6000</v>
      </c>
      <c r="BD23" s="99">
        <f t="shared" si="5"/>
        <v>6000</v>
      </c>
      <c r="BE23" s="99">
        <f t="shared" si="5"/>
        <v>6000</v>
      </c>
      <c r="BF23" s="99">
        <f t="shared" si="5"/>
        <v>6000</v>
      </c>
      <c r="BG23" s="99">
        <f t="shared" si="5"/>
        <v>6000</v>
      </c>
      <c r="BH23" s="99">
        <f t="shared" si="5"/>
        <v>6000</v>
      </c>
      <c r="BI23" s="99">
        <f t="shared" si="5"/>
        <v>6000</v>
      </c>
      <c r="BJ23" s="99">
        <f t="shared" si="5"/>
        <v>6000</v>
      </c>
    </row>
    <row r="24" spans="1:62">
      <c r="A24" s="94" t="s">
        <v>61</v>
      </c>
      <c r="C24" s="99">
        <f>C77</f>
        <v>92975</v>
      </c>
      <c r="D24" s="99">
        <f t="shared" ref="D24:BJ24" si="6">D77</f>
        <v>93225</v>
      </c>
      <c r="E24" s="99">
        <f t="shared" si="6"/>
        <v>93225</v>
      </c>
      <c r="F24" s="99">
        <f t="shared" si="6"/>
        <v>93475</v>
      </c>
      <c r="G24" s="99">
        <f t="shared" si="6"/>
        <v>93475</v>
      </c>
      <c r="H24" s="99">
        <f t="shared" si="6"/>
        <v>94525</v>
      </c>
      <c r="I24" s="99">
        <f t="shared" si="6"/>
        <v>94775</v>
      </c>
      <c r="J24" s="99">
        <f t="shared" si="6"/>
        <v>94775</v>
      </c>
      <c r="K24" s="99">
        <f t="shared" si="6"/>
        <v>94775</v>
      </c>
      <c r="L24" s="99">
        <f t="shared" si="6"/>
        <v>95025</v>
      </c>
      <c r="M24" s="99">
        <f t="shared" si="6"/>
        <v>95025</v>
      </c>
      <c r="N24" s="99">
        <f t="shared" si="6"/>
        <v>95025</v>
      </c>
      <c r="O24" s="99">
        <f t="shared" si="6"/>
        <v>95275</v>
      </c>
      <c r="P24" s="99">
        <f t="shared" si="6"/>
        <v>109108.33333333334</v>
      </c>
      <c r="Q24" s="99">
        <f t="shared" si="6"/>
        <v>108858.33333333334</v>
      </c>
      <c r="R24" s="99">
        <f t="shared" si="6"/>
        <v>108608.33333333334</v>
      </c>
      <c r="S24" s="99">
        <f t="shared" si="6"/>
        <v>115358.33333333334</v>
      </c>
      <c r="T24" s="99">
        <f t="shared" si="6"/>
        <v>115108.33333333334</v>
      </c>
      <c r="U24" s="99">
        <f t="shared" si="6"/>
        <v>114408.33333333334</v>
      </c>
      <c r="V24" s="99">
        <f t="shared" si="6"/>
        <v>126141.66666666667</v>
      </c>
      <c r="W24" s="99">
        <f t="shared" si="6"/>
        <v>125641.66666666667</v>
      </c>
      <c r="X24" s="99">
        <f t="shared" si="6"/>
        <v>124941.66666666667</v>
      </c>
      <c r="Y24" s="99">
        <f t="shared" si="6"/>
        <v>124691.66666666667</v>
      </c>
      <c r="Z24" s="99">
        <f t="shared" si="6"/>
        <v>124191.66666666667</v>
      </c>
      <c r="AA24" s="99">
        <f t="shared" si="6"/>
        <v>123491.66666666667</v>
      </c>
      <c r="AB24" s="99">
        <f t="shared" si="6"/>
        <v>129641.66666666667</v>
      </c>
      <c r="AC24" s="99">
        <f t="shared" si="6"/>
        <v>129141.66666666667</v>
      </c>
      <c r="AD24" s="99">
        <f t="shared" si="6"/>
        <v>128891.66666666667</v>
      </c>
      <c r="AE24" s="99">
        <f t="shared" si="6"/>
        <v>135641.66666666669</v>
      </c>
      <c r="AF24" s="99">
        <f t="shared" si="6"/>
        <v>134691.66666666669</v>
      </c>
      <c r="AG24" s="99">
        <f t="shared" si="6"/>
        <v>134441.66666666669</v>
      </c>
      <c r="AH24" s="99">
        <f t="shared" si="6"/>
        <v>140941.66666666669</v>
      </c>
      <c r="AI24" s="99">
        <f t="shared" si="6"/>
        <v>139991.66666666669</v>
      </c>
      <c r="AJ24" s="99">
        <f t="shared" si="6"/>
        <v>139491.66666666669</v>
      </c>
      <c r="AK24" s="99">
        <f t="shared" si="6"/>
        <v>138541.66666666669</v>
      </c>
      <c r="AL24" s="99">
        <f t="shared" si="6"/>
        <v>138291.66666666669</v>
      </c>
      <c r="AM24" s="99">
        <f t="shared" si="6"/>
        <v>137341.66666666669</v>
      </c>
      <c r="AN24" s="99">
        <f t="shared" si="6"/>
        <v>142891.66666666669</v>
      </c>
      <c r="AO24" s="99">
        <f t="shared" si="6"/>
        <v>142391.66666666669</v>
      </c>
      <c r="AP24" s="99">
        <f t="shared" si="6"/>
        <v>142141.66666666669</v>
      </c>
      <c r="AQ24" s="99">
        <f t="shared" si="6"/>
        <v>148641.66666666669</v>
      </c>
      <c r="AR24" s="99">
        <f t="shared" si="6"/>
        <v>147941.66666666669</v>
      </c>
      <c r="AS24" s="99">
        <f t="shared" si="6"/>
        <v>147441.66666666669</v>
      </c>
      <c r="AT24" s="99">
        <f t="shared" si="6"/>
        <v>152891.66666666669</v>
      </c>
      <c r="AU24" s="99">
        <f t="shared" si="6"/>
        <v>152391.66666666669</v>
      </c>
      <c r="AV24" s="99">
        <f t="shared" si="6"/>
        <v>151441.66666666669</v>
      </c>
      <c r="AW24" s="99">
        <f t="shared" si="6"/>
        <v>151191.66666666669</v>
      </c>
      <c r="AX24" s="99">
        <f t="shared" si="6"/>
        <v>150691.66666666669</v>
      </c>
      <c r="AY24" s="99">
        <f t="shared" si="6"/>
        <v>149741.66666666669</v>
      </c>
      <c r="AZ24" s="99">
        <f t="shared" si="6"/>
        <v>155891.66666666669</v>
      </c>
      <c r="BA24" s="99">
        <f t="shared" si="6"/>
        <v>155391.66666666669</v>
      </c>
      <c r="BB24" s="99">
        <f t="shared" si="6"/>
        <v>154691.66666666669</v>
      </c>
      <c r="BC24" s="99">
        <f t="shared" si="6"/>
        <v>161191.66666666669</v>
      </c>
      <c r="BD24" s="99">
        <f t="shared" si="6"/>
        <v>160691.66666666669</v>
      </c>
      <c r="BE24" s="99">
        <f t="shared" si="6"/>
        <v>159991.66666666669</v>
      </c>
      <c r="BF24" s="99">
        <f t="shared" si="6"/>
        <v>165891.66666666669</v>
      </c>
      <c r="BG24" s="99">
        <f t="shared" si="6"/>
        <v>165391.66666666669</v>
      </c>
      <c r="BH24" s="99">
        <f t="shared" si="6"/>
        <v>164441.66666666669</v>
      </c>
      <c r="BI24" s="99">
        <f t="shared" si="6"/>
        <v>163491.66666666669</v>
      </c>
      <c r="BJ24" s="99">
        <f t="shared" si="6"/>
        <v>162991.66666666669</v>
      </c>
    </row>
    <row r="25" spans="1:62">
      <c r="A25" s="94" t="s">
        <v>62</v>
      </c>
      <c r="C25" s="99">
        <v>0</v>
      </c>
      <c r="D25" s="99">
        <v>0</v>
      </c>
      <c r="E25" s="99">
        <v>0</v>
      </c>
      <c r="F25" s="99">
        <v>0</v>
      </c>
      <c r="G25" s="99">
        <v>0</v>
      </c>
      <c r="H25" s="99">
        <v>0</v>
      </c>
      <c r="I25" s="99">
        <v>0</v>
      </c>
      <c r="J25" s="99">
        <v>0</v>
      </c>
      <c r="K25" s="99">
        <v>0</v>
      </c>
      <c r="L25" s="99">
        <v>0</v>
      </c>
      <c r="M25" s="99">
        <v>0</v>
      </c>
      <c r="N25" s="99">
        <v>0</v>
      </c>
      <c r="O25" s="99">
        <v>0</v>
      </c>
      <c r="P25" s="99">
        <v>0</v>
      </c>
      <c r="Q25" s="99">
        <v>0</v>
      </c>
      <c r="R25" s="99">
        <v>0</v>
      </c>
      <c r="S25" s="99">
        <v>0</v>
      </c>
      <c r="T25" s="99">
        <v>0</v>
      </c>
      <c r="U25" s="99">
        <v>0</v>
      </c>
      <c r="V25" s="99">
        <v>0</v>
      </c>
      <c r="W25" s="99">
        <v>0</v>
      </c>
      <c r="X25" s="99">
        <v>0</v>
      </c>
      <c r="Y25" s="99">
        <v>0</v>
      </c>
      <c r="Z25" s="99">
        <v>0</v>
      </c>
      <c r="AA25" s="99">
        <v>0</v>
      </c>
      <c r="AB25" s="99">
        <v>0</v>
      </c>
      <c r="AC25" s="99">
        <v>0</v>
      </c>
      <c r="AD25" s="99">
        <v>0</v>
      </c>
      <c r="AE25" s="99">
        <v>0</v>
      </c>
      <c r="AF25" s="99">
        <v>0</v>
      </c>
      <c r="AG25" s="99">
        <v>0</v>
      </c>
      <c r="AH25" s="99">
        <v>0</v>
      </c>
      <c r="AI25" s="99">
        <v>0</v>
      </c>
      <c r="AJ25" s="99">
        <v>0</v>
      </c>
      <c r="AK25" s="99">
        <v>0</v>
      </c>
      <c r="AL25" s="99">
        <v>0</v>
      </c>
      <c r="AM25" s="99">
        <v>0</v>
      </c>
      <c r="AN25" s="99">
        <v>0</v>
      </c>
      <c r="AO25" s="99">
        <v>0</v>
      </c>
      <c r="AP25" s="99">
        <v>0</v>
      </c>
      <c r="AQ25" s="99">
        <v>0</v>
      </c>
      <c r="AR25" s="99">
        <v>0</v>
      </c>
      <c r="AS25" s="99">
        <v>0</v>
      </c>
      <c r="AT25" s="99">
        <v>0</v>
      </c>
      <c r="AU25" s="99">
        <v>0</v>
      </c>
      <c r="AV25" s="99">
        <v>0</v>
      </c>
      <c r="AW25" s="99">
        <v>0</v>
      </c>
      <c r="AX25" s="99">
        <v>0</v>
      </c>
      <c r="AY25" s="99">
        <v>0</v>
      </c>
      <c r="AZ25" s="99">
        <v>0</v>
      </c>
      <c r="BA25" s="99">
        <v>0</v>
      </c>
      <c r="BB25" s="99">
        <v>0</v>
      </c>
      <c r="BC25" s="99">
        <v>0</v>
      </c>
      <c r="BD25" s="99">
        <v>0</v>
      </c>
      <c r="BE25" s="99">
        <v>0</v>
      </c>
      <c r="BF25" s="99">
        <v>0</v>
      </c>
      <c r="BG25" s="99">
        <v>0</v>
      </c>
      <c r="BH25" s="99">
        <v>0</v>
      </c>
      <c r="BI25" s="99">
        <v>0</v>
      </c>
      <c r="BJ25" s="99">
        <v>0</v>
      </c>
    </row>
    <row r="26" spans="1:62">
      <c r="A26" s="94" t="s">
        <v>63</v>
      </c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0</v>
      </c>
      <c r="O26" s="99">
        <v>0</v>
      </c>
      <c r="P26" s="99">
        <v>0</v>
      </c>
      <c r="Q26" s="99">
        <v>0</v>
      </c>
      <c r="R26" s="99">
        <v>0</v>
      </c>
      <c r="S26" s="99">
        <v>0</v>
      </c>
      <c r="T26" s="99">
        <v>0</v>
      </c>
      <c r="U26" s="99">
        <v>0</v>
      </c>
      <c r="V26" s="99">
        <v>0</v>
      </c>
      <c r="W26" s="99">
        <v>0</v>
      </c>
      <c r="X26" s="99">
        <v>0</v>
      </c>
      <c r="Y26" s="99">
        <v>0</v>
      </c>
      <c r="Z26" s="99">
        <v>0</v>
      </c>
      <c r="AA26" s="99">
        <v>0</v>
      </c>
      <c r="AB26" s="99">
        <v>0</v>
      </c>
      <c r="AC26" s="99">
        <v>0</v>
      </c>
      <c r="AD26" s="99">
        <v>0</v>
      </c>
      <c r="AE26" s="99">
        <v>0</v>
      </c>
      <c r="AF26" s="99">
        <v>0</v>
      </c>
      <c r="AG26" s="99">
        <v>0</v>
      </c>
      <c r="AH26" s="99">
        <v>0</v>
      </c>
      <c r="AI26" s="99">
        <v>0</v>
      </c>
      <c r="AJ26" s="99">
        <v>0</v>
      </c>
      <c r="AK26" s="99">
        <v>0</v>
      </c>
      <c r="AL26" s="99">
        <v>0</v>
      </c>
      <c r="AM26" s="99">
        <v>0</v>
      </c>
      <c r="AN26" s="99">
        <v>0</v>
      </c>
      <c r="AO26" s="99">
        <v>0</v>
      </c>
      <c r="AP26" s="99">
        <v>0</v>
      </c>
      <c r="AQ26" s="99">
        <v>0</v>
      </c>
      <c r="AR26" s="99">
        <v>0</v>
      </c>
      <c r="AS26" s="99">
        <v>0</v>
      </c>
      <c r="AT26" s="99">
        <v>0</v>
      </c>
      <c r="AU26" s="99">
        <v>0</v>
      </c>
      <c r="AV26" s="99">
        <v>0</v>
      </c>
      <c r="AW26" s="99">
        <v>0</v>
      </c>
      <c r="AX26" s="99">
        <v>0</v>
      </c>
      <c r="AY26" s="99">
        <v>0</v>
      </c>
      <c r="AZ26" s="99">
        <v>0</v>
      </c>
      <c r="BA26" s="99">
        <v>0</v>
      </c>
      <c r="BB26" s="99">
        <v>0</v>
      </c>
      <c r="BC26" s="99">
        <v>0</v>
      </c>
      <c r="BD26" s="99">
        <v>0</v>
      </c>
      <c r="BE26" s="99">
        <v>0</v>
      </c>
      <c r="BF26" s="99">
        <v>0</v>
      </c>
      <c r="BG26" s="99">
        <v>0</v>
      </c>
      <c r="BH26" s="99">
        <v>0</v>
      </c>
      <c r="BI26" s="99">
        <v>0</v>
      </c>
      <c r="BJ26" s="99">
        <v>0</v>
      </c>
    </row>
    <row r="27" spans="1:62">
      <c r="A27" s="94" t="s">
        <v>64</v>
      </c>
      <c r="C27" s="99">
        <f>C102</f>
        <v>5000</v>
      </c>
      <c r="D27" s="99">
        <f t="shared" ref="D27:BJ27" si="7">D102</f>
        <v>5000</v>
      </c>
      <c r="E27" s="99">
        <f t="shared" si="7"/>
        <v>5000</v>
      </c>
      <c r="F27" s="99">
        <f t="shared" si="7"/>
        <v>5000</v>
      </c>
      <c r="G27" s="99">
        <f t="shared" si="7"/>
        <v>5000</v>
      </c>
      <c r="H27" s="99">
        <f t="shared" si="7"/>
        <v>5000</v>
      </c>
      <c r="I27" s="99">
        <f t="shared" si="7"/>
        <v>5000</v>
      </c>
      <c r="J27" s="99">
        <f t="shared" si="7"/>
        <v>5000</v>
      </c>
      <c r="K27" s="99">
        <f t="shared" si="7"/>
        <v>5000</v>
      </c>
      <c r="L27" s="99">
        <f t="shared" si="7"/>
        <v>5000</v>
      </c>
      <c r="M27" s="99">
        <f t="shared" si="7"/>
        <v>5000</v>
      </c>
      <c r="N27" s="99">
        <f t="shared" si="7"/>
        <v>5000</v>
      </c>
      <c r="O27" s="99">
        <f t="shared" si="7"/>
        <v>7500</v>
      </c>
      <c r="P27" s="99">
        <f t="shared" si="7"/>
        <v>7500</v>
      </c>
      <c r="Q27" s="99">
        <f t="shared" si="7"/>
        <v>7500</v>
      </c>
      <c r="R27" s="99">
        <f t="shared" si="7"/>
        <v>7500</v>
      </c>
      <c r="S27" s="99">
        <f t="shared" si="7"/>
        <v>7500</v>
      </c>
      <c r="T27" s="99">
        <f t="shared" si="7"/>
        <v>7500</v>
      </c>
      <c r="U27" s="99">
        <f t="shared" si="7"/>
        <v>7500</v>
      </c>
      <c r="V27" s="99">
        <f t="shared" si="7"/>
        <v>7500</v>
      </c>
      <c r="W27" s="99">
        <f t="shared" si="7"/>
        <v>7500</v>
      </c>
      <c r="X27" s="99">
        <f t="shared" si="7"/>
        <v>7500</v>
      </c>
      <c r="Y27" s="99">
        <f t="shared" si="7"/>
        <v>7500</v>
      </c>
      <c r="Z27" s="99">
        <f t="shared" si="7"/>
        <v>7500</v>
      </c>
      <c r="AA27" s="99">
        <f t="shared" si="7"/>
        <v>11250</v>
      </c>
      <c r="AB27" s="99">
        <f t="shared" si="7"/>
        <v>11250</v>
      </c>
      <c r="AC27" s="99">
        <f t="shared" si="7"/>
        <v>11250</v>
      </c>
      <c r="AD27" s="99">
        <f t="shared" si="7"/>
        <v>11250</v>
      </c>
      <c r="AE27" s="99">
        <f t="shared" si="7"/>
        <v>11250</v>
      </c>
      <c r="AF27" s="99">
        <f t="shared" si="7"/>
        <v>11250</v>
      </c>
      <c r="AG27" s="99">
        <f t="shared" si="7"/>
        <v>11250</v>
      </c>
      <c r="AH27" s="99">
        <f t="shared" si="7"/>
        <v>11250</v>
      </c>
      <c r="AI27" s="99">
        <f t="shared" si="7"/>
        <v>11250</v>
      </c>
      <c r="AJ27" s="99">
        <f t="shared" si="7"/>
        <v>11250</v>
      </c>
      <c r="AK27" s="99">
        <f t="shared" si="7"/>
        <v>11250</v>
      </c>
      <c r="AL27" s="99">
        <f t="shared" si="7"/>
        <v>11250</v>
      </c>
      <c r="AM27" s="99">
        <f t="shared" si="7"/>
        <v>16875</v>
      </c>
      <c r="AN27" s="99">
        <f t="shared" si="7"/>
        <v>16875</v>
      </c>
      <c r="AO27" s="99">
        <f t="shared" si="7"/>
        <v>16875</v>
      </c>
      <c r="AP27" s="99">
        <f t="shared" si="7"/>
        <v>16875</v>
      </c>
      <c r="AQ27" s="99">
        <f t="shared" si="7"/>
        <v>16875</v>
      </c>
      <c r="AR27" s="99">
        <f t="shared" si="7"/>
        <v>16875</v>
      </c>
      <c r="AS27" s="99">
        <f t="shared" si="7"/>
        <v>16875</v>
      </c>
      <c r="AT27" s="99">
        <f t="shared" si="7"/>
        <v>16875</v>
      </c>
      <c r="AU27" s="99">
        <f t="shared" si="7"/>
        <v>16875</v>
      </c>
      <c r="AV27" s="99">
        <f t="shared" si="7"/>
        <v>16875</v>
      </c>
      <c r="AW27" s="99">
        <f t="shared" si="7"/>
        <v>16875</v>
      </c>
      <c r="AX27" s="99">
        <f t="shared" si="7"/>
        <v>16875</v>
      </c>
      <c r="AY27" s="99">
        <f t="shared" si="7"/>
        <v>25312.5</v>
      </c>
      <c r="AZ27" s="99">
        <f t="shared" si="7"/>
        <v>25312.5</v>
      </c>
      <c r="BA27" s="99">
        <f t="shared" si="7"/>
        <v>25312.5</v>
      </c>
      <c r="BB27" s="99">
        <f t="shared" si="7"/>
        <v>25312.5</v>
      </c>
      <c r="BC27" s="99">
        <f t="shared" si="7"/>
        <v>25312.5</v>
      </c>
      <c r="BD27" s="99">
        <f t="shared" si="7"/>
        <v>25312.5</v>
      </c>
      <c r="BE27" s="99">
        <f t="shared" si="7"/>
        <v>25312.5</v>
      </c>
      <c r="BF27" s="99">
        <f t="shared" si="7"/>
        <v>25312.5</v>
      </c>
      <c r="BG27" s="99">
        <f t="shared" si="7"/>
        <v>25312.5</v>
      </c>
      <c r="BH27" s="99">
        <f t="shared" si="7"/>
        <v>25312.5</v>
      </c>
      <c r="BI27" s="99">
        <f t="shared" si="7"/>
        <v>25312.5</v>
      </c>
      <c r="BJ27" s="99">
        <f t="shared" si="7"/>
        <v>25312.5</v>
      </c>
    </row>
    <row r="28" spans="1:62">
      <c r="A28" s="94" t="s">
        <v>65</v>
      </c>
      <c r="C28" s="99">
        <v>10000</v>
      </c>
      <c r="D28" s="99">
        <v>10000</v>
      </c>
      <c r="E28" s="99">
        <v>10000</v>
      </c>
      <c r="F28" s="99">
        <v>10000</v>
      </c>
      <c r="G28" s="99">
        <v>10000</v>
      </c>
      <c r="H28" s="99">
        <v>10000</v>
      </c>
      <c r="I28" s="99">
        <v>10000</v>
      </c>
      <c r="J28" s="99">
        <v>10000</v>
      </c>
      <c r="K28" s="99">
        <v>10000</v>
      </c>
      <c r="L28" s="99">
        <v>10000</v>
      </c>
      <c r="M28" s="99">
        <v>10000</v>
      </c>
      <c r="N28" s="99">
        <v>10000</v>
      </c>
      <c r="O28" s="99">
        <v>10000</v>
      </c>
      <c r="P28" s="99">
        <v>10000</v>
      </c>
      <c r="Q28" s="99">
        <v>10000</v>
      </c>
      <c r="R28" s="99">
        <v>10000</v>
      </c>
      <c r="S28" s="99">
        <v>10000</v>
      </c>
      <c r="T28" s="99">
        <v>10000</v>
      </c>
      <c r="U28" s="99">
        <v>10000</v>
      </c>
      <c r="V28" s="99">
        <v>10000</v>
      </c>
      <c r="W28" s="99">
        <v>10000</v>
      </c>
      <c r="X28" s="99">
        <v>10000</v>
      </c>
      <c r="Y28" s="99">
        <v>10000</v>
      </c>
      <c r="Z28" s="99">
        <v>10000</v>
      </c>
      <c r="AA28" s="99">
        <v>10000</v>
      </c>
      <c r="AB28" s="99">
        <v>10000</v>
      </c>
      <c r="AC28" s="99">
        <v>10000</v>
      </c>
      <c r="AD28" s="99">
        <v>10000</v>
      </c>
      <c r="AE28" s="99">
        <v>10000</v>
      </c>
      <c r="AF28" s="99">
        <v>10000</v>
      </c>
      <c r="AG28" s="99">
        <v>10000</v>
      </c>
      <c r="AH28" s="99">
        <v>10000</v>
      </c>
      <c r="AI28" s="99">
        <v>10000</v>
      </c>
      <c r="AJ28" s="99">
        <v>10000</v>
      </c>
      <c r="AK28" s="99">
        <v>10000</v>
      </c>
      <c r="AL28" s="99">
        <v>10000</v>
      </c>
      <c r="AM28" s="99">
        <v>10000</v>
      </c>
      <c r="AN28" s="99">
        <v>10000</v>
      </c>
      <c r="AO28" s="99">
        <v>10000</v>
      </c>
      <c r="AP28" s="99">
        <v>10000</v>
      </c>
      <c r="AQ28" s="99">
        <v>10000</v>
      </c>
      <c r="AR28" s="99">
        <v>10000</v>
      </c>
      <c r="AS28" s="99">
        <v>10000</v>
      </c>
      <c r="AT28" s="99">
        <v>10000</v>
      </c>
      <c r="AU28" s="99">
        <v>10000</v>
      </c>
      <c r="AV28" s="99">
        <v>10000</v>
      </c>
      <c r="AW28" s="99">
        <v>10000</v>
      </c>
      <c r="AX28" s="99">
        <v>10000</v>
      </c>
      <c r="AY28" s="99">
        <v>10000</v>
      </c>
      <c r="AZ28" s="99">
        <v>10000</v>
      </c>
      <c r="BA28" s="99">
        <v>10000</v>
      </c>
      <c r="BB28" s="99">
        <v>10000</v>
      </c>
      <c r="BC28" s="99">
        <v>10000</v>
      </c>
      <c r="BD28" s="99">
        <v>10000</v>
      </c>
      <c r="BE28" s="99">
        <v>10000</v>
      </c>
      <c r="BF28" s="99">
        <v>10000</v>
      </c>
      <c r="BG28" s="99">
        <v>10000</v>
      </c>
      <c r="BH28" s="99">
        <v>10000</v>
      </c>
      <c r="BI28" s="99">
        <v>10000</v>
      </c>
      <c r="BJ28" s="99">
        <v>10000</v>
      </c>
    </row>
    <row r="29" spans="1:62">
      <c r="A29" s="96" t="s">
        <v>66</v>
      </c>
      <c r="C29" s="99">
        <f>SUM(C12:C28)</f>
        <v>214841.25</v>
      </c>
      <c r="D29" s="99">
        <f t="shared" ref="D29:BJ29" si="8">SUM(D12:D28)</f>
        <v>138644.65</v>
      </c>
      <c r="E29" s="99">
        <f t="shared" si="8"/>
        <v>138597.823</v>
      </c>
      <c r="F29" s="99">
        <f t="shared" si="8"/>
        <v>138839.90081000002</v>
      </c>
      <c r="G29" s="99">
        <f t="shared" si="8"/>
        <v>138795.84128569998</v>
      </c>
      <c r="H29" s="99">
        <f t="shared" si="8"/>
        <v>139960.60354712902</v>
      </c>
      <c r="I29" s="99">
        <f t="shared" si="8"/>
        <v>140206.64794071513</v>
      </c>
      <c r="J29" s="99">
        <f t="shared" si="8"/>
        <v>140166.43600249369</v>
      </c>
      <c r="K29" s="99">
        <f t="shared" si="8"/>
        <v>140127.43042241887</v>
      </c>
      <c r="L29" s="99">
        <f t="shared" si="8"/>
        <v>140377.09500974632</v>
      </c>
      <c r="M29" s="99">
        <f t="shared" si="8"/>
        <v>140340.39465945392</v>
      </c>
      <c r="N29" s="99">
        <f t="shared" si="8"/>
        <v>140304.79531967029</v>
      </c>
      <c r="O29" s="99">
        <f t="shared" si="8"/>
        <v>145557.76396008019</v>
      </c>
      <c r="P29" s="99">
        <f t="shared" si="8"/>
        <v>218606.47687461117</v>
      </c>
      <c r="Q29" s="99">
        <f t="shared" si="8"/>
        <v>160062.08333333334</v>
      </c>
      <c r="R29" s="99">
        <f t="shared" si="8"/>
        <v>159774.58333333334</v>
      </c>
      <c r="S29" s="99">
        <f t="shared" si="8"/>
        <v>224200.864632332</v>
      </c>
      <c r="T29" s="99">
        <f t="shared" si="8"/>
        <v>167249.58333333334</v>
      </c>
      <c r="U29" s="99">
        <f t="shared" si="8"/>
        <v>166444.58333333334</v>
      </c>
      <c r="V29" s="99">
        <f t="shared" si="8"/>
        <v>235147.70743616761</v>
      </c>
      <c r="W29" s="99">
        <f t="shared" si="8"/>
        <v>179362.91666666669</v>
      </c>
      <c r="X29" s="99">
        <f t="shared" si="8"/>
        <v>178557.91666666669</v>
      </c>
      <c r="Y29" s="99">
        <f t="shared" si="8"/>
        <v>178270.41666666669</v>
      </c>
      <c r="Z29" s="99">
        <f t="shared" si="8"/>
        <v>177695.41666666669</v>
      </c>
      <c r="AA29" s="99">
        <f t="shared" si="8"/>
        <v>196265.41666666669</v>
      </c>
      <c r="AB29" s="99">
        <f t="shared" si="8"/>
        <v>259984.35250613606</v>
      </c>
      <c r="AC29" s="99">
        <f t="shared" si="8"/>
        <v>202762.91666666669</v>
      </c>
      <c r="AD29" s="99">
        <f t="shared" si="8"/>
        <v>202475.41666666669</v>
      </c>
      <c r="AE29" s="99">
        <f t="shared" si="8"/>
        <v>265431.87670358265</v>
      </c>
      <c r="AF29" s="99">
        <f t="shared" si="8"/>
        <v>209145.41666666669</v>
      </c>
      <c r="AG29" s="99">
        <f t="shared" si="8"/>
        <v>208857.91666666669</v>
      </c>
      <c r="AH29" s="99">
        <f t="shared" si="8"/>
        <v>270201.241255439</v>
      </c>
      <c r="AI29" s="99">
        <f t="shared" si="8"/>
        <v>215240.41666666669</v>
      </c>
      <c r="AJ29" s="99">
        <f t="shared" si="8"/>
        <v>214665.41666666669</v>
      </c>
      <c r="AK29" s="99">
        <f t="shared" si="8"/>
        <v>213572.91666666669</v>
      </c>
      <c r="AL29" s="99">
        <f t="shared" si="8"/>
        <v>213285.41666666669</v>
      </c>
      <c r="AM29" s="99">
        <f t="shared" si="8"/>
        <v>246901.25000000003</v>
      </c>
      <c r="AN29" s="99">
        <f t="shared" si="8"/>
        <v>309463.15706536325</v>
      </c>
      <c r="AO29" s="99">
        <f t="shared" si="8"/>
        <v>252708.75000000003</v>
      </c>
      <c r="AP29" s="99">
        <f t="shared" si="8"/>
        <v>252421.25000000003</v>
      </c>
      <c r="AQ29" s="99">
        <f t="shared" si="8"/>
        <v>314663.96548456629</v>
      </c>
      <c r="AR29" s="99">
        <f t="shared" si="8"/>
        <v>259091.25000000003</v>
      </c>
      <c r="AS29" s="99">
        <f t="shared" si="8"/>
        <v>258516.25000000003</v>
      </c>
      <c r="AT29" s="99">
        <f t="shared" si="8"/>
        <v>318263.05269444553</v>
      </c>
      <c r="AU29" s="99">
        <f t="shared" si="8"/>
        <v>264208.75</v>
      </c>
      <c r="AV29" s="99">
        <f t="shared" si="8"/>
        <v>263116.25</v>
      </c>
      <c r="AW29" s="99">
        <f t="shared" si="8"/>
        <v>262828.75</v>
      </c>
      <c r="AX29" s="99">
        <f t="shared" si="8"/>
        <v>262253.75</v>
      </c>
      <c r="AY29" s="99">
        <f t="shared" si="8"/>
        <v>324682.08333333337</v>
      </c>
      <c r="AZ29" s="99">
        <f t="shared" si="8"/>
        <v>387609.94605141808</v>
      </c>
      <c r="BA29" s="99">
        <f t="shared" si="8"/>
        <v>331179.58333333337</v>
      </c>
      <c r="BB29" s="99">
        <f t="shared" si="8"/>
        <v>330374.58333333337</v>
      </c>
      <c r="BC29" s="99">
        <f t="shared" si="8"/>
        <v>392321.55229133577</v>
      </c>
      <c r="BD29" s="99">
        <f t="shared" si="8"/>
        <v>337274.58333333337</v>
      </c>
      <c r="BE29" s="99">
        <f t="shared" si="8"/>
        <v>336469.58333333337</v>
      </c>
      <c r="BF29" s="99">
        <f t="shared" si="8"/>
        <v>396463.96615814033</v>
      </c>
      <c r="BG29" s="99">
        <f t="shared" si="8"/>
        <v>342679.58333333337</v>
      </c>
      <c r="BH29" s="99">
        <f t="shared" si="8"/>
        <v>341587.08333333337</v>
      </c>
      <c r="BI29" s="99">
        <f t="shared" si="8"/>
        <v>340494.58333333337</v>
      </c>
      <c r="BJ29" s="99">
        <f t="shared" si="8"/>
        <v>339919.58333333337</v>
      </c>
    </row>
    <row r="31" spans="1:62">
      <c r="A31" s="97" t="s">
        <v>227</v>
      </c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99"/>
      <c r="BI31" s="99"/>
      <c r="BJ31" s="99"/>
    </row>
    <row r="32" spans="1:62">
      <c r="A32" s="138" t="str">
        <f>'Financial Statements &amp; Detail'!A109</f>
        <v>Total Opening Subscribers-Cable</v>
      </c>
      <c r="B32" s="139">
        <f>'Financial Statements &amp; Detail'!B109</f>
        <v>0</v>
      </c>
      <c r="C32" s="139">
        <f>'Financial Statements &amp; Detail'!C109</f>
        <v>11000</v>
      </c>
      <c r="D32" s="139">
        <f>'Financial Statements &amp; Detail'!D109</f>
        <v>11220</v>
      </c>
      <c r="E32" s="139">
        <f>'Financial Statements &amp; Detail'!E109</f>
        <v>11433.4</v>
      </c>
      <c r="F32" s="139">
        <f>'Financial Statements &amp; Detail'!F109</f>
        <v>11640.397999999999</v>
      </c>
      <c r="G32" s="139">
        <f>'Financial Statements &amp; Detail'!G109</f>
        <v>11841.18606</v>
      </c>
      <c r="H32" s="139">
        <f>'Financial Statements &amp; Detail'!H109</f>
        <v>12035.9504782</v>
      </c>
      <c r="I32" s="139">
        <f>'Financial Statements &amp; Detail'!I109</f>
        <v>12224.871963854001</v>
      </c>
      <c r="J32" s="139">
        <f>'Financial Statements &amp; Detail'!J109</f>
        <v>12408.125804938381</v>
      </c>
      <c r="K32" s="139">
        <f>'Financial Statements &amp; Detail'!K109</f>
        <v>12585.882030790228</v>
      </c>
      <c r="L32" s="139">
        <f>'Financial Statements &amp; Detail'!L109</f>
        <v>12758.305569866523</v>
      </c>
      <c r="M32" s="139">
        <f>'Financial Statements &amp; Detail'!M109</f>
        <v>12925.556402770526</v>
      </c>
      <c r="N32" s="139">
        <f>'Financial Statements &amp; Detail'!N109</f>
        <v>13087.789710687412</v>
      </c>
      <c r="O32" s="139">
        <f>'Financial Statements &amp; Detail'!O109</f>
        <v>13245.15601936679</v>
      </c>
      <c r="P32" s="139">
        <f>'Financial Statements &amp; Detail'!P109</f>
        <v>21456.134672119122</v>
      </c>
      <c r="Q32" s="139">
        <f>'Financial Statements &amp; Detail'!Q109</f>
        <v>21087.450631955548</v>
      </c>
      <c r="R32" s="139">
        <f>'Financial Statements &amp; Detail'!R109</f>
        <v>20729.827112996882</v>
      </c>
      <c r="S32" s="139">
        <f>'Financial Statements &amp; Detail'!S109</f>
        <v>28716.265632940311</v>
      </c>
      <c r="T32" s="139">
        <f>'Financial Statements &amp; Detail'!T109</f>
        <v>28129.7776639521</v>
      </c>
      <c r="U32" s="139">
        <f>'Financial Statements &amp; Detail'!U109</f>
        <v>27560.884334033537</v>
      </c>
      <c r="V32" s="139">
        <f>'Financial Statements &amp; Detail'!V109</f>
        <v>35342.391137345861</v>
      </c>
      <c r="W32" s="139">
        <f>'Financial Statements &amp; Detail'!W109</f>
        <v>34557.119403225486</v>
      </c>
      <c r="X32" s="139">
        <f>'Financial Statements &amp; Detail'!X109</f>
        <v>33795.405821128719</v>
      </c>
      <c r="Y32" s="139">
        <f>'Financial Statements &amp; Detail'!Y109</f>
        <v>33056.543646494858</v>
      </c>
      <c r="Z32" s="139">
        <f>'Financial Statements &amp; Detail'!Z109</f>
        <v>32339.847337100011</v>
      </c>
      <c r="AA32" s="139">
        <f>'Financial Statements &amp; Detail'!AA109</f>
        <v>31644.651916987008</v>
      </c>
      <c r="AB32" s="139">
        <f>'Financial Statements &amp; Detail'!AB109</f>
        <v>39628.645692810736</v>
      </c>
      <c r="AC32" s="139">
        <f>'Financial Statements &amp; Detail'!AC109</f>
        <v>39039.786322026419</v>
      </c>
      <c r="AD32" s="139">
        <f>'Financial Statements &amp; Detail'!AD109</f>
        <v>38468.592732365621</v>
      </c>
      <c r="AE32" s="139">
        <f>'Financial Statements &amp; Detail'!AE109</f>
        <v>46247.868283727992</v>
      </c>
      <c r="AF32" s="139">
        <f>'Financial Statements &amp; Detail'!AF109</f>
        <v>45460.432235216154</v>
      </c>
      <c r="AG32" s="139">
        <f>'Financial Statements &amp; Detail'!AG109</f>
        <v>44696.619268159666</v>
      </c>
      <c r="AH32" s="139">
        <f>'Financial Statements &amp; Detail'!AH109</f>
        <v>52289.054023448211</v>
      </c>
      <c r="AI32" s="139">
        <f>'Financial Statements &amp; Detail'!AI109</f>
        <v>51320.382402744763</v>
      </c>
      <c r="AJ32" s="139">
        <f>'Financial Statements &amp; Detail'!AJ109</f>
        <v>50380.770930662424</v>
      </c>
      <c r="AK32" s="139">
        <f>'Financial Statements &amp; Detail'!AK109</f>
        <v>49469.347802742552</v>
      </c>
      <c r="AL32" s="139">
        <f>'Financial Statements &amp; Detail'!AL109</f>
        <v>48585.267368660279</v>
      </c>
      <c r="AM32" s="139">
        <f>'Financial Statements &amp; Detail'!AM109</f>
        <v>47727.709347600467</v>
      </c>
      <c r="AN32" s="139">
        <f>'Financial Statements &amp; Detail'!AN109</f>
        <v>55645.878067172453</v>
      </c>
      <c r="AO32" s="139">
        <f>'Financial Statements &amp; Detail'!AO109</f>
        <v>54993.168391823943</v>
      </c>
      <c r="AP32" s="139">
        <f>'Financial Statements &amp; Detail'!AP109</f>
        <v>54360.040006735893</v>
      </c>
      <c r="AQ32" s="139">
        <f>'Financial Statements &amp; Detail'!AQ109</f>
        <v>62079.238806533816</v>
      </c>
      <c r="AR32" s="139">
        <f>'Financial Statements &amp; Detail'!AR109</f>
        <v>61233.528309004476</v>
      </c>
      <c r="AS32" s="139">
        <f>'Financial Statements &amp; Detail'!AS109</f>
        <v>60413.189126401012</v>
      </c>
      <c r="AT32" s="139">
        <f>'Financial Statements &amp; Detail'!AT109</f>
        <v>67950.793452608981</v>
      </c>
      <c r="AU32" s="139">
        <f>'Financial Statements &amp; Detail'!AU109</f>
        <v>66928.936315697385</v>
      </c>
      <c r="AV32" s="139">
        <f>'Financial Statements &amp; Detail'!AV109</f>
        <v>65937.734892893117</v>
      </c>
      <c r="AW32" s="139">
        <f>'Financial Statements &amp; Detail'!AW109</f>
        <v>64976.269512772997</v>
      </c>
      <c r="AX32" s="139">
        <f>'Financial Statements &amp; Detail'!AX109</f>
        <v>64043.648094056465</v>
      </c>
      <c r="AY32" s="139">
        <f>'Financial Statements &amp; Detail'!AY109</f>
        <v>63139.005317901443</v>
      </c>
      <c r="AZ32" s="139">
        <f>'Financial Statements &amp; Detail'!AZ109</f>
        <v>71011.501825031068</v>
      </c>
      <c r="BA32" s="139">
        <f>'Financial Statements &amp; Detail'!BA109</f>
        <v>70314.490103613469</v>
      </c>
      <c r="BB32" s="139">
        <f>'Financial Statements &amp; Detail'!BB109</f>
        <v>69638.388733838394</v>
      </c>
      <c r="BC32" s="139">
        <f>'Financial Statements &amp; Detail'!BC109</f>
        <v>77315.903738489913</v>
      </c>
      <c r="BD32" s="139">
        <f>'Financial Statements &amp; Detail'!BD109</f>
        <v>76429.759959668547</v>
      </c>
      <c r="BE32" s="139">
        <f>'Financial Statements &amp; Detail'!BE109</f>
        <v>75570.200494211836</v>
      </c>
      <c r="BF32" s="139">
        <f>'Financial Statements &amp; Detail'!BF109</f>
        <v>83069.761146052144</v>
      </c>
      <c r="BG32" s="139">
        <f>'Financial Statements &amp; Detail'!BG109</f>
        <v>82011.001645003911</v>
      </c>
      <c r="BH32" s="139">
        <f>'Financial Statements &amp; Detail'!BH109</f>
        <v>80984.004928987124</v>
      </c>
      <c r="BI32" s="139">
        <f>'Financial Statements &amp; Detail'!BI109</f>
        <v>79987.818114450842</v>
      </c>
      <c r="BJ32" s="139">
        <f>'Financial Statements &amp; Detail'!BJ109</f>
        <v>79021.516904350661</v>
      </c>
    </row>
    <row r="33" spans="1:62">
      <c r="A33" s="138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</row>
    <row r="34" spans="1:62">
      <c r="A34" s="6" t="s">
        <v>228</v>
      </c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99"/>
    </row>
    <row r="35" spans="1:62">
      <c r="A35" s="82" t="s">
        <v>229</v>
      </c>
      <c r="C35" s="140">
        <v>9</v>
      </c>
      <c r="D35" s="140">
        <v>9</v>
      </c>
      <c r="E35" s="140">
        <v>9</v>
      </c>
      <c r="F35" s="140">
        <v>9</v>
      </c>
      <c r="G35" s="140">
        <v>9</v>
      </c>
      <c r="H35" s="140">
        <v>9</v>
      </c>
      <c r="I35" s="140">
        <v>9</v>
      </c>
      <c r="J35" s="140">
        <v>9</v>
      </c>
      <c r="K35" s="140">
        <v>9</v>
      </c>
      <c r="L35" s="140">
        <v>9</v>
      </c>
      <c r="M35" s="140">
        <v>9</v>
      </c>
      <c r="N35" s="140">
        <v>9</v>
      </c>
      <c r="O35" s="140">
        <v>9</v>
      </c>
      <c r="P35" s="140">
        <v>9</v>
      </c>
      <c r="Q35" s="140">
        <v>9</v>
      </c>
      <c r="R35" s="140">
        <v>9</v>
      </c>
      <c r="S35" s="140">
        <v>9</v>
      </c>
      <c r="T35" s="140">
        <v>9</v>
      </c>
      <c r="U35" s="140">
        <v>9</v>
      </c>
      <c r="V35" s="140">
        <v>9</v>
      </c>
      <c r="W35" s="140">
        <v>9</v>
      </c>
      <c r="X35" s="140">
        <v>9</v>
      </c>
      <c r="Y35" s="140">
        <v>9</v>
      </c>
      <c r="Z35" s="140">
        <v>9</v>
      </c>
      <c r="AA35" s="140">
        <v>9</v>
      </c>
      <c r="AB35" s="140">
        <v>9</v>
      </c>
      <c r="AC35" s="140">
        <v>9</v>
      </c>
      <c r="AD35" s="140">
        <v>9</v>
      </c>
      <c r="AE35" s="140">
        <v>9</v>
      </c>
      <c r="AF35" s="140">
        <v>9</v>
      </c>
      <c r="AG35" s="140">
        <v>9</v>
      </c>
      <c r="AH35" s="140">
        <v>9</v>
      </c>
      <c r="AI35" s="140">
        <v>9</v>
      </c>
      <c r="AJ35" s="140">
        <v>9</v>
      </c>
      <c r="AK35" s="140">
        <v>9</v>
      </c>
      <c r="AL35" s="140">
        <v>9</v>
      </c>
      <c r="AM35" s="140">
        <v>9</v>
      </c>
      <c r="AN35" s="140">
        <v>9</v>
      </c>
      <c r="AO35" s="140">
        <v>9</v>
      </c>
      <c r="AP35" s="140">
        <v>9</v>
      </c>
      <c r="AQ35" s="140">
        <v>9</v>
      </c>
      <c r="AR35" s="140">
        <v>9</v>
      </c>
      <c r="AS35" s="140">
        <v>9</v>
      </c>
      <c r="AT35" s="140">
        <v>9</v>
      </c>
      <c r="AU35" s="140">
        <v>9</v>
      </c>
      <c r="AV35" s="140">
        <v>9</v>
      </c>
      <c r="AW35" s="140">
        <v>9</v>
      </c>
      <c r="AX35" s="140">
        <v>9</v>
      </c>
      <c r="AY35" s="140">
        <v>9</v>
      </c>
      <c r="AZ35" s="140">
        <v>9</v>
      </c>
      <c r="BA35" s="140">
        <v>9</v>
      </c>
      <c r="BB35" s="140">
        <v>9</v>
      </c>
      <c r="BC35" s="140">
        <v>9</v>
      </c>
      <c r="BD35" s="140">
        <v>9</v>
      </c>
      <c r="BE35" s="140">
        <v>9</v>
      </c>
      <c r="BF35" s="140">
        <v>9</v>
      </c>
      <c r="BG35" s="140">
        <v>9</v>
      </c>
      <c r="BH35" s="140">
        <v>9</v>
      </c>
      <c r="BI35" s="140">
        <v>9</v>
      </c>
      <c r="BJ35" s="140">
        <v>9</v>
      </c>
    </row>
    <row r="36" spans="1:62">
      <c r="A36" s="82" t="s">
        <v>230</v>
      </c>
      <c r="C36" s="140">
        <f>4500/12</f>
        <v>375</v>
      </c>
      <c r="D36" s="140">
        <f t="shared" ref="D36:BJ36" si="9">4500/12</f>
        <v>375</v>
      </c>
      <c r="E36" s="140">
        <f t="shared" si="9"/>
        <v>375</v>
      </c>
      <c r="F36" s="140">
        <f t="shared" si="9"/>
        <v>375</v>
      </c>
      <c r="G36" s="140">
        <f t="shared" si="9"/>
        <v>375</v>
      </c>
      <c r="H36" s="140">
        <f t="shared" si="9"/>
        <v>375</v>
      </c>
      <c r="I36" s="140">
        <f t="shared" si="9"/>
        <v>375</v>
      </c>
      <c r="J36" s="140">
        <f t="shared" si="9"/>
        <v>375</v>
      </c>
      <c r="K36" s="140">
        <f t="shared" si="9"/>
        <v>375</v>
      </c>
      <c r="L36" s="140">
        <f t="shared" si="9"/>
        <v>375</v>
      </c>
      <c r="M36" s="140">
        <f t="shared" si="9"/>
        <v>375</v>
      </c>
      <c r="N36" s="140">
        <f t="shared" si="9"/>
        <v>375</v>
      </c>
      <c r="O36" s="140">
        <f t="shared" si="9"/>
        <v>375</v>
      </c>
      <c r="P36" s="140">
        <f t="shared" si="9"/>
        <v>375</v>
      </c>
      <c r="Q36" s="140">
        <f t="shared" si="9"/>
        <v>375</v>
      </c>
      <c r="R36" s="140">
        <f t="shared" si="9"/>
        <v>375</v>
      </c>
      <c r="S36" s="140">
        <f t="shared" si="9"/>
        <v>375</v>
      </c>
      <c r="T36" s="140">
        <f t="shared" si="9"/>
        <v>375</v>
      </c>
      <c r="U36" s="140">
        <f t="shared" si="9"/>
        <v>375</v>
      </c>
      <c r="V36" s="140">
        <f t="shared" si="9"/>
        <v>375</v>
      </c>
      <c r="W36" s="140">
        <f t="shared" si="9"/>
        <v>375</v>
      </c>
      <c r="X36" s="140">
        <f t="shared" si="9"/>
        <v>375</v>
      </c>
      <c r="Y36" s="140">
        <f t="shared" si="9"/>
        <v>375</v>
      </c>
      <c r="Z36" s="140">
        <f t="shared" si="9"/>
        <v>375</v>
      </c>
      <c r="AA36" s="140">
        <f t="shared" si="9"/>
        <v>375</v>
      </c>
      <c r="AB36" s="140">
        <f t="shared" si="9"/>
        <v>375</v>
      </c>
      <c r="AC36" s="140">
        <f t="shared" si="9"/>
        <v>375</v>
      </c>
      <c r="AD36" s="140">
        <f t="shared" si="9"/>
        <v>375</v>
      </c>
      <c r="AE36" s="140">
        <f t="shared" si="9"/>
        <v>375</v>
      </c>
      <c r="AF36" s="140">
        <f t="shared" si="9"/>
        <v>375</v>
      </c>
      <c r="AG36" s="140">
        <f t="shared" si="9"/>
        <v>375</v>
      </c>
      <c r="AH36" s="140">
        <f t="shared" si="9"/>
        <v>375</v>
      </c>
      <c r="AI36" s="140">
        <f t="shared" si="9"/>
        <v>375</v>
      </c>
      <c r="AJ36" s="140">
        <f t="shared" si="9"/>
        <v>375</v>
      </c>
      <c r="AK36" s="140">
        <f t="shared" si="9"/>
        <v>375</v>
      </c>
      <c r="AL36" s="140">
        <f t="shared" si="9"/>
        <v>375</v>
      </c>
      <c r="AM36" s="140">
        <f t="shared" si="9"/>
        <v>375</v>
      </c>
      <c r="AN36" s="140">
        <f t="shared" si="9"/>
        <v>375</v>
      </c>
      <c r="AO36" s="140">
        <f t="shared" si="9"/>
        <v>375</v>
      </c>
      <c r="AP36" s="140">
        <f t="shared" si="9"/>
        <v>375</v>
      </c>
      <c r="AQ36" s="140">
        <f t="shared" si="9"/>
        <v>375</v>
      </c>
      <c r="AR36" s="140">
        <f t="shared" si="9"/>
        <v>375</v>
      </c>
      <c r="AS36" s="140">
        <f t="shared" si="9"/>
        <v>375</v>
      </c>
      <c r="AT36" s="140">
        <f t="shared" si="9"/>
        <v>375</v>
      </c>
      <c r="AU36" s="140">
        <f t="shared" si="9"/>
        <v>375</v>
      </c>
      <c r="AV36" s="140">
        <f t="shared" si="9"/>
        <v>375</v>
      </c>
      <c r="AW36" s="140">
        <f t="shared" si="9"/>
        <v>375</v>
      </c>
      <c r="AX36" s="140">
        <f t="shared" si="9"/>
        <v>375</v>
      </c>
      <c r="AY36" s="140">
        <f t="shared" si="9"/>
        <v>375</v>
      </c>
      <c r="AZ36" s="140">
        <f t="shared" si="9"/>
        <v>375</v>
      </c>
      <c r="BA36" s="140">
        <f t="shared" si="9"/>
        <v>375</v>
      </c>
      <c r="BB36" s="140">
        <f t="shared" si="9"/>
        <v>375</v>
      </c>
      <c r="BC36" s="140">
        <f t="shared" si="9"/>
        <v>375</v>
      </c>
      <c r="BD36" s="140">
        <f t="shared" si="9"/>
        <v>375</v>
      </c>
      <c r="BE36" s="140">
        <f t="shared" si="9"/>
        <v>375</v>
      </c>
      <c r="BF36" s="140">
        <f t="shared" si="9"/>
        <v>375</v>
      </c>
      <c r="BG36" s="140">
        <f t="shared" si="9"/>
        <v>375</v>
      </c>
      <c r="BH36" s="140">
        <f t="shared" si="9"/>
        <v>375</v>
      </c>
      <c r="BI36" s="140">
        <f t="shared" si="9"/>
        <v>375</v>
      </c>
      <c r="BJ36" s="140">
        <f t="shared" si="9"/>
        <v>375</v>
      </c>
    </row>
    <row r="37" spans="1:62">
      <c r="A37" s="82" t="s">
        <v>138</v>
      </c>
      <c r="C37" s="99">
        <f>C35*C36</f>
        <v>3375</v>
      </c>
      <c r="D37" s="99">
        <f t="shared" ref="D37:BJ37" si="10">D35*D36</f>
        <v>3375</v>
      </c>
      <c r="E37" s="99">
        <f t="shared" si="10"/>
        <v>3375</v>
      </c>
      <c r="F37" s="99">
        <f t="shared" si="10"/>
        <v>3375</v>
      </c>
      <c r="G37" s="99">
        <f t="shared" si="10"/>
        <v>3375</v>
      </c>
      <c r="H37" s="99">
        <f t="shared" si="10"/>
        <v>3375</v>
      </c>
      <c r="I37" s="99">
        <f t="shared" si="10"/>
        <v>3375</v>
      </c>
      <c r="J37" s="99">
        <f t="shared" si="10"/>
        <v>3375</v>
      </c>
      <c r="K37" s="99">
        <f t="shared" si="10"/>
        <v>3375</v>
      </c>
      <c r="L37" s="99">
        <f t="shared" si="10"/>
        <v>3375</v>
      </c>
      <c r="M37" s="99">
        <f t="shared" si="10"/>
        <v>3375</v>
      </c>
      <c r="N37" s="99">
        <f t="shared" si="10"/>
        <v>3375</v>
      </c>
      <c r="O37" s="99">
        <f t="shared" si="10"/>
        <v>3375</v>
      </c>
      <c r="P37" s="99">
        <f t="shared" si="10"/>
        <v>3375</v>
      </c>
      <c r="Q37" s="99">
        <f t="shared" si="10"/>
        <v>3375</v>
      </c>
      <c r="R37" s="99">
        <f t="shared" si="10"/>
        <v>3375</v>
      </c>
      <c r="S37" s="99">
        <f t="shared" si="10"/>
        <v>3375</v>
      </c>
      <c r="T37" s="99">
        <f t="shared" si="10"/>
        <v>3375</v>
      </c>
      <c r="U37" s="99">
        <f t="shared" si="10"/>
        <v>3375</v>
      </c>
      <c r="V37" s="99">
        <f t="shared" si="10"/>
        <v>3375</v>
      </c>
      <c r="W37" s="99">
        <f t="shared" si="10"/>
        <v>3375</v>
      </c>
      <c r="X37" s="99">
        <f t="shared" si="10"/>
        <v>3375</v>
      </c>
      <c r="Y37" s="99">
        <f t="shared" si="10"/>
        <v>3375</v>
      </c>
      <c r="Z37" s="99">
        <f t="shared" si="10"/>
        <v>3375</v>
      </c>
      <c r="AA37" s="99">
        <f t="shared" si="10"/>
        <v>3375</v>
      </c>
      <c r="AB37" s="99">
        <f t="shared" si="10"/>
        <v>3375</v>
      </c>
      <c r="AC37" s="99">
        <f t="shared" si="10"/>
        <v>3375</v>
      </c>
      <c r="AD37" s="99">
        <f t="shared" si="10"/>
        <v>3375</v>
      </c>
      <c r="AE37" s="99">
        <f t="shared" si="10"/>
        <v>3375</v>
      </c>
      <c r="AF37" s="99">
        <f t="shared" si="10"/>
        <v>3375</v>
      </c>
      <c r="AG37" s="99">
        <f t="shared" si="10"/>
        <v>3375</v>
      </c>
      <c r="AH37" s="99">
        <f t="shared" si="10"/>
        <v>3375</v>
      </c>
      <c r="AI37" s="99">
        <f t="shared" si="10"/>
        <v>3375</v>
      </c>
      <c r="AJ37" s="99">
        <f t="shared" si="10"/>
        <v>3375</v>
      </c>
      <c r="AK37" s="99">
        <f t="shared" si="10"/>
        <v>3375</v>
      </c>
      <c r="AL37" s="99">
        <f t="shared" si="10"/>
        <v>3375</v>
      </c>
      <c r="AM37" s="99">
        <f t="shared" si="10"/>
        <v>3375</v>
      </c>
      <c r="AN37" s="99">
        <f t="shared" si="10"/>
        <v>3375</v>
      </c>
      <c r="AO37" s="99">
        <f t="shared" si="10"/>
        <v>3375</v>
      </c>
      <c r="AP37" s="99">
        <f t="shared" si="10"/>
        <v>3375</v>
      </c>
      <c r="AQ37" s="99">
        <f t="shared" si="10"/>
        <v>3375</v>
      </c>
      <c r="AR37" s="99">
        <f t="shared" si="10"/>
        <v>3375</v>
      </c>
      <c r="AS37" s="99">
        <f t="shared" si="10"/>
        <v>3375</v>
      </c>
      <c r="AT37" s="99">
        <f t="shared" si="10"/>
        <v>3375</v>
      </c>
      <c r="AU37" s="99">
        <f t="shared" si="10"/>
        <v>3375</v>
      </c>
      <c r="AV37" s="99">
        <f t="shared" si="10"/>
        <v>3375</v>
      </c>
      <c r="AW37" s="99">
        <f t="shared" si="10"/>
        <v>3375</v>
      </c>
      <c r="AX37" s="99">
        <f t="shared" si="10"/>
        <v>3375</v>
      </c>
      <c r="AY37" s="99">
        <f t="shared" si="10"/>
        <v>3375</v>
      </c>
      <c r="AZ37" s="99">
        <f t="shared" si="10"/>
        <v>3375</v>
      </c>
      <c r="BA37" s="99">
        <f t="shared" si="10"/>
        <v>3375</v>
      </c>
      <c r="BB37" s="99">
        <f t="shared" si="10"/>
        <v>3375</v>
      </c>
      <c r="BC37" s="99">
        <f t="shared" si="10"/>
        <v>3375</v>
      </c>
      <c r="BD37" s="99">
        <f t="shared" si="10"/>
        <v>3375</v>
      </c>
      <c r="BE37" s="99">
        <f t="shared" si="10"/>
        <v>3375</v>
      </c>
      <c r="BF37" s="99">
        <f t="shared" si="10"/>
        <v>3375</v>
      </c>
      <c r="BG37" s="99">
        <f t="shared" si="10"/>
        <v>3375</v>
      </c>
      <c r="BH37" s="99">
        <f t="shared" si="10"/>
        <v>3375</v>
      </c>
      <c r="BI37" s="99">
        <f t="shared" si="10"/>
        <v>3375</v>
      </c>
      <c r="BJ37" s="99">
        <f t="shared" si="10"/>
        <v>3375</v>
      </c>
    </row>
    <row r="38" spans="1:62">
      <c r="A38" s="82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</row>
    <row r="39" spans="1:62">
      <c r="A39" s="82" t="s">
        <v>231</v>
      </c>
      <c r="C39" s="140">
        <f>ROUNDUP(C32/550,0)</f>
        <v>20</v>
      </c>
      <c r="D39" s="140">
        <f t="shared" ref="D39:BJ39" si="11">ROUNDUP(D32/550,0)</f>
        <v>21</v>
      </c>
      <c r="E39" s="140">
        <f t="shared" si="11"/>
        <v>21</v>
      </c>
      <c r="F39" s="140">
        <f t="shared" si="11"/>
        <v>22</v>
      </c>
      <c r="G39" s="140">
        <f t="shared" si="11"/>
        <v>22</v>
      </c>
      <c r="H39" s="140">
        <f t="shared" si="11"/>
        <v>22</v>
      </c>
      <c r="I39" s="140">
        <f t="shared" si="11"/>
        <v>23</v>
      </c>
      <c r="J39" s="140">
        <f t="shared" si="11"/>
        <v>23</v>
      </c>
      <c r="K39" s="140">
        <f t="shared" si="11"/>
        <v>23</v>
      </c>
      <c r="L39" s="140">
        <f t="shared" si="11"/>
        <v>24</v>
      </c>
      <c r="M39" s="140">
        <f t="shared" si="11"/>
        <v>24</v>
      </c>
      <c r="N39" s="140">
        <f t="shared" si="11"/>
        <v>24</v>
      </c>
      <c r="O39" s="140">
        <f t="shared" si="11"/>
        <v>25</v>
      </c>
      <c r="P39" s="140">
        <f t="shared" si="11"/>
        <v>40</v>
      </c>
      <c r="Q39" s="140">
        <f t="shared" si="11"/>
        <v>39</v>
      </c>
      <c r="R39" s="140">
        <f t="shared" si="11"/>
        <v>38</v>
      </c>
      <c r="S39" s="140">
        <f t="shared" si="11"/>
        <v>53</v>
      </c>
      <c r="T39" s="140">
        <f t="shared" si="11"/>
        <v>52</v>
      </c>
      <c r="U39" s="140">
        <f t="shared" si="11"/>
        <v>51</v>
      </c>
      <c r="V39" s="140">
        <f t="shared" si="11"/>
        <v>65</v>
      </c>
      <c r="W39" s="140">
        <f t="shared" si="11"/>
        <v>63</v>
      </c>
      <c r="X39" s="140">
        <f t="shared" si="11"/>
        <v>62</v>
      </c>
      <c r="Y39" s="140">
        <f t="shared" si="11"/>
        <v>61</v>
      </c>
      <c r="Z39" s="140">
        <f t="shared" si="11"/>
        <v>59</v>
      </c>
      <c r="AA39" s="140">
        <f t="shared" si="11"/>
        <v>58</v>
      </c>
      <c r="AB39" s="140">
        <f t="shared" si="11"/>
        <v>73</v>
      </c>
      <c r="AC39" s="140">
        <f t="shared" si="11"/>
        <v>71</v>
      </c>
      <c r="AD39" s="140">
        <f t="shared" si="11"/>
        <v>70</v>
      </c>
      <c r="AE39" s="140">
        <f t="shared" si="11"/>
        <v>85</v>
      </c>
      <c r="AF39" s="140">
        <f t="shared" si="11"/>
        <v>83</v>
      </c>
      <c r="AG39" s="140">
        <f t="shared" si="11"/>
        <v>82</v>
      </c>
      <c r="AH39" s="140">
        <f t="shared" si="11"/>
        <v>96</v>
      </c>
      <c r="AI39" s="140">
        <f t="shared" si="11"/>
        <v>94</v>
      </c>
      <c r="AJ39" s="140">
        <f t="shared" si="11"/>
        <v>92</v>
      </c>
      <c r="AK39" s="140">
        <f t="shared" si="11"/>
        <v>90</v>
      </c>
      <c r="AL39" s="140">
        <f t="shared" si="11"/>
        <v>89</v>
      </c>
      <c r="AM39" s="140">
        <f t="shared" si="11"/>
        <v>87</v>
      </c>
      <c r="AN39" s="140">
        <f t="shared" si="11"/>
        <v>102</v>
      </c>
      <c r="AO39" s="140">
        <f t="shared" si="11"/>
        <v>100</v>
      </c>
      <c r="AP39" s="140">
        <f t="shared" si="11"/>
        <v>99</v>
      </c>
      <c r="AQ39" s="140">
        <f t="shared" si="11"/>
        <v>113</v>
      </c>
      <c r="AR39" s="140">
        <f t="shared" si="11"/>
        <v>112</v>
      </c>
      <c r="AS39" s="140">
        <f t="shared" si="11"/>
        <v>110</v>
      </c>
      <c r="AT39" s="140">
        <f t="shared" si="11"/>
        <v>124</v>
      </c>
      <c r="AU39" s="140">
        <f t="shared" si="11"/>
        <v>122</v>
      </c>
      <c r="AV39" s="140">
        <f t="shared" si="11"/>
        <v>120</v>
      </c>
      <c r="AW39" s="140">
        <f t="shared" si="11"/>
        <v>119</v>
      </c>
      <c r="AX39" s="140">
        <f t="shared" si="11"/>
        <v>117</v>
      </c>
      <c r="AY39" s="140">
        <f t="shared" si="11"/>
        <v>115</v>
      </c>
      <c r="AZ39" s="140">
        <f t="shared" si="11"/>
        <v>130</v>
      </c>
      <c r="BA39" s="140">
        <f t="shared" si="11"/>
        <v>128</v>
      </c>
      <c r="BB39" s="140">
        <f t="shared" si="11"/>
        <v>127</v>
      </c>
      <c r="BC39" s="140">
        <f t="shared" si="11"/>
        <v>141</v>
      </c>
      <c r="BD39" s="140">
        <f t="shared" si="11"/>
        <v>139</v>
      </c>
      <c r="BE39" s="140">
        <f t="shared" si="11"/>
        <v>138</v>
      </c>
      <c r="BF39" s="140">
        <f t="shared" si="11"/>
        <v>152</v>
      </c>
      <c r="BG39" s="140">
        <f t="shared" si="11"/>
        <v>150</v>
      </c>
      <c r="BH39" s="140">
        <f t="shared" si="11"/>
        <v>148</v>
      </c>
      <c r="BI39" s="140">
        <f t="shared" si="11"/>
        <v>146</v>
      </c>
      <c r="BJ39" s="140">
        <f t="shared" si="11"/>
        <v>144</v>
      </c>
    </row>
    <row r="40" spans="1:62">
      <c r="A40" s="82" t="s">
        <v>230</v>
      </c>
      <c r="C40" s="140">
        <f>3000/12</f>
        <v>250</v>
      </c>
      <c r="D40" s="140">
        <f t="shared" ref="D40:BJ40" si="12">3000/12</f>
        <v>250</v>
      </c>
      <c r="E40" s="140">
        <f t="shared" si="12"/>
        <v>250</v>
      </c>
      <c r="F40" s="140">
        <f t="shared" si="12"/>
        <v>250</v>
      </c>
      <c r="G40" s="140">
        <f t="shared" si="12"/>
        <v>250</v>
      </c>
      <c r="H40" s="140">
        <f t="shared" si="12"/>
        <v>250</v>
      </c>
      <c r="I40" s="140">
        <f t="shared" si="12"/>
        <v>250</v>
      </c>
      <c r="J40" s="140">
        <f t="shared" si="12"/>
        <v>250</v>
      </c>
      <c r="K40" s="140">
        <f t="shared" si="12"/>
        <v>250</v>
      </c>
      <c r="L40" s="140">
        <f t="shared" si="12"/>
        <v>250</v>
      </c>
      <c r="M40" s="140">
        <f t="shared" si="12"/>
        <v>250</v>
      </c>
      <c r="N40" s="140">
        <f t="shared" si="12"/>
        <v>250</v>
      </c>
      <c r="O40" s="140">
        <f t="shared" si="12"/>
        <v>250</v>
      </c>
      <c r="P40" s="140">
        <f t="shared" si="12"/>
        <v>250</v>
      </c>
      <c r="Q40" s="140">
        <f t="shared" si="12"/>
        <v>250</v>
      </c>
      <c r="R40" s="140">
        <f t="shared" si="12"/>
        <v>250</v>
      </c>
      <c r="S40" s="140">
        <f t="shared" si="12"/>
        <v>250</v>
      </c>
      <c r="T40" s="140">
        <f t="shared" si="12"/>
        <v>250</v>
      </c>
      <c r="U40" s="140">
        <f t="shared" si="12"/>
        <v>250</v>
      </c>
      <c r="V40" s="140">
        <f t="shared" si="12"/>
        <v>250</v>
      </c>
      <c r="W40" s="140">
        <f t="shared" si="12"/>
        <v>250</v>
      </c>
      <c r="X40" s="140">
        <f t="shared" si="12"/>
        <v>250</v>
      </c>
      <c r="Y40" s="140">
        <f t="shared" si="12"/>
        <v>250</v>
      </c>
      <c r="Z40" s="140">
        <f t="shared" si="12"/>
        <v>250</v>
      </c>
      <c r="AA40" s="140">
        <f t="shared" si="12"/>
        <v>250</v>
      </c>
      <c r="AB40" s="140">
        <f t="shared" si="12"/>
        <v>250</v>
      </c>
      <c r="AC40" s="140">
        <f t="shared" si="12"/>
        <v>250</v>
      </c>
      <c r="AD40" s="140">
        <f t="shared" si="12"/>
        <v>250</v>
      </c>
      <c r="AE40" s="140">
        <f t="shared" si="12"/>
        <v>250</v>
      </c>
      <c r="AF40" s="140">
        <f t="shared" si="12"/>
        <v>250</v>
      </c>
      <c r="AG40" s="140">
        <f t="shared" si="12"/>
        <v>250</v>
      </c>
      <c r="AH40" s="140">
        <f t="shared" si="12"/>
        <v>250</v>
      </c>
      <c r="AI40" s="140">
        <f t="shared" si="12"/>
        <v>250</v>
      </c>
      <c r="AJ40" s="140">
        <f t="shared" si="12"/>
        <v>250</v>
      </c>
      <c r="AK40" s="140">
        <f t="shared" si="12"/>
        <v>250</v>
      </c>
      <c r="AL40" s="140">
        <f t="shared" si="12"/>
        <v>250</v>
      </c>
      <c r="AM40" s="140">
        <f t="shared" si="12"/>
        <v>250</v>
      </c>
      <c r="AN40" s="140">
        <f t="shared" si="12"/>
        <v>250</v>
      </c>
      <c r="AO40" s="140">
        <f t="shared" si="12"/>
        <v>250</v>
      </c>
      <c r="AP40" s="140">
        <f t="shared" si="12"/>
        <v>250</v>
      </c>
      <c r="AQ40" s="140">
        <f t="shared" si="12"/>
        <v>250</v>
      </c>
      <c r="AR40" s="140">
        <f t="shared" si="12"/>
        <v>250</v>
      </c>
      <c r="AS40" s="140">
        <f t="shared" si="12"/>
        <v>250</v>
      </c>
      <c r="AT40" s="140">
        <f t="shared" si="12"/>
        <v>250</v>
      </c>
      <c r="AU40" s="140">
        <f t="shared" si="12"/>
        <v>250</v>
      </c>
      <c r="AV40" s="140">
        <f t="shared" si="12"/>
        <v>250</v>
      </c>
      <c r="AW40" s="140">
        <f t="shared" si="12"/>
        <v>250</v>
      </c>
      <c r="AX40" s="140">
        <f t="shared" si="12"/>
        <v>250</v>
      </c>
      <c r="AY40" s="140">
        <f t="shared" si="12"/>
        <v>250</v>
      </c>
      <c r="AZ40" s="140">
        <f t="shared" si="12"/>
        <v>250</v>
      </c>
      <c r="BA40" s="140">
        <f t="shared" si="12"/>
        <v>250</v>
      </c>
      <c r="BB40" s="140">
        <f t="shared" si="12"/>
        <v>250</v>
      </c>
      <c r="BC40" s="140">
        <f t="shared" si="12"/>
        <v>250</v>
      </c>
      <c r="BD40" s="140">
        <f t="shared" si="12"/>
        <v>250</v>
      </c>
      <c r="BE40" s="140">
        <f t="shared" si="12"/>
        <v>250</v>
      </c>
      <c r="BF40" s="140">
        <f t="shared" si="12"/>
        <v>250</v>
      </c>
      <c r="BG40" s="140">
        <f t="shared" si="12"/>
        <v>250</v>
      </c>
      <c r="BH40" s="140">
        <f t="shared" si="12"/>
        <v>250</v>
      </c>
      <c r="BI40" s="140">
        <f t="shared" si="12"/>
        <v>250</v>
      </c>
      <c r="BJ40" s="140">
        <f t="shared" si="12"/>
        <v>250</v>
      </c>
    </row>
    <row r="41" spans="1:62">
      <c r="A41" s="82" t="s">
        <v>138</v>
      </c>
      <c r="C41" s="99">
        <f>C39*C40</f>
        <v>5000</v>
      </c>
      <c r="D41" s="99">
        <f t="shared" ref="D41:BJ41" si="13">D39*D40</f>
        <v>5250</v>
      </c>
      <c r="E41" s="99">
        <f t="shared" si="13"/>
        <v>5250</v>
      </c>
      <c r="F41" s="99">
        <f t="shared" si="13"/>
        <v>5500</v>
      </c>
      <c r="G41" s="99">
        <f t="shared" si="13"/>
        <v>5500</v>
      </c>
      <c r="H41" s="99">
        <f t="shared" si="13"/>
        <v>5500</v>
      </c>
      <c r="I41" s="99">
        <f t="shared" si="13"/>
        <v>5750</v>
      </c>
      <c r="J41" s="99">
        <f t="shared" si="13"/>
        <v>5750</v>
      </c>
      <c r="K41" s="99">
        <f t="shared" si="13"/>
        <v>5750</v>
      </c>
      <c r="L41" s="99">
        <f t="shared" si="13"/>
        <v>6000</v>
      </c>
      <c r="M41" s="99">
        <f t="shared" si="13"/>
        <v>6000</v>
      </c>
      <c r="N41" s="99">
        <f t="shared" si="13"/>
        <v>6000</v>
      </c>
      <c r="O41" s="99">
        <f t="shared" si="13"/>
        <v>6250</v>
      </c>
      <c r="P41" s="99">
        <f t="shared" si="13"/>
        <v>10000</v>
      </c>
      <c r="Q41" s="99">
        <f t="shared" si="13"/>
        <v>9750</v>
      </c>
      <c r="R41" s="99">
        <f t="shared" si="13"/>
        <v>9500</v>
      </c>
      <c r="S41" s="99">
        <f t="shared" si="13"/>
        <v>13250</v>
      </c>
      <c r="T41" s="99">
        <f t="shared" si="13"/>
        <v>13000</v>
      </c>
      <c r="U41" s="99">
        <f t="shared" si="13"/>
        <v>12750</v>
      </c>
      <c r="V41" s="99">
        <f t="shared" si="13"/>
        <v>16250</v>
      </c>
      <c r="W41" s="99">
        <f t="shared" si="13"/>
        <v>15750</v>
      </c>
      <c r="X41" s="99">
        <f t="shared" si="13"/>
        <v>15500</v>
      </c>
      <c r="Y41" s="99">
        <f t="shared" si="13"/>
        <v>15250</v>
      </c>
      <c r="Z41" s="99">
        <f t="shared" si="13"/>
        <v>14750</v>
      </c>
      <c r="AA41" s="99">
        <f t="shared" si="13"/>
        <v>14500</v>
      </c>
      <c r="AB41" s="99">
        <f t="shared" si="13"/>
        <v>18250</v>
      </c>
      <c r="AC41" s="99">
        <f t="shared" si="13"/>
        <v>17750</v>
      </c>
      <c r="AD41" s="99">
        <f t="shared" si="13"/>
        <v>17500</v>
      </c>
      <c r="AE41" s="99">
        <f t="shared" si="13"/>
        <v>21250</v>
      </c>
      <c r="AF41" s="99">
        <f t="shared" si="13"/>
        <v>20750</v>
      </c>
      <c r="AG41" s="99">
        <f t="shared" si="13"/>
        <v>20500</v>
      </c>
      <c r="AH41" s="99">
        <f t="shared" si="13"/>
        <v>24000</v>
      </c>
      <c r="AI41" s="99">
        <f t="shared" si="13"/>
        <v>23500</v>
      </c>
      <c r="AJ41" s="99">
        <f t="shared" si="13"/>
        <v>23000</v>
      </c>
      <c r="AK41" s="99">
        <f t="shared" si="13"/>
        <v>22500</v>
      </c>
      <c r="AL41" s="99">
        <f t="shared" si="13"/>
        <v>22250</v>
      </c>
      <c r="AM41" s="99">
        <f t="shared" si="13"/>
        <v>21750</v>
      </c>
      <c r="AN41" s="99">
        <f t="shared" si="13"/>
        <v>25500</v>
      </c>
      <c r="AO41" s="99">
        <f t="shared" si="13"/>
        <v>25000</v>
      </c>
      <c r="AP41" s="99">
        <f t="shared" si="13"/>
        <v>24750</v>
      </c>
      <c r="AQ41" s="99">
        <f t="shared" si="13"/>
        <v>28250</v>
      </c>
      <c r="AR41" s="99">
        <f t="shared" si="13"/>
        <v>28000</v>
      </c>
      <c r="AS41" s="99">
        <f t="shared" si="13"/>
        <v>27500</v>
      </c>
      <c r="AT41" s="99">
        <f t="shared" si="13"/>
        <v>31000</v>
      </c>
      <c r="AU41" s="99">
        <f t="shared" si="13"/>
        <v>30500</v>
      </c>
      <c r="AV41" s="99">
        <f t="shared" si="13"/>
        <v>30000</v>
      </c>
      <c r="AW41" s="99">
        <f t="shared" si="13"/>
        <v>29750</v>
      </c>
      <c r="AX41" s="99">
        <f t="shared" si="13"/>
        <v>29250</v>
      </c>
      <c r="AY41" s="99">
        <f t="shared" si="13"/>
        <v>28750</v>
      </c>
      <c r="AZ41" s="99">
        <f t="shared" si="13"/>
        <v>32500</v>
      </c>
      <c r="BA41" s="99">
        <f t="shared" si="13"/>
        <v>32000</v>
      </c>
      <c r="BB41" s="99">
        <f t="shared" si="13"/>
        <v>31750</v>
      </c>
      <c r="BC41" s="99">
        <f t="shared" si="13"/>
        <v>35250</v>
      </c>
      <c r="BD41" s="99">
        <f t="shared" si="13"/>
        <v>34750</v>
      </c>
      <c r="BE41" s="99">
        <f t="shared" si="13"/>
        <v>34500</v>
      </c>
      <c r="BF41" s="99">
        <f t="shared" si="13"/>
        <v>38000</v>
      </c>
      <c r="BG41" s="99">
        <f t="shared" si="13"/>
        <v>37500</v>
      </c>
      <c r="BH41" s="99">
        <f t="shared" si="13"/>
        <v>37000</v>
      </c>
      <c r="BI41" s="99">
        <f t="shared" si="13"/>
        <v>36500</v>
      </c>
      <c r="BJ41" s="99">
        <f t="shared" si="13"/>
        <v>36000</v>
      </c>
    </row>
    <row r="42" spans="1:62">
      <c r="A42" s="82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99"/>
      <c r="BJ42" s="99"/>
    </row>
    <row r="43" spans="1:62">
      <c r="A43" s="82" t="s">
        <v>232</v>
      </c>
      <c r="C43" s="140">
        <f>ROUNDUP(C32/2000,0)</f>
        <v>6</v>
      </c>
      <c r="D43" s="140">
        <f t="shared" ref="D43:BJ43" si="14">ROUNDUP(D32/2000,0)</f>
        <v>6</v>
      </c>
      <c r="E43" s="140">
        <f t="shared" si="14"/>
        <v>6</v>
      </c>
      <c r="F43" s="140">
        <f t="shared" si="14"/>
        <v>6</v>
      </c>
      <c r="G43" s="140">
        <f t="shared" si="14"/>
        <v>6</v>
      </c>
      <c r="H43" s="140">
        <f t="shared" si="14"/>
        <v>7</v>
      </c>
      <c r="I43" s="140">
        <f t="shared" si="14"/>
        <v>7</v>
      </c>
      <c r="J43" s="140">
        <f t="shared" si="14"/>
        <v>7</v>
      </c>
      <c r="K43" s="140">
        <f t="shared" si="14"/>
        <v>7</v>
      </c>
      <c r="L43" s="140">
        <f t="shared" si="14"/>
        <v>7</v>
      </c>
      <c r="M43" s="140">
        <f t="shared" si="14"/>
        <v>7</v>
      </c>
      <c r="N43" s="140">
        <f t="shared" si="14"/>
        <v>7</v>
      </c>
      <c r="O43" s="140">
        <f t="shared" si="14"/>
        <v>7</v>
      </c>
      <c r="P43" s="140">
        <f t="shared" si="14"/>
        <v>11</v>
      </c>
      <c r="Q43" s="140">
        <f t="shared" si="14"/>
        <v>11</v>
      </c>
      <c r="R43" s="140">
        <f t="shared" si="14"/>
        <v>11</v>
      </c>
      <c r="S43" s="140">
        <f t="shared" si="14"/>
        <v>15</v>
      </c>
      <c r="T43" s="140">
        <f t="shared" si="14"/>
        <v>15</v>
      </c>
      <c r="U43" s="140">
        <f t="shared" si="14"/>
        <v>14</v>
      </c>
      <c r="V43" s="140">
        <f t="shared" si="14"/>
        <v>18</v>
      </c>
      <c r="W43" s="140">
        <f t="shared" si="14"/>
        <v>18</v>
      </c>
      <c r="X43" s="140">
        <f t="shared" si="14"/>
        <v>17</v>
      </c>
      <c r="Y43" s="140">
        <f t="shared" si="14"/>
        <v>17</v>
      </c>
      <c r="Z43" s="140">
        <f t="shared" si="14"/>
        <v>17</v>
      </c>
      <c r="AA43" s="140">
        <f t="shared" si="14"/>
        <v>16</v>
      </c>
      <c r="AB43" s="140">
        <f t="shared" si="14"/>
        <v>20</v>
      </c>
      <c r="AC43" s="140">
        <f t="shared" si="14"/>
        <v>20</v>
      </c>
      <c r="AD43" s="140">
        <f t="shared" si="14"/>
        <v>20</v>
      </c>
      <c r="AE43" s="140">
        <f t="shared" si="14"/>
        <v>24</v>
      </c>
      <c r="AF43" s="140">
        <f t="shared" si="14"/>
        <v>23</v>
      </c>
      <c r="AG43" s="140">
        <f t="shared" si="14"/>
        <v>23</v>
      </c>
      <c r="AH43" s="140">
        <f t="shared" si="14"/>
        <v>27</v>
      </c>
      <c r="AI43" s="140">
        <f t="shared" si="14"/>
        <v>26</v>
      </c>
      <c r="AJ43" s="140">
        <f t="shared" si="14"/>
        <v>26</v>
      </c>
      <c r="AK43" s="140">
        <f t="shared" si="14"/>
        <v>25</v>
      </c>
      <c r="AL43" s="140">
        <f t="shared" si="14"/>
        <v>25</v>
      </c>
      <c r="AM43" s="140">
        <f t="shared" si="14"/>
        <v>24</v>
      </c>
      <c r="AN43" s="140">
        <f t="shared" si="14"/>
        <v>28</v>
      </c>
      <c r="AO43" s="140">
        <f t="shared" si="14"/>
        <v>28</v>
      </c>
      <c r="AP43" s="140">
        <f t="shared" si="14"/>
        <v>28</v>
      </c>
      <c r="AQ43" s="140">
        <f t="shared" si="14"/>
        <v>32</v>
      </c>
      <c r="AR43" s="140">
        <f t="shared" si="14"/>
        <v>31</v>
      </c>
      <c r="AS43" s="140">
        <f t="shared" si="14"/>
        <v>31</v>
      </c>
      <c r="AT43" s="140">
        <f t="shared" si="14"/>
        <v>34</v>
      </c>
      <c r="AU43" s="140">
        <f t="shared" si="14"/>
        <v>34</v>
      </c>
      <c r="AV43" s="140">
        <f t="shared" si="14"/>
        <v>33</v>
      </c>
      <c r="AW43" s="140">
        <f t="shared" si="14"/>
        <v>33</v>
      </c>
      <c r="AX43" s="140">
        <f t="shared" si="14"/>
        <v>33</v>
      </c>
      <c r="AY43" s="140">
        <f t="shared" si="14"/>
        <v>32</v>
      </c>
      <c r="AZ43" s="140">
        <f t="shared" si="14"/>
        <v>36</v>
      </c>
      <c r="BA43" s="140">
        <f t="shared" si="14"/>
        <v>36</v>
      </c>
      <c r="BB43" s="140">
        <f t="shared" si="14"/>
        <v>35</v>
      </c>
      <c r="BC43" s="140">
        <f t="shared" si="14"/>
        <v>39</v>
      </c>
      <c r="BD43" s="140">
        <f t="shared" si="14"/>
        <v>39</v>
      </c>
      <c r="BE43" s="140">
        <f t="shared" si="14"/>
        <v>38</v>
      </c>
      <c r="BF43" s="140">
        <f t="shared" si="14"/>
        <v>42</v>
      </c>
      <c r="BG43" s="140">
        <f t="shared" si="14"/>
        <v>42</v>
      </c>
      <c r="BH43" s="140">
        <f t="shared" si="14"/>
        <v>41</v>
      </c>
      <c r="BI43" s="140">
        <f t="shared" si="14"/>
        <v>40</v>
      </c>
      <c r="BJ43" s="140">
        <f t="shared" si="14"/>
        <v>40</v>
      </c>
    </row>
    <row r="44" spans="1:62">
      <c r="A44" s="82" t="s">
        <v>230</v>
      </c>
      <c r="C44" s="140">
        <v>200</v>
      </c>
      <c r="D44" s="140">
        <v>200</v>
      </c>
      <c r="E44" s="140">
        <v>200</v>
      </c>
      <c r="F44" s="140">
        <v>200</v>
      </c>
      <c r="G44" s="140">
        <v>200</v>
      </c>
      <c r="H44" s="140">
        <v>200</v>
      </c>
      <c r="I44" s="140">
        <v>200</v>
      </c>
      <c r="J44" s="140">
        <v>200</v>
      </c>
      <c r="K44" s="140">
        <v>200</v>
      </c>
      <c r="L44" s="140">
        <v>200</v>
      </c>
      <c r="M44" s="140">
        <v>200</v>
      </c>
      <c r="N44" s="140">
        <v>200</v>
      </c>
      <c r="O44" s="140">
        <v>200</v>
      </c>
      <c r="P44" s="140">
        <v>200</v>
      </c>
      <c r="Q44" s="140">
        <v>200</v>
      </c>
      <c r="R44" s="140">
        <v>200</v>
      </c>
      <c r="S44" s="140">
        <v>200</v>
      </c>
      <c r="T44" s="140">
        <v>200</v>
      </c>
      <c r="U44" s="140">
        <v>200</v>
      </c>
      <c r="V44" s="140">
        <v>200</v>
      </c>
      <c r="W44" s="140">
        <v>200</v>
      </c>
      <c r="X44" s="140">
        <v>200</v>
      </c>
      <c r="Y44" s="140">
        <v>200</v>
      </c>
      <c r="Z44" s="140">
        <v>200</v>
      </c>
      <c r="AA44" s="140">
        <v>200</v>
      </c>
      <c r="AB44" s="140">
        <v>200</v>
      </c>
      <c r="AC44" s="140">
        <v>200</v>
      </c>
      <c r="AD44" s="140">
        <v>200</v>
      </c>
      <c r="AE44" s="140">
        <v>200</v>
      </c>
      <c r="AF44" s="140">
        <v>200</v>
      </c>
      <c r="AG44" s="140">
        <v>200</v>
      </c>
      <c r="AH44" s="140">
        <v>200</v>
      </c>
      <c r="AI44" s="140">
        <v>200</v>
      </c>
      <c r="AJ44" s="140">
        <v>200</v>
      </c>
      <c r="AK44" s="140">
        <v>200</v>
      </c>
      <c r="AL44" s="140">
        <v>200</v>
      </c>
      <c r="AM44" s="140">
        <v>200</v>
      </c>
      <c r="AN44" s="140">
        <v>200</v>
      </c>
      <c r="AO44" s="140">
        <v>200</v>
      </c>
      <c r="AP44" s="140">
        <v>200</v>
      </c>
      <c r="AQ44" s="140">
        <v>200</v>
      </c>
      <c r="AR44" s="140">
        <v>200</v>
      </c>
      <c r="AS44" s="140">
        <v>200</v>
      </c>
      <c r="AT44" s="140">
        <v>200</v>
      </c>
      <c r="AU44" s="140">
        <v>200</v>
      </c>
      <c r="AV44" s="140">
        <v>200</v>
      </c>
      <c r="AW44" s="140">
        <v>200</v>
      </c>
      <c r="AX44" s="140">
        <v>200</v>
      </c>
      <c r="AY44" s="140">
        <v>200</v>
      </c>
      <c r="AZ44" s="140">
        <v>200</v>
      </c>
      <c r="BA44" s="140">
        <v>200</v>
      </c>
      <c r="BB44" s="140">
        <v>200</v>
      </c>
      <c r="BC44" s="140">
        <v>200</v>
      </c>
      <c r="BD44" s="140">
        <v>200</v>
      </c>
      <c r="BE44" s="140">
        <v>200</v>
      </c>
      <c r="BF44" s="140">
        <v>200</v>
      </c>
      <c r="BG44" s="140">
        <v>200</v>
      </c>
      <c r="BH44" s="140">
        <v>200</v>
      </c>
      <c r="BI44" s="140">
        <v>200</v>
      </c>
      <c r="BJ44" s="140">
        <v>200</v>
      </c>
    </row>
    <row r="45" spans="1:62">
      <c r="A45" s="82" t="s">
        <v>138</v>
      </c>
      <c r="C45" s="99">
        <f>C43*C44</f>
        <v>1200</v>
      </c>
      <c r="D45" s="99">
        <f t="shared" ref="D45:BJ45" si="15">D43*D44</f>
        <v>1200</v>
      </c>
      <c r="E45" s="99">
        <f t="shared" si="15"/>
        <v>1200</v>
      </c>
      <c r="F45" s="99">
        <f t="shared" si="15"/>
        <v>1200</v>
      </c>
      <c r="G45" s="99">
        <f t="shared" si="15"/>
        <v>1200</v>
      </c>
      <c r="H45" s="99">
        <f t="shared" si="15"/>
        <v>1400</v>
      </c>
      <c r="I45" s="99">
        <f t="shared" si="15"/>
        <v>1400</v>
      </c>
      <c r="J45" s="99">
        <f t="shared" si="15"/>
        <v>1400</v>
      </c>
      <c r="K45" s="99">
        <f t="shared" si="15"/>
        <v>1400</v>
      </c>
      <c r="L45" s="99">
        <f t="shared" si="15"/>
        <v>1400</v>
      </c>
      <c r="M45" s="99">
        <f t="shared" si="15"/>
        <v>1400</v>
      </c>
      <c r="N45" s="99">
        <f t="shared" si="15"/>
        <v>1400</v>
      </c>
      <c r="O45" s="99">
        <f t="shared" si="15"/>
        <v>1400</v>
      </c>
      <c r="P45" s="99">
        <f t="shared" si="15"/>
        <v>2200</v>
      </c>
      <c r="Q45" s="99">
        <f t="shared" si="15"/>
        <v>2200</v>
      </c>
      <c r="R45" s="99">
        <f t="shared" si="15"/>
        <v>2200</v>
      </c>
      <c r="S45" s="99">
        <f t="shared" si="15"/>
        <v>3000</v>
      </c>
      <c r="T45" s="99">
        <f t="shared" si="15"/>
        <v>3000</v>
      </c>
      <c r="U45" s="99">
        <f t="shared" si="15"/>
        <v>2800</v>
      </c>
      <c r="V45" s="99">
        <f t="shared" si="15"/>
        <v>3600</v>
      </c>
      <c r="W45" s="99">
        <f t="shared" si="15"/>
        <v>3600</v>
      </c>
      <c r="X45" s="99">
        <f t="shared" si="15"/>
        <v>3400</v>
      </c>
      <c r="Y45" s="99">
        <f t="shared" si="15"/>
        <v>3400</v>
      </c>
      <c r="Z45" s="99">
        <f t="shared" si="15"/>
        <v>3400</v>
      </c>
      <c r="AA45" s="99">
        <f t="shared" si="15"/>
        <v>3200</v>
      </c>
      <c r="AB45" s="99">
        <f t="shared" si="15"/>
        <v>4000</v>
      </c>
      <c r="AC45" s="99">
        <f t="shared" si="15"/>
        <v>4000</v>
      </c>
      <c r="AD45" s="99">
        <f t="shared" si="15"/>
        <v>4000</v>
      </c>
      <c r="AE45" s="99">
        <f t="shared" si="15"/>
        <v>4800</v>
      </c>
      <c r="AF45" s="99">
        <f t="shared" si="15"/>
        <v>4600</v>
      </c>
      <c r="AG45" s="99">
        <f t="shared" si="15"/>
        <v>4600</v>
      </c>
      <c r="AH45" s="99">
        <f t="shared" si="15"/>
        <v>5400</v>
      </c>
      <c r="AI45" s="99">
        <f t="shared" si="15"/>
        <v>5200</v>
      </c>
      <c r="AJ45" s="99">
        <f t="shared" si="15"/>
        <v>5200</v>
      </c>
      <c r="AK45" s="99">
        <f t="shared" si="15"/>
        <v>5000</v>
      </c>
      <c r="AL45" s="99">
        <f t="shared" si="15"/>
        <v>5000</v>
      </c>
      <c r="AM45" s="99">
        <f t="shared" si="15"/>
        <v>4800</v>
      </c>
      <c r="AN45" s="99">
        <f t="shared" si="15"/>
        <v>5600</v>
      </c>
      <c r="AO45" s="99">
        <f t="shared" si="15"/>
        <v>5600</v>
      </c>
      <c r="AP45" s="99">
        <f t="shared" si="15"/>
        <v>5600</v>
      </c>
      <c r="AQ45" s="99">
        <f t="shared" si="15"/>
        <v>6400</v>
      </c>
      <c r="AR45" s="99">
        <f t="shared" si="15"/>
        <v>6200</v>
      </c>
      <c r="AS45" s="99">
        <f t="shared" si="15"/>
        <v>6200</v>
      </c>
      <c r="AT45" s="99">
        <f t="shared" si="15"/>
        <v>6800</v>
      </c>
      <c r="AU45" s="99">
        <f t="shared" si="15"/>
        <v>6800</v>
      </c>
      <c r="AV45" s="99">
        <f t="shared" si="15"/>
        <v>6600</v>
      </c>
      <c r="AW45" s="99">
        <f t="shared" si="15"/>
        <v>6600</v>
      </c>
      <c r="AX45" s="99">
        <f t="shared" si="15"/>
        <v>6600</v>
      </c>
      <c r="AY45" s="99">
        <f t="shared" si="15"/>
        <v>6400</v>
      </c>
      <c r="AZ45" s="99">
        <f t="shared" si="15"/>
        <v>7200</v>
      </c>
      <c r="BA45" s="99">
        <f t="shared" si="15"/>
        <v>7200</v>
      </c>
      <c r="BB45" s="99">
        <f t="shared" si="15"/>
        <v>7000</v>
      </c>
      <c r="BC45" s="99">
        <f t="shared" si="15"/>
        <v>7800</v>
      </c>
      <c r="BD45" s="99">
        <f t="shared" si="15"/>
        <v>7800</v>
      </c>
      <c r="BE45" s="99">
        <f t="shared" si="15"/>
        <v>7600</v>
      </c>
      <c r="BF45" s="99">
        <f t="shared" si="15"/>
        <v>8400</v>
      </c>
      <c r="BG45" s="99">
        <f t="shared" si="15"/>
        <v>8400</v>
      </c>
      <c r="BH45" s="99">
        <f t="shared" si="15"/>
        <v>8200</v>
      </c>
      <c r="BI45" s="99">
        <f t="shared" si="15"/>
        <v>8000</v>
      </c>
      <c r="BJ45" s="99">
        <f t="shared" si="15"/>
        <v>8000</v>
      </c>
    </row>
    <row r="46" spans="1:62">
      <c r="A46" s="82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0"/>
    </row>
    <row r="47" spans="1:62">
      <c r="A47" s="82" t="s">
        <v>233</v>
      </c>
      <c r="C47" s="7">
        <v>8</v>
      </c>
      <c r="D47" s="7">
        <v>8</v>
      </c>
      <c r="E47" s="7">
        <v>8</v>
      </c>
      <c r="F47" s="7">
        <v>8</v>
      </c>
      <c r="G47" s="7">
        <v>8</v>
      </c>
      <c r="H47" s="7">
        <v>8</v>
      </c>
      <c r="I47" s="7">
        <v>8</v>
      </c>
      <c r="J47" s="7">
        <v>8</v>
      </c>
      <c r="K47" s="7">
        <v>8</v>
      </c>
      <c r="L47" s="7">
        <v>8</v>
      </c>
      <c r="M47" s="7">
        <v>8</v>
      </c>
      <c r="N47" s="7">
        <v>8</v>
      </c>
      <c r="O47" s="7">
        <v>8</v>
      </c>
      <c r="P47" s="7">
        <v>8</v>
      </c>
      <c r="Q47" s="7">
        <v>8</v>
      </c>
      <c r="R47" s="7">
        <v>8</v>
      </c>
      <c r="S47" s="7">
        <v>8</v>
      </c>
      <c r="T47" s="7">
        <v>8</v>
      </c>
      <c r="U47" s="7">
        <v>8</v>
      </c>
      <c r="V47" s="7">
        <v>8</v>
      </c>
      <c r="W47" s="7">
        <v>8</v>
      </c>
      <c r="X47" s="7">
        <v>8</v>
      </c>
      <c r="Y47" s="7">
        <v>8</v>
      </c>
      <c r="Z47" s="7">
        <v>8</v>
      </c>
      <c r="AA47" s="7">
        <v>8</v>
      </c>
      <c r="AB47" s="7">
        <v>8</v>
      </c>
      <c r="AC47" s="7">
        <v>8</v>
      </c>
      <c r="AD47" s="7">
        <v>8</v>
      </c>
      <c r="AE47" s="7">
        <v>8</v>
      </c>
      <c r="AF47" s="7">
        <v>8</v>
      </c>
      <c r="AG47" s="7">
        <v>8</v>
      </c>
      <c r="AH47" s="7">
        <v>8</v>
      </c>
      <c r="AI47" s="7">
        <v>8</v>
      </c>
      <c r="AJ47" s="7">
        <v>8</v>
      </c>
      <c r="AK47" s="7">
        <v>8</v>
      </c>
      <c r="AL47" s="7">
        <v>8</v>
      </c>
      <c r="AM47" s="7">
        <v>8</v>
      </c>
      <c r="AN47" s="7">
        <v>8</v>
      </c>
      <c r="AO47" s="7">
        <v>8</v>
      </c>
      <c r="AP47" s="7">
        <v>8</v>
      </c>
      <c r="AQ47" s="7">
        <v>8</v>
      </c>
      <c r="AR47" s="7">
        <v>8</v>
      </c>
      <c r="AS47" s="7">
        <v>8</v>
      </c>
      <c r="AT47" s="7">
        <v>8</v>
      </c>
      <c r="AU47" s="7">
        <v>8</v>
      </c>
      <c r="AV47" s="7">
        <v>8</v>
      </c>
      <c r="AW47" s="7">
        <v>8</v>
      </c>
      <c r="AX47" s="7">
        <v>8</v>
      </c>
      <c r="AY47" s="7">
        <v>8</v>
      </c>
      <c r="AZ47" s="7">
        <v>8</v>
      </c>
      <c r="BA47" s="7">
        <v>8</v>
      </c>
      <c r="BB47" s="7">
        <v>8</v>
      </c>
      <c r="BC47" s="7">
        <v>8</v>
      </c>
      <c r="BD47" s="7">
        <v>8</v>
      </c>
      <c r="BE47" s="7">
        <v>8</v>
      </c>
      <c r="BF47" s="7">
        <v>8</v>
      </c>
      <c r="BG47" s="7">
        <v>8</v>
      </c>
      <c r="BH47" s="7">
        <v>8</v>
      </c>
      <c r="BI47" s="7">
        <v>8</v>
      </c>
      <c r="BJ47" s="7">
        <v>8</v>
      </c>
    </row>
    <row r="48" spans="1:62">
      <c r="A48" s="82" t="s">
        <v>230</v>
      </c>
      <c r="C48" s="7">
        <v>200</v>
      </c>
      <c r="D48" s="7">
        <v>200</v>
      </c>
      <c r="E48" s="7">
        <v>200</v>
      </c>
      <c r="F48" s="7">
        <v>200</v>
      </c>
      <c r="G48" s="7">
        <v>200</v>
      </c>
      <c r="H48" s="7">
        <v>200</v>
      </c>
      <c r="I48" s="7">
        <v>200</v>
      </c>
      <c r="J48" s="7">
        <v>200</v>
      </c>
      <c r="K48" s="7">
        <v>200</v>
      </c>
      <c r="L48" s="7">
        <v>200</v>
      </c>
      <c r="M48" s="7">
        <v>200</v>
      </c>
      <c r="N48" s="7">
        <v>200</v>
      </c>
      <c r="O48" s="7">
        <v>200</v>
      </c>
      <c r="P48" s="7">
        <v>200</v>
      </c>
      <c r="Q48" s="7">
        <v>200</v>
      </c>
      <c r="R48" s="7">
        <v>200</v>
      </c>
      <c r="S48" s="7">
        <v>200</v>
      </c>
      <c r="T48" s="7">
        <v>200</v>
      </c>
      <c r="U48" s="7">
        <v>200</v>
      </c>
      <c r="V48" s="7">
        <v>200</v>
      </c>
      <c r="W48" s="7">
        <v>200</v>
      </c>
      <c r="X48" s="7">
        <v>200</v>
      </c>
      <c r="Y48" s="7">
        <v>200</v>
      </c>
      <c r="Z48" s="7">
        <v>200</v>
      </c>
      <c r="AA48" s="7">
        <v>200</v>
      </c>
      <c r="AB48" s="7">
        <v>200</v>
      </c>
      <c r="AC48" s="7">
        <v>200</v>
      </c>
      <c r="AD48" s="7">
        <v>200</v>
      </c>
      <c r="AE48" s="7">
        <v>200</v>
      </c>
      <c r="AF48" s="7">
        <v>200</v>
      </c>
      <c r="AG48" s="7">
        <v>200</v>
      </c>
      <c r="AH48" s="7">
        <v>200</v>
      </c>
      <c r="AI48" s="7">
        <v>200</v>
      </c>
      <c r="AJ48" s="7">
        <v>200</v>
      </c>
      <c r="AK48" s="7">
        <v>200</v>
      </c>
      <c r="AL48" s="7">
        <v>200</v>
      </c>
      <c r="AM48" s="7">
        <v>200</v>
      </c>
      <c r="AN48" s="7">
        <v>200</v>
      </c>
      <c r="AO48" s="7">
        <v>200</v>
      </c>
      <c r="AP48" s="7">
        <v>200</v>
      </c>
      <c r="AQ48" s="7">
        <v>200</v>
      </c>
      <c r="AR48" s="7">
        <v>200</v>
      </c>
      <c r="AS48" s="7">
        <v>200</v>
      </c>
      <c r="AT48" s="7">
        <v>200</v>
      </c>
      <c r="AU48" s="7">
        <v>200</v>
      </c>
      <c r="AV48" s="7">
        <v>200</v>
      </c>
      <c r="AW48" s="7">
        <v>200</v>
      </c>
      <c r="AX48" s="7">
        <v>200</v>
      </c>
      <c r="AY48" s="7">
        <v>200</v>
      </c>
      <c r="AZ48" s="7">
        <v>200</v>
      </c>
      <c r="BA48" s="7">
        <v>200</v>
      </c>
      <c r="BB48" s="7">
        <v>200</v>
      </c>
      <c r="BC48" s="7">
        <v>200</v>
      </c>
      <c r="BD48" s="7">
        <v>200</v>
      </c>
      <c r="BE48" s="7">
        <v>200</v>
      </c>
      <c r="BF48" s="7">
        <v>200</v>
      </c>
      <c r="BG48" s="7">
        <v>200</v>
      </c>
      <c r="BH48" s="7">
        <v>200</v>
      </c>
      <c r="BI48" s="7">
        <v>200</v>
      </c>
      <c r="BJ48" s="7">
        <v>200</v>
      </c>
    </row>
    <row r="49" spans="1:62">
      <c r="A49" s="82" t="s">
        <v>138</v>
      </c>
      <c r="C49" s="99">
        <f>C47*C48</f>
        <v>1600</v>
      </c>
      <c r="D49" s="99">
        <f t="shared" ref="D49:BJ49" si="16">D47*D48</f>
        <v>1600</v>
      </c>
      <c r="E49" s="99">
        <f t="shared" si="16"/>
        <v>1600</v>
      </c>
      <c r="F49" s="99">
        <f t="shared" si="16"/>
        <v>1600</v>
      </c>
      <c r="G49" s="99">
        <f t="shared" si="16"/>
        <v>1600</v>
      </c>
      <c r="H49" s="99">
        <f t="shared" si="16"/>
        <v>1600</v>
      </c>
      <c r="I49" s="99">
        <f t="shared" si="16"/>
        <v>1600</v>
      </c>
      <c r="J49" s="99">
        <f t="shared" si="16"/>
        <v>1600</v>
      </c>
      <c r="K49" s="99">
        <f t="shared" si="16"/>
        <v>1600</v>
      </c>
      <c r="L49" s="99">
        <f t="shared" si="16"/>
        <v>1600</v>
      </c>
      <c r="M49" s="99">
        <f t="shared" si="16"/>
        <v>1600</v>
      </c>
      <c r="N49" s="99">
        <f t="shared" si="16"/>
        <v>1600</v>
      </c>
      <c r="O49" s="99">
        <f t="shared" si="16"/>
        <v>1600</v>
      </c>
      <c r="P49" s="99">
        <f t="shared" si="16"/>
        <v>1600</v>
      </c>
      <c r="Q49" s="99">
        <f t="shared" si="16"/>
        <v>1600</v>
      </c>
      <c r="R49" s="99">
        <f t="shared" si="16"/>
        <v>1600</v>
      </c>
      <c r="S49" s="99">
        <f t="shared" si="16"/>
        <v>1600</v>
      </c>
      <c r="T49" s="99">
        <f t="shared" si="16"/>
        <v>1600</v>
      </c>
      <c r="U49" s="99">
        <f t="shared" si="16"/>
        <v>1600</v>
      </c>
      <c r="V49" s="99">
        <f t="shared" si="16"/>
        <v>1600</v>
      </c>
      <c r="W49" s="99">
        <f t="shared" si="16"/>
        <v>1600</v>
      </c>
      <c r="X49" s="99">
        <f t="shared" si="16"/>
        <v>1600</v>
      </c>
      <c r="Y49" s="99">
        <f t="shared" si="16"/>
        <v>1600</v>
      </c>
      <c r="Z49" s="99">
        <f t="shared" si="16"/>
        <v>1600</v>
      </c>
      <c r="AA49" s="99">
        <f t="shared" si="16"/>
        <v>1600</v>
      </c>
      <c r="AB49" s="99">
        <f t="shared" si="16"/>
        <v>1600</v>
      </c>
      <c r="AC49" s="99">
        <f t="shared" si="16"/>
        <v>1600</v>
      </c>
      <c r="AD49" s="99">
        <f t="shared" si="16"/>
        <v>1600</v>
      </c>
      <c r="AE49" s="99">
        <f t="shared" si="16"/>
        <v>1600</v>
      </c>
      <c r="AF49" s="99">
        <f t="shared" si="16"/>
        <v>1600</v>
      </c>
      <c r="AG49" s="99">
        <f t="shared" si="16"/>
        <v>1600</v>
      </c>
      <c r="AH49" s="99">
        <f t="shared" si="16"/>
        <v>1600</v>
      </c>
      <c r="AI49" s="99">
        <f t="shared" si="16"/>
        <v>1600</v>
      </c>
      <c r="AJ49" s="99">
        <f t="shared" si="16"/>
        <v>1600</v>
      </c>
      <c r="AK49" s="99">
        <f t="shared" si="16"/>
        <v>1600</v>
      </c>
      <c r="AL49" s="99">
        <f t="shared" si="16"/>
        <v>1600</v>
      </c>
      <c r="AM49" s="99">
        <f t="shared" si="16"/>
        <v>1600</v>
      </c>
      <c r="AN49" s="99">
        <f t="shared" si="16"/>
        <v>1600</v>
      </c>
      <c r="AO49" s="99">
        <f t="shared" si="16"/>
        <v>1600</v>
      </c>
      <c r="AP49" s="99">
        <f t="shared" si="16"/>
        <v>1600</v>
      </c>
      <c r="AQ49" s="99">
        <f t="shared" si="16"/>
        <v>1600</v>
      </c>
      <c r="AR49" s="99">
        <f t="shared" si="16"/>
        <v>1600</v>
      </c>
      <c r="AS49" s="99">
        <f t="shared" si="16"/>
        <v>1600</v>
      </c>
      <c r="AT49" s="99">
        <f t="shared" si="16"/>
        <v>1600</v>
      </c>
      <c r="AU49" s="99">
        <f t="shared" si="16"/>
        <v>1600</v>
      </c>
      <c r="AV49" s="99">
        <f t="shared" si="16"/>
        <v>1600</v>
      </c>
      <c r="AW49" s="99">
        <f t="shared" si="16"/>
        <v>1600</v>
      </c>
      <c r="AX49" s="99">
        <f t="shared" si="16"/>
        <v>1600</v>
      </c>
      <c r="AY49" s="99">
        <f t="shared" si="16"/>
        <v>1600</v>
      </c>
      <c r="AZ49" s="99">
        <f t="shared" si="16"/>
        <v>1600</v>
      </c>
      <c r="BA49" s="99">
        <f t="shared" si="16"/>
        <v>1600</v>
      </c>
      <c r="BB49" s="99">
        <f t="shared" si="16"/>
        <v>1600</v>
      </c>
      <c r="BC49" s="99">
        <f t="shared" si="16"/>
        <v>1600</v>
      </c>
      <c r="BD49" s="99">
        <f t="shared" si="16"/>
        <v>1600</v>
      </c>
      <c r="BE49" s="99">
        <f t="shared" si="16"/>
        <v>1600</v>
      </c>
      <c r="BF49" s="99">
        <f t="shared" si="16"/>
        <v>1600</v>
      </c>
      <c r="BG49" s="99">
        <f t="shared" si="16"/>
        <v>1600</v>
      </c>
      <c r="BH49" s="99">
        <f t="shared" si="16"/>
        <v>1600</v>
      </c>
      <c r="BI49" s="99">
        <f t="shared" si="16"/>
        <v>1600</v>
      </c>
      <c r="BJ49" s="99">
        <f t="shared" si="16"/>
        <v>1600</v>
      </c>
    </row>
    <row r="50" spans="1:62">
      <c r="A50" s="82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  <c r="BC50" s="99"/>
      <c r="BD50" s="99"/>
      <c r="BE50" s="99"/>
      <c r="BF50" s="99"/>
      <c r="BG50" s="99"/>
      <c r="BH50" s="99"/>
      <c r="BI50" s="99"/>
      <c r="BJ50" s="99"/>
    </row>
    <row r="51" spans="1:62">
      <c r="A51" s="82" t="s">
        <v>234</v>
      </c>
      <c r="C51" s="140">
        <f>ROUNDUP(C32/2000,0)</f>
        <v>6</v>
      </c>
      <c r="D51" s="140">
        <f t="shared" ref="D51:BJ51" si="17">ROUNDUP(D32/2000,0)</f>
        <v>6</v>
      </c>
      <c r="E51" s="140">
        <f t="shared" si="17"/>
        <v>6</v>
      </c>
      <c r="F51" s="140">
        <f t="shared" si="17"/>
        <v>6</v>
      </c>
      <c r="G51" s="140">
        <f t="shared" si="17"/>
        <v>6</v>
      </c>
      <c r="H51" s="140">
        <f t="shared" si="17"/>
        <v>7</v>
      </c>
      <c r="I51" s="140">
        <f t="shared" si="17"/>
        <v>7</v>
      </c>
      <c r="J51" s="140">
        <f t="shared" si="17"/>
        <v>7</v>
      </c>
      <c r="K51" s="140">
        <f t="shared" si="17"/>
        <v>7</v>
      </c>
      <c r="L51" s="140">
        <f t="shared" si="17"/>
        <v>7</v>
      </c>
      <c r="M51" s="140">
        <f t="shared" si="17"/>
        <v>7</v>
      </c>
      <c r="N51" s="140">
        <f t="shared" si="17"/>
        <v>7</v>
      </c>
      <c r="O51" s="140">
        <f t="shared" si="17"/>
        <v>7</v>
      </c>
      <c r="P51" s="140">
        <f t="shared" si="17"/>
        <v>11</v>
      </c>
      <c r="Q51" s="140">
        <f t="shared" si="17"/>
        <v>11</v>
      </c>
      <c r="R51" s="140">
        <f t="shared" si="17"/>
        <v>11</v>
      </c>
      <c r="S51" s="140">
        <f t="shared" si="17"/>
        <v>15</v>
      </c>
      <c r="T51" s="140">
        <f t="shared" si="17"/>
        <v>15</v>
      </c>
      <c r="U51" s="140">
        <f t="shared" si="17"/>
        <v>14</v>
      </c>
      <c r="V51" s="140">
        <f t="shared" si="17"/>
        <v>18</v>
      </c>
      <c r="W51" s="140">
        <f t="shared" si="17"/>
        <v>18</v>
      </c>
      <c r="X51" s="140">
        <f t="shared" si="17"/>
        <v>17</v>
      </c>
      <c r="Y51" s="140">
        <f t="shared" si="17"/>
        <v>17</v>
      </c>
      <c r="Z51" s="140">
        <f t="shared" si="17"/>
        <v>17</v>
      </c>
      <c r="AA51" s="140">
        <f t="shared" si="17"/>
        <v>16</v>
      </c>
      <c r="AB51" s="140">
        <f t="shared" si="17"/>
        <v>20</v>
      </c>
      <c r="AC51" s="140">
        <f t="shared" si="17"/>
        <v>20</v>
      </c>
      <c r="AD51" s="140">
        <f t="shared" si="17"/>
        <v>20</v>
      </c>
      <c r="AE51" s="140">
        <f t="shared" si="17"/>
        <v>24</v>
      </c>
      <c r="AF51" s="140">
        <f t="shared" si="17"/>
        <v>23</v>
      </c>
      <c r="AG51" s="140">
        <f t="shared" si="17"/>
        <v>23</v>
      </c>
      <c r="AH51" s="140">
        <f t="shared" si="17"/>
        <v>27</v>
      </c>
      <c r="AI51" s="140">
        <f t="shared" si="17"/>
        <v>26</v>
      </c>
      <c r="AJ51" s="140">
        <f t="shared" si="17"/>
        <v>26</v>
      </c>
      <c r="AK51" s="140">
        <f t="shared" si="17"/>
        <v>25</v>
      </c>
      <c r="AL51" s="140">
        <f t="shared" si="17"/>
        <v>25</v>
      </c>
      <c r="AM51" s="140">
        <f t="shared" si="17"/>
        <v>24</v>
      </c>
      <c r="AN51" s="140">
        <f t="shared" si="17"/>
        <v>28</v>
      </c>
      <c r="AO51" s="140">
        <f t="shared" si="17"/>
        <v>28</v>
      </c>
      <c r="AP51" s="140">
        <f t="shared" si="17"/>
        <v>28</v>
      </c>
      <c r="AQ51" s="140">
        <f t="shared" si="17"/>
        <v>32</v>
      </c>
      <c r="AR51" s="140">
        <f t="shared" si="17"/>
        <v>31</v>
      </c>
      <c r="AS51" s="140">
        <f t="shared" si="17"/>
        <v>31</v>
      </c>
      <c r="AT51" s="140">
        <f t="shared" si="17"/>
        <v>34</v>
      </c>
      <c r="AU51" s="140">
        <f t="shared" si="17"/>
        <v>34</v>
      </c>
      <c r="AV51" s="140">
        <f t="shared" si="17"/>
        <v>33</v>
      </c>
      <c r="AW51" s="140">
        <f t="shared" si="17"/>
        <v>33</v>
      </c>
      <c r="AX51" s="140">
        <f t="shared" si="17"/>
        <v>33</v>
      </c>
      <c r="AY51" s="140">
        <f t="shared" si="17"/>
        <v>32</v>
      </c>
      <c r="AZ51" s="140">
        <f t="shared" si="17"/>
        <v>36</v>
      </c>
      <c r="BA51" s="140">
        <f t="shared" si="17"/>
        <v>36</v>
      </c>
      <c r="BB51" s="140">
        <f t="shared" si="17"/>
        <v>35</v>
      </c>
      <c r="BC51" s="140">
        <f t="shared" si="17"/>
        <v>39</v>
      </c>
      <c r="BD51" s="140">
        <f t="shared" si="17"/>
        <v>39</v>
      </c>
      <c r="BE51" s="140">
        <f t="shared" si="17"/>
        <v>38</v>
      </c>
      <c r="BF51" s="140">
        <f t="shared" si="17"/>
        <v>42</v>
      </c>
      <c r="BG51" s="140">
        <f t="shared" si="17"/>
        <v>42</v>
      </c>
      <c r="BH51" s="140">
        <f t="shared" si="17"/>
        <v>41</v>
      </c>
      <c r="BI51" s="140">
        <f t="shared" si="17"/>
        <v>40</v>
      </c>
      <c r="BJ51" s="140">
        <f t="shared" si="17"/>
        <v>40</v>
      </c>
    </row>
    <row r="52" spans="1:62">
      <c r="A52" s="82" t="s">
        <v>230</v>
      </c>
      <c r="C52" s="140">
        <v>250</v>
      </c>
      <c r="D52" s="140">
        <v>250</v>
      </c>
      <c r="E52" s="140">
        <v>250</v>
      </c>
      <c r="F52" s="140">
        <v>250</v>
      </c>
      <c r="G52" s="140">
        <v>250</v>
      </c>
      <c r="H52" s="140">
        <v>250</v>
      </c>
      <c r="I52" s="140">
        <v>250</v>
      </c>
      <c r="J52" s="140">
        <v>250</v>
      </c>
      <c r="K52" s="140">
        <v>250</v>
      </c>
      <c r="L52" s="140">
        <v>250</v>
      </c>
      <c r="M52" s="140">
        <v>250</v>
      </c>
      <c r="N52" s="140">
        <v>250</v>
      </c>
      <c r="O52" s="140">
        <v>250</v>
      </c>
      <c r="P52" s="140">
        <v>250</v>
      </c>
      <c r="Q52" s="140">
        <v>250</v>
      </c>
      <c r="R52" s="140">
        <v>250</v>
      </c>
      <c r="S52" s="140">
        <v>250</v>
      </c>
      <c r="T52" s="140">
        <v>250</v>
      </c>
      <c r="U52" s="140">
        <v>250</v>
      </c>
      <c r="V52" s="140">
        <v>250</v>
      </c>
      <c r="W52" s="140">
        <v>250</v>
      </c>
      <c r="X52" s="140">
        <v>250</v>
      </c>
      <c r="Y52" s="140">
        <v>250</v>
      </c>
      <c r="Z52" s="140">
        <v>250</v>
      </c>
      <c r="AA52" s="140">
        <v>250</v>
      </c>
      <c r="AB52" s="140">
        <v>250</v>
      </c>
      <c r="AC52" s="140">
        <v>250</v>
      </c>
      <c r="AD52" s="140">
        <v>250</v>
      </c>
      <c r="AE52" s="140">
        <v>250</v>
      </c>
      <c r="AF52" s="140">
        <v>250</v>
      </c>
      <c r="AG52" s="140">
        <v>250</v>
      </c>
      <c r="AH52" s="140">
        <v>250</v>
      </c>
      <c r="AI52" s="140">
        <v>250</v>
      </c>
      <c r="AJ52" s="140">
        <v>250</v>
      </c>
      <c r="AK52" s="140">
        <v>250</v>
      </c>
      <c r="AL52" s="140">
        <v>250</v>
      </c>
      <c r="AM52" s="140">
        <v>250</v>
      </c>
      <c r="AN52" s="140">
        <v>250</v>
      </c>
      <c r="AO52" s="140">
        <v>250</v>
      </c>
      <c r="AP52" s="140">
        <v>250</v>
      </c>
      <c r="AQ52" s="140">
        <v>250</v>
      </c>
      <c r="AR52" s="140">
        <v>250</v>
      </c>
      <c r="AS52" s="140">
        <v>250</v>
      </c>
      <c r="AT52" s="140">
        <v>250</v>
      </c>
      <c r="AU52" s="140">
        <v>250</v>
      </c>
      <c r="AV52" s="140">
        <v>250</v>
      </c>
      <c r="AW52" s="140">
        <v>250</v>
      </c>
      <c r="AX52" s="140">
        <v>250</v>
      </c>
      <c r="AY52" s="140">
        <v>250</v>
      </c>
      <c r="AZ52" s="140">
        <v>250</v>
      </c>
      <c r="BA52" s="140">
        <v>250</v>
      </c>
      <c r="BB52" s="140">
        <v>250</v>
      </c>
      <c r="BC52" s="140">
        <v>250</v>
      </c>
      <c r="BD52" s="140">
        <v>250</v>
      </c>
      <c r="BE52" s="140">
        <v>250</v>
      </c>
      <c r="BF52" s="140">
        <v>250</v>
      </c>
      <c r="BG52" s="140">
        <v>250</v>
      </c>
      <c r="BH52" s="140">
        <v>250</v>
      </c>
      <c r="BI52" s="140">
        <v>250</v>
      </c>
      <c r="BJ52" s="140">
        <v>250</v>
      </c>
    </row>
    <row r="53" spans="1:62">
      <c r="A53" s="82" t="s">
        <v>138</v>
      </c>
      <c r="C53" s="81">
        <f>C51*C52</f>
        <v>1500</v>
      </c>
      <c r="D53" s="81">
        <f t="shared" ref="D53:BJ53" si="18">D51*D52</f>
        <v>1500</v>
      </c>
      <c r="E53" s="81">
        <f t="shared" si="18"/>
        <v>1500</v>
      </c>
      <c r="F53" s="81">
        <f t="shared" si="18"/>
        <v>1500</v>
      </c>
      <c r="G53" s="81">
        <f t="shared" si="18"/>
        <v>1500</v>
      </c>
      <c r="H53" s="81">
        <f t="shared" si="18"/>
        <v>1750</v>
      </c>
      <c r="I53" s="81">
        <f t="shared" si="18"/>
        <v>1750</v>
      </c>
      <c r="J53" s="81">
        <f t="shared" si="18"/>
        <v>1750</v>
      </c>
      <c r="K53" s="81">
        <f t="shared" si="18"/>
        <v>1750</v>
      </c>
      <c r="L53" s="81">
        <f t="shared" si="18"/>
        <v>1750</v>
      </c>
      <c r="M53" s="81">
        <f t="shared" si="18"/>
        <v>1750</v>
      </c>
      <c r="N53" s="81">
        <f t="shared" si="18"/>
        <v>1750</v>
      </c>
      <c r="O53" s="81">
        <f t="shared" si="18"/>
        <v>1750</v>
      </c>
      <c r="P53" s="81">
        <f t="shared" si="18"/>
        <v>2750</v>
      </c>
      <c r="Q53" s="81">
        <f t="shared" si="18"/>
        <v>2750</v>
      </c>
      <c r="R53" s="81">
        <f t="shared" si="18"/>
        <v>2750</v>
      </c>
      <c r="S53" s="81">
        <f t="shared" si="18"/>
        <v>3750</v>
      </c>
      <c r="T53" s="81">
        <f t="shared" si="18"/>
        <v>3750</v>
      </c>
      <c r="U53" s="81">
        <f t="shared" si="18"/>
        <v>3500</v>
      </c>
      <c r="V53" s="81">
        <f t="shared" si="18"/>
        <v>4500</v>
      </c>
      <c r="W53" s="81">
        <f t="shared" si="18"/>
        <v>4500</v>
      </c>
      <c r="X53" s="81">
        <f t="shared" si="18"/>
        <v>4250</v>
      </c>
      <c r="Y53" s="81">
        <f t="shared" si="18"/>
        <v>4250</v>
      </c>
      <c r="Z53" s="81">
        <f t="shared" si="18"/>
        <v>4250</v>
      </c>
      <c r="AA53" s="81">
        <f t="shared" si="18"/>
        <v>4000</v>
      </c>
      <c r="AB53" s="81">
        <f t="shared" si="18"/>
        <v>5000</v>
      </c>
      <c r="AC53" s="81">
        <f t="shared" si="18"/>
        <v>5000</v>
      </c>
      <c r="AD53" s="81">
        <f t="shared" si="18"/>
        <v>5000</v>
      </c>
      <c r="AE53" s="81">
        <f t="shared" si="18"/>
        <v>6000</v>
      </c>
      <c r="AF53" s="81">
        <f t="shared" si="18"/>
        <v>5750</v>
      </c>
      <c r="AG53" s="81">
        <f t="shared" si="18"/>
        <v>5750</v>
      </c>
      <c r="AH53" s="81">
        <f t="shared" si="18"/>
        <v>6750</v>
      </c>
      <c r="AI53" s="81">
        <f t="shared" si="18"/>
        <v>6500</v>
      </c>
      <c r="AJ53" s="81">
        <f t="shared" si="18"/>
        <v>6500</v>
      </c>
      <c r="AK53" s="81">
        <f t="shared" si="18"/>
        <v>6250</v>
      </c>
      <c r="AL53" s="81">
        <f t="shared" si="18"/>
        <v>6250</v>
      </c>
      <c r="AM53" s="81">
        <f t="shared" si="18"/>
        <v>6000</v>
      </c>
      <c r="AN53" s="81">
        <f t="shared" si="18"/>
        <v>7000</v>
      </c>
      <c r="AO53" s="81">
        <f t="shared" si="18"/>
        <v>7000</v>
      </c>
      <c r="AP53" s="81">
        <f t="shared" si="18"/>
        <v>7000</v>
      </c>
      <c r="AQ53" s="81">
        <f t="shared" si="18"/>
        <v>8000</v>
      </c>
      <c r="AR53" s="81">
        <f t="shared" si="18"/>
        <v>7750</v>
      </c>
      <c r="AS53" s="81">
        <f t="shared" si="18"/>
        <v>7750</v>
      </c>
      <c r="AT53" s="81">
        <f t="shared" si="18"/>
        <v>8500</v>
      </c>
      <c r="AU53" s="81">
        <f t="shared" si="18"/>
        <v>8500</v>
      </c>
      <c r="AV53" s="81">
        <f t="shared" si="18"/>
        <v>8250</v>
      </c>
      <c r="AW53" s="81">
        <f t="shared" si="18"/>
        <v>8250</v>
      </c>
      <c r="AX53" s="81">
        <f t="shared" si="18"/>
        <v>8250</v>
      </c>
      <c r="AY53" s="81">
        <f t="shared" si="18"/>
        <v>8000</v>
      </c>
      <c r="AZ53" s="81">
        <f t="shared" si="18"/>
        <v>9000</v>
      </c>
      <c r="BA53" s="81">
        <f t="shared" si="18"/>
        <v>9000</v>
      </c>
      <c r="BB53" s="81">
        <f t="shared" si="18"/>
        <v>8750</v>
      </c>
      <c r="BC53" s="81">
        <f t="shared" si="18"/>
        <v>9750</v>
      </c>
      <c r="BD53" s="81">
        <f t="shared" si="18"/>
        <v>9750</v>
      </c>
      <c r="BE53" s="81">
        <f t="shared" si="18"/>
        <v>9500</v>
      </c>
      <c r="BF53" s="81">
        <f t="shared" si="18"/>
        <v>10500</v>
      </c>
      <c r="BG53" s="81">
        <f t="shared" si="18"/>
        <v>10500</v>
      </c>
      <c r="BH53" s="81">
        <f t="shared" si="18"/>
        <v>10250</v>
      </c>
      <c r="BI53" s="81">
        <f t="shared" si="18"/>
        <v>10000</v>
      </c>
      <c r="BJ53" s="81">
        <f t="shared" si="18"/>
        <v>10000</v>
      </c>
    </row>
    <row r="54" spans="1:62">
      <c r="A54" s="82"/>
    </row>
    <row r="55" spans="1:62">
      <c r="A55" s="82" t="s">
        <v>243</v>
      </c>
      <c r="C55" s="7">
        <v>5</v>
      </c>
      <c r="D55" s="7">
        <v>5</v>
      </c>
      <c r="E55" s="7">
        <v>5</v>
      </c>
      <c r="F55" s="7">
        <v>5</v>
      </c>
      <c r="G55" s="7">
        <v>5</v>
      </c>
      <c r="H55" s="7">
        <v>5</v>
      </c>
      <c r="I55" s="7">
        <v>5</v>
      </c>
      <c r="J55" s="7">
        <v>5</v>
      </c>
      <c r="K55" s="7">
        <v>5</v>
      </c>
      <c r="L55" s="7">
        <v>5</v>
      </c>
      <c r="M55" s="7">
        <v>5</v>
      </c>
      <c r="N55" s="7">
        <v>5</v>
      </c>
      <c r="O55" s="7">
        <v>5</v>
      </c>
      <c r="P55" s="7">
        <v>5</v>
      </c>
      <c r="Q55" s="7">
        <v>5</v>
      </c>
      <c r="R55" s="7">
        <v>5</v>
      </c>
      <c r="S55" s="7">
        <v>5</v>
      </c>
      <c r="T55" s="7">
        <v>5</v>
      </c>
      <c r="U55" s="7">
        <v>5</v>
      </c>
      <c r="V55" s="7">
        <v>5</v>
      </c>
      <c r="W55" s="7">
        <v>5</v>
      </c>
      <c r="X55" s="7">
        <v>5</v>
      </c>
      <c r="Y55" s="7">
        <v>5</v>
      </c>
      <c r="Z55" s="7">
        <v>5</v>
      </c>
      <c r="AA55" s="7">
        <v>5</v>
      </c>
      <c r="AB55" s="7">
        <v>5</v>
      </c>
      <c r="AC55" s="7">
        <v>5</v>
      </c>
      <c r="AD55" s="7">
        <v>5</v>
      </c>
      <c r="AE55" s="7">
        <v>5</v>
      </c>
      <c r="AF55" s="7">
        <v>5</v>
      </c>
      <c r="AG55" s="7">
        <v>5</v>
      </c>
      <c r="AH55" s="7">
        <v>5</v>
      </c>
      <c r="AI55" s="7">
        <v>5</v>
      </c>
      <c r="AJ55" s="7">
        <v>5</v>
      </c>
      <c r="AK55" s="7">
        <v>5</v>
      </c>
      <c r="AL55" s="7">
        <v>5</v>
      </c>
      <c r="AM55" s="7">
        <v>5</v>
      </c>
      <c r="AN55" s="7">
        <v>5</v>
      </c>
      <c r="AO55" s="7">
        <v>5</v>
      </c>
      <c r="AP55" s="7">
        <v>5</v>
      </c>
      <c r="AQ55" s="7">
        <v>5</v>
      </c>
      <c r="AR55" s="7">
        <v>5</v>
      </c>
      <c r="AS55" s="7">
        <v>5</v>
      </c>
      <c r="AT55" s="7">
        <v>5</v>
      </c>
      <c r="AU55" s="7">
        <v>5</v>
      </c>
      <c r="AV55" s="7">
        <v>5</v>
      </c>
      <c r="AW55" s="7">
        <v>5</v>
      </c>
      <c r="AX55" s="7">
        <v>5</v>
      </c>
      <c r="AY55" s="7">
        <v>5</v>
      </c>
      <c r="AZ55" s="7">
        <v>5</v>
      </c>
      <c r="BA55" s="7">
        <v>5</v>
      </c>
      <c r="BB55" s="7">
        <v>5</v>
      </c>
      <c r="BC55" s="7">
        <v>5</v>
      </c>
      <c r="BD55" s="7">
        <v>5</v>
      </c>
      <c r="BE55" s="7">
        <v>5</v>
      </c>
      <c r="BF55" s="7">
        <v>5</v>
      </c>
      <c r="BG55" s="7">
        <v>5</v>
      </c>
      <c r="BH55" s="7">
        <v>5</v>
      </c>
      <c r="BI55" s="7">
        <v>5</v>
      </c>
      <c r="BJ55" s="7">
        <v>5</v>
      </c>
    </row>
    <row r="56" spans="1:62">
      <c r="A56" s="82" t="s">
        <v>230</v>
      </c>
      <c r="C56" s="7">
        <v>200</v>
      </c>
      <c r="D56" s="7">
        <v>200</v>
      </c>
      <c r="E56" s="7">
        <v>200</v>
      </c>
      <c r="F56" s="7">
        <v>200</v>
      </c>
      <c r="G56" s="7">
        <v>200</v>
      </c>
      <c r="H56" s="7">
        <v>200</v>
      </c>
      <c r="I56" s="7">
        <v>200</v>
      </c>
      <c r="J56" s="7">
        <v>200</v>
      </c>
      <c r="K56" s="7">
        <v>200</v>
      </c>
      <c r="L56" s="7">
        <v>200</v>
      </c>
      <c r="M56" s="7">
        <v>200</v>
      </c>
      <c r="N56" s="7">
        <v>200</v>
      </c>
      <c r="O56" s="7">
        <v>200</v>
      </c>
      <c r="P56" s="7">
        <v>200</v>
      </c>
      <c r="Q56" s="7">
        <v>200</v>
      </c>
      <c r="R56" s="7">
        <v>200</v>
      </c>
      <c r="S56" s="7">
        <v>200</v>
      </c>
      <c r="T56" s="7">
        <v>200</v>
      </c>
      <c r="U56" s="7">
        <v>200</v>
      </c>
      <c r="V56" s="7">
        <v>200</v>
      </c>
      <c r="W56" s="7">
        <v>200</v>
      </c>
      <c r="X56" s="7">
        <v>200</v>
      </c>
      <c r="Y56" s="7">
        <v>200</v>
      </c>
      <c r="Z56" s="7">
        <v>200</v>
      </c>
      <c r="AA56" s="7">
        <v>200</v>
      </c>
      <c r="AB56" s="7">
        <v>200</v>
      </c>
      <c r="AC56" s="7">
        <v>200</v>
      </c>
      <c r="AD56" s="7">
        <v>200</v>
      </c>
      <c r="AE56" s="7">
        <v>200</v>
      </c>
      <c r="AF56" s="7">
        <v>200</v>
      </c>
      <c r="AG56" s="7">
        <v>200</v>
      </c>
      <c r="AH56" s="7">
        <v>200</v>
      </c>
      <c r="AI56" s="7">
        <v>200</v>
      </c>
      <c r="AJ56" s="7">
        <v>200</v>
      </c>
      <c r="AK56" s="7">
        <v>200</v>
      </c>
      <c r="AL56" s="7">
        <v>200</v>
      </c>
      <c r="AM56" s="7">
        <v>200</v>
      </c>
      <c r="AN56" s="7">
        <v>200</v>
      </c>
      <c r="AO56" s="7">
        <v>200</v>
      </c>
      <c r="AP56" s="7">
        <v>200</v>
      </c>
      <c r="AQ56" s="7">
        <v>200</v>
      </c>
      <c r="AR56" s="7">
        <v>200</v>
      </c>
      <c r="AS56" s="7">
        <v>200</v>
      </c>
      <c r="AT56" s="7">
        <v>200</v>
      </c>
      <c r="AU56" s="7">
        <v>200</v>
      </c>
      <c r="AV56" s="7">
        <v>200</v>
      </c>
      <c r="AW56" s="7">
        <v>200</v>
      </c>
      <c r="AX56" s="7">
        <v>200</v>
      </c>
      <c r="AY56" s="7">
        <v>200</v>
      </c>
      <c r="AZ56" s="7">
        <v>200</v>
      </c>
      <c r="BA56" s="7">
        <v>200</v>
      </c>
      <c r="BB56" s="7">
        <v>200</v>
      </c>
      <c r="BC56" s="7">
        <v>200</v>
      </c>
      <c r="BD56" s="7">
        <v>200</v>
      </c>
      <c r="BE56" s="7">
        <v>200</v>
      </c>
      <c r="BF56" s="7">
        <v>200</v>
      </c>
      <c r="BG56" s="7">
        <v>200</v>
      </c>
      <c r="BH56" s="7">
        <v>200</v>
      </c>
      <c r="BI56" s="7">
        <v>200</v>
      </c>
      <c r="BJ56" s="7">
        <v>200</v>
      </c>
    </row>
    <row r="57" spans="1:62">
      <c r="A57" s="82" t="s">
        <v>138</v>
      </c>
      <c r="C57" s="81">
        <f>C55*C56</f>
        <v>1000</v>
      </c>
      <c r="D57" s="81">
        <f t="shared" ref="D57:BJ57" si="19">D55*D56</f>
        <v>1000</v>
      </c>
      <c r="E57" s="81">
        <f t="shared" si="19"/>
        <v>1000</v>
      </c>
      <c r="F57" s="81">
        <f t="shared" si="19"/>
        <v>1000</v>
      </c>
      <c r="G57" s="81">
        <f t="shared" si="19"/>
        <v>1000</v>
      </c>
      <c r="H57" s="81">
        <f t="shared" si="19"/>
        <v>1000</v>
      </c>
      <c r="I57" s="81">
        <f t="shared" si="19"/>
        <v>1000</v>
      </c>
      <c r="J57" s="81">
        <f t="shared" si="19"/>
        <v>1000</v>
      </c>
      <c r="K57" s="81">
        <f t="shared" si="19"/>
        <v>1000</v>
      </c>
      <c r="L57" s="81">
        <f t="shared" si="19"/>
        <v>1000</v>
      </c>
      <c r="M57" s="81">
        <f t="shared" si="19"/>
        <v>1000</v>
      </c>
      <c r="N57" s="81">
        <f t="shared" si="19"/>
        <v>1000</v>
      </c>
      <c r="O57" s="81">
        <f t="shared" si="19"/>
        <v>1000</v>
      </c>
      <c r="P57" s="81">
        <f t="shared" si="19"/>
        <v>1000</v>
      </c>
      <c r="Q57" s="81">
        <f t="shared" si="19"/>
        <v>1000</v>
      </c>
      <c r="R57" s="81">
        <f t="shared" si="19"/>
        <v>1000</v>
      </c>
      <c r="S57" s="81">
        <f t="shared" si="19"/>
        <v>1000</v>
      </c>
      <c r="T57" s="81">
        <f t="shared" si="19"/>
        <v>1000</v>
      </c>
      <c r="U57" s="81">
        <f t="shared" si="19"/>
        <v>1000</v>
      </c>
      <c r="V57" s="81">
        <f t="shared" si="19"/>
        <v>1000</v>
      </c>
      <c r="W57" s="81">
        <f t="shared" si="19"/>
        <v>1000</v>
      </c>
      <c r="X57" s="81">
        <f t="shared" si="19"/>
        <v>1000</v>
      </c>
      <c r="Y57" s="81">
        <f t="shared" si="19"/>
        <v>1000</v>
      </c>
      <c r="Z57" s="81">
        <f t="shared" si="19"/>
        <v>1000</v>
      </c>
      <c r="AA57" s="81">
        <f t="shared" si="19"/>
        <v>1000</v>
      </c>
      <c r="AB57" s="81">
        <f t="shared" si="19"/>
        <v>1000</v>
      </c>
      <c r="AC57" s="81">
        <f t="shared" si="19"/>
        <v>1000</v>
      </c>
      <c r="AD57" s="81">
        <f t="shared" si="19"/>
        <v>1000</v>
      </c>
      <c r="AE57" s="81">
        <f t="shared" si="19"/>
        <v>1000</v>
      </c>
      <c r="AF57" s="81">
        <f t="shared" si="19"/>
        <v>1000</v>
      </c>
      <c r="AG57" s="81">
        <f t="shared" si="19"/>
        <v>1000</v>
      </c>
      <c r="AH57" s="81">
        <f t="shared" si="19"/>
        <v>1000</v>
      </c>
      <c r="AI57" s="81">
        <f t="shared" si="19"/>
        <v>1000</v>
      </c>
      <c r="AJ57" s="81">
        <f t="shared" si="19"/>
        <v>1000</v>
      </c>
      <c r="AK57" s="81">
        <f t="shared" si="19"/>
        <v>1000</v>
      </c>
      <c r="AL57" s="81">
        <f t="shared" si="19"/>
        <v>1000</v>
      </c>
      <c r="AM57" s="81">
        <f t="shared" si="19"/>
        <v>1000</v>
      </c>
      <c r="AN57" s="81">
        <f t="shared" si="19"/>
        <v>1000</v>
      </c>
      <c r="AO57" s="81">
        <f t="shared" si="19"/>
        <v>1000</v>
      </c>
      <c r="AP57" s="81">
        <f t="shared" si="19"/>
        <v>1000</v>
      </c>
      <c r="AQ57" s="81">
        <f t="shared" si="19"/>
        <v>1000</v>
      </c>
      <c r="AR57" s="81">
        <f t="shared" si="19"/>
        <v>1000</v>
      </c>
      <c r="AS57" s="81">
        <f t="shared" si="19"/>
        <v>1000</v>
      </c>
      <c r="AT57" s="81">
        <f t="shared" si="19"/>
        <v>1000</v>
      </c>
      <c r="AU57" s="81">
        <f t="shared" si="19"/>
        <v>1000</v>
      </c>
      <c r="AV57" s="81">
        <f t="shared" si="19"/>
        <v>1000</v>
      </c>
      <c r="AW57" s="81">
        <f t="shared" si="19"/>
        <v>1000</v>
      </c>
      <c r="AX57" s="81">
        <f t="shared" si="19"/>
        <v>1000</v>
      </c>
      <c r="AY57" s="81">
        <f t="shared" si="19"/>
        <v>1000</v>
      </c>
      <c r="AZ57" s="81">
        <f t="shared" si="19"/>
        <v>1000</v>
      </c>
      <c r="BA57" s="81">
        <f t="shared" si="19"/>
        <v>1000</v>
      </c>
      <c r="BB57" s="81">
        <f t="shared" si="19"/>
        <v>1000</v>
      </c>
      <c r="BC57" s="81">
        <f t="shared" si="19"/>
        <v>1000</v>
      </c>
      <c r="BD57" s="81">
        <f t="shared" si="19"/>
        <v>1000</v>
      </c>
      <c r="BE57" s="81">
        <f t="shared" si="19"/>
        <v>1000</v>
      </c>
      <c r="BF57" s="81">
        <f t="shared" si="19"/>
        <v>1000</v>
      </c>
      <c r="BG57" s="81">
        <f t="shared" si="19"/>
        <v>1000</v>
      </c>
      <c r="BH57" s="81">
        <f t="shared" si="19"/>
        <v>1000</v>
      </c>
      <c r="BI57" s="81">
        <f t="shared" si="19"/>
        <v>1000</v>
      </c>
      <c r="BJ57" s="81">
        <f t="shared" si="19"/>
        <v>1000</v>
      </c>
    </row>
    <row r="58" spans="1:62">
      <c r="A58" s="82"/>
    </row>
    <row r="59" spans="1:62">
      <c r="A59" s="82" t="s">
        <v>253</v>
      </c>
      <c r="C59" s="7">
        <f>ROUNDUP(MAX(C32/4000,B59),0)</f>
        <v>3</v>
      </c>
      <c r="D59" s="7">
        <f t="shared" ref="D59:BJ59" si="20">ROUNDUP(MAX(D32/4000,C59),0)</f>
        <v>3</v>
      </c>
      <c r="E59" s="7">
        <f t="shared" si="20"/>
        <v>3</v>
      </c>
      <c r="F59" s="7">
        <f t="shared" si="20"/>
        <v>3</v>
      </c>
      <c r="G59" s="7">
        <f t="shared" si="20"/>
        <v>3</v>
      </c>
      <c r="H59" s="7">
        <f t="shared" si="20"/>
        <v>4</v>
      </c>
      <c r="I59" s="7">
        <f t="shared" si="20"/>
        <v>4</v>
      </c>
      <c r="J59" s="7">
        <f t="shared" si="20"/>
        <v>4</v>
      </c>
      <c r="K59" s="7">
        <f t="shared" si="20"/>
        <v>4</v>
      </c>
      <c r="L59" s="7">
        <f t="shared" si="20"/>
        <v>4</v>
      </c>
      <c r="M59" s="7">
        <f t="shared" si="20"/>
        <v>4</v>
      </c>
      <c r="N59" s="7">
        <f t="shared" si="20"/>
        <v>4</v>
      </c>
      <c r="O59" s="7">
        <f t="shared" si="20"/>
        <v>4</v>
      </c>
      <c r="P59" s="7">
        <f t="shared" si="20"/>
        <v>6</v>
      </c>
      <c r="Q59" s="7">
        <f t="shared" si="20"/>
        <v>6</v>
      </c>
      <c r="R59" s="7">
        <f t="shared" si="20"/>
        <v>6</v>
      </c>
      <c r="S59" s="7">
        <f t="shared" si="20"/>
        <v>8</v>
      </c>
      <c r="T59" s="7">
        <f t="shared" si="20"/>
        <v>8</v>
      </c>
      <c r="U59" s="7">
        <f t="shared" si="20"/>
        <v>8</v>
      </c>
      <c r="V59" s="7">
        <f t="shared" si="20"/>
        <v>9</v>
      </c>
      <c r="W59" s="7">
        <f t="shared" si="20"/>
        <v>9</v>
      </c>
      <c r="X59" s="7">
        <f t="shared" si="20"/>
        <v>9</v>
      </c>
      <c r="Y59" s="7">
        <f t="shared" si="20"/>
        <v>9</v>
      </c>
      <c r="Z59" s="7">
        <f t="shared" si="20"/>
        <v>9</v>
      </c>
      <c r="AA59" s="7">
        <f t="shared" si="20"/>
        <v>9</v>
      </c>
      <c r="AB59" s="7">
        <f t="shared" si="20"/>
        <v>10</v>
      </c>
      <c r="AC59" s="7">
        <f t="shared" si="20"/>
        <v>10</v>
      </c>
      <c r="AD59" s="7">
        <f t="shared" si="20"/>
        <v>10</v>
      </c>
      <c r="AE59" s="7">
        <f t="shared" si="20"/>
        <v>12</v>
      </c>
      <c r="AF59" s="7">
        <f t="shared" si="20"/>
        <v>12</v>
      </c>
      <c r="AG59" s="7">
        <f t="shared" si="20"/>
        <v>12</v>
      </c>
      <c r="AH59" s="7">
        <f t="shared" si="20"/>
        <v>14</v>
      </c>
      <c r="AI59" s="7">
        <f t="shared" si="20"/>
        <v>14</v>
      </c>
      <c r="AJ59" s="7">
        <f t="shared" si="20"/>
        <v>14</v>
      </c>
      <c r="AK59" s="7">
        <f t="shared" si="20"/>
        <v>14</v>
      </c>
      <c r="AL59" s="7">
        <f t="shared" si="20"/>
        <v>14</v>
      </c>
      <c r="AM59" s="7">
        <f t="shared" si="20"/>
        <v>14</v>
      </c>
      <c r="AN59" s="7">
        <f t="shared" si="20"/>
        <v>14</v>
      </c>
      <c r="AO59" s="7">
        <f t="shared" si="20"/>
        <v>14</v>
      </c>
      <c r="AP59" s="7">
        <f t="shared" si="20"/>
        <v>14</v>
      </c>
      <c r="AQ59" s="7">
        <f t="shared" si="20"/>
        <v>16</v>
      </c>
      <c r="AR59" s="7">
        <f t="shared" si="20"/>
        <v>16</v>
      </c>
      <c r="AS59" s="7">
        <f t="shared" si="20"/>
        <v>16</v>
      </c>
      <c r="AT59" s="7">
        <f t="shared" si="20"/>
        <v>17</v>
      </c>
      <c r="AU59" s="7">
        <f t="shared" si="20"/>
        <v>17</v>
      </c>
      <c r="AV59" s="7">
        <f t="shared" si="20"/>
        <v>17</v>
      </c>
      <c r="AW59" s="7">
        <f t="shared" si="20"/>
        <v>17</v>
      </c>
      <c r="AX59" s="7">
        <f t="shared" si="20"/>
        <v>17</v>
      </c>
      <c r="AY59" s="7">
        <f t="shared" si="20"/>
        <v>17</v>
      </c>
      <c r="AZ59" s="7">
        <f t="shared" si="20"/>
        <v>18</v>
      </c>
      <c r="BA59" s="7">
        <f t="shared" si="20"/>
        <v>18</v>
      </c>
      <c r="BB59" s="7">
        <f t="shared" si="20"/>
        <v>18</v>
      </c>
      <c r="BC59" s="7">
        <f t="shared" si="20"/>
        <v>20</v>
      </c>
      <c r="BD59" s="7">
        <f t="shared" si="20"/>
        <v>20</v>
      </c>
      <c r="BE59" s="7">
        <f t="shared" si="20"/>
        <v>20</v>
      </c>
      <c r="BF59" s="7">
        <f t="shared" si="20"/>
        <v>21</v>
      </c>
      <c r="BG59" s="7">
        <f t="shared" si="20"/>
        <v>21</v>
      </c>
      <c r="BH59" s="7">
        <f t="shared" si="20"/>
        <v>21</v>
      </c>
      <c r="BI59" s="7">
        <f t="shared" si="20"/>
        <v>21</v>
      </c>
      <c r="BJ59" s="7">
        <f t="shared" si="20"/>
        <v>21</v>
      </c>
    </row>
    <row r="60" spans="1:62">
      <c r="A60" s="82" t="s">
        <v>230</v>
      </c>
      <c r="C60" s="7">
        <v>600</v>
      </c>
      <c r="D60" s="7">
        <v>600</v>
      </c>
      <c r="E60" s="7">
        <v>600</v>
      </c>
      <c r="F60" s="7">
        <v>600</v>
      </c>
      <c r="G60" s="7">
        <v>600</v>
      </c>
      <c r="H60" s="7">
        <v>600</v>
      </c>
      <c r="I60" s="7">
        <v>600</v>
      </c>
      <c r="J60" s="7">
        <v>600</v>
      </c>
      <c r="K60" s="7">
        <v>600</v>
      </c>
      <c r="L60" s="7">
        <v>600</v>
      </c>
      <c r="M60" s="7">
        <v>600</v>
      </c>
      <c r="N60" s="7">
        <v>600</v>
      </c>
      <c r="O60" s="7">
        <v>600</v>
      </c>
      <c r="P60" s="7">
        <v>600</v>
      </c>
      <c r="Q60" s="7">
        <v>600</v>
      </c>
      <c r="R60" s="7">
        <v>600</v>
      </c>
      <c r="S60" s="7">
        <v>600</v>
      </c>
      <c r="T60" s="7">
        <v>600</v>
      </c>
      <c r="U60" s="7">
        <v>600</v>
      </c>
      <c r="V60" s="7">
        <v>600</v>
      </c>
      <c r="W60" s="7">
        <v>600</v>
      </c>
      <c r="X60" s="7">
        <v>600</v>
      </c>
      <c r="Y60" s="7">
        <v>600</v>
      </c>
      <c r="Z60" s="7">
        <v>600</v>
      </c>
      <c r="AA60" s="7">
        <v>600</v>
      </c>
      <c r="AB60" s="7">
        <v>600</v>
      </c>
      <c r="AC60" s="7">
        <v>600</v>
      </c>
      <c r="AD60" s="7">
        <v>600</v>
      </c>
      <c r="AE60" s="7">
        <v>600</v>
      </c>
      <c r="AF60" s="7">
        <v>600</v>
      </c>
      <c r="AG60" s="7">
        <v>600</v>
      </c>
      <c r="AH60" s="7">
        <v>600</v>
      </c>
      <c r="AI60" s="7">
        <v>600</v>
      </c>
      <c r="AJ60" s="7">
        <v>600</v>
      </c>
      <c r="AK60" s="7">
        <v>600</v>
      </c>
      <c r="AL60" s="7">
        <v>600</v>
      </c>
      <c r="AM60" s="7">
        <v>600</v>
      </c>
      <c r="AN60" s="7">
        <v>600</v>
      </c>
      <c r="AO60" s="7">
        <v>600</v>
      </c>
      <c r="AP60" s="7">
        <v>600</v>
      </c>
      <c r="AQ60" s="7">
        <v>600</v>
      </c>
      <c r="AR60" s="7">
        <v>600</v>
      </c>
      <c r="AS60" s="7">
        <v>600</v>
      </c>
      <c r="AT60" s="7">
        <v>600</v>
      </c>
      <c r="AU60" s="7">
        <v>600</v>
      </c>
      <c r="AV60" s="7">
        <v>600</v>
      </c>
      <c r="AW60" s="7">
        <v>600</v>
      </c>
      <c r="AX60" s="7">
        <v>600</v>
      </c>
      <c r="AY60" s="7">
        <v>600</v>
      </c>
      <c r="AZ60" s="7">
        <v>600</v>
      </c>
      <c r="BA60" s="7">
        <v>600</v>
      </c>
      <c r="BB60" s="7">
        <v>600</v>
      </c>
      <c r="BC60" s="7">
        <v>600</v>
      </c>
      <c r="BD60" s="7">
        <v>600</v>
      </c>
      <c r="BE60" s="7">
        <v>600</v>
      </c>
      <c r="BF60" s="7">
        <v>600</v>
      </c>
      <c r="BG60" s="7">
        <v>600</v>
      </c>
      <c r="BH60" s="7">
        <v>600</v>
      </c>
      <c r="BI60" s="7">
        <v>600</v>
      </c>
      <c r="BJ60" s="7">
        <v>600</v>
      </c>
    </row>
    <row r="61" spans="1:62">
      <c r="A61" s="82" t="s">
        <v>138</v>
      </c>
      <c r="C61" s="81">
        <f>C59*C60</f>
        <v>1800</v>
      </c>
      <c r="D61" s="81">
        <f t="shared" ref="D61:BJ61" si="21">D59*D60</f>
        <v>1800</v>
      </c>
      <c r="E61" s="81">
        <f t="shared" si="21"/>
        <v>1800</v>
      </c>
      <c r="F61" s="81">
        <f t="shared" si="21"/>
        <v>1800</v>
      </c>
      <c r="G61" s="81">
        <f t="shared" si="21"/>
        <v>1800</v>
      </c>
      <c r="H61" s="81">
        <f t="shared" si="21"/>
        <v>2400</v>
      </c>
      <c r="I61" s="81">
        <f t="shared" si="21"/>
        <v>2400</v>
      </c>
      <c r="J61" s="81">
        <f t="shared" si="21"/>
        <v>2400</v>
      </c>
      <c r="K61" s="81">
        <f t="shared" si="21"/>
        <v>2400</v>
      </c>
      <c r="L61" s="81">
        <f t="shared" si="21"/>
        <v>2400</v>
      </c>
      <c r="M61" s="81">
        <f t="shared" si="21"/>
        <v>2400</v>
      </c>
      <c r="N61" s="81">
        <f t="shared" si="21"/>
        <v>2400</v>
      </c>
      <c r="O61" s="81">
        <f t="shared" si="21"/>
        <v>2400</v>
      </c>
      <c r="P61" s="81">
        <f t="shared" si="21"/>
        <v>3600</v>
      </c>
      <c r="Q61" s="81">
        <f t="shared" si="21"/>
        <v>3600</v>
      </c>
      <c r="R61" s="81">
        <f t="shared" si="21"/>
        <v>3600</v>
      </c>
      <c r="S61" s="81">
        <f t="shared" si="21"/>
        <v>4800</v>
      </c>
      <c r="T61" s="81">
        <f t="shared" si="21"/>
        <v>4800</v>
      </c>
      <c r="U61" s="81">
        <f t="shared" si="21"/>
        <v>4800</v>
      </c>
      <c r="V61" s="81">
        <f t="shared" si="21"/>
        <v>5400</v>
      </c>
      <c r="W61" s="81">
        <f t="shared" si="21"/>
        <v>5400</v>
      </c>
      <c r="X61" s="81">
        <f t="shared" si="21"/>
        <v>5400</v>
      </c>
      <c r="Y61" s="81">
        <f t="shared" si="21"/>
        <v>5400</v>
      </c>
      <c r="Z61" s="81">
        <f t="shared" si="21"/>
        <v>5400</v>
      </c>
      <c r="AA61" s="81">
        <f t="shared" si="21"/>
        <v>5400</v>
      </c>
      <c r="AB61" s="81">
        <f t="shared" si="21"/>
        <v>6000</v>
      </c>
      <c r="AC61" s="81">
        <f t="shared" si="21"/>
        <v>6000</v>
      </c>
      <c r="AD61" s="81">
        <f t="shared" si="21"/>
        <v>6000</v>
      </c>
      <c r="AE61" s="81">
        <f t="shared" si="21"/>
        <v>7200</v>
      </c>
      <c r="AF61" s="81">
        <f t="shared" si="21"/>
        <v>7200</v>
      </c>
      <c r="AG61" s="81">
        <f t="shared" si="21"/>
        <v>7200</v>
      </c>
      <c r="AH61" s="81">
        <f t="shared" si="21"/>
        <v>8400</v>
      </c>
      <c r="AI61" s="81">
        <f t="shared" si="21"/>
        <v>8400</v>
      </c>
      <c r="AJ61" s="81">
        <f t="shared" si="21"/>
        <v>8400</v>
      </c>
      <c r="AK61" s="81">
        <f t="shared" si="21"/>
        <v>8400</v>
      </c>
      <c r="AL61" s="81">
        <f t="shared" si="21"/>
        <v>8400</v>
      </c>
      <c r="AM61" s="81">
        <f t="shared" si="21"/>
        <v>8400</v>
      </c>
      <c r="AN61" s="81">
        <f t="shared" si="21"/>
        <v>8400</v>
      </c>
      <c r="AO61" s="81">
        <f t="shared" si="21"/>
        <v>8400</v>
      </c>
      <c r="AP61" s="81">
        <f t="shared" si="21"/>
        <v>8400</v>
      </c>
      <c r="AQ61" s="81">
        <f t="shared" si="21"/>
        <v>9600</v>
      </c>
      <c r="AR61" s="81">
        <f t="shared" si="21"/>
        <v>9600</v>
      </c>
      <c r="AS61" s="81">
        <f t="shared" si="21"/>
        <v>9600</v>
      </c>
      <c r="AT61" s="81">
        <f t="shared" si="21"/>
        <v>10200</v>
      </c>
      <c r="AU61" s="81">
        <f t="shared" si="21"/>
        <v>10200</v>
      </c>
      <c r="AV61" s="81">
        <f t="shared" si="21"/>
        <v>10200</v>
      </c>
      <c r="AW61" s="81">
        <f t="shared" si="21"/>
        <v>10200</v>
      </c>
      <c r="AX61" s="81">
        <f t="shared" si="21"/>
        <v>10200</v>
      </c>
      <c r="AY61" s="81">
        <f t="shared" si="21"/>
        <v>10200</v>
      </c>
      <c r="AZ61" s="81">
        <f t="shared" si="21"/>
        <v>10800</v>
      </c>
      <c r="BA61" s="81">
        <f t="shared" si="21"/>
        <v>10800</v>
      </c>
      <c r="BB61" s="81">
        <f t="shared" si="21"/>
        <v>10800</v>
      </c>
      <c r="BC61" s="81">
        <f t="shared" si="21"/>
        <v>12000</v>
      </c>
      <c r="BD61" s="81">
        <f t="shared" si="21"/>
        <v>12000</v>
      </c>
      <c r="BE61" s="81">
        <f t="shared" si="21"/>
        <v>12000</v>
      </c>
      <c r="BF61" s="81">
        <f t="shared" si="21"/>
        <v>12600</v>
      </c>
      <c r="BG61" s="81">
        <f t="shared" si="21"/>
        <v>12600</v>
      </c>
      <c r="BH61" s="81">
        <f t="shared" si="21"/>
        <v>12600</v>
      </c>
      <c r="BI61" s="81">
        <f t="shared" si="21"/>
        <v>12600</v>
      </c>
      <c r="BJ61" s="81">
        <f t="shared" si="21"/>
        <v>12600</v>
      </c>
    </row>
    <row r="62" spans="1:62">
      <c r="A62" s="82"/>
    </row>
    <row r="63" spans="1:62">
      <c r="A63" s="105" t="s">
        <v>250</v>
      </c>
      <c r="C63" s="99">
        <f>C35+C39+C43+C47+C51+C55+C59</f>
        <v>57</v>
      </c>
      <c r="D63" s="99">
        <f t="shared" ref="D63:BJ63" si="22">D35+D39+D43+D47+D51+D55+D59</f>
        <v>58</v>
      </c>
      <c r="E63" s="99">
        <f t="shared" si="22"/>
        <v>58</v>
      </c>
      <c r="F63" s="99">
        <f t="shared" si="22"/>
        <v>59</v>
      </c>
      <c r="G63" s="99">
        <f t="shared" si="22"/>
        <v>59</v>
      </c>
      <c r="H63" s="99">
        <f t="shared" si="22"/>
        <v>62</v>
      </c>
      <c r="I63" s="99">
        <f t="shared" si="22"/>
        <v>63</v>
      </c>
      <c r="J63" s="99">
        <f t="shared" si="22"/>
        <v>63</v>
      </c>
      <c r="K63" s="99">
        <f t="shared" si="22"/>
        <v>63</v>
      </c>
      <c r="L63" s="99">
        <f t="shared" si="22"/>
        <v>64</v>
      </c>
      <c r="M63" s="99">
        <f t="shared" si="22"/>
        <v>64</v>
      </c>
      <c r="N63" s="99">
        <f t="shared" si="22"/>
        <v>64</v>
      </c>
      <c r="O63" s="99">
        <f t="shared" si="22"/>
        <v>65</v>
      </c>
      <c r="P63" s="99">
        <f t="shared" si="22"/>
        <v>90</v>
      </c>
      <c r="Q63" s="99">
        <f t="shared" si="22"/>
        <v>89</v>
      </c>
      <c r="R63" s="99">
        <f t="shared" si="22"/>
        <v>88</v>
      </c>
      <c r="S63" s="99">
        <f t="shared" si="22"/>
        <v>113</v>
      </c>
      <c r="T63" s="99">
        <f t="shared" si="22"/>
        <v>112</v>
      </c>
      <c r="U63" s="99">
        <f t="shared" si="22"/>
        <v>109</v>
      </c>
      <c r="V63" s="99">
        <f t="shared" si="22"/>
        <v>132</v>
      </c>
      <c r="W63" s="99">
        <f t="shared" si="22"/>
        <v>130</v>
      </c>
      <c r="X63" s="99">
        <f t="shared" si="22"/>
        <v>127</v>
      </c>
      <c r="Y63" s="99">
        <f t="shared" si="22"/>
        <v>126</v>
      </c>
      <c r="Z63" s="99">
        <f t="shared" si="22"/>
        <v>124</v>
      </c>
      <c r="AA63" s="99">
        <f t="shared" si="22"/>
        <v>121</v>
      </c>
      <c r="AB63" s="99">
        <f t="shared" si="22"/>
        <v>145</v>
      </c>
      <c r="AC63" s="99">
        <f t="shared" si="22"/>
        <v>143</v>
      </c>
      <c r="AD63" s="99">
        <f t="shared" si="22"/>
        <v>142</v>
      </c>
      <c r="AE63" s="99">
        <f t="shared" si="22"/>
        <v>167</v>
      </c>
      <c r="AF63" s="99">
        <f t="shared" si="22"/>
        <v>163</v>
      </c>
      <c r="AG63" s="99">
        <f t="shared" si="22"/>
        <v>162</v>
      </c>
      <c r="AH63" s="99">
        <f t="shared" si="22"/>
        <v>186</v>
      </c>
      <c r="AI63" s="99">
        <f t="shared" si="22"/>
        <v>182</v>
      </c>
      <c r="AJ63" s="99">
        <f t="shared" si="22"/>
        <v>180</v>
      </c>
      <c r="AK63" s="99">
        <f t="shared" si="22"/>
        <v>176</v>
      </c>
      <c r="AL63" s="99">
        <f t="shared" si="22"/>
        <v>175</v>
      </c>
      <c r="AM63" s="99">
        <f t="shared" si="22"/>
        <v>171</v>
      </c>
      <c r="AN63" s="99">
        <f t="shared" si="22"/>
        <v>194</v>
      </c>
      <c r="AO63" s="99">
        <f t="shared" si="22"/>
        <v>192</v>
      </c>
      <c r="AP63" s="99">
        <f t="shared" si="22"/>
        <v>191</v>
      </c>
      <c r="AQ63" s="99">
        <f t="shared" si="22"/>
        <v>215</v>
      </c>
      <c r="AR63" s="99">
        <f t="shared" si="22"/>
        <v>212</v>
      </c>
      <c r="AS63" s="99">
        <f t="shared" si="22"/>
        <v>210</v>
      </c>
      <c r="AT63" s="99">
        <f t="shared" si="22"/>
        <v>231</v>
      </c>
      <c r="AU63" s="99">
        <f t="shared" si="22"/>
        <v>229</v>
      </c>
      <c r="AV63" s="99">
        <f t="shared" si="22"/>
        <v>225</v>
      </c>
      <c r="AW63" s="99">
        <f t="shared" si="22"/>
        <v>224</v>
      </c>
      <c r="AX63" s="99">
        <f t="shared" si="22"/>
        <v>222</v>
      </c>
      <c r="AY63" s="99">
        <f t="shared" si="22"/>
        <v>218</v>
      </c>
      <c r="AZ63" s="99">
        <f t="shared" si="22"/>
        <v>242</v>
      </c>
      <c r="BA63" s="99">
        <f t="shared" si="22"/>
        <v>240</v>
      </c>
      <c r="BB63" s="99">
        <f t="shared" si="22"/>
        <v>237</v>
      </c>
      <c r="BC63" s="99">
        <f t="shared" si="22"/>
        <v>261</v>
      </c>
      <c r="BD63" s="99">
        <f t="shared" si="22"/>
        <v>259</v>
      </c>
      <c r="BE63" s="99">
        <f t="shared" si="22"/>
        <v>256</v>
      </c>
      <c r="BF63" s="99">
        <f t="shared" si="22"/>
        <v>279</v>
      </c>
      <c r="BG63" s="99">
        <f t="shared" si="22"/>
        <v>277</v>
      </c>
      <c r="BH63" s="99">
        <f t="shared" si="22"/>
        <v>273</v>
      </c>
      <c r="BI63" s="99">
        <f t="shared" si="22"/>
        <v>269</v>
      </c>
      <c r="BJ63" s="99">
        <f t="shared" si="22"/>
        <v>267</v>
      </c>
    </row>
    <row r="64" spans="1:62">
      <c r="A64" s="105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N64" s="99"/>
      <c r="AO64" s="99"/>
      <c r="AP64" s="99"/>
      <c r="AQ64" s="99"/>
      <c r="AR64" s="99"/>
      <c r="AS64" s="99"/>
      <c r="AT64" s="99"/>
      <c r="AU64" s="99"/>
      <c r="AV64" s="99"/>
      <c r="AW64" s="99"/>
      <c r="AX64" s="99"/>
      <c r="AY64" s="99"/>
      <c r="AZ64" s="99"/>
      <c r="BA64" s="99"/>
      <c r="BB64" s="99"/>
      <c r="BC64" s="99"/>
      <c r="BD64" s="99"/>
      <c r="BE64" s="99"/>
      <c r="BF64" s="99"/>
      <c r="BG64" s="99"/>
      <c r="BH64" s="99"/>
      <c r="BI64" s="99"/>
      <c r="BJ64" s="99"/>
    </row>
    <row r="65" spans="1:62">
      <c r="A65" s="82" t="s">
        <v>235</v>
      </c>
      <c r="B65" s="141" t="s">
        <v>242</v>
      </c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</row>
    <row r="66" spans="1:62">
      <c r="A66" s="118" t="s">
        <v>236</v>
      </c>
      <c r="B66" s="65">
        <v>350000</v>
      </c>
      <c r="C66" s="99">
        <f t="shared" ref="C66:C71" si="23">$B66/12</f>
        <v>29166.666666666668</v>
      </c>
      <c r="D66" s="99">
        <f t="shared" ref="D66:BJ70" si="24">$B66/12</f>
        <v>29166.666666666668</v>
      </c>
      <c r="E66" s="99">
        <f t="shared" si="24"/>
        <v>29166.666666666668</v>
      </c>
      <c r="F66" s="99">
        <f t="shared" si="24"/>
        <v>29166.666666666668</v>
      </c>
      <c r="G66" s="99">
        <f t="shared" si="24"/>
        <v>29166.666666666668</v>
      </c>
      <c r="H66" s="99">
        <f t="shared" si="24"/>
        <v>29166.666666666668</v>
      </c>
      <c r="I66" s="99">
        <f t="shared" si="24"/>
        <v>29166.666666666668</v>
      </c>
      <c r="J66" s="99">
        <f t="shared" si="24"/>
        <v>29166.666666666668</v>
      </c>
      <c r="K66" s="99">
        <f t="shared" si="24"/>
        <v>29166.666666666668</v>
      </c>
      <c r="L66" s="99">
        <f t="shared" si="24"/>
        <v>29166.666666666668</v>
      </c>
      <c r="M66" s="99">
        <f t="shared" si="24"/>
        <v>29166.666666666668</v>
      </c>
      <c r="N66" s="99">
        <f t="shared" si="24"/>
        <v>29166.666666666668</v>
      </c>
      <c r="O66" s="99">
        <f t="shared" si="24"/>
        <v>29166.666666666668</v>
      </c>
      <c r="P66" s="99">
        <f t="shared" si="24"/>
        <v>29166.666666666668</v>
      </c>
      <c r="Q66" s="99">
        <f t="shared" si="24"/>
        <v>29166.666666666668</v>
      </c>
      <c r="R66" s="99">
        <f t="shared" si="24"/>
        <v>29166.666666666668</v>
      </c>
      <c r="S66" s="99">
        <f t="shared" si="24"/>
        <v>29166.666666666668</v>
      </c>
      <c r="T66" s="99">
        <f t="shared" si="24"/>
        <v>29166.666666666668</v>
      </c>
      <c r="U66" s="99">
        <f t="shared" si="24"/>
        <v>29166.666666666668</v>
      </c>
      <c r="V66" s="99">
        <f t="shared" si="24"/>
        <v>29166.666666666668</v>
      </c>
      <c r="W66" s="99">
        <f t="shared" si="24"/>
        <v>29166.666666666668</v>
      </c>
      <c r="X66" s="99">
        <f t="shared" si="24"/>
        <v>29166.666666666668</v>
      </c>
      <c r="Y66" s="99">
        <f t="shared" si="24"/>
        <v>29166.666666666668</v>
      </c>
      <c r="Z66" s="99">
        <f t="shared" si="24"/>
        <v>29166.666666666668</v>
      </c>
      <c r="AA66" s="99">
        <f t="shared" si="24"/>
        <v>29166.666666666668</v>
      </c>
      <c r="AB66" s="99">
        <f t="shared" si="24"/>
        <v>29166.666666666668</v>
      </c>
      <c r="AC66" s="99">
        <f t="shared" si="24"/>
        <v>29166.666666666668</v>
      </c>
      <c r="AD66" s="99">
        <f t="shared" si="24"/>
        <v>29166.666666666668</v>
      </c>
      <c r="AE66" s="99">
        <f t="shared" si="24"/>
        <v>29166.666666666668</v>
      </c>
      <c r="AF66" s="99">
        <f t="shared" si="24"/>
        <v>29166.666666666668</v>
      </c>
      <c r="AG66" s="99">
        <f t="shared" si="24"/>
        <v>29166.666666666668</v>
      </c>
      <c r="AH66" s="99">
        <f t="shared" si="24"/>
        <v>29166.666666666668</v>
      </c>
      <c r="AI66" s="99">
        <f t="shared" si="24"/>
        <v>29166.666666666668</v>
      </c>
      <c r="AJ66" s="99">
        <f t="shared" si="24"/>
        <v>29166.666666666668</v>
      </c>
      <c r="AK66" s="99">
        <f t="shared" si="24"/>
        <v>29166.666666666668</v>
      </c>
      <c r="AL66" s="99">
        <f t="shared" si="24"/>
        <v>29166.666666666668</v>
      </c>
      <c r="AM66" s="99">
        <f t="shared" si="24"/>
        <v>29166.666666666668</v>
      </c>
      <c r="AN66" s="99">
        <f t="shared" si="24"/>
        <v>29166.666666666668</v>
      </c>
      <c r="AO66" s="99">
        <f t="shared" si="24"/>
        <v>29166.666666666668</v>
      </c>
      <c r="AP66" s="99">
        <f t="shared" si="24"/>
        <v>29166.666666666668</v>
      </c>
      <c r="AQ66" s="99">
        <f t="shared" si="24"/>
        <v>29166.666666666668</v>
      </c>
      <c r="AR66" s="99">
        <f t="shared" si="24"/>
        <v>29166.666666666668</v>
      </c>
      <c r="AS66" s="99">
        <f t="shared" si="24"/>
        <v>29166.666666666668</v>
      </c>
      <c r="AT66" s="99">
        <f t="shared" si="24"/>
        <v>29166.666666666668</v>
      </c>
      <c r="AU66" s="99">
        <f t="shared" si="24"/>
        <v>29166.666666666668</v>
      </c>
      <c r="AV66" s="99">
        <f t="shared" si="24"/>
        <v>29166.666666666668</v>
      </c>
      <c r="AW66" s="99">
        <f t="shared" si="24"/>
        <v>29166.666666666668</v>
      </c>
      <c r="AX66" s="99">
        <f t="shared" si="24"/>
        <v>29166.666666666668</v>
      </c>
      <c r="AY66" s="99">
        <f t="shared" si="24"/>
        <v>29166.666666666668</v>
      </c>
      <c r="AZ66" s="99">
        <f t="shared" si="24"/>
        <v>29166.666666666668</v>
      </c>
      <c r="BA66" s="99">
        <f t="shared" si="24"/>
        <v>29166.666666666668</v>
      </c>
      <c r="BB66" s="99">
        <f t="shared" si="24"/>
        <v>29166.666666666668</v>
      </c>
      <c r="BC66" s="99">
        <f t="shared" si="24"/>
        <v>29166.666666666668</v>
      </c>
      <c r="BD66" s="99">
        <f t="shared" si="24"/>
        <v>29166.666666666668</v>
      </c>
      <c r="BE66" s="99">
        <f t="shared" si="24"/>
        <v>29166.666666666668</v>
      </c>
      <c r="BF66" s="99">
        <f t="shared" si="24"/>
        <v>29166.666666666668</v>
      </c>
      <c r="BG66" s="99">
        <f t="shared" si="24"/>
        <v>29166.666666666668</v>
      </c>
      <c r="BH66" s="99">
        <f t="shared" si="24"/>
        <v>29166.666666666668</v>
      </c>
      <c r="BI66" s="99">
        <f t="shared" si="24"/>
        <v>29166.666666666668</v>
      </c>
      <c r="BJ66" s="99">
        <f t="shared" si="24"/>
        <v>29166.666666666668</v>
      </c>
    </row>
    <row r="67" spans="1:62">
      <c r="A67" s="118" t="s">
        <v>237</v>
      </c>
      <c r="B67" s="65">
        <v>200000</v>
      </c>
      <c r="C67" s="99">
        <f t="shared" si="23"/>
        <v>16666.666666666668</v>
      </c>
      <c r="D67" s="99">
        <f t="shared" ref="D67:R67" si="25">$B67/12</f>
        <v>16666.666666666668</v>
      </c>
      <c r="E67" s="99">
        <f t="shared" si="25"/>
        <v>16666.666666666668</v>
      </c>
      <c r="F67" s="99">
        <f t="shared" si="25"/>
        <v>16666.666666666668</v>
      </c>
      <c r="G67" s="99">
        <f t="shared" si="25"/>
        <v>16666.666666666668</v>
      </c>
      <c r="H67" s="99">
        <f t="shared" si="25"/>
        <v>16666.666666666668</v>
      </c>
      <c r="I67" s="99">
        <f t="shared" si="25"/>
        <v>16666.666666666668</v>
      </c>
      <c r="J67" s="99">
        <f t="shared" si="25"/>
        <v>16666.666666666668</v>
      </c>
      <c r="K67" s="99">
        <f t="shared" si="25"/>
        <v>16666.666666666668</v>
      </c>
      <c r="L67" s="99">
        <f t="shared" si="25"/>
        <v>16666.666666666668</v>
      </c>
      <c r="M67" s="99">
        <f t="shared" si="25"/>
        <v>16666.666666666668</v>
      </c>
      <c r="N67" s="99">
        <f t="shared" si="25"/>
        <v>16666.666666666668</v>
      </c>
      <c r="O67" s="99">
        <f t="shared" si="25"/>
        <v>16666.666666666668</v>
      </c>
      <c r="P67" s="99">
        <f t="shared" si="25"/>
        <v>16666.666666666668</v>
      </c>
      <c r="Q67" s="99">
        <f t="shared" si="25"/>
        <v>16666.666666666668</v>
      </c>
      <c r="R67" s="99">
        <f t="shared" si="25"/>
        <v>16666.666666666668</v>
      </c>
      <c r="S67" s="99">
        <f t="shared" si="24"/>
        <v>16666.666666666668</v>
      </c>
      <c r="T67" s="99">
        <f t="shared" si="24"/>
        <v>16666.666666666668</v>
      </c>
      <c r="U67" s="99">
        <f t="shared" si="24"/>
        <v>16666.666666666668</v>
      </c>
      <c r="V67" s="99">
        <f t="shared" si="24"/>
        <v>16666.666666666668</v>
      </c>
      <c r="W67" s="99">
        <f t="shared" si="24"/>
        <v>16666.666666666668</v>
      </c>
      <c r="X67" s="99">
        <f t="shared" si="24"/>
        <v>16666.666666666668</v>
      </c>
      <c r="Y67" s="99">
        <f t="shared" si="24"/>
        <v>16666.666666666668</v>
      </c>
      <c r="Z67" s="99">
        <f t="shared" si="24"/>
        <v>16666.666666666668</v>
      </c>
      <c r="AA67" s="99">
        <f t="shared" si="24"/>
        <v>16666.666666666668</v>
      </c>
      <c r="AB67" s="99">
        <f t="shared" si="24"/>
        <v>16666.666666666668</v>
      </c>
      <c r="AC67" s="99">
        <f t="shared" si="24"/>
        <v>16666.666666666668</v>
      </c>
      <c r="AD67" s="99">
        <f t="shared" si="24"/>
        <v>16666.666666666668</v>
      </c>
      <c r="AE67" s="99">
        <f t="shared" si="24"/>
        <v>16666.666666666668</v>
      </c>
      <c r="AF67" s="99">
        <f t="shared" si="24"/>
        <v>16666.666666666668</v>
      </c>
      <c r="AG67" s="99">
        <f t="shared" si="24"/>
        <v>16666.666666666668</v>
      </c>
      <c r="AH67" s="99">
        <f t="shared" si="24"/>
        <v>16666.666666666668</v>
      </c>
      <c r="AI67" s="99">
        <f t="shared" si="24"/>
        <v>16666.666666666668</v>
      </c>
      <c r="AJ67" s="99">
        <f t="shared" si="24"/>
        <v>16666.666666666668</v>
      </c>
      <c r="AK67" s="99">
        <f t="shared" si="24"/>
        <v>16666.666666666668</v>
      </c>
      <c r="AL67" s="99">
        <f t="shared" si="24"/>
        <v>16666.666666666668</v>
      </c>
      <c r="AM67" s="99">
        <f t="shared" si="24"/>
        <v>16666.666666666668</v>
      </c>
      <c r="AN67" s="99">
        <f t="shared" si="24"/>
        <v>16666.666666666668</v>
      </c>
      <c r="AO67" s="99">
        <f t="shared" si="24"/>
        <v>16666.666666666668</v>
      </c>
      <c r="AP67" s="99">
        <f t="shared" si="24"/>
        <v>16666.666666666668</v>
      </c>
      <c r="AQ67" s="99">
        <f t="shared" si="24"/>
        <v>16666.666666666668</v>
      </c>
      <c r="AR67" s="99">
        <f t="shared" si="24"/>
        <v>16666.666666666668</v>
      </c>
      <c r="AS67" s="99">
        <f t="shared" si="24"/>
        <v>16666.666666666668</v>
      </c>
      <c r="AT67" s="99">
        <f t="shared" si="24"/>
        <v>16666.666666666668</v>
      </c>
      <c r="AU67" s="99">
        <f t="shared" si="24"/>
        <v>16666.666666666668</v>
      </c>
      <c r="AV67" s="99">
        <f t="shared" si="24"/>
        <v>16666.666666666668</v>
      </c>
      <c r="AW67" s="99">
        <f t="shared" si="24"/>
        <v>16666.666666666668</v>
      </c>
      <c r="AX67" s="99">
        <f t="shared" si="24"/>
        <v>16666.666666666668</v>
      </c>
      <c r="AY67" s="99">
        <f t="shared" si="24"/>
        <v>16666.666666666668</v>
      </c>
      <c r="AZ67" s="99">
        <f t="shared" si="24"/>
        <v>16666.666666666668</v>
      </c>
      <c r="BA67" s="99">
        <f t="shared" si="24"/>
        <v>16666.666666666668</v>
      </c>
      <c r="BB67" s="99">
        <f t="shared" si="24"/>
        <v>16666.666666666668</v>
      </c>
      <c r="BC67" s="99">
        <f t="shared" si="24"/>
        <v>16666.666666666668</v>
      </c>
      <c r="BD67" s="99">
        <f t="shared" si="24"/>
        <v>16666.666666666668</v>
      </c>
      <c r="BE67" s="99">
        <f t="shared" si="24"/>
        <v>16666.666666666668</v>
      </c>
      <c r="BF67" s="99">
        <f t="shared" si="24"/>
        <v>16666.666666666668</v>
      </c>
      <c r="BG67" s="99">
        <f t="shared" si="24"/>
        <v>16666.666666666668</v>
      </c>
      <c r="BH67" s="99">
        <f t="shared" si="24"/>
        <v>16666.666666666668</v>
      </c>
      <c r="BI67" s="99">
        <f t="shared" si="24"/>
        <v>16666.666666666668</v>
      </c>
      <c r="BJ67" s="99">
        <f t="shared" si="24"/>
        <v>16666.666666666668</v>
      </c>
    </row>
    <row r="68" spans="1:62">
      <c r="A68" s="118" t="s">
        <v>238</v>
      </c>
      <c r="B68" s="65">
        <v>80000</v>
      </c>
      <c r="C68" s="99">
        <f t="shared" si="23"/>
        <v>6666.666666666667</v>
      </c>
      <c r="D68" s="99">
        <f t="shared" si="24"/>
        <v>6666.666666666667</v>
      </c>
      <c r="E68" s="99">
        <f t="shared" si="24"/>
        <v>6666.666666666667</v>
      </c>
      <c r="F68" s="99">
        <f t="shared" si="24"/>
        <v>6666.666666666667</v>
      </c>
      <c r="G68" s="99">
        <f t="shared" si="24"/>
        <v>6666.666666666667</v>
      </c>
      <c r="H68" s="99">
        <f t="shared" si="24"/>
        <v>6666.666666666667</v>
      </c>
      <c r="I68" s="99">
        <f t="shared" si="24"/>
        <v>6666.666666666667</v>
      </c>
      <c r="J68" s="99">
        <f t="shared" si="24"/>
        <v>6666.666666666667</v>
      </c>
      <c r="K68" s="99">
        <f t="shared" si="24"/>
        <v>6666.666666666667</v>
      </c>
      <c r="L68" s="99">
        <f t="shared" si="24"/>
        <v>6666.666666666667</v>
      </c>
      <c r="M68" s="99">
        <f t="shared" si="24"/>
        <v>6666.666666666667</v>
      </c>
      <c r="N68" s="99">
        <f t="shared" si="24"/>
        <v>6666.666666666667</v>
      </c>
      <c r="O68" s="99">
        <f t="shared" si="24"/>
        <v>6666.666666666667</v>
      </c>
      <c r="P68" s="99">
        <f t="shared" si="24"/>
        <v>6666.666666666667</v>
      </c>
      <c r="Q68" s="99">
        <f t="shared" si="24"/>
        <v>6666.666666666667</v>
      </c>
      <c r="R68" s="99">
        <f t="shared" si="24"/>
        <v>6666.666666666667</v>
      </c>
      <c r="S68" s="99">
        <f t="shared" si="24"/>
        <v>6666.666666666667</v>
      </c>
      <c r="T68" s="99">
        <f t="shared" si="24"/>
        <v>6666.666666666667</v>
      </c>
      <c r="U68" s="99">
        <f t="shared" si="24"/>
        <v>6666.666666666667</v>
      </c>
      <c r="V68" s="99">
        <f t="shared" si="24"/>
        <v>6666.666666666667</v>
      </c>
      <c r="W68" s="99">
        <f t="shared" si="24"/>
        <v>6666.666666666667</v>
      </c>
      <c r="X68" s="99">
        <f t="shared" si="24"/>
        <v>6666.666666666667</v>
      </c>
      <c r="Y68" s="99">
        <f t="shared" si="24"/>
        <v>6666.666666666667</v>
      </c>
      <c r="Z68" s="99">
        <f t="shared" si="24"/>
        <v>6666.666666666667</v>
      </c>
      <c r="AA68" s="99">
        <f t="shared" si="24"/>
        <v>6666.666666666667</v>
      </c>
      <c r="AB68" s="99">
        <f t="shared" si="24"/>
        <v>6666.666666666667</v>
      </c>
      <c r="AC68" s="99">
        <f t="shared" si="24"/>
        <v>6666.666666666667</v>
      </c>
      <c r="AD68" s="99">
        <f t="shared" si="24"/>
        <v>6666.666666666667</v>
      </c>
      <c r="AE68" s="99">
        <f t="shared" si="24"/>
        <v>6666.666666666667</v>
      </c>
      <c r="AF68" s="99">
        <f t="shared" si="24"/>
        <v>6666.666666666667</v>
      </c>
      <c r="AG68" s="99">
        <f t="shared" si="24"/>
        <v>6666.666666666667</v>
      </c>
      <c r="AH68" s="99">
        <f t="shared" si="24"/>
        <v>6666.666666666667</v>
      </c>
      <c r="AI68" s="99">
        <f t="shared" si="24"/>
        <v>6666.666666666667</v>
      </c>
      <c r="AJ68" s="99">
        <f t="shared" si="24"/>
        <v>6666.666666666667</v>
      </c>
      <c r="AK68" s="99">
        <f t="shared" si="24"/>
        <v>6666.666666666667</v>
      </c>
      <c r="AL68" s="99">
        <f t="shared" si="24"/>
        <v>6666.666666666667</v>
      </c>
      <c r="AM68" s="99">
        <f t="shared" si="24"/>
        <v>6666.666666666667</v>
      </c>
      <c r="AN68" s="99">
        <f t="shared" si="24"/>
        <v>6666.666666666667</v>
      </c>
      <c r="AO68" s="99">
        <f t="shared" si="24"/>
        <v>6666.666666666667</v>
      </c>
      <c r="AP68" s="99">
        <f t="shared" si="24"/>
        <v>6666.666666666667</v>
      </c>
      <c r="AQ68" s="99">
        <f t="shared" si="24"/>
        <v>6666.666666666667</v>
      </c>
      <c r="AR68" s="99">
        <f t="shared" si="24"/>
        <v>6666.666666666667</v>
      </c>
      <c r="AS68" s="99">
        <f t="shared" si="24"/>
        <v>6666.666666666667</v>
      </c>
      <c r="AT68" s="99">
        <f t="shared" si="24"/>
        <v>6666.666666666667</v>
      </c>
      <c r="AU68" s="99">
        <f t="shared" si="24"/>
        <v>6666.666666666667</v>
      </c>
      <c r="AV68" s="99">
        <f t="shared" si="24"/>
        <v>6666.666666666667</v>
      </c>
      <c r="AW68" s="99">
        <f t="shared" si="24"/>
        <v>6666.666666666667</v>
      </c>
      <c r="AX68" s="99">
        <f t="shared" si="24"/>
        <v>6666.666666666667</v>
      </c>
      <c r="AY68" s="99">
        <f t="shared" si="24"/>
        <v>6666.666666666667</v>
      </c>
      <c r="AZ68" s="99">
        <f t="shared" si="24"/>
        <v>6666.666666666667</v>
      </c>
      <c r="BA68" s="99">
        <f t="shared" si="24"/>
        <v>6666.666666666667</v>
      </c>
      <c r="BB68" s="99">
        <f t="shared" si="24"/>
        <v>6666.666666666667</v>
      </c>
      <c r="BC68" s="99">
        <f t="shared" si="24"/>
        <v>6666.666666666667</v>
      </c>
      <c r="BD68" s="99">
        <f t="shared" si="24"/>
        <v>6666.666666666667</v>
      </c>
      <c r="BE68" s="99">
        <f t="shared" si="24"/>
        <v>6666.666666666667</v>
      </c>
      <c r="BF68" s="99">
        <f t="shared" si="24"/>
        <v>6666.666666666667</v>
      </c>
      <c r="BG68" s="99">
        <f t="shared" si="24"/>
        <v>6666.666666666667</v>
      </c>
      <c r="BH68" s="99">
        <f t="shared" si="24"/>
        <v>6666.666666666667</v>
      </c>
      <c r="BI68" s="99">
        <f t="shared" si="24"/>
        <v>6666.666666666667</v>
      </c>
      <c r="BJ68" s="99">
        <f t="shared" si="24"/>
        <v>6666.666666666667</v>
      </c>
    </row>
    <row r="69" spans="1:62">
      <c r="A69" s="118" t="s">
        <v>239</v>
      </c>
      <c r="B69" s="65">
        <v>100000</v>
      </c>
      <c r="C69" s="99">
        <f t="shared" si="23"/>
        <v>8333.3333333333339</v>
      </c>
      <c r="D69" s="99">
        <f t="shared" si="24"/>
        <v>8333.3333333333339</v>
      </c>
      <c r="E69" s="99">
        <f t="shared" si="24"/>
        <v>8333.3333333333339</v>
      </c>
      <c r="F69" s="99">
        <f t="shared" si="24"/>
        <v>8333.3333333333339</v>
      </c>
      <c r="G69" s="99">
        <f t="shared" si="24"/>
        <v>8333.3333333333339</v>
      </c>
      <c r="H69" s="99">
        <f t="shared" si="24"/>
        <v>8333.3333333333339</v>
      </c>
      <c r="I69" s="99">
        <f t="shared" si="24"/>
        <v>8333.3333333333339</v>
      </c>
      <c r="J69" s="99">
        <f t="shared" si="24"/>
        <v>8333.3333333333339</v>
      </c>
      <c r="K69" s="99">
        <f t="shared" si="24"/>
        <v>8333.3333333333339</v>
      </c>
      <c r="L69" s="99">
        <f t="shared" si="24"/>
        <v>8333.3333333333339</v>
      </c>
      <c r="M69" s="99">
        <f t="shared" si="24"/>
        <v>8333.3333333333339</v>
      </c>
      <c r="N69" s="99">
        <f t="shared" si="24"/>
        <v>8333.3333333333339</v>
      </c>
      <c r="O69" s="99">
        <f t="shared" si="24"/>
        <v>8333.3333333333339</v>
      </c>
      <c r="P69" s="99">
        <f t="shared" si="24"/>
        <v>8333.3333333333339</v>
      </c>
      <c r="Q69" s="99">
        <f t="shared" si="24"/>
        <v>8333.3333333333339</v>
      </c>
      <c r="R69" s="99">
        <f t="shared" si="24"/>
        <v>8333.3333333333339</v>
      </c>
      <c r="S69" s="99">
        <f t="shared" si="24"/>
        <v>8333.3333333333339</v>
      </c>
      <c r="T69" s="99">
        <f t="shared" si="24"/>
        <v>8333.3333333333339</v>
      </c>
      <c r="U69" s="99">
        <f t="shared" si="24"/>
        <v>8333.3333333333339</v>
      </c>
      <c r="V69" s="99">
        <f t="shared" si="24"/>
        <v>8333.3333333333339</v>
      </c>
      <c r="W69" s="99">
        <f t="shared" si="24"/>
        <v>8333.3333333333339</v>
      </c>
      <c r="X69" s="99">
        <f t="shared" si="24"/>
        <v>8333.3333333333339</v>
      </c>
      <c r="Y69" s="99">
        <f t="shared" si="24"/>
        <v>8333.3333333333339</v>
      </c>
      <c r="Z69" s="99">
        <f t="shared" si="24"/>
        <v>8333.3333333333339</v>
      </c>
      <c r="AA69" s="99">
        <f t="shared" si="24"/>
        <v>8333.3333333333339</v>
      </c>
      <c r="AB69" s="99">
        <f t="shared" si="24"/>
        <v>8333.3333333333339</v>
      </c>
      <c r="AC69" s="99">
        <f t="shared" si="24"/>
        <v>8333.3333333333339</v>
      </c>
      <c r="AD69" s="99">
        <f t="shared" si="24"/>
        <v>8333.3333333333339</v>
      </c>
      <c r="AE69" s="99">
        <f t="shared" si="24"/>
        <v>8333.3333333333339</v>
      </c>
      <c r="AF69" s="99">
        <f t="shared" si="24"/>
        <v>8333.3333333333339</v>
      </c>
      <c r="AG69" s="99">
        <f t="shared" si="24"/>
        <v>8333.3333333333339</v>
      </c>
      <c r="AH69" s="99">
        <f t="shared" si="24"/>
        <v>8333.3333333333339</v>
      </c>
      <c r="AI69" s="99">
        <f t="shared" si="24"/>
        <v>8333.3333333333339</v>
      </c>
      <c r="AJ69" s="99">
        <f t="shared" si="24"/>
        <v>8333.3333333333339</v>
      </c>
      <c r="AK69" s="99">
        <f t="shared" si="24"/>
        <v>8333.3333333333339</v>
      </c>
      <c r="AL69" s="99">
        <f t="shared" si="24"/>
        <v>8333.3333333333339</v>
      </c>
      <c r="AM69" s="99">
        <f t="shared" si="24"/>
        <v>8333.3333333333339</v>
      </c>
      <c r="AN69" s="99">
        <f t="shared" si="24"/>
        <v>8333.3333333333339</v>
      </c>
      <c r="AO69" s="99">
        <f t="shared" si="24"/>
        <v>8333.3333333333339</v>
      </c>
      <c r="AP69" s="99">
        <f t="shared" si="24"/>
        <v>8333.3333333333339</v>
      </c>
      <c r="AQ69" s="99">
        <f t="shared" si="24"/>
        <v>8333.3333333333339</v>
      </c>
      <c r="AR69" s="99">
        <f t="shared" si="24"/>
        <v>8333.3333333333339</v>
      </c>
      <c r="AS69" s="99">
        <f t="shared" si="24"/>
        <v>8333.3333333333339</v>
      </c>
      <c r="AT69" s="99">
        <f t="shared" si="24"/>
        <v>8333.3333333333339</v>
      </c>
      <c r="AU69" s="99">
        <f t="shared" si="24"/>
        <v>8333.3333333333339</v>
      </c>
      <c r="AV69" s="99">
        <f t="shared" si="24"/>
        <v>8333.3333333333339</v>
      </c>
      <c r="AW69" s="99">
        <f t="shared" si="24"/>
        <v>8333.3333333333339</v>
      </c>
      <c r="AX69" s="99">
        <f t="shared" si="24"/>
        <v>8333.3333333333339</v>
      </c>
      <c r="AY69" s="99">
        <f t="shared" si="24"/>
        <v>8333.3333333333339</v>
      </c>
      <c r="AZ69" s="99">
        <f t="shared" si="24"/>
        <v>8333.3333333333339</v>
      </c>
      <c r="BA69" s="99">
        <f t="shared" si="24"/>
        <v>8333.3333333333339</v>
      </c>
      <c r="BB69" s="99">
        <f t="shared" si="24"/>
        <v>8333.3333333333339</v>
      </c>
      <c r="BC69" s="99">
        <f t="shared" si="24"/>
        <v>8333.3333333333339</v>
      </c>
      <c r="BD69" s="99">
        <f t="shared" si="24"/>
        <v>8333.3333333333339</v>
      </c>
      <c r="BE69" s="99">
        <f t="shared" si="24"/>
        <v>8333.3333333333339</v>
      </c>
      <c r="BF69" s="99">
        <f t="shared" si="24"/>
        <v>8333.3333333333339</v>
      </c>
      <c r="BG69" s="99">
        <f t="shared" si="24"/>
        <v>8333.3333333333339</v>
      </c>
      <c r="BH69" s="99">
        <f t="shared" si="24"/>
        <v>8333.3333333333339</v>
      </c>
      <c r="BI69" s="99">
        <f t="shared" si="24"/>
        <v>8333.3333333333339</v>
      </c>
      <c r="BJ69" s="99">
        <f t="shared" si="24"/>
        <v>8333.3333333333339</v>
      </c>
    </row>
    <row r="70" spans="1:62">
      <c r="A70" s="118" t="s">
        <v>240</v>
      </c>
      <c r="B70" s="65">
        <v>100000</v>
      </c>
      <c r="C70" s="99">
        <f t="shared" si="23"/>
        <v>8333.3333333333339</v>
      </c>
      <c r="D70" s="99">
        <f t="shared" si="24"/>
        <v>8333.3333333333339</v>
      </c>
      <c r="E70" s="99">
        <f t="shared" si="24"/>
        <v>8333.3333333333339</v>
      </c>
      <c r="F70" s="99">
        <f t="shared" si="24"/>
        <v>8333.3333333333339</v>
      </c>
      <c r="G70" s="99">
        <f t="shared" si="24"/>
        <v>8333.3333333333339</v>
      </c>
      <c r="H70" s="99">
        <f t="shared" si="24"/>
        <v>8333.3333333333339</v>
      </c>
      <c r="I70" s="99">
        <f t="shared" si="24"/>
        <v>8333.3333333333339</v>
      </c>
      <c r="J70" s="99">
        <f t="shared" si="24"/>
        <v>8333.3333333333339</v>
      </c>
      <c r="K70" s="99">
        <f t="shared" si="24"/>
        <v>8333.3333333333339</v>
      </c>
      <c r="L70" s="99">
        <f t="shared" si="24"/>
        <v>8333.3333333333339</v>
      </c>
      <c r="M70" s="99">
        <f t="shared" si="24"/>
        <v>8333.3333333333339</v>
      </c>
      <c r="N70" s="99">
        <f t="shared" si="24"/>
        <v>8333.3333333333339</v>
      </c>
      <c r="O70" s="99">
        <f t="shared" si="24"/>
        <v>8333.3333333333339</v>
      </c>
      <c r="P70" s="99">
        <f t="shared" si="24"/>
        <v>8333.3333333333339</v>
      </c>
      <c r="Q70" s="99">
        <f t="shared" si="24"/>
        <v>8333.3333333333339</v>
      </c>
      <c r="R70" s="99">
        <f t="shared" si="24"/>
        <v>8333.3333333333339</v>
      </c>
      <c r="S70" s="99">
        <f t="shared" si="24"/>
        <v>8333.3333333333339</v>
      </c>
      <c r="T70" s="99">
        <f t="shared" si="24"/>
        <v>8333.3333333333339</v>
      </c>
      <c r="U70" s="99">
        <f t="shared" si="24"/>
        <v>8333.3333333333339</v>
      </c>
      <c r="V70" s="99">
        <f t="shared" si="24"/>
        <v>8333.3333333333339</v>
      </c>
      <c r="W70" s="99">
        <f t="shared" si="24"/>
        <v>8333.3333333333339</v>
      </c>
      <c r="X70" s="99">
        <f t="shared" si="24"/>
        <v>8333.3333333333339</v>
      </c>
      <c r="Y70" s="99">
        <f t="shared" si="24"/>
        <v>8333.3333333333339</v>
      </c>
      <c r="Z70" s="99">
        <f t="shared" si="24"/>
        <v>8333.3333333333339</v>
      </c>
      <c r="AA70" s="99">
        <f t="shared" si="24"/>
        <v>8333.3333333333339</v>
      </c>
      <c r="AB70" s="99">
        <f t="shared" si="24"/>
        <v>8333.3333333333339</v>
      </c>
      <c r="AC70" s="99">
        <f t="shared" si="24"/>
        <v>8333.3333333333339</v>
      </c>
      <c r="AD70" s="99">
        <f t="shared" si="24"/>
        <v>8333.3333333333339</v>
      </c>
      <c r="AE70" s="99">
        <f t="shared" si="24"/>
        <v>8333.3333333333339</v>
      </c>
      <c r="AF70" s="99">
        <f t="shared" si="24"/>
        <v>8333.3333333333339</v>
      </c>
      <c r="AG70" s="99">
        <f t="shared" si="24"/>
        <v>8333.3333333333339</v>
      </c>
      <c r="AH70" s="99">
        <f t="shared" si="24"/>
        <v>8333.3333333333339</v>
      </c>
      <c r="AI70" s="99">
        <f t="shared" si="24"/>
        <v>8333.3333333333339</v>
      </c>
      <c r="AJ70" s="99">
        <f t="shared" si="24"/>
        <v>8333.3333333333339</v>
      </c>
      <c r="AK70" s="99">
        <f t="shared" si="24"/>
        <v>8333.3333333333339</v>
      </c>
      <c r="AL70" s="99">
        <f t="shared" ref="D70:BJ71" si="26">$B70/12</f>
        <v>8333.3333333333339</v>
      </c>
      <c r="AM70" s="99">
        <f t="shared" si="26"/>
        <v>8333.3333333333339</v>
      </c>
      <c r="AN70" s="99">
        <f t="shared" si="26"/>
        <v>8333.3333333333339</v>
      </c>
      <c r="AO70" s="99">
        <f t="shared" si="26"/>
        <v>8333.3333333333339</v>
      </c>
      <c r="AP70" s="99">
        <f t="shared" si="26"/>
        <v>8333.3333333333339</v>
      </c>
      <c r="AQ70" s="99">
        <f t="shared" si="26"/>
        <v>8333.3333333333339</v>
      </c>
      <c r="AR70" s="99">
        <f t="shared" si="26"/>
        <v>8333.3333333333339</v>
      </c>
      <c r="AS70" s="99">
        <f t="shared" si="26"/>
        <v>8333.3333333333339</v>
      </c>
      <c r="AT70" s="99">
        <f t="shared" si="26"/>
        <v>8333.3333333333339</v>
      </c>
      <c r="AU70" s="99">
        <f t="shared" si="26"/>
        <v>8333.3333333333339</v>
      </c>
      <c r="AV70" s="99">
        <f t="shared" si="26"/>
        <v>8333.3333333333339</v>
      </c>
      <c r="AW70" s="99">
        <f t="shared" si="26"/>
        <v>8333.3333333333339</v>
      </c>
      <c r="AX70" s="99">
        <f t="shared" si="26"/>
        <v>8333.3333333333339</v>
      </c>
      <c r="AY70" s="99">
        <f t="shared" si="26"/>
        <v>8333.3333333333339</v>
      </c>
      <c r="AZ70" s="99">
        <f t="shared" si="26"/>
        <v>8333.3333333333339</v>
      </c>
      <c r="BA70" s="99">
        <f t="shared" si="26"/>
        <v>8333.3333333333339</v>
      </c>
      <c r="BB70" s="99">
        <f t="shared" si="26"/>
        <v>8333.3333333333339</v>
      </c>
      <c r="BC70" s="99">
        <f t="shared" si="26"/>
        <v>8333.3333333333339</v>
      </c>
      <c r="BD70" s="99">
        <f t="shared" si="26"/>
        <v>8333.3333333333339</v>
      </c>
      <c r="BE70" s="99">
        <f t="shared" si="26"/>
        <v>8333.3333333333339</v>
      </c>
      <c r="BF70" s="99">
        <f t="shared" si="26"/>
        <v>8333.3333333333339</v>
      </c>
      <c r="BG70" s="99">
        <f t="shared" si="26"/>
        <v>8333.3333333333339</v>
      </c>
      <c r="BH70" s="99">
        <f t="shared" si="26"/>
        <v>8333.3333333333339</v>
      </c>
      <c r="BI70" s="99">
        <f t="shared" si="26"/>
        <v>8333.3333333333339</v>
      </c>
      <c r="BJ70" s="99">
        <f t="shared" si="26"/>
        <v>8333.3333333333339</v>
      </c>
    </row>
    <row r="71" spans="1:62">
      <c r="A71" s="118" t="s">
        <v>241</v>
      </c>
      <c r="B71" s="65">
        <v>100000</v>
      </c>
      <c r="C71" s="99">
        <f t="shared" si="23"/>
        <v>8333.3333333333339</v>
      </c>
      <c r="D71" s="99">
        <f t="shared" si="26"/>
        <v>8333.3333333333339</v>
      </c>
      <c r="E71" s="99">
        <f t="shared" si="26"/>
        <v>8333.3333333333339</v>
      </c>
      <c r="F71" s="99">
        <f t="shared" si="26"/>
        <v>8333.3333333333339</v>
      </c>
      <c r="G71" s="99">
        <f t="shared" si="26"/>
        <v>8333.3333333333339</v>
      </c>
      <c r="H71" s="99">
        <f t="shared" si="26"/>
        <v>8333.3333333333339</v>
      </c>
      <c r="I71" s="99">
        <f t="shared" si="26"/>
        <v>8333.3333333333339</v>
      </c>
      <c r="J71" s="99">
        <f t="shared" si="26"/>
        <v>8333.3333333333339</v>
      </c>
      <c r="K71" s="99">
        <f t="shared" si="26"/>
        <v>8333.3333333333339</v>
      </c>
      <c r="L71" s="99">
        <f t="shared" si="26"/>
        <v>8333.3333333333339</v>
      </c>
      <c r="M71" s="99">
        <f t="shared" si="26"/>
        <v>8333.3333333333339</v>
      </c>
      <c r="N71" s="99">
        <f t="shared" si="26"/>
        <v>8333.3333333333339</v>
      </c>
      <c r="O71" s="99">
        <f t="shared" si="26"/>
        <v>8333.3333333333339</v>
      </c>
      <c r="P71" s="99">
        <f t="shared" si="26"/>
        <v>8333.3333333333339</v>
      </c>
      <c r="Q71" s="99">
        <f t="shared" si="26"/>
        <v>8333.3333333333339</v>
      </c>
      <c r="R71" s="99">
        <f t="shared" si="26"/>
        <v>8333.3333333333339</v>
      </c>
      <c r="S71" s="99">
        <f t="shared" si="26"/>
        <v>8333.3333333333339</v>
      </c>
      <c r="T71" s="99">
        <f t="shared" si="26"/>
        <v>8333.3333333333339</v>
      </c>
      <c r="U71" s="99">
        <f t="shared" si="26"/>
        <v>8333.3333333333339</v>
      </c>
      <c r="V71" s="99">
        <f t="shared" si="26"/>
        <v>8333.3333333333339</v>
      </c>
      <c r="W71" s="99">
        <f t="shared" si="26"/>
        <v>8333.3333333333339</v>
      </c>
      <c r="X71" s="99">
        <f t="shared" si="26"/>
        <v>8333.3333333333339</v>
      </c>
      <c r="Y71" s="99">
        <f t="shared" si="26"/>
        <v>8333.3333333333339</v>
      </c>
      <c r="Z71" s="99">
        <f t="shared" si="26"/>
        <v>8333.3333333333339</v>
      </c>
      <c r="AA71" s="99">
        <f t="shared" si="26"/>
        <v>8333.3333333333339</v>
      </c>
      <c r="AB71" s="99">
        <f t="shared" si="26"/>
        <v>8333.3333333333339</v>
      </c>
      <c r="AC71" s="99">
        <f t="shared" si="26"/>
        <v>8333.3333333333339</v>
      </c>
      <c r="AD71" s="99">
        <f t="shared" si="26"/>
        <v>8333.3333333333339</v>
      </c>
      <c r="AE71" s="99">
        <f t="shared" si="26"/>
        <v>8333.3333333333339</v>
      </c>
      <c r="AF71" s="99">
        <f t="shared" si="26"/>
        <v>8333.3333333333339</v>
      </c>
      <c r="AG71" s="99">
        <f t="shared" si="26"/>
        <v>8333.3333333333339</v>
      </c>
      <c r="AH71" s="99">
        <f t="shared" si="26"/>
        <v>8333.3333333333339</v>
      </c>
      <c r="AI71" s="99">
        <f t="shared" si="26"/>
        <v>8333.3333333333339</v>
      </c>
      <c r="AJ71" s="99">
        <f t="shared" si="26"/>
        <v>8333.3333333333339</v>
      </c>
      <c r="AK71" s="99">
        <f t="shared" si="26"/>
        <v>8333.3333333333339</v>
      </c>
      <c r="AL71" s="99">
        <f t="shared" si="26"/>
        <v>8333.3333333333339</v>
      </c>
      <c r="AM71" s="99">
        <f t="shared" si="26"/>
        <v>8333.3333333333339</v>
      </c>
      <c r="AN71" s="99">
        <f t="shared" si="26"/>
        <v>8333.3333333333339</v>
      </c>
      <c r="AO71" s="99">
        <f t="shared" si="26"/>
        <v>8333.3333333333339</v>
      </c>
      <c r="AP71" s="99">
        <f t="shared" si="26"/>
        <v>8333.3333333333339</v>
      </c>
      <c r="AQ71" s="99">
        <f t="shared" si="26"/>
        <v>8333.3333333333339</v>
      </c>
      <c r="AR71" s="99">
        <f t="shared" si="26"/>
        <v>8333.3333333333339</v>
      </c>
      <c r="AS71" s="99">
        <f t="shared" si="26"/>
        <v>8333.3333333333339</v>
      </c>
      <c r="AT71" s="99">
        <f t="shared" si="26"/>
        <v>8333.3333333333339</v>
      </c>
      <c r="AU71" s="99">
        <f t="shared" si="26"/>
        <v>8333.3333333333339</v>
      </c>
      <c r="AV71" s="99">
        <f t="shared" si="26"/>
        <v>8333.3333333333339</v>
      </c>
      <c r="AW71" s="99">
        <f t="shared" si="26"/>
        <v>8333.3333333333339</v>
      </c>
      <c r="AX71" s="99">
        <f t="shared" si="26"/>
        <v>8333.3333333333339</v>
      </c>
      <c r="AY71" s="99">
        <f t="shared" si="26"/>
        <v>8333.3333333333339</v>
      </c>
      <c r="AZ71" s="99">
        <f t="shared" si="26"/>
        <v>8333.3333333333339</v>
      </c>
      <c r="BA71" s="99">
        <f t="shared" si="26"/>
        <v>8333.3333333333339</v>
      </c>
      <c r="BB71" s="99">
        <f t="shared" si="26"/>
        <v>8333.3333333333339</v>
      </c>
      <c r="BC71" s="99">
        <f t="shared" si="26"/>
        <v>8333.3333333333339</v>
      </c>
      <c r="BD71" s="99">
        <f t="shared" si="26"/>
        <v>8333.3333333333339</v>
      </c>
      <c r="BE71" s="99">
        <f t="shared" si="26"/>
        <v>8333.3333333333339</v>
      </c>
      <c r="BF71" s="99">
        <f t="shared" si="26"/>
        <v>8333.3333333333339</v>
      </c>
      <c r="BG71" s="99">
        <f t="shared" si="26"/>
        <v>8333.3333333333339</v>
      </c>
      <c r="BH71" s="99">
        <f t="shared" si="26"/>
        <v>8333.3333333333339</v>
      </c>
      <c r="BI71" s="99">
        <f t="shared" si="26"/>
        <v>8333.3333333333339</v>
      </c>
      <c r="BJ71" s="99">
        <f t="shared" si="26"/>
        <v>8333.3333333333339</v>
      </c>
    </row>
    <row r="72" spans="1:62">
      <c r="A72" s="118" t="s">
        <v>254</v>
      </c>
      <c r="B72" s="65">
        <v>70000</v>
      </c>
      <c r="C72" s="99">
        <f>IF(C59&gt;8,$B72/12,0)</f>
        <v>0</v>
      </c>
      <c r="D72" s="99">
        <f t="shared" ref="D72:BJ72" si="27">IF(D59&gt;8,$B72/12,0)</f>
        <v>0</v>
      </c>
      <c r="E72" s="99">
        <f t="shared" si="27"/>
        <v>0</v>
      </c>
      <c r="F72" s="99">
        <f t="shared" si="27"/>
        <v>0</v>
      </c>
      <c r="G72" s="99">
        <f t="shared" si="27"/>
        <v>0</v>
      </c>
      <c r="H72" s="99">
        <f t="shared" si="27"/>
        <v>0</v>
      </c>
      <c r="I72" s="99">
        <f t="shared" si="27"/>
        <v>0</v>
      </c>
      <c r="J72" s="99">
        <f t="shared" si="27"/>
        <v>0</v>
      </c>
      <c r="K72" s="99">
        <f t="shared" si="27"/>
        <v>0</v>
      </c>
      <c r="L72" s="99">
        <f t="shared" si="27"/>
        <v>0</v>
      </c>
      <c r="M72" s="99">
        <f t="shared" si="27"/>
        <v>0</v>
      </c>
      <c r="N72" s="99">
        <f t="shared" si="27"/>
        <v>0</v>
      </c>
      <c r="O72" s="99">
        <f t="shared" si="27"/>
        <v>0</v>
      </c>
      <c r="P72" s="99">
        <f t="shared" si="27"/>
        <v>0</v>
      </c>
      <c r="Q72" s="99">
        <f t="shared" si="27"/>
        <v>0</v>
      </c>
      <c r="R72" s="99">
        <f t="shared" si="27"/>
        <v>0</v>
      </c>
      <c r="S72" s="99">
        <f t="shared" si="27"/>
        <v>0</v>
      </c>
      <c r="T72" s="99">
        <f t="shared" si="27"/>
        <v>0</v>
      </c>
      <c r="U72" s="99">
        <f t="shared" si="27"/>
        <v>0</v>
      </c>
      <c r="V72" s="99">
        <f t="shared" si="27"/>
        <v>5833.333333333333</v>
      </c>
      <c r="W72" s="99">
        <f t="shared" si="27"/>
        <v>5833.333333333333</v>
      </c>
      <c r="X72" s="99">
        <f t="shared" si="27"/>
        <v>5833.333333333333</v>
      </c>
      <c r="Y72" s="99">
        <f t="shared" si="27"/>
        <v>5833.333333333333</v>
      </c>
      <c r="Z72" s="99">
        <f t="shared" si="27"/>
        <v>5833.333333333333</v>
      </c>
      <c r="AA72" s="99">
        <f t="shared" si="27"/>
        <v>5833.333333333333</v>
      </c>
      <c r="AB72" s="99">
        <f t="shared" si="27"/>
        <v>5833.333333333333</v>
      </c>
      <c r="AC72" s="99">
        <f t="shared" si="27"/>
        <v>5833.333333333333</v>
      </c>
      <c r="AD72" s="99">
        <f t="shared" si="27"/>
        <v>5833.333333333333</v>
      </c>
      <c r="AE72" s="99">
        <f t="shared" si="27"/>
        <v>5833.333333333333</v>
      </c>
      <c r="AF72" s="99">
        <f t="shared" si="27"/>
        <v>5833.333333333333</v>
      </c>
      <c r="AG72" s="99">
        <f t="shared" si="27"/>
        <v>5833.333333333333</v>
      </c>
      <c r="AH72" s="99">
        <f t="shared" si="27"/>
        <v>5833.333333333333</v>
      </c>
      <c r="AI72" s="99">
        <f t="shared" si="27"/>
        <v>5833.333333333333</v>
      </c>
      <c r="AJ72" s="99">
        <f t="shared" si="27"/>
        <v>5833.333333333333</v>
      </c>
      <c r="AK72" s="99">
        <f t="shared" si="27"/>
        <v>5833.333333333333</v>
      </c>
      <c r="AL72" s="99">
        <f t="shared" si="27"/>
        <v>5833.333333333333</v>
      </c>
      <c r="AM72" s="99">
        <f t="shared" si="27"/>
        <v>5833.333333333333</v>
      </c>
      <c r="AN72" s="99">
        <f t="shared" si="27"/>
        <v>5833.333333333333</v>
      </c>
      <c r="AO72" s="99">
        <f t="shared" si="27"/>
        <v>5833.333333333333</v>
      </c>
      <c r="AP72" s="99">
        <f t="shared" si="27"/>
        <v>5833.333333333333</v>
      </c>
      <c r="AQ72" s="99">
        <f t="shared" si="27"/>
        <v>5833.333333333333</v>
      </c>
      <c r="AR72" s="99">
        <f t="shared" si="27"/>
        <v>5833.333333333333</v>
      </c>
      <c r="AS72" s="99">
        <f t="shared" si="27"/>
        <v>5833.333333333333</v>
      </c>
      <c r="AT72" s="99">
        <f t="shared" si="27"/>
        <v>5833.333333333333</v>
      </c>
      <c r="AU72" s="99">
        <f t="shared" si="27"/>
        <v>5833.333333333333</v>
      </c>
      <c r="AV72" s="99">
        <f t="shared" si="27"/>
        <v>5833.333333333333</v>
      </c>
      <c r="AW72" s="99">
        <f t="shared" si="27"/>
        <v>5833.333333333333</v>
      </c>
      <c r="AX72" s="99">
        <f t="shared" si="27"/>
        <v>5833.333333333333</v>
      </c>
      <c r="AY72" s="99">
        <f t="shared" si="27"/>
        <v>5833.333333333333</v>
      </c>
      <c r="AZ72" s="99">
        <f t="shared" si="27"/>
        <v>5833.333333333333</v>
      </c>
      <c r="BA72" s="99">
        <f t="shared" si="27"/>
        <v>5833.333333333333</v>
      </c>
      <c r="BB72" s="99">
        <f t="shared" si="27"/>
        <v>5833.333333333333</v>
      </c>
      <c r="BC72" s="99">
        <f t="shared" si="27"/>
        <v>5833.333333333333</v>
      </c>
      <c r="BD72" s="99">
        <f t="shared" si="27"/>
        <v>5833.333333333333</v>
      </c>
      <c r="BE72" s="99">
        <f t="shared" si="27"/>
        <v>5833.333333333333</v>
      </c>
      <c r="BF72" s="99">
        <f t="shared" si="27"/>
        <v>5833.333333333333</v>
      </c>
      <c r="BG72" s="99">
        <f t="shared" si="27"/>
        <v>5833.333333333333</v>
      </c>
      <c r="BH72" s="99">
        <f t="shared" si="27"/>
        <v>5833.333333333333</v>
      </c>
      <c r="BI72" s="99">
        <f t="shared" si="27"/>
        <v>5833.333333333333</v>
      </c>
      <c r="BJ72" s="99">
        <f t="shared" si="27"/>
        <v>5833.333333333333</v>
      </c>
    </row>
    <row r="73" spans="1:62">
      <c r="A73" s="118" t="s">
        <v>255</v>
      </c>
      <c r="B73" s="65">
        <v>35000</v>
      </c>
      <c r="C73" s="99">
        <f>IF(C51&gt;10,$B$73/12,0)</f>
        <v>0</v>
      </c>
      <c r="D73" s="99">
        <f t="shared" ref="D73:BJ73" si="28">IF(D51&gt;10,$B$73/12,0)</f>
        <v>0</v>
      </c>
      <c r="E73" s="99">
        <f t="shared" si="28"/>
        <v>0</v>
      </c>
      <c r="F73" s="99">
        <f t="shared" si="28"/>
        <v>0</v>
      </c>
      <c r="G73" s="99">
        <f t="shared" si="28"/>
        <v>0</v>
      </c>
      <c r="H73" s="99">
        <f t="shared" si="28"/>
        <v>0</v>
      </c>
      <c r="I73" s="99">
        <f t="shared" si="28"/>
        <v>0</v>
      </c>
      <c r="J73" s="99">
        <f t="shared" si="28"/>
        <v>0</v>
      </c>
      <c r="K73" s="99">
        <f t="shared" si="28"/>
        <v>0</v>
      </c>
      <c r="L73" s="99">
        <f t="shared" si="28"/>
        <v>0</v>
      </c>
      <c r="M73" s="99">
        <f t="shared" si="28"/>
        <v>0</v>
      </c>
      <c r="N73" s="99">
        <f t="shared" si="28"/>
        <v>0</v>
      </c>
      <c r="O73" s="99">
        <f t="shared" si="28"/>
        <v>0</v>
      </c>
      <c r="P73" s="99">
        <f t="shared" si="28"/>
        <v>2916.6666666666665</v>
      </c>
      <c r="Q73" s="99">
        <f t="shared" si="28"/>
        <v>2916.6666666666665</v>
      </c>
      <c r="R73" s="99">
        <f t="shared" si="28"/>
        <v>2916.6666666666665</v>
      </c>
      <c r="S73" s="99">
        <f t="shared" si="28"/>
        <v>2916.6666666666665</v>
      </c>
      <c r="T73" s="99">
        <f t="shared" si="28"/>
        <v>2916.6666666666665</v>
      </c>
      <c r="U73" s="99">
        <f t="shared" si="28"/>
        <v>2916.6666666666665</v>
      </c>
      <c r="V73" s="99">
        <f t="shared" si="28"/>
        <v>2916.6666666666665</v>
      </c>
      <c r="W73" s="99">
        <f t="shared" si="28"/>
        <v>2916.6666666666665</v>
      </c>
      <c r="X73" s="99">
        <f t="shared" si="28"/>
        <v>2916.6666666666665</v>
      </c>
      <c r="Y73" s="99">
        <f t="shared" si="28"/>
        <v>2916.6666666666665</v>
      </c>
      <c r="Z73" s="99">
        <f t="shared" si="28"/>
        <v>2916.6666666666665</v>
      </c>
      <c r="AA73" s="99">
        <f t="shared" si="28"/>
        <v>2916.6666666666665</v>
      </c>
      <c r="AB73" s="99">
        <f t="shared" si="28"/>
        <v>2916.6666666666665</v>
      </c>
      <c r="AC73" s="99">
        <f t="shared" si="28"/>
        <v>2916.6666666666665</v>
      </c>
      <c r="AD73" s="99">
        <f t="shared" si="28"/>
        <v>2916.6666666666665</v>
      </c>
      <c r="AE73" s="99">
        <f t="shared" si="28"/>
        <v>2916.6666666666665</v>
      </c>
      <c r="AF73" s="99">
        <f t="shared" si="28"/>
        <v>2916.6666666666665</v>
      </c>
      <c r="AG73" s="99">
        <f t="shared" si="28"/>
        <v>2916.6666666666665</v>
      </c>
      <c r="AH73" s="99">
        <f t="shared" si="28"/>
        <v>2916.6666666666665</v>
      </c>
      <c r="AI73" s="99">
        <f t="shared" si="28"/>
        <v>2916.6666666666665</v>
      </c>
      <c r="AJ73" s="99">
        <f t="shared" si="28"/>
        <v>2916.6666666666665</v>
      </c>
      <c r="AK73" s="99">
        <f t="shared" si="28"/>
        <v>2916.6666666666665</v>
      </c>
      <c r="AL73" s="99">
        <f t="shared" si="28"/>
        <v>2916.6666666666665</v>
      </c>
      <c r="AM73" s="99">
        <f t="shared" si="28"/>
        <v>2916.6666666666665</v>
      </c>
      <c r="AN73" s="99">
        <f t="shared" si="28"/>
        <v>2916.6666666666665</v>
      </c>
      <c r="AO73" s="99">
        <f t="shared" si="28"/>
        <v>2916.6666666666665</v>
      </c>
      <c r="AP73" s="99">
        <f t="shared" si="28"/>
        <v>2916.6666666666665</v>
      </c>
      <c r="AQ73" s="99">
        <f t="shared" si="28"/>
        <v>2916.6666666666665</v>
      </c>
      <c r="AR73" s="99">
        <f t="shared" si="28"/>
        <v>2916.6666666666665</v>
      </c>
      <c r="AS73" s="99">
        <f t="shared" si="28"/>
        <v>2916.6666666666665</v>
      </c>
      <c r="AT73" s="99">
        <f t="shared" si="28"/>
        <v>2916.6666666666665</v>
      </c>
      <c r="AU73" s="99">
        <f t="shared" si="28"/>
        <v>2916.6666666666665</v>
      </c>
      <c r="AV73" s="99">
        <f t="shared" si="28"/>
        <v>2916.6666666666665</v>
      </c>
      <c r="AW73" s="99">
        <f t="shared" si="28"/>
        <v>2916.6666666666665</v>
      </c>
      <c r="AX73" s="99">
        <f t="shared" si="28"/>
        <v>2916.6666666666665</v>
      </c>
      <c r="AY73" s="99">
        <f t="shared" si="28"/>
        <v>2916.6666666666665</v>
      </c>
      <c r="AZ73" s="99">
        <f t="shared" si="28"/>
        <v>2916.6666666666665</v>
      </c>
      <c r="BA73" s="99">
        <f t="shared" si="28"/>
        <v>2916.6666666666665</v>
      </c>
      <c r="BB73" s="99">
        <f t="shared" si="28"/>
        <v>2916.6666666666665</v>
      </c>
      <c r="BC73" s="99">
        <f t="shared" si="28"/>
        <v>2916.6666666666665</v>
      </c>
      <c r="BD73" s="99">
        <f t="shared" si="28"/>
        <v>2916.6666666666665</v>
      </c>
      <c r="BE73" s="99">
        <f t="shared" si="28"/>
        <v>2916.6666666666665</v>
      </c>
      <c r="BF73" s="99">
        <f t="shared" si="28"/>
        <v>2916.6666666666665</v>
      </c>
      <c r="BG73" s="99">
        <f t="shared" si="28"/>
        <v>2916.6666666666665</v>
      </c>
      <c r="BH73" s="99">
        <f t="shared" si="28"/>
        <v>2916.6666666666665</v>
      </c>
      <c r="BI73" s="99">
        <f t="shared" si="28"/>
        <v>2916.6666666666665</v>
      </c>
      <c r="BJ73" s="99">
        <f t="shared" si="28"/>
        <v>2916.6666666666665</v>
      </c>
    </row>
    <row r="74" spans="1:62">
      <c r="A74" s="118" t="s">
        <v>256</v>
      </c>
      <c r="B74" s="65">
        <v>50000</v>
      </c>
      <c r="C74" s="81">
        <f>IF(C43&gt;10,$B$74/12,0)</f>
        <v>0</v>
      </c>
      <c r="D74" s="81">
        <f t="shared" ref="D74:BJ74" si="29">IF(D43&gt;10,$B$74/12,0)</f>
        <v>0</v>
      </c>
      <c r="E74" s="81">
        <f t="shared" si="29"/>
        <v>0</v>
      </c>
      <c r="F74" s="81">
        <f t="shared" si="29"/>
        <v>0</v>
      </c>
      <c r="G74" s="81">
        <f t="shared" si="29"/>
        <v>0</v>
      </c>
      <c r="H74" s="81">
        <f t="shared" si="29"/>
        <v>0</v>
      </c>
      <c r="I74" s="81">
        <f t="shared" si="29"/>
        <v>0</v>
      </c>
      <c r="J74" s="81">
        <f t="shared" si="29"/>
        <v>0</v>
      </c>
      <c r="K74" s="81">
        <f t="shared" si="29"/>
        <v>0</v>
      </c>
      <c r="L74" s="81">
        <f t="shared" si="29"/>
        <v>0</v>
      </c>
      <c r="M74" s="81">
        <f t="shared" si="29"/>
        <v>0</v>
      </c>
      <c r="N74" s="81">
        <f t="shared" si="29"/>
        <v>0</v>
      </c>
      <c r="O74" s="81">
        <f t="shared" si="29"/>
        <v>0</v>
      </c>
      <c r="P74" s="81">
        <f t="shared" si="29"/>
        <v>4166.666666666667</v>
      </c>
      <c r="Q74" s="81">
        <f t="shared" si="29"/>
        <v>4166.666666666667</v>
      </c>
      <c r="R74" s="81">
        <f t="shared" si="29"/>
        <v>4166.666666666667</v>
      </c>
      <c r="S74" s="81">
        <f t="shared" si="29"/>
        <v>4166.666666666667</v>
      </c>
      <c r="T74" s="81">
        <f t="shared" si="29"/>
        <v>4166.666666666667</v>
      </c>
      <c r="U74" s="81">
        <f t="shared" si="29"/>
        <v>4166.666666666667</v>
      </c>
      <c r="V74" s="81">
        <f t="shared" si="29"/>
        <v>4166.666666666667</v>
      </c>
      <c r="W74" s="81">
        <f t="shared" si="29"/>
        <v>4166.666666666667</v>
      </c>
      <c r="X74" s="81">
        <f t="shared" si="29"/>
        <v>4166.666666666667</v>
      </c>
      <c r="Y74" s="81">
        <f t="shared" si="29"/>
        <v>4166.666666666667</v>
      </c>
      <c r="Z74" s="81">
        <f t="shared" si="29"/>
        <v>4166.666666666667</v>
      </c>
      <c r="AA74" s="81">
        <f t="shared" si="29"/>
        <v>4166.666666666667</v>
      </c>
      <c r="AB74" s="81">
        <f t="shared" si="29"/>
        <v>4166.666666666667</v>
      </c>
      <c r="AC74" s="81">
        <f t="shared" si="29"/>
        <v>4166.666666666667</v>
      </c>
      <c r="AD74" s="81">
        <f t="shared" si="29"/>
        <v>4166.666666666667</v>
      </c>
      <c r="AE74" s="81">
        <f t="shared" si="29"/>
        <v>4166.666666666667</v>
      </c>
      <c r="AF74" s="81">
        <f t="shared" si="29"/>
        <v>4166.666666666667</v>
      </c>
      <c r="AG74" s="81">
        <f t="shared" si="29"/>
        <v>4166.666666666667</v>
      </c>
      <c r="AH74" s="81">
        <f t="shared" si="29"/>
        <v>4166.666666666667</v>
      </c>
      <c r="AI74" s="81">
        <f t="shared" si="29"/>
        <v>4166.666666666667</v>
      </c>
      <c r="AJ74" s="81">
        <f t="shared" si="29"/>
        <v>4166.666666666667</v>
      </c>
      <c r="AK74" s="81">
        <f t="shared" si="29"/>
        <v>4166.666666666667</v>
      </c>
      <c r="AL74" s="81">
        <f t="shared" si="29"/>
        <v>4166.666666666667</v>
      </c>
      <c r="AM74" s="81">
        <f t="shared" si="29"/>
        <v>4166.666666666667</v>
      </c>
      <c r="AN74" s="81">
        <f t="shared" si="29"/>
        <v>4166.666666666667</v>
      </c>
      <c r="AO74" s="81">
        <f t="shared" si="29"/>
        <v>4166.666666666667</v>
      </c>
      <c r="AP74" s="81">
        <f t="shared" si="29"/>
        <v>4166.666666666667</v>
      </c>
      <c r="AQ74" s="81">
        <f t="shared" si="29"/>
        <v>4166.666666666667</v>
      </c>
      <c r="AR74" s="81">
        <f t="shared" si="29"/>
        <v>4166.666666666667</v>
      </c>
      <c r="AS74" s="81">
        <f t="shared" si="29"/>
        <v>4166.666666666667</v>
      </c>
      <c r="AT74" s="81">
        <f t="shared" si="29"/>
        <v>4166.666666666667</v>
      </c>
      <c r="AU74" s="81">
        <f t="shared" si="29"/>
        <v>4166.666666666667</v>
      </c>
      <c r="AV74" s="81">
        <f t="shared" si="29"/>
        <v>4166.666666666667</v>
      </c>
      <c r="AW74" s="81">
        <f t="shared" si="29"/>
        <v>4166.666666666667</v>
      </c>
      <c r="AX74" s="81">
        <f t="shared" si="29"/>
        <v>4166.666666666667</v>
      </c>
      <c r="AY74" s="81">
        <f t="shared" si="29"/>
        <v>4166.666666666667</v>
      </c>
      <c r="AZ74" s="81">
        <f t="shared" si="29"/>
        <v>4166.666666666667</v>
      </c>
      <c r="BA74" s="81">
        <f t="shared" si="29"/>
        <v>4166.666666666667</v>
      </c>
      <c r="BB74" s="81">
        <f t="shared" si="29"/>
        <v>4166.666666666667</v>
      </c>
      <c r="BC74" s="81">
        <f t="shared" si="29"/>
        <v>4166.666666666667</v>
      </c>
      <c r="BD74" s="81">
        <f t="shared" si="29"/>
        <v>4166.666666666667</v>
      </c>
      <c r="BE74" s="81">
        <f t="shared" si="29"/>
        <v>4166.666666666667</v>
      </c>
      <c r="BF74" s="81">
        <f t="shared" si="29"/>
        <v>4166.666666666667</v>
      </c>
      <c r="BG74" s="81">
        <f t="shared" si="29"/>
        <v>4166.666666666667</v>
      </c>
      <c r="BH74" s="81">
        <f t="shared" si="29"/>
        <v>4166.666666666667</v>
      </c>
      <c r="BI74" s="81">
        <f t="shared" si="29"/>
        <v>4166.666666666667</v>
      </c>
      <c r="BJ74" s="81">
        <f t="shared" si="29"/>
        <v>4166.666666666667</v>
      </c>
    </row>
    <row r="75" spans="1:62">
      <c r="A75" s="118" t="s">
        <v>257</v>
      </c>
      <c r="B75" s="65"/>
      <c r="C75" s="81">
        <f>SUM(C66:C74)</f>
        <v>77500</v>
      </c>
      <c r="D75" s="81">
        <f t="shared" ref="D75:BJ75" si="30">SUM(D66:D74)</f>
        <v>77500</v>
      </c>
      <c r="E75" s="81">
        <f t="shared" si="30"/>
        <v>77500</v>
      </c>
      <c r="F75" s="81">
        <f t="shared" si="30"/>
        <v>77500</v>
      </c>
      <c r="G75" s="81">
        <f t="shared" si="30"/>
        <v>77500</v>
      </c>
      <c r="H75" s="81">
        <f t="shared" si="30"/>
        <v>77500</v>
      </c>
      <c r="I75" s="81">
        <f t="shared" si="30"/>
        <v>77500</v>
      </c>
      <c r="J75" s="81">
        <f t="shared" si="30"/>
        <v>77500</v>
      </c>
      <c r="K75" s="81">
        <f t="shared" si="30"/>
        <v>77500</v>
      </c>
      <c r="L75" s="81">
        <f t="shared" si="30"/>
        <v>77500</v>
      </c>
      <c r="M75" s="81">
        <f t="shared" si="30"/>
        <v>77500</v>
      </c>
      <c r="N75" s="81">
        <f t="shared" si="30"/>
        <v>77500</v>
      </c>
      <c r="O75" s="81">
        <f t="shared" si="30"/>
        <v>77500</v>
      </c>
      <c r="P75" s="81">
        <f t="shared" si="30"/>
        <v>84583.333333333343</v>
      </c>
      <c r="Q75" s="81">
        <f t="shared" si="30"/>
        <v>84583.333333333343</v>
      </c>
      <c r="R75" s="81">
        <f t="shared" si="30"/>
        <v>84583.333333333343</v>
      </c>
      <c r="S75" s="81">
        <f t="shared" si="30"/>
        <v>84583.333333333343</v>
      </c>
      <c r="T75" s="81">
        <f t="shared" si="30"/>
        <v>84583.333333333343</v>
      </c>
      <c r="U75" s="81">
        <f t="shared" si="30"/>
        <v>84583.333333333343</v>
      </c>
      <c r="V75" s="81">
        <f t="shared" si="30"/>
        <v>90416.666666666672</v>
      </c>
      <c r="W75" s="81">
        <f t="shared" si="30"/>
        <v>90416.666666666672</v>
      </c>
      <c r="X75" s="81">
        <f t="shared" si="30"/>
        <v>90416.666666666672</v>
      </c>
      <c r="Y75" s="81">
        <f t="shared" si="30"/>
        <v>90416.666666666672</v>
      </c>
      <c r="Z75" s="81">
        <f t="shared" si="30"/>
        <v>90416.666666666672</v>
      </c>
      <c r="AA75" s="81">
        <f t="shared" si="30"/>
        <v>90416.666666666672</v>
      </c>
      <c r="AB75" s="81">
        <f t="shared" si="30"/>
        <v>90416.666666666672</v>
      </c>
      <c r="AC75" s="81">
        <f t="shared" si="30"/>
        <v>90416.666666666672</v>
      </c>
      <c r="AD75" s="81">
        <f t="shared" si="30"/>
        <v>90416.666666666672</v>
      </c>
      <c r="AE75" s="81">
        <f t="shared" si="30"/>
        <v>90416.666666666672</v>
      </c>
      <c r="AF75" s="81">
        <f t="shared" si="30"/>
        <v>90416.666666666672</v>
      </c>
      <c r="AG75" s="81">
        <f t="shared" si="30"/>
        <v>90416.666666666672</v>
      </c>
      <c r="AH75" s="81">
        <f t="shared" si="30"/>
        <v>90416.666666666672</v>
      </c>
      <c r="AI75" s="81">
        <f t="shared" si="30"/>
        <v>90416.666666666672</v>
      </c>
      <c r="AJ75" s="81">
        <f t="shared" si="30"/>
        <v>90416.666666666672</v>
      </c>
      <c r="AK75" s="81">
        <f t="shared" si="30"/>
        <v>90416.666666666672</v>
      </c>
      <c r="AL75" s="81">
        <f t="shared" si="30"/>
        <v>90416.666666666672</v>
      </c>
      <c r="AM75" s="81">
        <f t="shared" si="30"/>
        <v>90416.666666666672</v>
      </c>
      <c r="AN75" s="81">
        <f t="shared" si="30"/>
        <v>90416.666666666672</v>
      </c>
      <c r="AO75" s="81">
        <f t="shared" si="30"/>
        <v>90416.666666666672</v>
      </c>
      <c r="AP75" s="81">
        <f t="shared" si="30"/>
        <v>90416.666666666672</v>
      </c>
      <c r="AQ75" s="81">
        <f t="shared" si="30"/>
        <v>90416.666666666672</v>
      </c>
      <c r="AR75" s="81">
        <f t="shared" si="30"/>
        <v>90416.666666666672</v>
      </c>
      <c r="AS75" s="81">
        <f t="shared" si="30"/>
        <v>90416.666666666672</v>
      </c>
      <c r="AT75" s="81">
        <f t="shared" si="30"/>
        <v>90416.666666666672</v>
      </c>
      <c r="AU75" s="81">
        <f t="shared" si="30"/>
        <v>90416.666666666672</v>
      </c>
      <c r="AV75" s="81">
        <f t="shared" si="30"/>
        <v>90416.666666666672</v>
      </c>
      <c r="AW75" s="81">
        <f t="shared" si="30"/>
        <v>90416.666666666672</v>
      </c>
      <c r="AX75" s="81">
        <f t="shared" si="30"/>
        <v>90416.666666666672</v>
      </c>
      <c r="AY75" s="81">
        <f t="shared" si="30"/>
        <v>90416.666666666672</v>
      </c>
      <c r="AZ75" s="81">
        <f t="shared" si="30"/>
        <v>90416.666666666672</v>
      </c>
      <c r="BA75" s="81">
        <f t="shared" si="30"/>
        <v>90416.666666666672</v>
      </c>
      <c r="BB75" s="81">
        <f t="shared" si="30"/>
        <v>90416.666666666672</v>
      </c>
      <c r="BC75" s="81">
        <f t="shared" si="30"/>
        <v>90416.666666666672</v>
      </c>
      <c r="BD75" s="81">
        <f t="shared" si="30"/>
        <v>90416.666666666672</v>
      </c>
      <c r="BE75" s="81">
        <f t="shared" si="30"/>
        <v>90416.666666666672</v>
      </c>
      <c r="BF75" s="81">
        <f t="shared" si="30"/>
        <v>90416.666666666672</v>
      </c>
      <c r="BG75" s="81">
        <f t="shared" si="30"/>
        <v>90416.666666666672</v>
      </c>
      <c r="BH75" s="81">
        <f t="shared" si="30"/>
        <v>90416.666666666672</v>
      </c>
      <c r="BI75" s="81">
        <f t="shared" si="30"/>
        <v>90416.666666666672</v>
      </c>
      <c r="BJ75" s="81">
        <f t="shared" si="30"/>
        <v>90416.666666666672</v>
      </c>
    </row>
    <row r="76" spans="1:62">
      <c r="A76" s="118"/>
      <c r="B76" s="65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</row>
    <row r="77" spans="1:62">
      <c r="A77" s="102" t="s">
        <v>252</v>
      </c>
      <c r="C77" s="99">
        <f>C37+C41+C45+C49+C53+C57+C61+C75</f>
        <v>92975</v>
      </c>
      <c r="D77" s="99">
        <f t="shared" ref="D77:BJ77" si="31">D37+D41+D45+D49+D53+D57+D61+D75</f>
        <v>93225</v>
      </c>
      <c r="E77" s="99">
        <f t="shared" si="31"/>
        <v>93225</v>
      </c>
      <c r="F77" s="99">
        <f t="shared" si="31"/>
        <v>93475</v>
      </c>
      <c r="G77" s="99">
        <f t="shared" si="31"/>
        <v>93475</v>
      </c>
      <c r="H77" s="99">
        <f t="shared" si="31"/>
        <v>94525</v>
      </c>
      <c r="I77" s="99">
        <f t="shared" si="31"/>
        <v>94775</v>
      </c>
      <c r="J77" s="99">
        <f t="shared" si="31"/>
        <v>94775</v>
      </c>
      <c r="K77" s="99">
        <f t="shared" si="31"/>
        <v>94775</v>
      </c>
      <c r="L77" s="99">
        <f t="shared" si="31"/>
        <v>95025</v>
      </c>
      <c r="M77" s="99">
        <f t="shared" si="31"/>
        <v>95025</v>
      </c>
      <c r="N77" s="99">
        <f t="shared" si="31"/>
        <v>95025</v>
      </c>
      <c r="O77" s="99">
        <f t="shared" si="31"/>
        <v>95275</v>
      </c>
      <c r="P77" s="99">
        <f t="shared" si="31"/>
        <v>109108.33333333334</v>
      </c>
      <c r="Q77" s="99">
        <f t="shared" si="31"/>
        <v>108858.33333333334</v>
      </c>
      <c r="R77" s="99">
        <f t="shared" si="31"/>
        <v>108608.33333333334</v>
      </c>
      <c r="S77" s="99">
        <f t="shared" si="31"/>
        <v>115358.33333333334</v>
      </c>
      <c r="T77" s="99">
        <f t="shared" si="31"/>
        <v>115108.33333333334</v>
      </c>
      <c r="U77" s="99">
        <f t="shared" si="31"/>
        <v>114408.33333333334</v>
      </c>
      <c r="V77" s="99">
        <f t="shared" si="31"/>
        <v>126141.66666666667</v>
      </c>
      <c r="W77" s="99">
        <f t="shared" si="31"/>
        <v>125641.66666666667</v>
      </c>
      <c r="X77" s="99">
        <f t="shared" si="31"/>
        <v>124941.66666666667</v>
      </c>
      <c r="Y77" s="99">
        <f t="shared" si="31"/>
        <v>124691.66666666667</v>
      </c>
      <c r="Z77" s="99">
        <f t="shared" si="31"/>
        <v>124191.66666666667</v>
      </c>
      <c r="AA77" s="99">
        <f t="shared" si="31"/>
        <v>123491.66666666667</v>
      </c>
      <c r="AB77" s="99">
        <f t="shared" si="31"/>
        <v>129641.66666666667</v>
      </c>
      <c r="AC77" s="99">
        <f t="shared" si="31"/>
        <v>129141.66666666667</v>
      </c>
      <c r="AD77" s="99">
        <f t="shared" si="31"/>
        <v>128891.66666666667</v>
      </c>
      <c r="AE77" s="99">
        <f t="shared" si="31"/>
        <v>135641.66666666669</v>
      </c>
      <c r="AF77" s="99">
        <f t="shared" si="31"/>
        <v>134691.66666666669</v>
      </c>
      <c r="AG77" s="99">
        <f t="shared" si="31"/>
        <v>134441.66666666669</v>
      </c>
      <c r="AH77" s="99">
        <f t="shared" si="31"/>
        <v>140941.66666666669</v>
      </c>
      <c r="AI77" s="99">
        <f t="shared" si="31"/>
        <v>139991.66666666669</v>
      </c>
      <c r="AJ77" s="99">
        <f t="shared" si="31"/>
        <v>139491.66666666669</v>
      </c>
      <c r="AK77" s="99">
        <f t="shared" si="31"/>
        <v>138541.66666666669</v>
      </c>
      <c r="AL77" s="99">
        <f t="shared" si="31"/>
        <v>138291.66666666669</v>
      </c>
      <c r="AM77" s="99">
        <f t="shared" si="31"/>
        <v>137341.66666666669</v>
      </c>
      <c r="AN77" s="99">
        <f t="shared" si="31"/>
        <v>142891.66666666669</v>
      </c>
      <c r="AO77" s="99">
        <f t="shared" si="31"/>
        <v>142391.66666666669</v>
      </c>
      <c r="AP77" s="99">
        <f t="shared" si="31"/>
        <v>142141.66666666669</v>
      </c>
      <c r="AQ77" s="99">
        <f t="shared" si="31"/>
        <v>148641.66666666669</v>
      </c>
      <c r="AR77" s="99">
        <f t="shared" si="31"/>
        <v>147941.66666666669</v>
      </c>
      <c r="AS77" s="99">
        <f t="shared" si="31"/>
        <v>147441.66666666669</v>
      </c>
      <c r="AT77" s="99">
        <f t="shared" si="31"/>
        <v>152891.66666666669</v>
      </c>
      <c r="AU77" s="99">
        <f t="shared" si="31"/>
        <v>152391.66666666669</v>
      </c>
      <c r="AV77" s="99">
        <f t="shared" si="31"/>
        <v>151441.66666666669</v>
      </c>
      <c r="AW77" s="99">
        <f t="shared" si="31"/>
        <v>151191.66666666669</v>
      </c>
      <c r="AX77" s="99">
        <f t="shared" si="31"/>
        <v>150691.66666666669</v>
      </c>
      <c r="AY77" s="99">
        <f t="shared" si="31"/>
        <v>149741.66666666669</v>
      </c>
      <c r="AZ77" s="99">
        <f t="shared" si="31"/>
        <v>155891.66666666669</v>
      </c>
      <c r="BA77" s="99">
        <f t="shared" si="31"/>
        <v>155391.66666666669</v>
      </c>
      <c r="BB77" s="99">
        <f t="shared" si="31"/>
        <v>154691.66666666669</v>
      </c>
      <c r="BC77" s="99">
        <f t="shared" si="31"/>
        <v>161191.66666666669</v>
      </c>
      <c r="BD77" s="99">
        <f t="shared" si="31"/>
        <v>160691.66666666669</v>
      </c>
      <c r="BE77" s="99">
        <f t="shared" si="31"/>
        <v>159991.66666666669</v>
      </c>
      <c r="BF77" s="99">
        <f t="shared" si="31"/>
        <v>165891.66666666669</v>
      </c>
      <c r="BG77" s="99">
        <f t="shared" si="31"/>
        <v>165391.66666666669</v>
      </c>
      <c r="BH77" s="99">
        <f t="shared" si="31"/>
        <v>164441.66666666669</v>
      </c>
      <c r="BI77" s="99">
        <f t="shared" si="31"/>
        <v>163491.66666666669</v>
      </c>
      <c r="BJ77" s="99">
        <f t="shared" si="31"/>
        <v>162991.66666666669</v>
      </c>
    </row>
    <row r="78" spans="1:62">
      <c r="A78" s="102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  <c r="AH78" s="99"/>
      <c r="AI78" s="99"/>
      <c r="AJ78" s="99"/>
      <c r="AK78" s="99"/>
      <c r="AL78" s="99"/>
      <c r="AM78" s="99"/>
      <c r="AN78" s="99"/>
      <c r="AO78" s="99"/>
      <c r="AP78" s="99"/>
      <c r="AQ78" s="99"/>
      <c r="AR78" s="99"/>
      <c r="AS78" s="99"/>
      <c r="AT78" s="99"/>
      <c r="AU78" s="99"/>
      <c r="AV78" s="99"/>
      <c r="AW78" s="99"/>
      <c r="AX78" s="99"/>
      <c r="AY78" s="99"/>
      <c r="AZ78" s="99"/>
      <c r="BA78" s="99"/>
      <c r="BB78" s="99"/>
      <c r="BC78" s="99"/>
      <c r="BD78" s="99"/>
      <c r="BE78" s="99"/>
      <c r="BF78" s="99"/>
      <c r="BG78" s="99"/>
      <c r="BH78" s="99"/>
      <c r="BI78" s="99"/>
      <c r="BJ78" s="99"/>
    </row>
    <row r="79" spans="1:62">
      <c r="A79" s="102" t="s">
        <v>244</v>
      </c>
      <c r="B79" s="7">
        <v>0.15</v>
      </c>
      <c r="C79" s="99">
        <f>$B$79*C77</f>
        <v>13946.25</v>
      </c>
      <c r="D79" s="99">
        <f t="shared" ref="D79:BJ79" si="32">$B$79*D77</f>
        <v>13983.75</v>
      </c>
      <c r="E79" s="99">
        <f t="shared" si="32"/>
        <v>13983.75</v>
      </c>
      <c r="F79" s="99">
        <f t="shared" si="32"/>
        <v>14021.25</v>
      </c>
      <c r="G79" s="99">
        <f t="shared" si="32"/>
        <v>14021.25</v>
      </c>
      <c r="H79" s="99">
        <f t="shared" si="32"/>
        <v>14178.75</v>
      </c>
      <c r="I79" s="99">
        <f t="shared" si="32"/>
        <v>14216.25</v>
      </c>
      <c r="J79" s="99">
        <f t="shared" si="32"/>
        <v>14216.25</v>
      </c>
      <c r="K79" s="99">
        <f t="shared" si="32"/>
        <v>14216.25</v>
      </c>
      <c r="L79" s="99">
        <f t="shared" si="32"/>
        <v>14253.75</v>
      </c>
      <c r="M79" s="99">
        <f t="shared" si="32"/>
        <v>14253.75</v>
      </c>
      <c r="N79" s="99">
        <f t="shared" si="32"/>
        <v>14253.75</v>
      </c>
      <c r="O79" s="99">
        <f t="shared" si="32"/>
        <v>14291.25</v>
      </c>
      <c r="P79" s="99">
        <f t="shared" si="32"/>
        <v>16366.25</v>
      </c>
      <c r="Q79" s="99">
        <f t="shared" si="32"/>
        <v>16328.75</v>
      </c>
      <c r="R79" s="99">
        <f t="shared" si="32"/>
        <v>16291.25</v>
      </c>
      <c r="S79" s="99">
        <f t="shared" si="32"/>
        <v>17303.75</v>
      </c>
      <c r="T79" s="99">
        <f t="shared" si="32"/>
        <v>17266.25</v>
      </c>
      <c r="U79" s="99">
        <f t="shared" si="32"/>
        <v>17161.25</v>
      </c>
      <c r="V79" s="99">
        <f t="shared" si="32"/>
        <v>18921.25</v>
      </c>
      <c r="W79" s="99">
        <f t="shared" si="32"/>
        <v>18846.25</v>
      </c>
      <c r="X79" s="99">
        <f t="shared" si="32"/>
        <v>18741.25</v>
      </c>
      <c r="Y79" s="99">
        <f t="shared" si="32"/>
        <v>18703.75</v>
      </c>
      <c r="Z79" s="99">
        <f t="shared" si="32"/>
        <v>18628.75</v>
      </c>
      <c r="AA79" s="99">
        <f t="shared" si="32"/>
        <v>18523.75</v>
      </c>
      <c r="AB79" s="99">
        <f t="shared" si="32"/>
        <v>19446.25</v>
      </c>
      <c r="AC79" s="99">
        <f t="shared" si="32"/>
        <v>19371.25</v>
      </c>
      <c r="AD79" s="99">
        <f t="shared" si="32"/>
        <v>19333.75</v>
      </c>
      <c r="AE79" s="99">
        <f t="shared" si="32"/>
        <v>20346.250000000004</v>
      </c>
      <c r="AF79" s="99">
        <f t="shared" si="32"/>
        <v>20203.750000000004</v>
      </c>
      <c r="AG79" s="99">
        <f t="shared" si="32"/>
        <v>20166.250000000004</v>
      </c>
      <c r="AH79" s="99">
        <f t="shared" si="32"/>
        <v>21141.250000000004</v>
      </c>
      <c r="AI79" s="99">
        <f t="shared" si="32"/>
        <v>20998.750000000004</v>
      </c>
      <c r="AJ79" s="99">
        <f t="shared" si="32"/>
        <v>20923.750000000004</v>
      </c>
      <c r="AK79" s="99">
        <f t="shared" si="32"/>
        <v>20781.250000000004</v>
      </c>
      <c r="AL79" s="99">
        <f t="shared" si="32"/>
        <v>20743.750000000004</v>
      </c>
      <c r="AM79" s="99">
        <f t="shared" si="32"/>
        <v>20601.250000000004</v>
      </c>
      <c r="AN79" s="99">
        <f t="shared" si="32"/>
        <v>21433.750000000004</v>
      </c>
      <c r="AO79" s="99">
        <f t="shared" si="32"/>
        <v>21358.750000000004</v>
      </c>
      <c r="AP79" s="99">
        <f t="shared" si="32"/>
        <v>21321.250000000004</v>
      </c>
      <c r="AQ79" s="99">
        <f t="shared" si="32"/>
        <v>22296.250000000004</v>
      </c>
      <c r="AR79" s="99">
        <f t="shared" si="32"/>
        <v>22191.250000000004</v>
      </c>
      <c r="AS79" s="99">
        <f t="shared" si="32"/>
        <v>22116.250000000004</v>
      </c>
      <c r="AT79" s="99">
        <f t="shared" si="32"/>
        <v>22933.750000000004</v>
      </c>
      <c r="AU79" s="99">
        <f t="shared" si="32"/>
        <v>22858.750000000004</v>
      </c>
      <c r="AV79" s="99">
        <f t="shared" si="32"/>
        <v>22716.250000000004</v>
      </c>
      <c r="AW79" s="99">
        <f t="shared" si="32"/>
        <v>22678.750000000004</v>
      </c>
      <c r="AX79" s="99">
        <f t="shared" si="32"/>
        <v>22603.750000000004</v>
      </c>
      <c r="AY79" s="99">
        <f t="shared" si="32"/>
        <v>22461.250000000004</v>
      </c>
      <c r="AZ79" s="99">
        <f t="shared" si="32"/>
        <v>23383.750000000004</v>
      </c>
      <c r="BA79" s="99">
        <f t="shared" si="32"/>
        <v>23308.750000000004</v>
      </c>
      <c r="BB79" s="99">
        <f t="shared" si="32"/>
        <v>23203.750000000004</v>
      </c>
      <c r="BC79" s="99">
        <f t="shared" si="32"/>
        <v>24178.750000000004</v>
      </c>
      <c r="BD79" s="99">
        <f t="shared" si="32"/>
        <v>24103.750000000004</v>
      </c>
      <c r="BE79" s="99">
        <f t="shared" si="32"/>
        <v>23998.750000000004</v>
      </c>
      <c r="BF79" s="99">
        <f t="shared" si="32"/>
        <v>24883.750000000004</v>
      </c>
      <c r="BG79" s="99">
        <f t="shared" si="32"/>
        <v>24808.750000000004</v>
      </c>
      <c r="BH79" s="99">
        <f t="shared" si="32"/>
        <v>24666.250000000004</v>
      </c>
      <c r="BI79" s="99">
        <f t="shared" si="32"/>
        <v>24523.750000000004</v>
      </c>
      <c r="BJ79" s="99">
        <f t="shared" si="32"/>
        <v>24448.750000000004</v>
      </c>
    </row>
    <row r="80" spans="1:62">
      <c r="A80" s="102"/>
      <c r="C80" s="99"/>
    </row>
    <row r="81" spans="1:62">
      <c r="A81" s="102" t="s">
        <v>249</v>
      </c>
      <c r="B81" s="7">
        <v>0.03</v>
      </c>
      <c r="C81" s="99">
        <f>$B$81*'Financial Statements &amp; Detail'!C123</f>
        <v>14185.05</v>
      </c>
      <c r="D81" s="99">
        <f>$B$81*'Financial Statements &amp; Detail'!D123</f>
        <v>14468.750999999998</v>
      </c>
      <c r="E81" s="99">
        <f>$B$81*'Financial Statements &amp; Detail'!E123</f>
        <v>14743.94097</v>
      </c>
      <c r="F81" s="99">
        <f>$B$81*'Financial Statements &amp; Detail'!F123</f>
        <v>15010.875240899997</v>
      </c>
      <c r="G81" s="99">
        <f>$B$81*'Financial Statements &amp; Detail'!G123</f>
        <v>15269.801483672998</v>
      </c>
      <c r="H81" s="99">
        <f>$B$81*'Financial Statements &amp; Detail'!H123</f>
        <v>15520.959939162809</v>
      </c>
      <c r="I81" s="99">
        <f>$B$81*'Financial Statements &amp; Detail'!I123</f>
        <v>15764.583640987925</v>
      </c>
      <c r="J81" s="99">
        <f>$B$81*'Financial Statements &amp; Detail'!J123</f>
        <v>16000.898631758289</v>
      </c>
      <c r="K81" s="99">
        <f>$B$81*'Financial Statements &amp; Detail'!K123</f>
        <v>16230.124172805537</v>
      </c>
      <c r="L81" s="99">
        <f>$B$81*'Financial Statements &amp; Detail'!L123</f>
        <v>16452.472947621372</v>
      </c>
      <c r="M81" s="99">
        <f>$B$81*'Financial Statements &amp; Detail'!M123</f>
        <v>16668.151259192731</v>
      </c>
      <c r="N81" s="99">
        <f>$B$81*'Financial Statements &amp; Detail'!N123</f>
        <v>16877.359221416951</v>
      </c>
      <c r="O81" s="99">
        <f>$B$81*'Financial Statements &amp; Detail'!O123</f>
        <v>17080.290944774442</v>
      </c>
      <c r="P81" s="99">
        <f>$B$81*'Financial Statements &amp; Detail'!P123</f>
        <v>27668.758466431213</v>
      </c>
      <c r="Q81" s="99">
        <f>$B$81*'Financial Statements &amp; Detail'!Q123</f>
        <v>27193.321962438273</v>
      </c>
      <c r="R81" s="99">
        <f>$B$81*'Financial Statements &amp; Detail'!R123</f>
        <v>26732.148553565126</v>
      </c>
      <c r="S81" s="99">
        <f>$B$81*'Financial Statements &amp; Detail'!S123</f>
        <v>37031.060346958177</v>
      </c>
      <c r="T81" s="99">
        <f>$B$81*'Financial Statements &amp; Detail'!T123</f>
        <v>36274.754786549427</v>
      </c>
      <c r="U81" s="99">
        <f>$B$81*'Financial Statements &amp; Detail'!U123</f>
        <v>35541.13839295294</v>
      </c>
      <c r="V81" s="99">
        <f>$B$81*'Financial Statements &amp; Detail'!V123</f>
        <v>45575.780491164354</v>
      </c>
      <c r="W81" s="99">
        <f>$B$81*'Financial Statements &amp; Detail'!W123</f>
        <v>44563.133326429423</v>
      </c>
      <c r="X81" s="99">
        <f>$B$81*'Financial Statements &amp; Detail'!X123</f>
        <v>43580.865576636534</v>
      </c>
      <c r="Y81" s="99">
        <f>$B$81*'Financial Statements &amp; Detail'!Y123</f>
        <v>42628.065859337446</v>
      </c>
      <c r="Z81" s="99">
        <f>$B$81*'Financial Statements &amp; Detail'!Z123</f>
        <v>41703.850133557316</v>
      </c>
      <c r="AA81" s="99">
        <f>$B$81*'Financial Statements &amp; Detail'!AA123</f>
        <v>40807.360879550593</v>
      </c>
      <c r="AB81" s="99">
        <f>$B$81*'Financial Statements &amp; Detail'!AB123</f>
        <v>51103.120053164072</v>
      </c>
      <c r="AC81" s="99">
        <f>$B$81*'Financial Statements &amp; Detail'!AC123</f>
        <v>50343.756451569163</v>
      </c>
      <c r="AD81" s="99">
        <f>$B$81*'Financial Statements &amp; Detail'!AD123</f>
        <v>49607.173758022087</v>
      </c>
      <c r="AE81" s="99">
        <f>$B$81*'Financial Statements &amp; Detail'!AE123</f>
        <v>59638.938545281431</v>
      </c>
      <c r="AF81" s="99">
        <f>$B$81*'Financial Statements &amp; Detail'!AF123</f>
        <v>58623.500388922985</v>
      </c>
      <c r="AG81" s="99">
        <f>$B$81*'Financial Statements &amp; Detail'!AG123</f>
        <v>57638.525377255297</v>
      </c>
      <c r="AH81" s="99">
        <f>$B$81*'Financial Statements &amp; Detail'!AH123</f>
        <v>67429.349615937652</v>
      </c>
      <c r="AI81" s="99">
        <f>$B$81*'Financial Statements &amp; Detail'!AI123</f>
        <v>66180.199127459506</v>
      </c>
      <c r="AJ81" s="99">
        <f>$B$81*'Financial Statements &amp; Detail'!AJ123</f>
        <v>64968.523153635724</v>
      </c>
      <c r="AK81" s="99">
        <f>$B$81*'Financial Statements &amp; Detail'!AK123</f>
        <v>63793.197459026655</v>
      </c>
      <c r="AL81" s="99">
        <f>$B$81*'Financial Statements &amp; Detail'!AL123</f>
        <v>62653.131535255867</v>
      </c>
      <c r="AM81" s="99">
        <f>$B$81*'Financial Statements &amp; Detail'!AM123</f>
        <v>61547.267589198178</v>
      </c>
      <c r="AN81" s="99">
        <f>$B$81*'Financial Statements &amp; Detail'!AN123</f>
        <v>71758.142061522231</v>
      </c>
      <c r="AO81" s="99">
        <f>$B$81*'Financial Statements &amp; Detail'!AO123</f>
        <v>70916.440299676571</v>
      </c>
      <c r="AP81" s="99">
        <f>$B$81*'Financial Statements &amp; Detail'!AP123</f>
        <v>70099.98959068628</v>
      </c>
      <c r="AQ81" s="99">
        <f>$B$81*'Financial Statements &amp; Detail'!AQ123</f>
        <v>80054.282402965691</v>
      </c>
      <c r="AR81" s="99">
        <f>$B$81*'Financial Statements &amp; Detail'!AR123</f>
        <v>78963.696430876706</v>
      </c>
      <c r="AS81" s="99">
        <f>$B$81*'Financial Statements &amp; Detail'!AS123</f>
        <v>77905.828037950414</v>
      </c>
      <c r="AT81" s="99">
        <f>$B$81*'Financial Statements &amp; Detail'!AT123</f>
        <v>87625.945696811905</v>
      </c>
      <c r="AU81" s="99">
        <f>$B$81*'Financial Statements &amp; Detail'!AU123</f>
        <v>86308.209825907572</v>
      </c>
      <c r="AV81" s="99">
        <f>$B$81*'Financial Statements &amp; Detail'!AV123</f>
        <v>85030.006031130324</v>
      </c>
      <c r="AW81" s="99">
        <f>$B$81*'Financial Statements &amp; Detail'!AW123</f>
        <v>83790.14835019641</v>
      </c>
      <c r="AX81" s="99">
        <f>$B$81*'Financial Statements &amp; Detail'!AX123</f>
        <v>82587.486399690504</v>
      </c>
      <c r="AY81" s="99">
        <f>$B$81*'Financial Statements &amp; Detail'!AY123</f>
        <v>81420.904307699806</v>
      </c>
      <c r="AZ81" s="99">
        <f>$B$81*'Financial Statements &amp; Detail'!AZ123</f>
        <v>91572.882178468819</v>
      </c>
      <c r="BA81" s="99">
        <f>$B$81*'Financial Statements &amp; Detail'!BA123</f>
        <v>90674.050713114731</v>
      </c>
      <c r="BB81" s="99">
        <f>$B$81*'Financial Statements &amp; Detail'!BB123</f>
        <v>89802.184191721288</v>
      </c>
      <c r="BC81" s="99">
        <f>$B$81*'Financial Statements &amp; Detail'!BC123</f>
        <v>99702.72366596965</v>
      </c>
      <c r="BD81" s="99">
        <f>$B$81*'Financial Statements &amp; Detail'!BD123</f>
        <v>98559.996955990558</v>
      </c>
      <c r="BE81" s="99">
        <f>$B$81*'Financial Statements &amp; Detail'!BE123</f>
        <v>97451.552047310877</v>
      </c>
      <c r="BF81" s="99">
        <f>$B$81*'Financial Statements &amp; Detail'!BF123</f>
        <v>107122.61048589154</v>
      </c>
      <c r="BG81" s="99">
        <f>$B$81*'Financial Statements &amp; Detail'!BG123</f>
        <v>105757.28717131478</v>
      </c>
      <c r="BH81" s="99">
        <f>$B$81*'Financial Statements &amp; Detail'!BH123</f>
        <v>104432.92355617534</v>
      </c>
      <c r="BI81" s="99">
        <f>$B$81*'Financial Statements &amp; Detail'!BI123</f>
        <v>103148.29084949006</v>
      </c>
      <c r="BJ81" s="99">
        <f>$B$81*'Financial Statements &amp; Detail'!BJ123</f>
        <v>101902.19712400538</v>
      </c>
    </row>
    <row r="82" spans="1:62">
      <c r="A82" s="102"/>
      <c r="C82" s="99"/>
    </row>
    <row r="83" spans="1:62">
      <c r="A83" s="102" t="s">
        <v>56</v>
      </c>
      <c r="B83" s="7">
        <v>7</v>
      </c>
      <c r="C83" s="99">
        <f>$B$83*C63</f>
        <v>399</v>
      </c>
      <c r="D83" s="99">
        <f t="shared" ref="D83:BJ83" si="33">$B$83*D63</f>
        <v>406</v>
      </c>
      <c r="E83" s="99">
        <f t="shared" si="33"/>
        <v>406</v>
      </c>
      <c r="F83" s="99">
        <f t="shared" si="33"/>
        <v>413</v>
      </c>
      <c r="G83" s="99">
        <f t="shared" si="33"/>
        <v>413</v>
      </c>
      <c r="H83" s="99">
        <f t="shared" si="33"/>
        <v>434</v>
      </c>
      <c r="I83" s="99">
        <f t="shared" si="33"/>
        <v>441</v>
      </c>
      <c r="J83" s="99">
        <f t="shared" si="33"/>
        <v>441</v>
      </c>
      <c r="K83" s="99">
        <f t="shared" si="33"/>
        <v>441</v>
      </c>
      <c r="L83" s="99">
        <f t="shared" si="33"/>
        <v>448</v>
      </c>
      <c r="M83" s="99">
        <f t="shared" si="33"/>
        <v>448</v>
      </c>
      <c r="N83" s="99">
        <f t="shared" si="33"/>
        <v>448</v>
      </c>
      <c r="O83" s="99">
        <f t="shared" si="33"/>
        <v>455</v>
      </c>
      <c r="P83" s="99">
        <f t="shared" si="33"/>
        <v>630</v>
      </c>
      <c r="Q83" s="99">
        <f t="shared" si="33"/>
        <v>623</v>
      </c>
      <c r="R83" s="99">
        <f t="shared" si="33"/>
        <v>616</v>
      </c>
      <c r="S83" s="99">
        <f t="shared" si="33"/>
        <v>791</v>
      </c>
      <c r="T83" s="99">
        <f t="shared" si="33"/>
        <v>784</v>
      </c>
      <c r="U83" s="99">
        <f t="shared" si="33"/>
        <v>763</v>
      </c>
      <c r="V83" s="99">
        <f t="shared" si="33"/>
        <v>924</v>
      </c>
      <c r="W83" s="99">
        <f t="shared" si="33"/>
        <v>910</v>
      </c>
      <c r="X83" s="99">
        <f t="shared" si="33"/>
        <v>889</v>
      </c>
      <c r="Y83" s="99">
        <f t="shared" si="33"/>
        <v>882</v>
      </c>
      <c r="Z83" s="99">
        <f t="shared" si="33"/>
        <v>868</v>
      </c>
      <c r="AA83" s="99">
        <f t="shared" si="33"/>
        <v>847</v>
      </c>
      <c r="AB83" s="99">
        <f t="shared" si="33"/>
        <v>1015</v>
      </c>
      <c r="AC83" s="99">
        <f t="shared" si="33"/>
        <v>1001</v>
      </c>
      <c r="AD83" s="99">
        <f t="shared" si="33"/>
        <v>994</v>
      </c>
      <c r="AE83" s="99">
        <f t="shared" si="33"/>
        <v>1169</v>
      </c>
      <c r="AF83" s="99">
        <f t="shared" si="33"/>
        <v>1141</v>
      </c>
      <c r="AG83" s="99">
        <f t="shared" si="33"/>
        <v>1134</v>
      </c>
      <c r="AH83" s="99">
        <f t="shared" si="33"/>
        <v>1302</v>
      </c>
      <c r="AI83" s="99">
        <f t="shared" si="33"/>
        <v>1274</v>
      </c>
      <c r="AJ83" s="99">
        <f t="shared" si="33"/>
        <v>1260</v>
      </c>
      <c r="AK83" s="99">
        <f t="shared" si="33"/>
        <v>1232</v>
      </c>
      <c r="AL83" s="99">
        <f t="shared" si="33"/>
        <v>1225</v>
      </c>
      <c r="AM83" s="99">
        <f t="shared" si="33"/>
        <v>1197</v>
      </c>
      <c r="AN83" s="99">
        <f t="shared" si="33"/>
        <v>1358</v>
      </c>
      <c r="AO83" s="99">
        <f t="shared" si="33"/>
        <v>1344</v>
      </c>
      <c r="AP83" s="99">
        <f t="shared" si="33"/>
        <v>1337</v>
      </c>
      <c r="AQ83" s="99">
        <f t="shared" si="33"/>
        <v>1505</v>
      </c>
      <c r="AR83" s="99">
        <f t="shared" si="33"/>
        <v>1484</v>
      </c>
      <c r="AS83" s="99">
        <f t="shared" si="33"/>
        <v>1470</v>
      </c>
      <c r="AT83" s="99">
        <f t="shared" si="33"/>
        <v>1617</v>
      </c>
      <c r="AU83" s="99">
        <f t="shared" si="33"/>
        <v>1603</v>
      </c>
      <c r="AV83" s="99">
        <f t="shared" si="33"/>
        <v>1575</v>
      </c>
      <c r="AW83" s="99">
        <f t="shared" si="33"/>
        <v>1568</v>
      </c>
      <c r="AX83" s="99">
        <f t="shared" si="33"/>
        <v>1554</v>
      </c>
      <c r="AY83" s="99">
        <f t="shared" si="33"/>
        <v>1526</v>
      </c>
      <c r="AZ83" s="99">
        <f t="shared" si="33"/>
        <v>1694</v>
      </c>
      <c r="BA83" s="99">
        <f t="shared" si="33"/>
        <v>1680</v>
      </c>
      <c r="BB83" s="99">
        <f t="shared" si="33"/>
        <v>1659</v>
      </c>
      <c r="BC83" s="99">
        <f t="shared" si="33"/>
        <v>1827</v>
      </c>
      <c r="BD83" s="99">
        <f t="shared" si="33"/>
        <v>1813</v>
      </c>
      <c r="BE83" s="99">
        <f t="shared" si="33"/>
        <v>1792</v>
      </c>
      <c r="BF83" s="99">
        <f t="shared" si="33"/>
        <v>1953</v>
      </c>
      <c r="BG83" s="99">
        <f t="shared" si="33"/>
        <v>1939</v>
      </c>
      <c r="BH83" s="99">
        <f t="shared" si="33"/>
        <v>1911</v>
      </c>
      <c r="BI83" s="99">
        <f t="shared" si="33"/>
        <v>1883</v>
      </c>
      <c r="BJ83" s="99">
        <f t="shared" si="33"/>
        <v>1869</v>
      </c>
    </row>
    <row r="84" spans="1:62">
      <c r="A84" s="102"/>
      <c r="C84" s="9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  <c r="AH84" s="99"/>
      <c r="AI84" s="99"/>
      <c r="AJ84" s="99"/>
      <c r="AK84" s="99"/>
      <c r="AL84" s="99"/>
      <c r="AM84" s="99"/>
      <c r="AN84" s="99"/>
      <c r="AO84" s="99"/>
      <c r="AP84" s="99"/>
      <c r="AQ84" s="99"/>
      <c r="AR84" s="99"/>
      <c r="AS84" s="99"/>
      <c r="AT84" s="99"/>
      <c r="AU84" s="99"/>
      <c r="AV84" s="99"/>
      <c r="AW84" s="99"/>
      <c r="AX84" s="99"/>
      <c r="AY84" s="99"/>
      <c r="AZ84" s="99"/>
      <c r="BA84" s="99"/>
      <c r="BB84" s="99"/>
      <c r="BC84" s="99"/>
      <c r="BD84" s="99"/>
      <c r="BE84" s="99"/>
      <c r="BF84" s="99"/>
      <c r="BG84" s="99"/>
      <c r="BH84" s="99"/>
      <c r="BI84" s="99"/>
      <c r="BJ84" s="99"/>
    </row>
    <row r="85" spans="1:62">
      <c r="A85" s="102" t="s">
        <v>251</v>
      </c>
      <c r="B85" s="7">
        <v>2</v>
      </c>
      <c r="C85" s="99">
        <f>$B$85*C63</f>
        <v>114</v>
      </c>
      <c r="D85" s="99">
        <f t="shared" ref="D85:BJ85" si="34">$B$85*D63</f>
        <v>116</v>
      </c>
      <c r="E85" s="99">
        <f t="shared" si="34"/>
        <v>116</v>
      </c>
      <c r="F85" s="99">
        <f t="shared" si="34"/>
        <v>118</v>
      </c>
      <c r="G85" s="99">
        <f t="shared" si="34"/>
        <v>118</v>
      </c>
      <c r="H85" s="99">
        <f t="shared" si="34"/>
        <v>124</v>
      </c>
      <c r="I85" s="99">
        <f t="shared" si="34"/>
        <v>126</v>
      </c>
      <c r="J85" s="99">
        <f t="shared" si="34"/>
        <v>126</v>
      </c>
      <c r="K85" s="99">
        <f t="shared" si="34"/>
        <v>126</v>
      </c>
      <c r="L85" s="99">
        <f t="shared" si="34"/>
        <v>128</v>
      </c>
      <c r="M85" s="99">
        <f t="shared" si="34"/>
        <v>128</v>
      </c>
      <c r="N85" s="99">
        <f t="shared" si="34"/>
        <v>128</v>
      </c>
      <c r="O85" s="99">
        <f t="shared" si="34"/>
        <v>130</v>
      </c>
      <c r="P85" s="99">
        <f t="shared" si="34"/>
        <v>180</v>
      </c>
      <c r="Q85" s="99">
        <f t="shared" si="34"/>
        <v>178</v>
      </c>
      <c r="R85" s="99">
        <f t="shared" si="34"/>
        <v>176</v>
      </c>
      <c r="S85" s="99">
        <f t="shared" si="34"/>
        <v>226</v>
      </c>
      <c r="T85" s="99">
        <f t="shared" si="34"/>
        <v>224</v>
      </c>
      <c r="U85" s="99">
        <f t="shared" si="34"/>
        <v>218</v>
      </c>
      <c r="V85" s="99">
        <f t="shared" si="34"/>
        <v>264</v>
      </c>
      <c r="W85" s="99">
        <f t="shared" si="34"/>
        <v>260</v>
      </c>
      <c r="X85" s="99">
        <f t="shared" si="34"/>
        <v>254</v>
      </c>
      <c r="Y85" s="99">
        <f t="shared" si="34"/>
        <v>252</v>
      </c>
      <c r="Z85" s="99">
        <f t="shared" si="34"/>
        <v>248</v>
      </c>
      <c r="AA85" s="99">
        <f t="shared" si="34"/>
        <v>242</v>
      </c>
      <c r="AB85" s="99">
        <f t="shared" si="34"/>
        <v>290</v>
      </c>
      <c r="AC85" s="99">
        <f t="shared" si="34"/>
        <v>286</v>
      </c>
      <c r="AD85" s="99">
        <f t="shared" si="34"/>
        <v>284</v>
      </c>
      <c r="AE85" s="99">
        <f t="shared" si="34"/>
        <v>334</v>
      </c>
      <c r="AF85" s="99">
        <f t="shared" si="34"/>
        <v>326</v>
      </c>
      <c r="AG85" s="99">
        <f t="shared" si="34"/>
        <v>324</v>
      </c>
      <c r="AH85" s="99">
        <f t="shared" si="34"/>
        <v>372</v>
      </c>
      <c r="AI85" s="99">
        <f t="shared" si="34"/>
        <v>364</v>
      </c>
      <c r="AJ85" s="99">
        <f t="shared" si="34"/>
        <v>360</v>
      </c>
      <c r="AK85" s="99">
        <f t="shared" si="34"/>
        <v>352</v>
      </c>
      <c r="AL85" s="99">
        <f t="shared" si="34"/>
        <v>350</v>
      </c>
      <c r="AM85" s="99">
        <f t="shared" si="34"/>
        <v>342</v>
      </c>
      <c r="AN85" s="99">
        <f t="shared" si="34"/>
        <v>388</v>
      </c>
      <c r="AO85" s="99">
        <f t="shared" si="34"/>
        <v>384</v>
      </c>
      <c r="AP85" s="99">
        <f t="shared" si="34"/>
        <v>382</v>
      </c>
      <c r="AQ85" s="99">
        <f t="shared" si="34"/>
        <v>430</v>
      </c>
      <c r="AR85" s="99">
        <f t="shared" si="34"/>
        <v>424</v>
      </c>
      <c r="AS85" s="99">
        <f t="shared" si="34"/>
        <v>420</v>
      </c>
      <c r="AT85" s="99">
        <f t="shared" si="34"/>
        <v>462</v>
      </c>
      <c r="AU85" s="99">
        <f t="shared" si="34"/>
        <v>458</v>
      </c>
      <c r="AV85" s="99">
        <f t="shared" si="34"/>
        <v>450</v>
      </c>
      <c r="AW85" s="99">
        <f t="shared" si="34"/>
        <v>448</v>
      </c>
      <c r="AX85" s="99">
        <f t="shared" si="34"/>
        <v>444</v>
      </c>
      <c r="AY85" s="99">
        <f t="shared" si="34"/>
        <v>436</v>
      </c>
      <c r="AZ85" s="99">
        <f t="shared" si="34"/>
        <v>484</v>
      </c>
      <c r="BA85" s="99">
        <f t="shared" si="34"/>
        <v>480</v>
      </c>
      <c r="BB85" s="99">
        <f t="shared" si="34"/>
        <v>474</v>
      </c>
      <c r="BC85" s="99">
        <f t="shared" si="34"/>
        <v>522</v>
      </c>
      <c r="BD85" s="99">
        <f t="shared" si="34"/>
        <v>518</v>
      </c>
      <c r="BE85" s="99">
        <f t="shared" si="34"/>
        <v>512</v>
      </c>
      <c r="BF85" s="99">
        <f t="shared" si="34"/>
        <v>558</v>
      </c>
      <c r="BG85" s="99">
        <f t="shared" si="34"/>
        <v>554</v>
      </c>
      <c r="BH85" s="99">
        <f t="shared" si="34"/>
        <v>546</v>
      </c>
      <c r="BI85" s="99">
        <f t="shared" si="34"/>
        <v>538</v>
      </c>
      <c r="BJ85" s="99">
        <f t="shared" si="34"/>
        <v>534</v>
      </c>
    </row>
    <row r="86" spans="1:62">
      <c r="A86" s="102"/>
      <c r="B86" s="7"/>
      <c r="C86" s="9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  <c r="AH86" s="99"/>
      <c r="AI86" s="99"/>
      <c r="AJ86" s="99"/>
      <c r="AK86" s="99"/>
      <c r="AL86" s="99"/>
      <c r="AM86" s="99"/>
      <c r="AN86" s="99"/>
      <c r="AO86" s="99"/>
      <c r="AP86" s="99"/>
      <c r="AQ86" s="99"/>
      <c r="AR86" s="99"/>
      <c r="AS86" s="99"/>
      <c r="AT86" s="99"/>
      <c r="AU86" s="99"/>
      <c r="AV86" s="99"/>
      <c r="AW86" s="99"/>
      <c r="AX86" s="99"/>
      <c r="AY86" s="99"/>
      <c r="AZ86" s="99"/>
      <c r="BA86" s="99"/>
      <c r="BB86" s="99"/>
      <c r="BC86" s="99"/>
      <c r="BD86" s="99"/>
      <c r="BE86" s="99"/>
      <c r="BF86" s="99"/>
      <c r="BG86" s="99"/>
      <c r="BH86" s="99"/>
      <c r="BI86" s="99"/>
      <c r="BJ86" s="99"/>
    </row>
    <row r="87" spans="1:62">
      <c r="A87" s="102" t="s">
        <v>245</v>
      </c>
      <c r="C87" s="65">
        <v>15000</v>
      </c>
      <c r="D87" s="99">
        <f>C87</f>
        <v>15000</v>
      </c>
      <c r="E87" s="99">
        <f t="shared" ref="E87:BJ87" si="35">D87</f>
        <v>15000</v>
      </c>
      <c r="F87" s="99">
        <f t="shared" si="35"/>
        <v>15000</v>
      </c>
      <c r="G87" s="99">
        <f t="shared" si="35"/>
        <v>15000</v>
      </c>
      <c r="H87" s="99">
        <f t="shared" si="35"/>
        <v>15000</v>
      </c>
      <c r="I87" s="99">
        <f t="shared" si="35"/>
        <v>15000</v>
      </c>
      <c r="J87" s="99">
        <f t="shared" si="35"/>
        <v>15000</v>
      </c>
      <c r="K87" s="99">
        <f t="shared" si="35"/>
        <v>15000</v>
      </c>
      <c r="L87" s="99">
        <f t="shared" si="35"/>
        <v>15000</v>
      </c>
      <c r="M87" s="99">
        <f t="shared" si="35"/>
        <v>15000</v>
      </c>
      <c r="N87" s="99">
        <f t="shared" si="35"/>
        <v>15000</v>
      </c>
      <c r="O87" s="99">
        <f t="shared" si="35"/>
        <v>15000</v>
      </c>
      <c r="P87" s="99">
        <f t="shared" si="35"/>
        <v>15000</v>
      </c>
      <c r="Q87" s="99">
        <f t="shared" si="35"/>
        <v>15000</v>
      </c>
      <c r="R87" s="99">
        <f t="shared" si="35"/>
        <v>15000</v>
      </c>
      <c r="S87" s="99">
        <f t="shared" si="35"/>
        <v>15000</v>
      </c>
      <c r="T87" s="99">
        <f t="shared" si="35"/>
        <v>15000</v>
      </c>
      <c r="U87" s="99">
        <f t="shared" si="35"/>
        <v>15000</v>
      </c>
      <c r="V87" s="99">
        <f t="shared" si="35"/>
        <v>15000</v>
      </c>
      <c r="W87" s="99">
        <f t="shared" si="35"/>
        <v>15000</v>
      </c>
      <c r="X87" s="99">
        <f t="shared" si="35"/>
        <v>15000</v>
      </c>
      <c r="Y87" s="99">
        <f t="shared" si="35"/>
        <v>15000</v>
      </c>
      <c r="Z87" s="99">
        <f t="shared" si="35"/>
        <v>15000</v>
      </c>
      <c r="AA87" s="99">
        <f t="shared" si="35"/>
        <v>15000</v>
      </c>
      <c r="AB87" s="99">
        <f t="shared" si="35"/>
        <v>15000</v>
      </c>
      <c r="AC87" s="99">
        <f t="shared" si="35"/>
        <v>15000</v>
      </c>
      <c r="AD87" s="99">
        <f t="shared" si="35"/>
        <v>15000</v>
      </c>
      <c r="AE87" s="99">
        <f t="shared" si="35"/>
        <v>15000</v>
      </c>
      <c r="AF87" s="99">
        <f t="shared" si="35"/>
        <v>15000</v>
      </c>
      <c r="AG87" s="99">
        <f t="shared" si="35"/>
        <v>15000</v>
      </c>
      <c r="AH87" s="99">
        <f t="shared" si="35"/>
        <v>15000</v>
      </c>
      <c r="AI87" s="99">
        <f t="shared" si="35"/>
        <v>15000</v>
      </c>
      <c r="AJ87" s="99">
        <f t="shared" si="35"/>
        <v>15000</v>
      </c>
      <c r="AK87" s="99">
        <f t="shared" si="35"/>
        <v>15000</v>
      </c>
      <c r="AL87" s="99">
        <f t="shared" si="35"/>
        <v>15000</v>
      </c>
      <c r="AM87" s="99">
        <f t="shared" si="35"/>
        <v>15000</v>
      </c>
      <c r="AN87" s="99">
        <f t="shared" si="35"/>
        <v>15000</v>
      </c>
      <c r="AO87" s="99">
        <f t="shared" si="35"/>
        <v>15000</v>
      </c>
      <c r="AP87" s="99">
        <f t="shared" si="35"/>
        <v>15000</v>
      </c>
      <c r="AQ87" s="99">
        <f t="shared" si="35"/>
        <v>15000</v>
      </c>
      <c r="AR87" s="99">
        <f t="shared" si="35"/>
        <v>15000</v>
      </c>
      <c r="AS87" s="99">
        <f t="shared" si="35"/>
        <v>15000</v>
      </c>
      <c r="AT87" s="99">
        <f t="shared" si="35"/>
        <v>15000</v>
      </c>
      <c r="AU87" s="99">
        <f t="shared" si="35"/>
        <v>15000</v>
      </c>
      <c r="AV87" s="99">
        <f t="shared" si="35"/>
        <v>15000</v>
      </c>
      <c r="AW87" s="99">
        <f t="shared" si="35"/>
        <v>15000</v>
      </c>
      <c r="AX87" s="99">
        <f t="shared" si="35"/>
        <v>15000</v>
      </c>
      <c r="AY87" s="99">
        <f t="shared" si="35"/>
        <v>15000</v>
      </c>
      <c r="AZ87" s="99">
        <f t="shared" si="35"/>
        <v>15000</v>
      </c>
      <c r="BA87" s="99">
        <f t="shared" si="35"/>
        <v>15000</v>
      </c>
      <c r="BB87" s="99">
        <f t="shared" si="35"/>
        <v>15000</v>
      </c>
      <c r="BC87" s="99">
        <f t="shared" si="35"/>
        <v>15000</v>
      </c>
      <c r="BD87" s="99">
        <f t="shared" si="35"/>
        <v>15000</v>
      </c>
      <c r="BE87" s="99">
        <f t="shared" si="35"/>
        <v>15000</v>
      </c>
      <c r="BF87" s="99">
        <f t="shared" si="35"/>
        <v>15000</v>
      </c>
      <c r="BG87" s="99">
        <f t="shared" si="35"/>
        <v>15000</v>
      </c>
      <c r="BH87" s="99">
        <f t="shared" si="35"/>
        <v>15000</v>
      </c>
      <c r="BI87" s="99">
        <f t="shared" si="35"/>
        <v>15000</v>
      </c>
      <c r="BJ87" s="99">
        <f t="shared" si="35"/>
        <v>15000</v>
      </c>
    </row>
    <row r="89" spans="1:62">
      <c r="A89" s="102" t="s">
        <v>10</v>
      </c>
    </row>
    <row r="90" spans="1:62">
      <c r="A90" s="82" t="s">
        <v>21</v>
      </c>
    </row>
    <row r="91" spans="1:62">
      <c r="A91" s="118" t="s">
        <v>258</v>
      </c>
      <c r="C91" s="81">
        <f>'Financial Statements &amp; Detail'!C105</f>
        <v>275</v>
      </c>
      <c r="D91" s="81">
        <f>'Financial Statements &amp; Detail'!D105</f>
        <v>275</v>
      </c>
      <c r="E91" s="81">
        <f>'Financial Statements &amp; Detail'!E105</f>
        <v>275</v>
      </c>
      <c r="F91" s="81">
        <f>'Financial Statements &amp; Detail'!F105</f>
        <v>275</v>
      </c>
      <c r="G91" s="81">
        <f>'Financial Statements &amp; Detail'!G105</f>
        <v>275</v>
      </c>
      <c r="H91" s="81">
        <f>'Financial Statements &amp; Detail'!H105</f>
        <v>275</v>
      </c>
      <c r="I91" s="81">
        <f>'Financial Statements &amp; Detail'!I105</f>
        <v>275</v>
      </c>
      <c r="J91" s="81">
        <f>'Financial Statements &amp; Detail'!J105</f>
        <v>275</v>
      </c>
      <c r="K91" s="81">
        <f>'Financial Statements &amp; Detail'!K105</f>
        <v>275</v>
      </c>
      <c r="L91" s="81">
        <f>'Financial Statements &amp; Detail'!L105</f>
        <v>275</v>
      </c>
      <c r="M91" s="81">
        <f>'Financial Statements &amp; Detail'!M105</f>
        <v>275</v>
      </c>
      <c r="N91" s="81">
        <f>'Financial Statements &amp; Detail'!N105</f>
        <v>275</v>
      </c>
      <c r="O91" s="81">
        <f>'Financial Statements &amp; Detail'!O105</f>
        <v>275</v>
      </c>
      <c r="P91" s="81">
        <f>'Financial Statements &amp; Detail'!P105</f>
        <v>275</v>
      </c>
      <c r="Q91" s="81">
        <f>'Financial Statements &amp; Detail'!Q105</f>
        <v>275</v>
      </c>
      <c r="R91" s="81">
        <f>'Financial Statements &amp; Detail'!R105</f>
        <v>275</v>
      </c>
      <c r="S91" s="81">
        <f>'Financial Statements &amp; Detail'!S105</f>
        <v>275</v>
      </c>
      <c r="T91" s="81">
        <f>'Financial Statements &amp; Detail'!T105</f>
        <v>275</v>
      </c>
      <c r="U91" s="81">
        <f>'Financial Statements &amp; Detail'!U105</f>
        <v>275</v>
      </c>
      <c r="V91" s="81">
        <f>'Financial Statements &amp; Detail'!V105</f>
        <v>275</v>
      </c>
      <c r="W91" s="81">
        <f>'Financial Statements &amp; Detail'!W105</f>
        <v>275</v>
      </c>
      <c r="X91" s="81">
        <f>'Financial Statements &amp; Detail'!X105</f>
        <v>275</v>
      </c>
      <c r="Y91" s="81">
        <f>'Financial Statements &amp; Detail'!Y105</f>
        <v>275</v>
      </c>
      <c r="Z91" s="81">
        <f>'Financial Statements &amp; Detail'!Z105</f>
        <v>275</v>
      </c>
      <c r="AA91" s="81">
        <f>'Financial Statements &amp; Detail'!AA105</f>
        <v>600</v>
      </c>
      <c r="AB91" s="81">
        <f>'Financial Statements &amp; Detail'!AB105</f>
        <v>600</v>
      </c>
      <c r="AC91" s="81">
        <f>'Financial Statements &amp; Detail'!AC105</f>
        <v>600</v>
      </c>
      <c r="AD91" s="81">
        <f>'Financial Statements &amp; Detail'!AD105</f>
        <v>600</v>
      </c>
      <c r="AE91" s="81">
        <f>'Financial Statements &amp; Detail'!AE105</f>
        <v>600</v>
      </c>
      <c r="AF91" s="81">
        <f>'Financial Statements &amp; Detail'!AF105</f>
        <v>600</v>
      </c>
      <c r="AG91" s="81">
        <f>'Financial Statements &amp; Detail'!AG105</f>
        <v>600</v>
      </c>
      <c r="AH91" s="81">
        <f>'Financial Statements &amp; Detail'!AH105</f>
        <v>600</v>
      </c>
      <c r="AI91" s="81">
        <f>'Financial Statements &amp; Detail'!AI105</f>
        <v>600</v>
      </c>
      <c r="AJ91" s="81">
        <f>'Financial Statements &amp; Detail'!AJ105</f>
        <v>600</v>
      </c>
      <c r="AK91" s="81">
        <f>'Financial Statements &amp; Detail'!AK105</f>
        <v>600</v>
      </c>
      <c r="AL91" s="81">
        <f>'Financial Statements &amp; Detail'!AL105</f>
        <v>600</v>
      </c>
      <c r="AM91" s="81">
        <f>'Financial Statements &amp; Detail'!AM105</f>
        <v>1016.6666666666666</v>
      </c>
      <c r="AN91" s="81">
        <f>'Financial Statements &amp; Detail'!AN105</f>
        <v>1016.6666666666666</v>
      </c>
      <c r="AO91" s="81">
        <f>'Financial Statements &amp; Detail'!AO105</f>
        <v>1016.6666666666666</v>
      </c>
      <c r="AP91" s="81">
        <f>'Financial Statements &amp; Detail'!AP105</f>
        <v>1016.6666666666666</v>
      </c>
      <c r="AQ91" s="81">
        <f>'Financial Statements &amp; Detail'!AQ105</f>
        <v>1016.6666666666666</v>
      </c>
      <c r="AR91" s="81">
        <f>'Financial Statements &amp; Detail'!AR105</f>
        <v>1016.6666666666666</v>
      </c>
      <c r="AS91" s="81">
        <f>'Financial Statements &amp; Detail'!AS105</f>
        <v>1016.6666666666666</v>
      </c>
      <c r="AT91" s="81">
        <f>'Financial Statements &amp; Detail'!AT105</f>
        <v>1016.6666666666666</v>
      </c>
      <c r="AU91" s="81">
        <f>'Financial Statements &amp; Detail'!AU105</f>
        <v>1016.6666666666666</v>
      </c>
      <c r="AV91" s="81">
        <f>'Financial Statements &amp; Detail'!AV105</f>
        <v>1016.6666666666666</v>
      </c>
      <c r="AW91" s="81">
        <f>'Financial Statements &amp; Detail'!AW105</f>
        <v>1016.6666666666666</v>
      </c>
      <c r="AX91" s="81">
        <f>'Financial Statements &amp; Detail'!AX105</f>
        <v>1016.6666666666666</v>
      </c>
      <c r="AY91" s="81">
        <f>'Financial Statements &amp; Detail'!AY105</f>
        <v>1433.3333333333333</v>
      </c>
      <c r="AZ91" s="81">
        <f>'Financial Statements &amp; Detail'!AZ105</f>
        <v>1433.3333333333333</v>
      </c>
      <c r="BA91" s="81">
        <f>'Financial Statements &amp; Detail'!BA105</f>
        <v>1433.3333333333333</v>
      </c>
      <c r="BB91" s="81">
        <f>'Financial Statements &amp; Detail'!BB105</f>
        <v>1433.3333333333333</v>
      </c>
      <c r="BC91" s="81">
        <f>'Financial Statements &amp; Detail'!BC105</f>
        <v>1433.3333333333333</v>
      </c>
      <c r="BD91" s="81">
        <f>'Financial Statements &amp; Detail'!BD105</f>
        <v>1433.3333333333333</v>
      </c>
      <c r="BE91" s="81">
        <f>'Financial Statements &amp; Detail'!BE105</f>
        <v>1433.3333333333333</v>
      </c>
      <c r="BF91" s="81">
        <f>'Financial Statements &amp; Detail'!BF105</f>
        <v>1433.3333333333333</v>
      </c>
      <c r="BG91" s="81">
        <f>'Financial Statements &amp; Detail'!BG105</f>
        <v>1433.3333333333333</v>
      </c>
      <c r="BH91" s="81">
        <f>'Financial Statements &amp; Detail'!BH105</f>
        <v>1433.3333333333333</v>
      </c>
      <c r="BI91" s="81">
        <f>'Financial Statements &amp; Detail'!BI105</f>
        <v>1433.3333333333333</v>
      </c>
      <c r="BJ91" s="81">
        <f>'Financial Statements &amp; Detail'!BJ105</f>
        <v>1433.3333333333333</v>
      </c>
    </row>
    <row r="92" spans="1:62">
      <c r="A92" s="118" t="s">
        <v>138</v>
      </c>
      <c r="C92" s="81">
        <f>Cable_Customer_Acquisition_Cost*OPEX!C91</f>
        <v>1375</v>
      </c>
      <c r="D92" s="81">
        <f>Cable_Customer_Acquisition_Cost*OPEX!D91</f>
        <v>1375</v>
      </c>
      <c r="E92" s="81">
        <f>Cable_Customer_Acquisition_Cost*OPEX!E91</f>
        <v>1375</v>
      </c>
      <c r="F92" s="81">
        <f>Cable_Customer_Acquisition_Cost*OPEX!F91</f>
        <v>1375</v>
      </c>
      <c r="G92" s="81">
        <f>Cable_Customer_Acquisition_Cost*OPEX!G91</f>
        <v>1375</v>
      </c>
      <c r="H92" s="81">
        <f>Cable_Customer_Acquisition_Cost*OPEX!H91</f>
        <v>1375</v>
      </c>
      <c r="I92" s="81">
        <f>Cable_Customer_Acquisition_Cost*OPEX!I91</f>
        <v>1375</v>
      </c>
      <c r="J92" s="81">
        <f>Cable_Customer_Acquisition_Cost*OPEX!J91</f>
        <v>1375</v>
      </c>
      <c r="K92" s="81">
        <f>Cable_Customer_Acquisition_Cost*OPEX!K91</f>
        <v>1375</v>
      </c>
      <c r="L92" s="81">
        <f>Cable_Customer_Acquisition_Cost*OPEX!L91</f>
        <v>1375</v>
      </c>
      <c r="M92" s="81">
        <f>Cable_Customer_Acquisition_Cost*OPEX!M91</f>
        <v>1375</v>
      </c>
      <c r="N92" s="81">
        <f>Cable_Customer_Acquisition_Cost*OPEX!N91</f>
        <v>1375</v>
      </c>
      <c r="O92" s="81">
        <f>Cable_Customer_Acquisition_Cost*OPEX!O91</f>
        <v>1375</v>
      </c>
      <c r="P92" s="81">
        <f>Cable_Customer_Acquisition_Cost*OPEX!P91</f>
        <v>1375</v>
      </c>
      <c r="Q92" s="81">
        <f>Cable_Customer_Acquisition_Cost*OPEX!Q91</f>
        <v>1375</v>
      </c>
      <c r="R92" s="81">
        <f>Cable_Customer_Acquisition_Cost*OPEX!R91</f>
        <v>1375</v>
      </c>
      <c r="S92" s="81">
        <f>Cable_Customer_Acquisition_Cost*OPEX!S91</f>
        <v>1375</v>
      </c>
      <c r="T92" s="81">
        <f>Cable_Customer_Acquisition_Cost*OPEX!T91</f>
        <v>1375</v>
      </c>
      <c r="U92" s="81">
        <f>Cable_Customer_Acquisition_Cost*OPEX!U91</f>
        <v>1375</v>
      </c>
      <c r="V92" s="81">
        <f>Cable_Customer_Acquisition_Cost*OPEX!V91</f>
        <v>1375</v>
      </c>
      <c r="W92" s="81">
        <f>Cable_Customer_Acquisition_Cost*OPEX!W91</f>
        <v>1375</v>
      </c>
      <c r="X92" s="81">
        <f>Cable_Customer_Acquisition_Cost*OPEX!X91</f>
        <v>1375</v>
      </c>
      <c r="Y92" s="81">
        <f>Cable_Customer_Acquisition_Cost*OPEX!Y91</f>
        <v>1375</v>
      </c>
      <c r="Z92" s="81">
        <f>Cable_Customer_Acquisition_Cost*OPEX!Z91</f>
        <v>1375</v>
      </c>
      <c r="AA92" s="81">
        <f>Cable_Customer_Acquisition_Cost*OPEX!AA91</f>
        <v>3000</v>
      </c>
      <c r="AB92" s="81">
        <f>Cable_Customer_Acquisition_Cost*OPEX!AB91</f>
        <v>3000</v>
      </c>
      <c r="AC92" s="81">
        <f>Cable_Customer_Acquisition_Cost*OPEX!AC91</f>
        <v>3000</v>
      </c>
      <c r="AD92" s="81">
        <f>Cable_Customer_Acquisition_Cost*OPEX!AD91</f>
        <v>3000</v>
      </c>
      <c r="AE92" s="81">
        <f>Cable_Customer_Acquisition_Cost*OPEX!AE91</f>
        <v>3000</v>
      </c>
      <c r="AF92" s="81">
        <f>Cable_Customer_Acquisition_Cost*OPEX!AF91</f>
        <v>3000</v>
      </c>
      <c r="AG92" s="81">
        <f>Cable_Customer_Acquisition_Cost*OPEX!AG91</f>
        <v>3000</v>
      </c>
      <c r="AH92" s="81">
        <f>Cable_Customer_Acquisition_Cost*OPEX!AH91</f>
        <v>3000</v>
      </c>
      <c r="AI92" s="81">
        <f>Cable_Customer_Acquisition_Cost*OPEX!AI91</f>
        <v>3000</v>
      </c>
      <c r="AJ92" s="81">
        <f>Cable_Customer_Acquisition_Cost*OPEX!AJ91</f>
        <v>3000</v>
      </c>
      <c r="AK92" s="81">
        <f>Cable_Customer_Acquisition_Cost*OPEX!AK91</f>
        <v>3000</v>
      </c>
      <c r="AL92" s="81">
        <f>Cable_Customer_Acquisition_Cost*OPEX!AL91</f>
        <v>3000</v>
      </c>
      <c r="AM92" s="81">
        <f>Cable_Customer_Acquisition_Cost*OPEX!AM91</f>
        <v>5083.333333333333</v>
      </c>
      <c r="AN92" s="81">
        <f>Cable_Customer_Acquisition_Cost*OPEX!AN91</f>
        <v>5083.333333333333</v>
      </c>
      <c r="AO92" s="81">
        <f>Cable_Customer_Acquisition_Cost*OPEX!AO91</f>
        <v>5083.333333333333</v>
      </c>
      <c r="AP92" s="81">
        <f>Cable_Customer_Acquisition_Cost*OPEX!AP91</f>
        <v>5083.333333333333</v>
      </c>
      <c r="AQ92" s="81">
        <f>Cable_Customer_Acquisition_Cost*OPEX!AQ91</f>
        <v>5083.333333333333</v>
      </c>
      <c r="AR92" s="81">
        <f>Cable_Customer_Acquisition_Cost*OPEX!AR91</f>
        <v>5083.333333333333</v>
      </c>
      <c r="AS92" s="81">
        <f>Cable_Customer_Acquisition_Cost*OPEX!AS91</f>
        <v>5083.333333333333</v>
      </c>
      <c r="AT92" s="81">
        <f>Cable_Customer_Acquisition_Cost*OPEX!AT91</f>
        <v>5083.333333333333</v>
      </c>
      <c r="AU92" s="81">
        <f>Cable_Customer_Acquisition_Cost*OPEX!AU91</f>
        <v>5083.333333333333</v>
      </c>
      <c r="AV92" s="81">
        <f>Cable_Customer_Acquisition_Cost*OPEX!AV91</f>
        <v>5083.333333333333</v>
      </c>
      <c r="AW92" s="81">
        <f>Cable_Customer_Acquisition_Cost*OPEX!AW91</f>
        <v>5083.333333333333</v>
      </c>
      <c r="AX92" s="81">
        <f>Cable_Customer_Acquisition_Cost*OPEX!AX91</f>
        <v>5083.333333333333</v>
      </c>
      <c r="AY92" s="81">
        <f>Cable_Customer_Acquisition_Cost*OPEX!AY91</f>
        <v>7166.6666666666661</v>
      </c>
      <c r="AZ92" s="81">
        <f>Cable_Customer_Acquisition_Cost*OPEX!AZ91</f>
        <v>7166.6666666666661</v>
      </c>
      <c r="BA92" s="81">
        <f>Cable_Customer_Acquisition_Cost*OPEX!BA91</f>
        <v>7166.6666666666661</v>
      </c>
      <c r="BB92" s="81">
        <f>Cable_Customer_Acquisition_Cost*OPEX!BB91</f>
        <v>7166.6666666666661</v>
      </c>
      <c r="BC92" s="81">
        <f>Cable_Customer_Acquisition_Cost*OPEX!BC91</f>
        <v>7166.6666666666661</v>
      </c>
      <c r="BD92" s="81">
        <f>Cable_Customer_Acquisition_Cost*OPEX!BD91</f>
        <v>7166.6666666666661</v>
      </c>
      <c r="BE92" s="81">
        <f>Cable_Customer_Acquisition_Cost*OPEX!BE91</f>
        <v>7166.6666666666661</v>
      </c>
      <c r="BF92" s="81">
        <f>Cable_Customer_Acquisition_Cost*OPEX!BF91</f>
        <v>7166.6666666666661</v>
      </c>
      <c r="BG92" s="81">
        <f>Cable_Customer_Acquisition_Cost*OPEX!BG91</f>
        <v>7166.6666666666661</v>
      </c>
      <c r="BH92" s="81">
        <f>Cable_Customer_Acquisition_Cost*OPEX!BH91</f>
        <v>7166.6666666666661</v>
      </c>
      <c r="BI92" s="81">
        <f>Cable_Customer_Acquisition_Cost*OPEX!BI91</f>
        <v>7166.6666666666661</v>
      </c>
      <c r="BJ92" s="81">
        <f>Cable_Customer_Acquisition_Cost*OPEX!BJ91</f>
        <v>7166.6666666666661</v>
      </c>
    </row>
    <row r="93" spans="1:62">
      <c r="A93" s="82" t="s">
        <v>23</v>
      </c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</row>
    <row r="94" spans="1:62">
      <c r="A94" s="118" t="s">
        <v>258</v>
      </c>
      <c r="C94" s="81">
        <f>MAX('Financial Statements &amp; Detail'!C115-'Financial Statements &amp; Detail'!B115,0)</f>
        <v>4826.25</v>
      </c>
      <c r="D94" s="81">
        <f>MAX('Financial Statements &amp; Detail'!D115-'Financial Statements &amp; Detail'!C115,0)</f>
        <v>96.524999999999636</v>
      </c>
      <c r="E94" s="81">
        <f>MAX('Financial Statements &amp; Detail'!E115-'Financial Statements &amp; Detail'!D115,0)</f>
        <v>93.629249999999956</v>
      </c>
      <c r="F94" s="81">
        <f>MAX('Financial Statements &amp; Detail'!F115-'Financial Statements &amp; Detail'!E115,0)</f>
        <v>90.820372500000303</v>
      </c>
      <c r="G94" s="81">
        <f>MAX('Financial Statements &amp; Detail'!G115-'Financial Statements &amp; Detail'!F115,0)</f>
        <v>88.09576132499933</v>
      </c>
      <c r="H94" s="81">
        <f>MAX('Financial Statements &amp; Detail'!H115-'Financial Statements &amp; Detail'!G115,0)</f>
        <v>85.452888485250696</v>
      </c>
      <c r="I94" s="81">
        <f>MAX('Financial Statements &amp; Detail'!I115-'Financial Statements &amp; Detail'!H115,0)</f>
        <v>82.889301830692602</v>
      </c>
      <c r="J94" s="81">
        <f>MAX('Financial Statements &amp; Detail'!J115-'Financial Statements &amp; Detail'!I115,0)</f>
        <v>80.402622775772215</v>
      </c>
      <c r="K94" s="81">
        <f>MAX('Financial Statements &amp; Detail'!K115-'Financial Statements &amp; Detail'!J115,0)</f>
        <v>77.990544092497657</v>
      </c>
      <c r="L94" s="81">
        <f>MAX('Financial Statements &amp; Detail'!L115-'Financial Statements &amp; Detail'!K115,0)</f>
        <v>75.650827769723946</v>
      </c>
      <c r="M94" s="81">
        <f>MAX('Financial Statements &amp; Detail'!M115-'Financial Statements &amp; Detail'!L115,0)</f>
        <v>73.381302936631982</v>
      </c>
      <c r="N94" s="81">
        <f>MAX('Financial Statements &amp; Detail'!N115-'Financial Statements &amp; Detail'!M115,0)</f>
        <v>71.179863848533387</v>
      </c>
      <c r="O94" s="81">
        <f>MAX('Financial Statements &amp; Detail'!O115-'Financial Statements &amp; Detail'!N115,0)</f>
        <v>69.044467933077613</v>
      </c>
      <c r="P94" s="81">
        <f>MAX('Financial Statements &amp; Detail'!P115-'Financial Statements &amp; Detail'!O115,0)</f>
        <v>3602.5668838950869</v>
      </c>
      <c r="Q94" s="81">
        <f>MAX('Financial Statements &amp; Detail'!Q115-'Financial Statements &amp; Detail'!P115,0)</f>
        <v>0</v>
      </c>
      <c r="R94" s="81">
        <f>MAX('Financial Statements &amp; Detail'!R115-'Financial Statements &amp; Detail'!Q115,0)</f>
        <v>0</v>
      </c>
      <c r="S94" s="81">
        <f>MAX('Financial Statements &amp; Detail'!S115-'Financial Statements &amp; Detail'!R115,0)</f>
        <v>3504.0499006251812</v>
      </c>
      <c r="T94" s="81">
        <f>MAX('Financial Statements &amp; Detail'!T115-'Financial Statements &amp; Detail'!S115,0)</f>
        <v>0</v>
      </c>
      <c r="U94" s="81">
        <f>MAX('Financial Statements &amp; Detail'!U115-'Financial Statements &amp; Detail'!T115,0)</f>
        <v>0</v>
      </c>
      <c r="V94" s="81">
        <f>MAX('Financial Statements &amp; Detail'!V115-'Financial Statements &amp; Detail'!U115,0)</f>
        <v>3414.1361099532805</v>
      </c>
      <c r="W94" s="81">
        <f>MAX('Financial Statements &amp; Detail'!W115-'Financial Statements &amp; Detail'!V115,0)</f>
        <v>0</v>
      </c>
      <c r="X94" s="81">
        <f>MAX('Financial Statements &amp; Detail'!X115-'Financial Statements &amp; Detail'!W115,0)</f>
        <v>0</v>
      </c>
      <c r="Y94" s="81">
        <f>MAX('Financial Statements &amp; Detail'!Y115-'Financial Statements &amp; Detail'!X115,0)</f>
        <v>0</v>
      </c>
      <c r="Z94" s="81">
        <f>MAX('Financial Statements &amp; Detail'!Z115-'Financial Statements &amp; Detail'!Y115,0)</f>
        <v>0</v>
      </c>
      <c r="AA94" s="81">
        <f>MAX('Financial Statements &amp; Detail'!AA115-'Financial Statements &amp; Detail'!Z115,0)</f>
        <v>0</v>
      </c>
      <c r="AB94" s="81">
        <f>MAX('Financial Statements &amp; Detail'!AB115-'Financial Statements &amp; Detail'!AA115,0)</f>
        <v>3502.9772691426624</v>
      </c>
      <c r="AC94" s="81">
        <f>MAX('Financial Statements &amp; Detail'!AC115-'Financial Statements &amp; Detail'!AB115,0)</f>
        <v>0</v>
      </c>
      <c r="AD94" s="81">
        <f>MAX('Financial Statements &amp; Detail'!AD115-'Financial Statements &amp; Detail'!AC115,0)</f>
        <v>0</v>
      </c>
      <c r="AE94" s="81">
        <f>MAX('Financial Statements &amp; Detail'!AE115-'Financial Statements &amp; Detail'!AD115,0)</f>
        <v>3413.1571481602368</v>
      </c>
      <c r="AF94" s="81">
        <f>MAX('Financial Statements &amp; Detail'!AF115-'Financial Statements &amp; Detail'!AE115,0)</f>
        <v>0</v>
      </c>
      <c r="AG94" s="81">
        <f>MAX('Financial Statements &amp; Detail'!AG115-'Financial Statements &amp; Detail'!AF115,0)</f>
        <v>0</v>
      </c>
      <c r="AH94" s="81">
        <f>MAX('Financial Statements &amp; Detail'!AH115-'Financial Statements &amp; Detail'!AG115,0)</f>
        <v>3331.1807488828526</v>
      </c>
      <c r="AI94" s="81">
        <f>MAX('Financial Statements &amp; Detail'!AI115-'Financial Statements &amp; Detail'!AH115,0)</f>
        <v>0</v>
      </c>
      <c r="AJ94" s="81">
        <f>MAX('Financial Statements &amp; Detail'!AJ115-'Financial Statements &amp; Detail'!AI115,0)</f>
        <v>0</v>
      </c>
      <c r="AK94" s="81">
        <f>MAX('Financial Statements &amp; Detail'!AK115-'Financial Statements &amp; Detail'!AJ115,0)</f>
        <v>0</v>
      </c>
      <c r="AL94" s="81">
        <f>MAX('Financial Statements &amp; Detail'!AL115-'Financial Statements &amp; Detail'!AK115,0)</f>
        <v>0</v>
      </c>
      <c r="AM94" s="81">
        <f>MAX('Financial Statements &amp; Detail'!AM115-'Financial Statements &amp; Detail'!AL115,0)</f>
        <v>0</v>
      </c>
      <c r="AN94" s="81">
        <f>MAX('Financial Statements &amp; Detail'!AN115-'Financial Statements &amp; Detail'!AM115,0)</f>
        <v>3474.0965257122079</v>
      </c>
      <c r="AO94" s="81">
        <f>MAX('Financial Statements &amp; Detail'!AO115-'Financial Statements &amp; Detail'!AN115,0)</f>
        <v>0</v>
      </c>
      <c r="AP94" s="81">
        <f>MAX('Financial Statements &amp; Detail'!AP115-'Financial Statements &amp; Detail'!AO115,0)</f>
        <v>0</v>
      </c>
      <c r="AQ94" s="81">
        <f>MAX('Financial Statements &amp; Detail'!AQ115-'Financial Statements &amp; Detail'!AP115,0)</f>
        <v>3386.7984734113415</v>
      </c>
      <c r="AR94" s="81">
        <f>MAX('Financial Statements &amp; Detail'!AR115-'Financial Statements &amp; Detail'!AQ115,0)</f>
        <v>0</v>
      </c>
      <c r="AS94" s="81">
        <f>MAX('Financial Statements &amp; Detail'!AS115-'Financial Statements &amp; Detail'!AR115,0)</f>
        <v>0</v>
      </c>
      <c r="AT94" s="81">
        <f>MAX('Financial Statements &amp; Detail'!AT115-'Financial Statements &amp; Detail'!AS115,0)</f>
        <v>3307.1238981237439</v>
      </c>
      <c r="AU94" s="81">
        <f>MAX('Financial Statements &amp; Detail'!AU115-'Financial Statements &amp; Detail'!AT115,0)</f>
        <v>0</v>
      </c>
      <c r="AV94" s="81">
        <f>MAX('Financial Statements &amp; Detail'!AV115-'Financial Statements &amp; Detail'!AU115,0)</f>
        <v>0</v>
      </c>
      <c r="AW94" s="81">
        <f>MAX('Financial Statements &amp; Detail'!AW115-'Financial Statements &amp; Detail'!AV115,0)</f>
        <v>0</v>
      </c>
      <c r="AX94" s="81">
        <f>MAX('Financial Statements &amp; Detail'!AX115-'Financial Statements &amp; Detail'!AW115,0)</f>
        <v>0</v>
      </c>
      <c r="AY94" s="81">
        <f>MAX('Financial Statements &amp; Detail'!AY115-'Financial Statements &amp; Detail'!AX115,0)</f>
        <v>0</v>
      </c>
      <c r="AZ94" s="81">
        <f>MAX('Financial Statements &amp; Detail'!AZ115-'Financial Statements &amp; Detail'!AY115,0)</f>
        <v>3454.0578425031272</v>
      </c>
      <c r="BA94" s="81">
        <f>MAX('Financial Statements &amp; Detail'!BA115-'Financial Statements &amp; Detail'!AZ115,0)</f>
        <v>0</v>
      </c>
      <c r="BB94" s="81">
        <f>MAX('Financial Statements &amp; Detail'!BB115-'Financial Statements &amp; Detail'!BA115,0)</f>
        <v>0</v>
      </c>
      <c r="BC94" s="81">
        <f>MAX('Financial Statements &amp; Detail'!BC115-'Financial Statements &amp; Detail'!BB115,0)</f>
        <v>3368.5097082908469</v>
      </c>
      <c r="BD94" s="81">
        <f>MAX('Financial Statements &amp; Detail'!BD115-'Financial Statements &amp; Detail'!BC115,0)</f>
        <v>0</v>
      </c>
      <c r="BE94" s="81">
        <f>MAX('Financial Statements &amp; Detail'!BE115-'Financial Statements &amp; Detail'!BD115,0)</f>
        <v>0</v>
      </c>
      <c r="BF94" s="81">
        <f>MAX('Financial Statements &amp; Detail'!BF115-'Financial Statements &amp; Detail'!BE115,0)</f>
        <v>3290.4322359949365</v>
      </c>
      <c r="BG94" s="81">
        <f>MAX('Financial Statements &amp; Detail'!BG115-'Financial Statements &amp; Detail'!BF115,0)</f>
        <v>0</v>
      </c>
      <c r="BH94" s="81">
        <f>MAX('Financial Statements &amp; Detail'!BH115-'Financial Statements &amp; Detail'!BG115,0)</f>
        <v>0</v>
      </c>
      <c r="BI94" s="81">
        <f>MAX('Financial Statements &amp; Detail'!BI115-'Financial Statements &amp; Detail'!BH115,0)</f>
        <v>0</v>
      </c>
      <c r="BJ94" s="81">
        <f>MAX('Financial Statements &amp; Detail'!BJ115-'Financial Statements &amp; Detail'!BI115,0)</f>
        <v>0</v>
      </c>
    </row>
    <row r="95" spans="1:62">
      <c r="A95" s="118" t="s">
        <v>138</v>
      </c>
      <c r="C95" s="81">
        <f t="shared" ref="C95:AH95" si="36">C94*Voice_Customer_Acquisition_cost</f>
        <v>48262.5</v>
      </c>
      <c r="D95" s="81">
        <f t="shared" si="36"/>
        <v>965.24999999999636</v>
      </c>
      <c r="E95" s="81">
        <f t="shared" si="36"/>
        <v>936.29249999999956</v>
      </c>
      <c r="F95" s="81">
        <f t="shared" si="36"/>
        <v>908.20372500000303</v>
      </c>
      <c r="G95" s="81">
        <f t="shared" si="36"/>
        <v>880.9576132499933</v>
      </c>
      <c r="H95" s="81">
        <f t="shared" si="36"/>
        <v>854.52888485250696</v>
      </c>
      <c r="I95" s="81">
        <f t="shared" si="36"/>
        <v>828.89301830692602</v>
      </c>
      <c r="J95" s="81">
        <f t="shared" si="36"/>
        <v>804.02622775772215</v>
      </c>
      <c r="K95" s="81">
        <f t="shared" si="36"/>
        <v>779.90544092497657</v>
      </c>
      <c r="L95" s="81">
        <f t="shared" si="36"/>
        <v>756.50827769723946</v>
      </c>
      <c r="M95" s="81">
        <f t="shared" si="36"/>
        <v>733.81302936631982</v>
      </c>
      <c r="N95" s="81">
        <f t="shared" si="36"/>
        <v>711.79863848533387</v>
      </c>
      <c r="O95" s="81">
        <f t="shared" si="36"/>
        <v>690.44467933077613</v>
      </c>
      <c r="P95" s="81">
        <f t="shared" si="36"/>
        <v>36025.668838950871</v>
      </c>
      <c r="Q95" s="81">
        <f t="shared" si="36"/>
        <v>0</v>
      </c>
      <c r="R95" s="81">
        <f t="shared" si="36"/>
        <v>0</v>
      </c>
      <c r="S95" s="81">
        <f t="shared" si="36"/>
        <v>35040.499006251812</v>
      </c>
      <c r="T95" s="81">
        <f t="shared" si="36"/>
        <v>0</v>
      </c>
      <c r="U95" s="81">
        <f t="shared" si="36"/>
        <v>0</v>
      </c>
      <c r="V95" s="81">
        <f t="shared" si="36"/>
        <v>34141.361099532805</v>
      </c>
      <c r="W95" s="81">
        <f t="shared" si="36"/>
        <v>0</v>
      </c>
      <c r="X95" s="81">
        <f t="shared" si="36"/>
        <v>0</v>
      </c>
      <c r="Y95" s="81">
        <f t="shared" si="36"/>
        <v>0</v>
      </c>
      <c r="Z95" s="81">
        <f t="shared" si="36"/>
        <v>0</v>
      </c>
      <c r="AA95" s="81">
        <f t="shared" si="36"/>
        <v>0</v>
      </c>
      <c r="AB95" s="81">
        <f t="shared" si="36"/>
        <v>35029.772691426624</v>
      </c>
      <c r="AC95" s="81">
        <f t="shared" si="36"/>
        <v>0</v>
      </c>
      <c r="AD95" s="81">
        <f t="shared" si="36"/>
        <v>0</v>
      </c>
      <c r="AE95" s="81">
        <f t="shared" si="36"/>
        <v>34131.571481602368</v>
      </c>
      <c r="AF95" s="81">
        <f t="shared" si="36"/>
        <v>0</v>
      </c>
      <c r="AG95" s="81">
        <f t="shared" si="36"/>
        <v>0</v>
      </c>
      <c r="AH95" s="81">
        <f t="shared" si="36"/>
        <v>33311.807488828526</v>
      </c>
      <c r="AI95" s="81">
        <f t="shared" ref="AI95:BJ95" si="37">AI94*Voice_Customer_Acquisition_cost</f>
        <v>0</v>
      </c>
      <c r="AJ95" s="81">
        <f t="shared" si="37"/>
        <v>0</v>
      </c>
      <c r="AK95" s="81">
        <f t="shared" si="37"/>
        <v>0</v>
      </c>
      <c r="AL95" s="81">
        <f t="shared" si="37"/>
        <v>0</v>
      </c>
      <c r="AM95" s="81">
        <f t="shared" si="37"/>
        <v>0</v>
      </c>
      <c r="AN95" s="81">
        <f t="shared" si="37"/>
        <v>34740.965257122079</v>
      </c>
      <c r="AO95" s="81">
        <f t="shared" si="37"/>
        <v>0</v>
      </c>
      <c r="AP95" s="81">
        <f t="shared" si="37"/>
        <v>0</v>
      </c>
      <c r="AQ95" s="81">
        <f t="shared" si="37"/>
        <v>33867.984734113415</v>
      </c>
      <c r="AR95" s="81">
        <f t="shared" si="37"/>
        <v>0</v>
      </c>
      <c r="AS95" s="81">
        <f t="shared" si="37"/>
        <v>0</v>
      </c>
      <c r="AT95" s="81">
        <f t="shared" si="37"/>
        <v>33071.238981237439</v>
      </c>
      <c r="AU95" s="81">
        <f t="shared" si="37"/>
        <v>0</v>
      </c>
      <c r="AV95" s="81">
        <f t="shared" si="37"/>
        <v>0</v>
      </c>
      <c r="AW95" s="81">
        <f t="shared" si="37"/>
        <v>0</v>
      </c>
      <c r="AX95" s="81">
        <f t="shared" si="37"/>
        <v>0</v>
      </c>
      <c r="AY95" s="81">
        <f t="shared" si="37"/>
        <v>0</v>
      </c>
      <c r="AZ95" s="81">
        <f t="shared" si="37"/>
        <v>34540.578425031272</v>
      </c>
      <c r="BA95" s="81">
        <f t="shared" si="37"/>
        <v>0</v>
      </c>
      <c r="BB95" s="81">
        <f t="shared" si="37"/>
        <v>0</v>
      </c>
      <c r="BC95" s="81">
        <f t="shared" si="37"/>
        <v>33685.097082908469</v>
      </c>
      <c r="BD95" s="81">
        <f t="shared" si="37"/>
        <v>0</v>
      </c>
      <c r="BE95" s="81">
        <f t="shared" si="37"/>
        <v>0</v>
      </c>
      <c r="BF95" s="81">
        <f t="shared" si="37"/>
        <v>32904.322359949365</v>
      </c>
      <c r="BG95" s="81">
        <f t="shared" si="37"/>
        <v>0</v>
      </c>
      <c r="BH95" s="81">
        <f t="shared" si="37"/>
        <v>0</v>
      </c>
      <c r="BI95" s="81">
        <f t="shared" si="37"/>
        <v>0</v>
      </c>
      <c r="BJ95" s="81">
        <f t="shared" si="37"/>
        <v>0</v>
      </c>
    </row>
    <row r="96" spans="1:62">
      <c r="A96" s="82" t="s">
        <v>22</v>
      </c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1"/>
    </row>
    <row r="97" spans="1:62">
      <c r="A97" s="118" t="s">
        <v>258</v>
      </c>
      <c r="C97" s="81">
        <f>MAX('Financial Statements &amp; Detail'!C116-'Financial Statements &amp; Detail'!B116,0)</f>
        <v>5956.5</v>
      </c>
      <c r="D97" s="81">
        <f>MAX('Financial Statements &amp; Detail'!D116-'Financial Statements &amp; Detail'!C116,0)</f>
        <v>119.1299999999992</v>
      </c>
      <c r="E97" s="81">
        <f>MAX('Financial Statements &amp; Detail'!E116-'Financial Statements &amp; Detail'!D116,0)</f>
        <v>115.55609999999979</v>
      </c>
      <c r="F97" s="81">
        <f>MAX('Financial Statements &amp; Detail'!F116-'Financial Statements &amp; Detail'!E116,0)</f>
        <v>112.08941700000014</v>
      </c>
      <c r="G97" s="81">
        <f>MAX('Financial Statements &amp; Detail'!G116-'Financial Statements &amp; Detail'!F116,0)</f>
        <v>108.72673449000013</v>
      </c>
      <c r="H97" s="81">
        <f>MAX('Financial Statements &amp; Detail'!H116-'Financial Statements &amp; Detail'!G116,0)</f>
        <v>105.4649324553011</v>
      </c>
      <c r="I97" s="81">
        <f>MAX('Financial Statements &amp; Detail'!I116-'Financial Statements &amp; Detail'!H116,0)</f>
        <v>102.30098448164063</v>
      </c>
      <c r="J97" s="81">
        <f>MAX('Financial Statements &amp; Detail'!J116-'Financial Statements &amp; Detail'!I116,0)</f>
        <v>99.231954947192207</v>
      </c>
      <c r="K97" s="81">
        <f>MAX('Financial Statements &amp; Detail'!K116-'Financial Statements &amp; Detail'!J116,0)</f>
        <v>96.25499629877504</v>
      </c>
      <c r="L97" s="81">
        <f>MAX('Financial Statements &amp; Detail'!L116-'Financial Statements &amp; Detail'!K116,0)</f>
        <v>93.367346409813763</v>
      </c>
      <c r="M97" s="81">
        <f>MAX('Financial Statements &amp; Detail'!M116-'Financial Statements &amp; Detail'!L116,0)</f>
        <v>90.566326017517895</v>
      </c>
      <c r="N97" s="81">
        <f>MAX('Financial Statements &amp; Detail'!N116-'Financial Statements &amp; Detail'!M116,0)</f>
        <v>87.849336236993622</v>
      </c>
      <c r="O97" s="81">
        <f>MAX('Financial Statements &amp; Detail'!O116-'Financial Statements &amp; Detail'!N116,0)</f>
        <v>85.213856149883213</v>
      </c>
      <c r="P97" s="81">
        <f>MAX('Financial Statements &amp; Detail'!P116-'Financial Statements &amp; Detail'!O116,0)</f>
        <v>4446.2449404653871</v>
      </c>
      <c r="Q97" s="81">
        <f>MAX('Financial Statements &amp; Detail'!Q116-'Financial Statements &amp; Detail'!P116,0)</f>
        <v>0</v>
      </c>
      <c r="R97" s="81">
        <f>MAX('Financial Statements &amp; Detail'!R116-'Financial Statements &amp; Detail'!Q116,0)</f>
        <v>0</v>
      </c>
      <c r="S97" s="81">
        <f>MAX('Financial Statements &amp; Detail'!S116-'Financial Statements &amp; Detail'!R116,0)</f>
        <v>4324.6564585493688</v>
      </c>
      <c r="T97" s="81">
        <f>MAX('Financial Statements &amp; Detail'!T116-'Financial Statements &amp; Detail'!S116,0)</f>
        <v>0</v>
      </c>
      <c r="U97" s="81">
        <f>MAX('Financial Statements &amp; Detail'!U116-'Financial Statements &amp; Detail'!T116,0)</f>
        <v>0</v>
      </c>
      <c r="V97" s="81">
        <f>MAX('Financial Statements &amp; Detail'!V116-'Financial Statements &amp; Detail'!U116,0)</f>
        <v>4213.6859339936254</v>
      </c>
      <c r="W97" s="81">
        <f>MAX('Financial Statements &amp; Detail'!W116-'Financial Statements &amp; Detail'!V116,0)</f>
        <v>0</v>
      </c>
      <c r="X97" s="81">
        <f>MAX('Financial Statements &amp; Detail'!X116-'Financial Statements &amp; Detail'!W116,0)</f>
        <v>0</v>
      </c>
      <c r="Y97" s="81">
        <f>MAX('Financial Statements &amp; Detail'!Y116-'Financial Statements &amp; Detail'!X116,0)</f>
        <v>0</v>
      </c>
      <c r="Z97" s="81">
        <f>MAX('Financial Statements &amp; Detail'!Z116-'Financial Statements &amp; Detail'!Y116,0)</f>
        <v>0</v>
      </c>
      <c r="AA97" s="81">
        <f>MAX('Financial Statements &amp; Detail'!AA116-'Financial Statements &amp; Detail'!Z116,0)</f>
        <v>0</v>
      </c>
      <c r="AB97" s="81">
        <f>MAX('Financial Statements &amp; Detail'!AB116-'Financial Statements &amp; Detail'!AA116,0)</f>
        <v>4323.3326296085506</v>
      </c>
      <c r="AC97" s="81">
        <f>MAX('Financial Statements &amp; Detail'!AC116-'Financial Statements &amp; Detail'!AB116,0)</f>
        <v>0</v>
      </c>
      <c r="AD97" s="81">
        <f>MAX('Financial Statements &amp; Detail'!AD116-'Financial Statements &amp; Detail'!AC116,0)</f>
        <v>0</v>
      </c>
      <c r="AE97" s="81">
        <f>MAX('Financial Statements &amp; Detail'!AE116-'Financial Statements &amp; Detail'!AD116,0)</f>
        <v>4212.4777110627219</v>
      </c>
      <c r="AF97" s="81">
        <f>MAX('Financial Statements &amp; Detail'!AF116-'Financial Statements &amp; Detail'!AE116,0)</f>
        <v>0</v>
      </c>
      <c r="AG97" s="81">
        <f>MAX('Financial Statements &amp; Detail'!AG116-'Financial Statements &amp; Detail'!AF116,0)</f>
        <v>0</v>
      </c>
      <c r="AH97" s="81">
        <f>MAX('Financial Statements &amp; Detail'!AH116-'Financial Statements &amp; Detail'!AG116,0)</f>
        <v>4111.3034199887516</v>
      </c>
      <c r="AI97" s="81">
        <f>MAX('Financial Statements &amp; Detail'!AI116-'Financial Statements &amp; Detail'!AH116,0)</f>
        <v>0</v>
      </c>
      <c r="AJ97" s="81">
        <f>MAX('Financial Statements &amp; Detail'!AJ116-'Financial Statements &amp; Detail'!AI116,0)</f>
        <v>0</v>
      </c>
      <c r="AK97" s="81">
        <f>MAX('Financial Statements &amp; Detail'!AK116-'Financial Statements &amp; Detail'!AJ116,0)</f>
        <v>0</v>
      </c>
      <c r="AL97" s="81">
        <f>MAX('Financial Statements &amp; Detail'!AL116-'Financial Statements &amp; Detail'!AK116,0)</f>
        <v>0</v>
      </c>
      <c r="AM97" s="81">
        <f>MAX('Financial Statements &amp; Detail'!AM116-'Financial Statements &amp; Detail'!AL116,0)</f>
        <v>0</v>
      </c>
      <c r="AN97" s="81">
        <f>MAX('Financial Statements &amp; Detail'!AN116-'Financial Statements &amp; Detail'!AM116,0)</f>
        <v>4287.6883616482301</v>
      </c>
      <c r="AO97" s="81">
        <f>MAX('Financial Statements &amp; Detail'!AO116-'Financial Statements &amp; Detail'!AN116,0)</f>
        <v>0</v>
      </c>
      <c r="AP97" s="81">
        <f>MAX('Financial Statements &amp; Detail'!AP116-'Financial Statements &amp; Detail'!AO116,0)</f>
        <v>0</v>
      </c>
      <c r="AQ97" s="81">
        <f>MAX('Financial Statements &amp; Detail'!AQ116-'Financial Statements &amp; Detail'!AP116,0)</f>
        <v>4179.9461500905709</v>
      </c>
      <c r="AR97" s="81">
        <f>MAX('Financial Statements &amp; Detail'!AR116-'Financial Statements &amp; Detail'!AQ116,0)</f>
        <v>0</v>
      </c>
      <c r="AS97" s="81">
        <f>MAX('Financial Statements &amp; Detail'!AS116-'Financial Statements &amp; Detail'!AR116,0)</f>
        <v>0</v>
      </c>
      <c r="AT97" s="81">
        <f>MAX('Financial Statements &amp; Detail'!AT116-'Financial Statements &amp; Detail'!AS116,0)</f>
        <v>4081.6127426416133</v>
      </c>
      <c r="AU97" s="81">
        <f>MAX('Financial Statements &amp; Detail'!AU116-'Financial Statements &amp; Detail'!AT116,0)</f>
        <v>0</v>
      </c>
      <c r="AV97" s="81">
        <f>MAX('Financial Statements &amp; Detail'!AV116-'Financial Statements &amp; Detail'!AU116,0)</f>
        <v>0</v>
      </c>
      <c r="AW97" s="81">
        <f>MAX('Financial Statements &amp; Detail'!AW116-'Financial Statements &amp; Detail'!AV116,0)</f>
        <v>0</v>
      </c>
      <c r="AX97" s="81">
        <f>MAX('Financial Statements &amp; Detail'!AX116-'Financial Statements &amp; Detail'!AW116,0)</f>
        <v>0</v>
      </c>
      <c r="AY97" s="81">
        <f>MAX('Financial Statements &amp; Detail'!AY116-'Financial Statements &amp; Detail'!AX116,0)</f>
        <v>0</v>
      </c>
      <c r="AZ97" s="81">
        <f>MAX('Financial Statements &amp; Detail'!AZ116-'Financial Statements &amp; Detail'!AY116,0)</f>
        <v>4262.9568586106907</v>
      </c>
      <c r="BA97" s="81">
        <f>MAX('Financial Statements &amp; Detail'!BA116-'Financial Statements &amp; Detail'!AZ116,0)</f>
        <v>0</v>
      </c>
      <c r="BB97" s="81">
        <f>MAX('Financial Statements &amp; Detail'!BB116-'Financial Statements &amp; Detail'!BA116,0)</f>
        <v>0</v>
      </c>
      <c r="BC97" s="81">
        <f>MAX('Financial Statements &amp; Detail'!BC116-'Financial Statements &amp; Detail'!BB116,0)</f>
        <v>4157.3743750187932</v>
      </c>
      <c r="BD97" s="81">
        <f>MAX('Financial Statements &amp; Detail'!BD116-'Financial Statements &amp; Detail'!BC116,0)</f>
        <v>0</v>
      </c>
      <c r="BE97" s="81">
        <f>MAX('Financial Statements &amp; Detail'!BE116-'Financial Statements &amp; Detail'!BD116,0)</f>
        <v>0</v>
      </c>
      <c r="BF97" s="81">
        <f>MAX('Financial Statements &amp; Detail'!BF116-'Financial Statements &amp; Detail'!BE116,0)</f>
        <v>4061.0120929715267</v>
      </c>
      <c r="BG97" s="81">
        <f>MAX('Financial Statements &amp; Detail'!BG116-'Financial Statements &amp; Detail'!BF116,0)</f>
        <v>0</v>
      </c>
      <c r="BH97" s="81">
        <f>MAX('Financial Statements &amp; Detail'!BH116-'Financial Statements &amp; Detail'!BG116,0)</f>
        <v>0</v>
      </c>
      <c r="BI97" s="81">
        <f>MAX('Financial Statements &amp; Detail'!BI116-'Financial Statements &amp; Detail'!BH116,0)</f>
        <v>0</v>
      </c>
      <c r="BJ97" s="81">
        <f>MAX('Financial Statements &amp; Detail'!BJ116-'Financial Statements &amp; Detail'!BI116,0)</f>
        <v>0</v>
      </c>
    </row>
    <row r="98" spans="1:62">
      <c r="A98" s="118" t="s">
        <v>138</v>
      </c>
      <c r="C98" s="81">
        <f t="shared" ref="C98:AH98" si="38">C97*Data_Customer_Acquisition_cost</f>
        <v>29782.5</v>
      </c>
      <c r="D98" s="81">
        <f t="shared" si="38"/>
        <v>595.649999999996</v>
      </c>
      <c r="E98" s="81">
        <f t="shared" si="38"/>
        <v>577.78049999999894</v>
      </c>
      <c r="F98" s="81">
        <f t="shared" si="38"/>
        <v>560.4470850000007</v>
      </c>
      <c r="G98" s="81">
        <f t="shared" si="38"/>
        <v>543.63367245000063</v>
      </c>
      <c r="H98" s="81">
        <f t="shared" si="38"/>
        <v>527.32466227650548</v>
      </c>
      <c r="I98" s="81">
        <f t="shared" si="38"/>
        <v>511.50492240820313</v>
      </c>
      <c r="J98" s="81">
        <f t="shared" si="38"/>
        <v>496.15977473596104</v>
      </c>
      <c r="K98" s="81">
        <f t="shared" si="38"/>
        <v>481.2749814938752</v>
      </c>
      <c r="L98" s="81">
        <f t="shared" si="38"/>
        <v>466.83673204906881</v>
      </c>
      <c r="M98" s="81">
        <f t="shared" si="38"/>
        <v>452.83163008758947</v>
      </c>
      <c r="N98" s="81">
        <f t="shared" si="38"/>
        <v>439.24668118496811</v>
      </c>
      <c r="O98" s="81">
        <f t="shared" si="38"/>
        <v>426.06928074941607</v>
      </c>
      <c r="P98" s="81">
        <f t="shared" si="38"/>
        <v>22231.224702326937</v>
      </c>
      <c r="Q98" s="81">
        <f t="shared" si="38"/>
        <v>0</v>
      </c>
      <c r="R98" s="81">
        <f t="shared" si="38"/>
        <v>0</v>
      </c>
      <c r="S98" s="81">
        <f t="shared" si="38"/>
        <v>21623.282292746844</v>
      </c>
      <c r="T98" s="81">
        <f t="shared" si="38"/>
        <v>0</v>
      </c>
      <c r="U98" s="81">
        <f t="shared" si="38"/>
        <v>0</v>
      </c>
      <c r="V98" s="81">
        <f t="shared" si="38"/>
        <v>21068.429669968129</v>
      </c>
      <c r="W98" s="81">
        <f t="shared" si="38"/>
        <v>0</v>
      </c>
      <c r="X98" s="81">
        <f t="shared" si="38"/>
        <v>0</v>
      </c>
      <c r="Y98" s="81">
        <f t="shared" si="38"/>
        <v>0</v>
      </c>
      <c r="Z98" s="81">
        <f t="shared" si="38"/>
        <v>0</v>
      </c>
      <c r="AA98" s="81">
        <f t="shared" si="38"/>
        <v>0</v>
      </c>
      <c r="AB98" s="81">
        <f t="shared" si="38"/>
        <v>21616.663148042753</v>
      </c>
      <c r="AC98" s="81">
        <f t="shared" si="38"/>
        <v>0</v>
      </c>
      <c r="AD98" s="81">
        <f t="shared" si="38"/>
        <v>0</v>
      </c>
      <c r="AE98" s="81">
        <f t="shared" si="38"/>
        <v>21062.38855531361</v>
      </c>
      <c r="AF98" s="81">
        <f t="shared" si="38"/>
        <v>0</v>
      </c>
      <c r="AG98" s="81">
        <f t="shared" si="38"/>
        <v>0</v>
      </c>
      <c r="AH98" s="81">
        <f t="shared" si="38"/>
        <v>20556.517099943758</v>
      </c>
      <c r="AI98" s="81">
        <f t="shared" ref="AI98:BJ98" si="39">AI97*Data_Customer_Acquisition_cost</f>
        <v>0</v>
      </c>
      <c r="AJ98" s="81">
        <f t="shared" si="39"/>
        <v>0</v>
      </c>
      <c r="AK98" s="81">
        <f t="shared" si="39"/>
        <v>0</v>
      </c>
      <c r="AL98" s="81">
        <f t="shared" si="39"/>
        <v>0</v>
      </c>
      <c r="AM98" s="81">
        <f t="shared" si="39"/>
        <v>0</v>
      </c>
      <c r="AN98" s="81">
        <f t="shared" si="39"/>
        <v>21438.44180824115</v>
      </c>
      <c r="AO98" s="81">
        <f t="shared" si="39"/>
        <v>0</v>
      </c>
      <c r="AP98" s="81">
        <f t="shared" si="39"/>
        <v>0</v>
      </c>
      <c r="AQ98" s="81">
        <f t="shared" si="39"/>
        <v>20899.730750452854</v>
      </c>
      <c r="AR98" s="81">
        <f t="shared" si="39"/>
        <v>0</v>
      </c>
      <c r="AS98" s="81">
        <f t="shared" si="39"/>
        <v>0</v>
      </c>
      <c r="AT98" s="81">
        <f t="shared" si="39"/>
        <v>20408.063713208066</v>
      </c>
      <c r="AU98" s="81">
        <f t="shared" si="39"/>
        <v>0</v>
      </c>
      <c r="AV98" s="81">
        <f t="shared" si="39"/>
        <v>0</v>
      </c>
      <c r="AW98" s="81">
        <f t="shared" si="39"/>
        <v>0</v>
      </c>
      <c r="AX98" s="81">
        <f t="shared" si="39"/>
        <v>0</v>
      </c>
      <c r="AY98" s="81">
        <f t="shared" si="39"/>
        <v>0</v>
      </c>
      <c r="AZ98" s="81">
        <f t="shared" si="39"/>
        <v>21314.784293053453</v>
      </c>
      <c r="BA98" s="81">
        <f t="shared" si="39"/>
        <v>0</v>
      </c>
      <c r="BB98" s="81">
        <f t="shared" si="39"/>
        <v>0</v>
      </c>
      <c r="BC98" s="81">
        <f t="shared" si="39"/>
        <v>20786.871875093966</v>
      </c>
      <c r="BD98" s="81">
        <f t="shared" si="39"/>
        <v>0</v>
      </c>
      <c r="BE98" s="81">
        <f t="shared" si="39"/>
        <v>0</v>
      </c>
      <c r="BF98" s="81">
        <f t="shared" si="39"/>
        <v>20305.060464857634</v>
      </c>
      <c r="BG98" s="81">
        <f t="shared" si="39"/>
        <v>0</v>
      </c>
      <c r="BH98" s="81">
        <f t="shared" si="39"/>
        <v>0</v>
      </c>
      <c r="BI98" s="81">
        <f t="shared" si="39"/>
        <v>0</v>
      </c>
      <c r="BJ98" s="81">
        <f t="shared" si="39"/>
        <v>0</v>
      </c>
    </row>
    <row r="99" spans="1:62">
      <c r="A99" s="82" t="s">
        <v>259</v>
      </c>
      <c r="C99" s="99">
        <f>C92+C95+C98</f>
        <v>79420</v>
      </c>
      <c r="D99" s="99">
        <f t="shared" ref="D99:BJ99" si="40">D92+D95+D98</f>
        <v>2935.8999999999924</v>
      </c>
      <c r="E99" s="99">
        <f t="shared" si="40"/>
        <v>2889.0729999999985</v>
      </c>
      <c r="F99" s="99">
        <f t="shared" si="40"/>
        <v>2843.6508100000037</v>
      </c>
      <c r="G99" s="99">
        <f t="shared" si="40"/>
        <v>2799.5912856999939</v>
      </c>
      <c r="H99" s="99">
        <f t="shared" si="40"/>
        <v>2756.8535471290124</v>
      </c>
      <c r="I99" s="99">
        <f t="shared" si="40"/>
        <v>2715.3979407151292</v>
      </c>
      <c r="J99" s="99">
        <f t="shared" si="40"/>
        <v>2675.1860024936832</v>
      </c>
      <c r="K99" s="99">
        <f t="shared" si="40"/>
        <v>2636.1804224188518</v>
      </c>
      <c r="L99" s="99">
        <f t="shared" si="40"/>
        <v>2598.3450097463083</v>
      </c>
      <c r="M99" s="99">
        <f t="shared" si="40"/>
        <v>2561.6446594539093</v>
      </c>
      <c r="N99" s="99">
        <f t="shared" si="40"/>
        <v>2526.045319670302</v>
      </c>
      <c r="O99" s="99">
        <f t="shared" si="40"/>
        <v>2491.5139600801922</v>
      </c>
      <c r="P99" s="99">
        <f t="shared" si="40"/>
        <v>59631.893541277808</v>
      </c>
      <c r="Q99" s="99">
        <f t="shared" si="40"/>
        <v>1375</v>
      </c>
      <c r="R99" s="99">
        <f t="shared" si="40"/>
        <v>1375</v>
      </c>
      <c r="S99" s="99">
        <f t="shared" si="40"/>
        <v>58038.781298998656</v>
      </c>
      <c r="T99" s="99">
        <f t="shared" si="40"/>
        <v>1375</v>
      </c>
      <c r="U99" s="99">
        <f t="shared" si="40"/>
        <v>1375</v>
      </c>
      <c r="V99" s="99">
        <f t="shared" si="40"/>
        <v>56584.790769500934</v>
      </c>
      <c r="W99" s="99">
        <f t="shared" si="40"/>
        <v>1375</v>
      </c>
      <c r="X99" s="99">
        <f t="shared" si="40"/>
        <v>1375</v>
      </c>
      <c r="Y99" s="99">
        <f t="shared" si="40"/>
        <v>1375</v>
      </c>
      <c r="Z99" s="99">
        <f t="shared" si="40"/>
        <v>1375</v>
      </c>
      <c r="AA99" s="99">
        <f t="shared" si="40"/>
        <v>3000</v>
      </c>
      <c r="AB99" s="99">
        <f t="shared" si="40"/>
        <v>59646.435839469377</v>
      </c>
      <c r="AC99" s="99">
        <f t="shared" si="40"/>
        <v>3000</v>
      </c>
      <c r="AD99" s="99">
        <f t="shared" si="40"/>
        <v>3000</v>
      </c>
      <c r="AE99" s="99">
        <f t="shared" si="40"/>
        <v>58193.960036915974</v>
      </c>
      <c r="AF99" s="99">
        <f t="shared" si="40"/>
        <v>3000</v>
      </c>
      <c r="AG99" s="99">
        <f t="shared" si="40"/>
        <v>3000</v>
      </c>
      <c r="AH99" s="99">
        <f t="shared" si="40"/>
        <v>56868.324588772288</v>
      </c>
      <c r="AI99" s="99">
        <f t="shared" si="40"/>
        <v>3000</v>
      </c>
      <c r="AJ99" s="99">
        <f t="shared" si="40"/>
        <v>3000</v>
      </c>
      <c r="AK99" s="99">
        <f t="shared" si="40"/>
        <v>3000</v>
      </c>
      <c r="AL99" s="99">
        <f t="shared" si="40"/>
        <v>3000</v>
      </c>
      <c r="AM99" s="99">
        <f t="shared" si="40"/>
        <v>5083.333333333333</v>
      </c>
      <c r="AN99" s="99">
        <f t="shared" si="40"/>
        <v>61262.740398696566</v>
      </c>
      <c r="AO99" s="99">
        <f t="shared" si="40"/>
        <v>5083.333333333333</v>
      </c>
      <c r="AP99" s="99">
        <f t="shared" si="40"/>
        <v>5083.333333333333</v>
      </c>
      <c r="AQ99" s="99">
        <f t="shared" si="40"/>
        <v>59851.048817899602</v>
      </c>
      <c r="AR99" s="99">
        <f t="shared" si="40"/>
        <v>5083.333333333333</v>
      </c>
      <c r="AS99" s="99">
        <f t="shared" si="40"/>
        <v>5083.333333333333</v>
      </c>
      <c r="AT99" s="99">
        <f t="shared" si="40"/>
        <v>58562.636027778841</v>
      </c>
      <c r="AU99" s="99">
        <f t="shared" si="40"/>
        <v>5083.333333333333</v>
      </c>
      <c r="AV99" s="99">
        <f t="shared" si="40"/>
        <v>5083.333333333333</v>
      </c>
      <c r="AW99" s="99">
        <f t="shared" si="40"/>
        <v>5083.333333333333</v>
      </c>
      <c r="AX99" s="99">
        <f t="shared" si="40"/>
        <v>5083.333333333333</v>
      </c>
      <c r="AY99" s="99">
        <f t="shared" si="40"/>
        <v>7166.6666666666661</v>
      </c>
      <c r="AZ99" s="99">
        <f t="shared" si="40"/>
        <v>63022.029384751389</v>
      </c>
      <c r="BA99" s="99">
        <f t="shared" si="40"/>
        <v>7166.6666666666661</v>
      </c>
      <c r="BB99" s="99">
        <f t="shared" si="40"/>
        <v>7166.6666666666661</v>
      </c>
      <c r="BC99" s="99">
        <f t="shared" si="40"/>
        <v>61638.635624669099</v>
      </c>
      <c r="BD99" s="99">
        <f t="shared" si="40"/>
        <v>7166.6666666666661</v>
      </c>
      <c r="BE99" s="99">
        <f t="shared" si="40"/>
        <v>7166.6666666666661</v>
      </c>
      <c r="BF99" s="99">
        <f t="shared" si="40"/>
        <v>60376.049491473663</v>
      </c>
      <c r="BG99" s="99">
        <f t="shared" si="40"/>
        <v>7166.6666666666661</v>
      </c>
      <c r="BH99" s="99">
        <f t="shared" si="40"/>
        <v>7166.6666666666661</v>
      </c>
      <c r="BI99" s="99">
        <f t="shared" si="40"/>
        <v>7166.6666666666661</v>
      </c>
      <c r="BJ99" s="99">
        <f t="shared" si="40"/>
        <v>7166.6666666666661</v>
      </c>
    </row>
    <row r="101" spans="1:62">
      <c r="A101" s="102" t="s">
        <v>60</v>
      </c>
      <c r="B101" s="7">
        <v>2000</v>
      </c>
      <c r="C101" s="81">
        <f t="shared" ref="C101:N101" si="41">B101</f>
        <v>2000</v>
      </c>
      <c r="D101" s="81">
        <f t="shared" si="41"/>
        <v>2000</v>
      </c>
      <c r="E101" s="81">
        <f t="shared" si="41"/>
        <v>2000</v>
      </c>
      <c r="F101" s="81">
        <f t="shared" si="41"/>
        <v>2000</v>
      </c>
      <c r="G101" s="81">
        <f t="shared" si="41"/>
        <v>2000</v>
      </c>
      <c r="H101" s="81">
        <f t="shared" si="41"/>
        <v>2000</v>
      </c>
      <c r="I101" s="81">
        <f t="shared" si="41"/>
        <v>2000</v>
      </c>
      <c r="J101" s="81">
        <f t="shared" si="41"/>
        <v>2000</v>
      </c>
      <c r="K101" s="81">
        <f t="shared" si="41"/>
        <v>2000</v>
      </c>
      <c r="L101" s="81">
        <f t="shared" si="41"/>
        <v>2000</v>
      </c>
      <c r="M101" s="81">
        <f t="shared" si="41"/>
        <v>2000</v>
      </c>
      <c r="N101" s="81">
        <f t="shared" si="41"/>
        <v>2000</v>
      </c>
      <c r="O101" s="81">
        <f>C101+1000</f>
        <v>3000</v>
      </c>
      <c r="P101" s="81">
        <f t="shared" ref="P101:BJ101" si="42">D101+1000</f>
        <v>3000</v>
      </c>
      <c r="Q101" s="81">
        <f t="shared" si="42"/>
        <v>3000</v>
      </c>
      <c r="R101" s="81">
        <f t="shared" si="42"/>
        <v>3000</v>
      </c>
      <c r="S101" s="81">
        <f t="shared" si="42"/>
        <v>3000</v>
      </c>
      <c r="T101" s="81">
        <f t="shared" si="42"/>
        <v>3000</v>
      </c>
      <c r="U101" s="81">
        <f t="shared" si="42"/>
        <v>3000</v>
      </c>
      <c r="V101" s="81">
        <f t="shared" si="42"/>
        <v>3000</v>
      </c>
      <c r="W101" s="81">
        <f t="shared" si="42"/>
        <v>3000</v>
      </c>
      <c r="X101" s="81">
        <f t="shared" si="42"/>
        <v>3000</v>
      </c>
      <c r="Y101" s="81">
        <f t="shared" si="42"/>
        <v>3000</v>
      </c>
      <c r="Z101" s="81">
        <f t="shared" si="42"/>
        <v>3000</v>
      </c>
      <c r="AA101" s="81">
        <f t="shared" si="42"/>
        <v>4000</v>
      </c>
      <c r="AB101" s="81">
        <f t="shared" si="42"/>
        <v>4000</v>
      </c>
      <c r="AC101" s="81">
        <f t="shared" si="42"/>
        <v>4000</v>
      </c>
      <c r="AD101" s="81">
        <f t="shared" si="42"/>
        <v>4000</v>
      </c>
      <c r="AE101" s="81">
        <f t="shared" si="42"/>
        <v>4000</v>
      </c>
      <c r="AF101" s="81">
        <f t="shared" si="42"/>
        <v>4000</v>
      </c>
      <c r="AG101" s="81">
        <f t="shared" si="42"/>
        <v>4000</v>
      </c>
      <c r="AH101" s="81">
        <f t="shared" si="42"/>
        <v>4000</v>
      </c>
      <c r="AI101" s="81">
        <f t="shared" si="42"/>
        <v>4000</v>
      </c>
      <c r="AJ101" s="81">
        <f t="shared" si="42"/>
        <v>4000</v>
      </c>
      <c r="AK101" s="81">
        <f t="shared" si="42"/>
        <v>4000</v>
      </c>
      <c r="AL101" s="81">
        <f t="shared" si="42"/>
        <v>4000</v>
      </c>
      <c r="AM101" s="81">
        <f t="shared" si="42"/>
        <v>5000</v>
      </c>
      <c r="AN101" s="81">
        <f t="shared" si="42"/>
        <v>5000</v>
      </c>
      <c r="AO101" s="81">
        <f t="shared" si="42"/>
        <v>5000</v>
      </c>
      <c r="AP101" s="81">
        <f t="shared" si="42"/>
        <v>5000</v>
      </c>
      <c r="AQ101" s="81">
        <f t="shared" si="42"/>
        <v>5000</v>
      </c>
      <c r="AR101" s="81">
        <f t="shared" si="42"/>
        <v>5000</v>
      </c>
      <c r="AS101" s="81">
        <f t="shared" si="42"/>
        <v>5000</v>
      </c>
      <c r="AT101" s="81">
        <f t="shared" si="42"/>
        <v>5000</v>
      </c>
      <c r="AU101" s="81">
        <f t="shared" si="42"/>
        <v>5000</v>
      </c>
      <c r="AV101" s="81">
        <f t="shared" si="42"/>
        <v>5000</v>
      </c>
      <c r="AW101" s="81">
        <f t="shared" si="42"/>
        <v>5000</v>
      </c>
      <c r="AX101" s="81">
        <f t="shared" si="42"/>
        <v>5000</v>
      </c>
      <c r="AY101" s="81">
        <f t="shared" si="42"/>
        <v>6000</v>
      </c>
      <c r="AZ101" s="81">
        <f t="shared" si="42"/>
        <v>6000</v>
      </c>
      <c r="BA101" s="81">
        <f t="shared" si="42"/>
        <v>6000</v>
      </c>
      <c r="BB101" s="81">
        <f t="shared" si="42"/>
        <v>6000</v>
      </c>
      <c r="BC101" s="81">
        <f t="shared" si="42"/>
        <v>6000</v>
      </c>
      <c r="BD101" s="81">
        <f t="shared" si="42"/>
        <v>6000</v>
      </c>
      <c r="BE101" s="81">
        <f t="shared" si="42"/>
        <v>6000</v>
      </c>
      <c r="BF101" s="81">
        <f t="shared" si="42"/>
        <v>6000</v>
      </c>
      <c r="BG101" s="81">
        <f t="shared" si="42"/>
        <v>6000</v>
      </c>
      <c r="BH101" s="81">
        <f t="shared" si="42"/>
        <v>6000</v>
      </c>
      <c r="BI101" s="81">
        <f t="shared" si="42"/>
        <v>6000</v>
      </c>
      <c r="BJ101" s="81">
        <f t="shared" si="42"/>
        <v>6000</v>
      </c>
    </row>
    <row r="102" spans="1:62">
      <c r="A102" s="102" t="s">
        <v>266</v>
      </c>
      <c r="B102" s="7">
        <v>5000</v>
      </c>
      <c r="C102" s="81">
        <f t="shared" ref="C102:N102" si="43">B102</f>
        <v>5000</v>
      </c>
      <c r="D102" s="81">
        <f t="shared" si="43"/>
        <v>5000</v>
      </c>
      <c r="E102" s="81">
        <f t="shared" si="43"/>
        <v>5000</v>
      </c>
      <c r="F102" s="81">
        <f t="shared" si="43"/>
        <v>5000</v>
      </c>
      <c r="G102" s="81">
        <f t="shared" si="43"/>
        <v>5000</v>
      </c>
      <c r="H102" s="81">
        <f t="shared" si="43"/>
        <v>5000</v>
      </c>
      <c r="I102" s="81">
        <f t="shared" si="43"/>
        <v>5000</v>
      </c>
      <c r="J102" s="81">
        <f t="shared" si="43"/>
        <v>5000</v>
      </c>
      <c r="K102" s="81">
        <f t="shared" si="43"/>
        <v>5000</v>
      </c>
      <c r="L102" s="81">
        <f t="shared" si="43"/>
        <v>5000</v>
      </c>
      <c r="M102" s="81">
        <f t="shared" si="43"/>
        <v>5000</v>
      </c>
      <c r="N102" s="81">
        <f t="shared" si="43"/>
        <v>5000</v>
      </c>
      <c r="O102" s="81">
        <f>C102*1.5</f>
        <v>7500</v>
      </c>
      <c r="P102" s="81">
        <f t="shared" ref="P102:BJ102" si="44">D102*1.5</f>
        <v>7500</v>
      </c>
      <c r="Q102" s="81">
        <f t="shared" si="44"/>
        <v>7500</v>
      </c>
      <c r="R102" s="81">
        <f t="shared" si="44"/>
        <v>7500</v>
      </c>
      <c r="S102" s="81">
        <f t="shared" si="44"/>
        <v>7500</v>
      </c>
      <c r="T102" s="81">
        <f t="shared" si="44"/>
        <v>7500</v>
      </c>
      <c r="U102" s="81">
        <f t="shared" si="44"/>
        <v>7500</v>
      </c>
      <c r="V102" s="81">
        <f t="shared" si="44"/>
        <v>7500</v>
      </c>
      <c r="W102" s="81">
        <f t="shared" si="44"/>
        <v>7500</v>
      </c>
      <c r="X102" s="81">
        <f t="shared" si="44"/>
        <v>7500</v>
      </c>
      <c r="Y102" s="81">
        <f t="shared" si="44"/>
        <v>7500</v>
      </c>
      <c r="Z102" s="81">
        <f t="shared" si="44"/>
        <v>7500</v>
      </c>
      <c r="AA102" s="81">
        <f t="shared" si="44"/>
        <v>11250</v>
      </c>
      <c r="AB102" s="81">
        <f t="shared" si="44"/>
        <v>11250</v>
      </c>
      <c r="AC102" s="81">
        <f t="shared" si="44"/>
        <v>11250</v>
      </c>
      <c r="AD102" s="81">
        <f t="shared" si="44"/>
        <v>11250</v>
      </c>
      <c r="AE102" s="81">
        <f t="shared" si="44"/>
        <v>11250</v>
      </c>
      <c r="AF102" s="81">
        <f t="shared" si="44"/>
        <v>11250</v>
      </c>
      <c r="AG102" s="81">
        <f t="shared" si="44"/>
        <v>11250</v>
      </c>
      <c r="AH102" s="81">
        <f t="shared" si="44"/>
        <v>11250</v>
      </c>
      <c r="AI102" s="81">
        <f t="shared" si="44"/>
        <v>11250</v>
      </c>
      <c r="AJ102" s="81">
        <f t="shared" si="44"/>
        <v>11250</v>
      </c>
      <c r="AK102" s="81">
        <f t="shared" si="44"/>
        <v>11250</v>
      </c>
      <c r="AL102" s="81">
        <f t="shared" si="44"/>
        <v>11250</v>
      </c>
      <c r="AM102" s="81">
        <f t="shared" si="44"/>
        <v>16875</v>
      </c>
      <c r="AN102" s="81">
        <f t="shared" si="44"/>
        <v>16875</v>
      </c>
      <c r="AO102" s="81">
        <f t="shared" si="44"/>
        <v>16875</v>
      </c>
      <c r="AP102" s="81">
        <f t="shared" si="44"/>
        <v>16875</v>
      </c>
      <c r="AQ102" s="81">
        <f t="shared" si="44"/>
        <v>16875</v>
      </c>
      <c r="AR102" s="81">
        <f t="shared" si="44"/>
        <v>16875</v>
      </c>
      <c r="AS102" s="81">
        <f t="shared" si="44"/>
        <v>16875</v>
      </c>
      <c r="AT102" s="81">
        <f t="shared" si="44"/>
        <v>16875</v>
      </c>
      <c r="AU102" s="81">
        <f t="shared" si="44"/>
        <v>16875</v>
      </c>
      <c r="AV102" s="81">
        <f t="shared" si="44"/>
        <v>16875</v>
      </c>
      <c r="AW102" s="81">
        <f t="shared" si="44"/>
        <v>16875</v>
      </c>
      <c r="AX102" s="81">
        <f t="shared" si="44"/>
        <v>16875</v>
      </c>
      <c r="AY102" s="81">
        <f t="shared" si="44"/>
        <v>25312.5</v>
      </c>
      <c r="AZ102" s="81">
        <f t="shared" si="44"/>
        <v>25312.5</v>
      </c>
      <c r="BA102" s="81">
        <f t="shared" si="44"/>
        <v>25312.5</v>
      </c>
      <c r="BB102" s="81">
        <f t="shared" si="44"/>
        <v>25312.5</v>
      </c>
      <c r="BC102" s="81">
        <f t="shared" si="44"/>
        <v>25312.5</v>
      </c>
      <c r="BD102" s="81">
        <f t="shared" si="44"/>
        <v>25312.5</v>
      </c>
      <c r="BE102" s="81">
        <f t="shared" si="44"/>
        <v>25312.5</v>
      </c>
      <c r="BF102" s="81">
        <f t="shared" si="44"/>
        <v>25312.5</v>
      </c>
      <c r="BG102" s="81">
        <f t="shared" si="44"/>
        <v>25312.5</v>
      </c>
      <c r="BH102" s="81">
        <f t="shared" si="44"/>
        <v>25312.5</v>
      </c>
      <c r="BI102" s="81">
        <f t="shared" si="44"/>
        <v>25312.5</v>
      </c>
      <c r="BJ102" s="81">
        <f t="shared" si="44"/>
        <v>25312.5</v>
      </c>
    </row>
    <row r="103" spans="1:62">
      <c r="A103" s="142" t="s">
        <v>267</v>
      </c>
      <c r="B103" s="143">
        <v>0</v>
      </c>
      <c r="C103" s="8">
        <f>B103</f>
        <v>0</v>
      </c>
      <c r="D103" s="8">
        <f t="shared" ref="D103:BJ103" si="45">C103</f>
        <v>0</v>
      </c>
      <c r="E103" s="8">
        <f t="shared" si="45"/>
        <v>0</v>
      </c>
      <c r="F103" s="8">
        <f t="shared" si="45"/>
        <v>0</v>
      </c>
      <c r="G103" s="8">
        <f t="shared" si="45"/>
        <v>0</v>
      </c>
      <c r="H103" s="8">
        <f t="shared" si="45"/>
        <v>0</v>
      </c>
      <c r="I103" s="8">
        <f t="shared" si="45"/>
        <v>0</v>
      </c>
      <c r="J103" s="8">
        <f t="shared" si="45"/>
        <v>0</v>
      </c>
      <c r="K103" s="8">
        <f t="shared" si="45"/>
        <v>0</v>
      </c>
      <c r="L103" s="8">
        <f t="shared" si="45"/>
        <v>0</v>
      </c>
      <c r="M103" s="8">
        <f t="shared" si="45"/>
        <v>0</v>
      </c>
      <c r="N103" s="8">
        <f t="shared" si="45"/>
        <v>0</v>
      </c>
      <c r="O103" s="8">
        <f t="shared" si="45"/>
        <v>0</v>
      </c>
      <c r="P103" s="8">
        <f t="shared" si="45"/>
        <v>0</v>
      </c>
      <c r="Q103" s="8">
        <f t="shared" si="45"/>
        <v>0</v>
      </c>
      <c r="R103" s="8">
        <f t="shared" si="45"/>
        <v>0</v>
      </c>
      <c r="S103" s="8">
        <f t="shared" si="45"/>
        <v>0</v>
      </c>
      <c r="T103" s="8">
        <f t="shared" si="45"/>
        <v>0</v>
      </c>
      <c r="U103" s="8">
        <f t="shared" si="45"/>
        <v>0</v>
      </c>
      <c r="V103" s="8">
        <f t="shared" si="45"/>
        <v>0</v>
      </c>
      <c r="W103" s="8">
        <f t="shared" si="45"/>
        <v>0</v>
      </c>
      <c r="X103" s="8">
        <f t="shared" si="45"/>
        <v>0</v>
      </c>
      <c r="Y103" s="8">
        <f t="shared" si="45"/>
        <v>0</v>
      </c>
      <c r="Z103" s="8">
        <f t="shared" si="45"/>
        <v>0</v>
      </c>
      <c r="AA103" s="8">
        <f t="shared" si="45"/>
        <v>0</v>
      </c>
      <c r="AB103" s="8">
        <f t="shared" si="45"/>
        <v>0</v>
      </c>
      <c r="AC103" s="8">
        <f t="shared" si="45"/>
        <v>0</v>
      </c>
      <c r="AD103" s="8">
        <f t="shared" si="45"/>
        <v>0</v>
      </c>
      <c r="AE103" s="8">
        <f t="shared" si="45"/>
        <v>0</v>
      </c>
      <c r="AF103" s="8">
        <f t="shared" si="45"/>
        <v>0</v>
      </c>
      <c r="AG103" s="8">
        <f t="shared" si="45"/>
        <v>0</v>
      </c>
      <c r="AH103" s="8">
        <f t="shared" si="45"/>
        <v>0</v>
      </c>
      <c r="AI103" s="8">
        <f t="shared" si="45"/>
        <v>0</v>
      </c>
      <c r="AJ103" s="8">
        <f t="shared" si="45"/>
        <v>0</v>
      </c>
      <c r="AK103" s="8">
        <f t="shared" si="45"/>
        <v>0</v>
      </c>
      <c r="AL103" s="8">
        <f t="shared" si="45"/>
        <v>0</v>
      </c>
      <c r="AM103" s="8">
        <f t="shared" si="45"/>
        <v>0</v>
      </c>
      <c r="AN103" s="8">
        <f t="shared" si="45"/>
        <v>0</v>
      </c>
      <c r="AO103" s="8">
        <f t="shared" si="45"/>
        <v>0</v>
      </c>
      <c r="AP103" s="8">
        <f t="shared" si="45"/>
        <v>0</v>
      </c>
      <c r="AQ103" s="8">
        <f t="shared" si="45"/>
        <v>0</v>
      </c>
      <c r="AR103" s="8">
        <f t="shared" si="45"/>
        <v>0</v>
      </c>
      <c r="AS103" s="8">
        <f t="shared" si="45"/>
        <v>0</v>
      </c>
      <c r="AT103" s="8">
        <f t="shared" si="45"/>
        <v>0</v>
      </c>
      <c r="AU103" s="8">
        <f t="shared" si="45"/>
        <v>0</v>
      </c>
      <c r="AV103" s="8">
        <f t="shared" si="45"/>
        <v>0</v>
      </c>
      <c r="AW103" s="8">
        <f t="shared" si="45"/>
        <v>0</v>
      </c>
      <c r="AX103" s="8">
        <f t="shared" si="45"/>
        <v>0</v>
      </c>
      <c r="AY103" s="8">
        <f t="shared" si="45"/>
        <v>0</v>
      </c>
      <c r="AZ103" s="8">
        <f t="shared" si="45"/>
        <v>0</v>
      </c>
      <c r="BA103" s="8">
        <f t="shared" si="45"/>
        <v>0</v>
      </c>
      <c r="BB103" s="8">
        <f t="shared" si="45"/>
        <v>0</v>
      </c>
      <c r="BC103" s="8">
        <f t="shared" si="45"/>
        <v>0</v>
      </c>
      <c r="BD103" s="8">
        <f t="shared" si="45"/>
        <v>0</v>
      </c>
      <c r="BE103" s="8">
        <f t="shared" si="45"/>
        <v>0</v>
      </c>
      <c r="BF103" s="8">
        <f t="shared" si="45"/>
        <v>0</v>
      </c>
      <c r="BG103" s="8">
        <f t="shared" si="45"/>
        <v>0</v>
      </c>
      <c r="BH103" s="8">
        <f t="shared" si="45"/>
        <v>0</v>
      </c>
      <c r="BI103" s="8">
        <f t="shared" si="45"/>
        <v>0</v>
      </c>
      <c r="BJ103" s="8">
        <f t="shared" si="45"/>
        <v>0</v>
      </c>
    </row>
    <row r="104" spans="1:62">
      <c r="A104" s="142" t="s">
        <v>58</v>
      </c>
      <c r="B104" s="7">
        <v>10000</v>
      </c>
      <c r="C104" s="8">
        <f>B104</f>
        <v>10000</v>
      </c>
      <c r="D104" s="8">
        <f t="shared" ref="D104:Z104" si="46">C104</f>
        <v>10000</v>
      </c>
      <c r="E104" s="8">
        <f t="shared" si="46"/>
        <v>10000</v>
      </c>
      <c r="F104" s="8">
        <f t="shared" si="46"/>
        <v>10000</v>
      </c>
      <c r="G104" s="8">
        <f t="shared" si="46"/>
        <v>10000</v>
      </c>
      <c r="H104" s="8">
        <f t="shared" si="46"/>
        <v>10000</v>
      </c>
      <c r="I104" s="8">
        <f t="shared" si="46"/>
        <v>10000</v>
      </c>
      <c r="J104" s="8">
        <f t="shared" si="46"/>
        <v>10000</v>
      </c>
      <c r="K104" s="8">
        <f t="shared" si="46"/>
        <v>10000</v>
      </c>
      <c r="L104" s="8">
        <f t="shared" si="46"/>
        <v>10000</v>
      </c>
      <c r="M104" s="8">
        <f t="shared" si="46"/>
        <v>10000</v>
      </c>
      <c r="N104" s="8">
        <f t="shared" si="46"/>
        <v>10000</v>
      </c>
      <c r="O104" s="8">
        <f t="shared" si="46"/>
        <v>10000</v>
      </c>
      <c r="P104" s="8">
        <f t="shared" si="46"/>
        <v>10000</v>
      </c>
      <c r="Q104" s="8">
        <f t="shared" si="46"/>
        <v>10000</v>
      </c>
      <c r="R104" s="8">
        <f t="shared" si="46"/>
        <v>10000</v>
      </c>
      <c r="S104" s="8">
        <f t="shared" si="46"/>
        <v>10000</v>
      </c>
      <c r="T104" s="8">
        <f t="shared" si="46"/>
        <v>10000</v>
      </c>
      <c r="U104" s="8">
        <f t="shared" si="46"/>
        <v>10000</v>
      </c>
      <c r="V104" s="8">
        <f t="shared" si="46"/>
        <v>10000</v>
      </c>
      <c r="W104" s="8">
        <f t="shared" si="46"/>
        <v>10000</v>
      </c>
      <c r="X104" s="8">
        <f t="shared" si="46"/>
        <v>10000</v>
      </c>
      <c r="Y104" s="8">
        <f t="shared" si="46"/>
        <v>10000</v>
      </c>
      <c r="Z104" s="8">
        <f t="shared" si="46"/>
        <v>10000</v>
      </c>
      <c r="AA104" s="8">
        <f>O104*2</f>
        <v>20000</v>
      </c>
      <c r="AB104" s="8">
        <f t="shared" ref="AB104:BJ104" si="47">P104*2</f>
        <v>20000</v>
      </c>
      <c r="AC104" s="8">
        <f t="shared" si="47"/>
        <v>20000</v>
      </c>
      <c r="AD104" s="8">
        <f t="shared" si="47"/>
        <v>20000</v>
      </c>
      <c r="AE104" s="8">
        <f t="shared" si="47"/>
        <v>20000</v>
      </c>
      <c r="AF104" s="8">
        <f t="shared" si="47"/>
        <v>20000</v>
      </c>
      <c r="AG104" s="8">
        <f t="shared" si="47"/>
        <v>20000</v>
      </c>
      <c r="AH104" s="8">
        <f t="shared" si="47"/>
        <v>20000</v>
      </c>
      <c r="AI104" s="8">
        <f t="shared" si="47"/>
        <v>20000</v>
      </c>
      <c r="AJ104" s="8">
        <f t="shared" si="47"/>
        <v>20000</v>
      </c>
      <c r="AK104" s="8">
        <f t="shared" si="47"/>
        <v>20000</v>
      </c>
      <c r="AL104" s="8">
        <f t="shared" si="47"/>
        <v>20000</v>
      </c>
      <c r="AM104" s="8">
        <f t="shared" si="47"/>
        <v>40000</v>
      </c>
      <c r="AN104" s="8">
        <f t="shared" si="47"/>
        <v>40000</v>
      </c>
      <c r="AO104" s="8">
        <f t="shared" si="47"/>
        <v>40000</v>
      </c>
      <c r="AP104" s="8">
        <f t="shared" si="47"/>
        <v>40000</v>
      </c>
      <c r="AQ104" s="8">
        <f t="shared" si="47"/>
        <v>40000</v>
      </c>
      <c r="AR104" s="8">
        <f t="shared" si="47"/>
        <v>40000</v>
      </c>
      <c r="AS104" s="8">
        <f t="shared" si="47"/>
        <v>40000</v>
      </c>
      <c r="AT104" s="8">
        <f t="shared" si="47"/>
        <v>40000</v>
      </c>
      <c r="AU104" s="8">
        <f t="shared" si="47"/>
        <v>40000</v>
      </c>
      <c r="AV104" s="8">
        <f t="shared" si="47"/>
        <v>40000</v>
      </c>
      <c r="AW104" s="8">
        <f t="shared" si="47"/>
        <v>40000</v>
      </c>
      <c r="AX104" s="8">
        <f t="shared" si="47"/>
        <v>40000</v>
      </c>
      <c r="AY104" s="8">
        <f t="shared" si="47"/>
        <v>80000</v>
      </c>
      <c r="AZ104" s="8">
        <f t="shared" si="47"/>
        <v>80000</v>
      </c>
      <c r="BA104" s="8">
        <f t="shared" si="47"/>
        <v>80000</v>
      </c>
      <c r="BB104" s="8">
        <f t="shared" si="47"/>
        <v>80000</v>
      </c>
      <c r="BC104" s="8">
        <f t="shared" si="47"/>
        <v>80000</v>
      </c>
      <c r="BD104" s="8">
        <f t="shared" si="47"/>
        <v>80000</v>
      </c>
      <c r="BE104" s="8">
        <f t="shared" si="47"/>
        <v>80000</v>
      </c>
      <c r="BF104" s="8">
        <f t="shared" si="47"/>
        <v>80000</v>
      </c>
      <c r="BG104" s="8">
        <f t="shared" si="47"/>
        <v>80000</v>
      </c>
      <c r="BH104" s="8">
        <f t="shared" si="47"/>
        <v>80000</v>
      </c>
      <c r="BI104" s="8">
        <f t="shared" si="47"/>
        <v>80000</v>
      </c>
      <c r="BJ104" s="8">
        <f t="shared" si="47"/>
        <v>80000</v>
      </c>
    </row>
    <row r="105" spans="1:62">
      <c r="A105" s="142" t="s">
        <v>59</v>
      </c>
      <c r="B105" s="7">
        <v>1500</v>
      </c>
      <c r="C105" s="8">
        <f>B105</f>
        <v>1500</v>
      </c>
      <c r="D105" s="8">
        <f t="shared" ref="D105:N105" si="48">C105</f>
        <v>1500</v>
      </c>
      <c r="E105" s="8">
        <f t="shared" si="48"/>
        <v>1500</v>
      </c>
      <c r="F105" s="8">
        <f t="shared" si="48"/>
        <v>1500</v>
      </c>
      <c r="G105" s="8">
        <f t="shared" si="48"/>
        <v>1500</v>
      </c>
      <c r="H105" s="8">
        <f t="shared" si="48"/>
        <v>1500</v>
      </c>
      <c r="I105" s="8">
        <f t="shared" si="48"/>
        <v>1500</v>
      </c>
      <c r="J105" s="8">
        <f t="shared" si="48"/>
        <v>1500</v>
      </c>
      <c r="K105" s="8">
        <f t="shared" si="48"/>
        <v>1500</v>
      </c>
      <c r="L105" s="8">
        <f t="shared" si="48"/>
        <v>1500</v>
      </c>
      <c r="M105" s="8">
        <f t="shared" si="48"/>
        <v>1500</v>
      </c>
      <c r="N105" s="8">
        <f t="shared" si="48"/>
        <v>1500</v>
      </c>
      <c r="O105" s="8">
        <f>C105*2</f>
        <v>3000</v>
      </c>
      <c r="P105" s="8">
        <f t="shared" ref="P105:BJ105" si="49">D105*2</f>
        <v>3000</v>
      </c>
      <c r="Q105" s="8">
        <f t="shared" si="49"/>
        <v>3000</v>
      </c>
      <c r="R105" s="8">
        <f t="shared" si="49"/>
        <v>3000</v>
      </c>
      <c r="S105" s="8">
        <f t="shared" si="49"/>
        <v>3000</v>
      </c>
      <c r="T105" s="8">
        <f t="shared" si="49"/>
        <v>3000</v>
      </c>
      <c r="U105" s="8">
        <f t="shared" si="49"/>
        <v>3000</v>
      </c>
      <c r="V105" s="8">
        <f t="shared" si="49"/>
        <v>3000</v>
      </c>
      <c r="W105" s="8">
        <f t="shared" si="49"/>
        <v>3000</v>
      </c>
      <c r="X105" s="8">
        <f t="shared" si="49"/>
        <v>3000</v>
      </c>
      <c r="Y105" s="8">
        <f t="shared" si="49"/>
        <v>3000</v>
      </c>
      <c r="Z105" s="8">
        <f t="shared" si="49"/>
        <v>3000</v>
      </c>
      <c r="AA105" s="8">
        <f t="shared" si="49"/>
        <v>6000</v>
      </c>
      <c r="AB105" s="8">
        <f t="shared" si="49"/>
        <v>6000</v>
      </c>
      <c r="AC105" s="8">
        <f t="shared" si="49"/>
        <v>6000</v>
      </c>
      <c r="AD105" s="8">
        <f t="shared" si="49"/>
        <v>6000</v>
      </c>
      <c r="AE105" s="8">
        <f t="shared" si="49"/>
        <v>6000</v>
      </c>
      <c r="AF105" s="8">
        <f t="shared" si="49"/>
        <v>6000</v>
      </c>
      <c r="AG105" s="8">
        <f t="shared" si="49"/>
        <v>6000</v>
      </c>
      <c r="AH105" s="8">
        <f t="shared" si="49"/>
        <v>6000</v>
      </c>
      <c r="AI105" s="8">
        <f t="shared" si="49"/>
        <v>6000</v>
      </c>
      <c r="AJ105" s="8">
        <f t="shared" si="49"/>
        <v>6000</v>
      </c>
      <c r="AK105" s="8">
        <f t="shared" si="49"/>
        <v>6000</v>
      </c>
      <c r="AL105" s="8">
        <f t="shared" si="49"/>
        <v>6000</v>
      </c>
      <c r="AM105" s="8">
        <f t="shared" si="49"/>
        <v>12000</v>
      </c>
      <c r="AN105" s="8">
        <f t="shared" si="49"/>
        <v>12000</v>
      </c>
      <c r="AO105" s="8">
        <f t="shared" si="49"/>
        <v>12000</v>
      </c>
      <c r="AP105" s="8">
        <f t="shared" si="49"/>
        <v>12000</v>
      </c>
      <c r="AQ105" s="8">
        <f t="shared" si="49"/>
        <v>12000</v>
      </c>
      <c r="AR105" s="8">
        <f t="shared" si="49"/>
        <v>12000</v>
      </c>
      <c r="AS105" s="8">
        <f t="shared" si="49"/>
        <v>12000</v>
      </c>
      <c r="AT105" s="8">
        <f t="shared" si="49"/>
        <v>12000</v>
      </c>
      <c r="AU105" s="8">
        <f t="shared" si="49"/>
        <v>12000</v>
      </c>
      <c r="AV105" s="8">
        <f t="shared" si="49"/>
        <v>12000</v>
      </c>
      <c r="AW105" s="8">
        <f t="shared" si="49"/>
        <v>12000</v>
      </c>
      <c r="AX105" s="8">
        <f t="shared" si="49"/>
        <v>12000</v>
      </c>
      <c r="AY105" s="8">
        <f t="shared" si="49"/>
        <v>24000</v>
      </c>
      <c r="AZ105" s="8">
        <f t="shared" si="49"/>
        <v>24000</v>
      </c>
      <c r="BA105" s="8">
        <f t="shared" si="49"/>
        <v>24000</v>
      </c>
      <c r="BB105" s="8">
        <f t="shared" si="49"/>
        <v>24000</v>
      </c>
      <c r="BC105" s="8">
        <f t="shared" si="49"/>
        <v>24000</v>
      </c>
      <c r="BD105" s="8">
        <f t="shared" si="49"/>
        <v>24000</v>
      </c>
      <c r="BE105" s="8">
        <f t="shared" si="49"/>
        <v>24000</v>
      </c>
      <c r="BF105" s="8">
        <f t="shared" si="49"/>
        <v>24000</v>
      </c>
      <c r="BG105" s="8">
        <f t="shared" si="49"/>
        <v>24000</v>
      </c>
      <c r="BH105" s="8">
        <f t="shared" si="49"/>
        <v>24000</v>
      </c>
      <c r="BI105" s="8">
        <f t="shared" si="49"/>
        <v>24000</v>
      </c>
      <c r="BJ105" s="8">
        <f t="shared" si="49"/>
        <v>24000</v>
      </c>
    </row>
  </sheetData>
  <phoneticPr fontId="2" type="noConversion"/>
  <pageMargins left="0.75" right="0.75" top="1" bottom="1" header="0.5" footer="0.5"/>
  <headerFooter>
    <oddFooter>&amp;L&amp;"Arial Narrow,Bold"GH Capital Partners_x000D_Robert H. Hacker_x000D_rhhfla@mindspring.com&amp;C&amp;"Arial Narrow,Bold"CONFIDENTIAL&amp;R&amp;"Arial Narrow,Bold"&amp;D  &amp;T</oddFooter>
  </headerFooter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" defaultRowHeight="12" x14ac:dyDescent="0"/>
  <sheetData/>
  <phoneticPr fontId="2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" defaultRowHeight="12" x14ac:dyDescent="0"/>
  <sheetData/>
  <phoneticPr fontId="2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" defaultRowHeight="12" x14ac:dyDescent="0"/>
  <sheetData/>
  <phoneticPr fontId="2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Sources &amp; Uses</vt:lpstr>
      <vt:lpstr>Assumptions</vt:lpstr>
      <vt:lpstr>Financial Statements &amp; Detail</vt:lpstr>
      <vt:lpstr>Cashflow</vt:lpstr>
      <vt:lpstr>OPEX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H. Hacker</dc:creator>
  <cp:lastModifiedBy>Utilisateur de Microsoft Office</cp:lastModifiedBy>
  <cp:lastPrinted>2007-09-11T21:30:52Z</cp:lastPrinted>
  <dcterms:created xsi:type="dcterms:W3CDTF">2007-07-25T13:52:57Z</dcterms:created>
  <dcterms:modified xsi:type="dcterms:W3CDTF">2016-04-18T14:08:49Z</dcterms:modified>
</cp:coreProperties>
</file>