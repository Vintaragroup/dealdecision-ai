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J:\Shared drives\BAR_Active_Deals\01. Organic Farms\99. Valuation_Analysis\"/>
    </mc:Choice>
  </mc:AlternateContent>
  <xr:revisionPtr revIDLastSave="0" documentId="13_ncr:1_{C5998F3A-F9C1-4AFB-92C0-B9160E22C949}" xr6:coauthVersionLast="47" xr6:coauthVersionMax="47" xr10:uidLastSave="{00000000-0000-0000-0000-000000000000}"/>
  <bookViews>
    <workbookView xWindow="-25710" yWindow="-5890" windowWidth="25820" windowHeight="14620" activeTab="1" xr2:uid="{00000000-000D-0000-FFFF-FFFF00000000}"/>
  </bookViews>
  <sheets>
    <sheet name="Summary" sheetId="7" r:id="rId1"/>
    <sheet name="Offering &amp; Cap Table" sheetId="9" r:id="rId2"/>
    <sheet name="P&amp;L 2025Q1" sheetId="5" r:id="rId3"/>
    <sheet name="Balance Sheet 2024Q4" sheetId="4" r:id="rId4"/>
    <sheet name="Seller_Note_Schedule" sheetId="8" r:id="rId5"/>
    <sheet name="General Disclosures" sheetId="10" r:id="rId6"/>
  </sheets>
  <definedNames>
    <definedName name="compound_period" localSheetId="4">Seller_Note_Schedule!$D$17</definedName>
    <definedName name="fpdate" localSheetId="4">Seller_Note_Schedule!$D$11</definedName>
    <definedName name="loan_amount" localSheetId="4">Seller_Note_Schedule!$D$8</definedName>
    <definedName name="months_per_period" localSheetId="4">Seller_Note_Schedule!$D$19</definedName>
    <definedName name="nper" localSheetId="4">Seller_Note_Schedule!$D$20</definedName>
    <definedName name="payment" localSheetId="4">Seller_Note_Schedule!$D$23</definedName>
    <definedName name="periods_per_year" localSheetId="4">Seller_Note_Schedule!$D$16</definedName>
    <definedName name="pmtType" localSheetId="4">Seller_Note_Schedule!$D$18</definedName>
    <definedName name="_xlnm.Print_Area" localSheetId="4">OFFSET(Seller_Note_Schedule!$A$1,0,0,ROW(Seller_Note_Schedule!$A$61)+1+Seller_Note_Schedule!$D$20,8)</definedName>
    <definedName name="_xlnm.Print_Titles" localSheetId="4">Seller_Note_Schedule!$61:$61</definedName>
    <definedName name="rate" localSheetId="4">Seller_Note_Schedule!$H$8</definedName>
    <definedName name="roundOpt" localSheetId="4">Seller_Note_Schedule!$D$21</definedName>
    <definedName name="term" localSheetId="4">Seller_Note_Schedule!$D$10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9" l="1"/>
  <c r="I11" i="9" s="1"/>
  <c r="X48" i="5"/>
  <c r="AC18" i="5"/>
  <c r="AB18" i="5"/>
  <c r="AA18" i="5"/>
  <c r="Z18" i="5"/>
  <c r="Y18" i="5"/>
  <c r="C15" i="9"/>
  <c r="C14" i="9"/>
  <c r="X43" i="5"/>
  <c r="X37" i="5"/>
  <c r="X2" i="5"/>
  <c r="U33" i="7"/>
  <c r="U32" i="7"/>
  <c r="U31" i="7"/>
  <c r="U30" i="7"/>
  <c r="U29" i="7"/>
  <c r="I10" i="9"/>
  <c r="C7" i="9"/>
  <c r="H62" i="8" l="1"/>
  <c r="B28" i="8"/>
  <c r="B29" i="8" s="1"/>
  <c r="B30" i="8" s="1"/>
  <c r="H27" i="8"/>
  <c r="C23" i="8"/>
  <c r="D21" i="8"/>
  <c r="D18" i="8"/>
  <c r="D17" i="8"/>
  <c r="D16" i="8"/>
  <c r="H2" i="8"/>
  <c r="D19" i="8" l="1"/>
  <c r="D20" i="8"/>
  <c r="D23" i="8"/>
  <c r="H13" i="8"/>
  <c r="A63" i="8"/>
  <c r="H8" i="8"/>
  <c r="B31" i="8"/>
  <c r="B32" i="8" l="1"/>
  <c r="F63" i="8"/>
  <c r="C63" i="8"/>
  <c r="G63" i="8" s="1"/>
  <c r="B63" i="8"/>
  <c r="H63" i="8" l="1"/>
  <c r="A64" i="8" s="1"/>
  <c r="B33" i="8"/>
  <c r="F64" i="8" l="1"/>
  <c r="C64" i="8"/>
  <c r="B64" i="8"/>
  <c r="B34" i="8"/>
  <c r="G64" i="8" l="1"/>
  <c r="H64" i="8" s="1"/>
  <c r="A65" i="8" s="1"/>
  <c r="B65" i="8" s="1"/>
  <c r="B35" i="8"/>
  <c r="F65" i="8" l="1"/>
  <c r="C65" i="8"/>
  <c r="B36" i="8"/>
  <c r="G65" i="8" l="1"/>
  <c r="H65" i="8" s="1"/>
  <c r="A66" i="8" s="1"/>
  <c r="F66" i="8" s="1"/>
  <c r="B37" i="8"/>
  <c r="B66" i="8" l="1"/>
  <c r="C66" i="8"/>
  <c r="G66" i="8" s="1"/>
  <c r="H66" i="8" s="1"/>
  <c r="A67" i="8" s="1"/>
  <c r="B38" i="8"/>
  <c r="C67" i="8" l="1"/>
  <c r="F67" i="8"/>
  <c r="B67" i="8"/>
  <c r="B39" i="8"/>
  <c r="G67" i="8" l="1"/>
  <c r="H67" i="8" s="1"/>
  <c r="A68" i="8" s="1"/>
  <c r="B68" i="8"/>
  <c r="F68" i="8"/>
  <c r="C68" i="8"/>
  <c r="B40" i="8"/>
  <c r="G68" i="8" l="1"/>
  <c r="H68" i="8" s="1"/>
  <c r="A69" i="8" s="1"/>
  <c r="C69" i="8" s="1"/>
  <c r="B41" i="8"/>
  <c r="B69" i="8"/>
  <c r="F69" i="8" l="1"/>
  <c r="G69" i="8" s="1"/>
  <c r="H69" i="8" s="1"/>
  <c r="A70" i="8" s="1"/>
  <c r="B42" i="8"/>
  <c r="B43" i="8" l="1"/>
  <c r="C70" i="8"/>
  <c r="F70" i="8"/>
  <c r="B70" i="8"/>
  <c r="G70" i="8" l="1"/>
  <c r="H70" i="8"/>
  <c r="A71" i="8" s="1"/>
  <c r="B44" i="8"/>
  <c r="B45" i="8" l="1"/>
  <c r="B71" i="8"/>
  <c r="F71" i="8"/>
  <c r="C71" i="8"/>
  <c r="G71" i="8" s="1"/>
  <c r="H71" i="8" s="1"/>
  <c r="A72" i="8" s="1"/>
  <c r="C72" i="8" l="1"/>
  <c r="G72" i="8" s="1"/>
  <c r="F72" i="8"/>
  <c r="B72" i="8"/>
  <c r="B46" i="8"/>
  <c r="B47" i="8" l="1"/>
  <c r="H72" i="8"/>
  <c r="A73" i="8" s="1"/>
  <c r="F73" i="8" l="1"/>
  <c r="B73" i="8"/>
  <c r="C73" i="8"/>
  <c r="G73" i="8" s="1"/>
  <c r="B48" i="8"/>
  <c r="H73" i="8" l="1"/>
  <c r="A74" i="8" s="1"/>
  <c r="B49" i="8"/>
  <c r="B50" i="8" l="1"/>
  <c r="C74" i="8"/>
  <c r="F74" i="8"/>
  <c r="B74" i="8"/>
  <c r="AC43" i="5" l="1"/>
  <c r="Z43" i="5"/>
  <c r="AA43" i="5"/>
  <c r="Y43" i="5"/>
  <c r="AB43" i="5"/>
  <c r="G74" i="8"/>
  <c r="H74" i="8" s="1"/>
  <c r="A75" i="8" s="1"/>
  <c r="C75" i="8" s="1"/>
  <c r="B51" i="8"/>
  <c r="F75" i="8" l="1"/>
  <c r="G75" i="8" s="1"/>
  <c r="H75" i="8" s="1"/>
  <c r="A76" i="8" s="1"/>
  <c r="Y48" i="5"/>
  <c r="B75" i="8"/>
  <c r="AA48" i="5"/>
  <c r="Z48" i="5"/>
  <c r="AB48" i="5"/>
  <c r="AC48" i="5"/>
  <c r="B52" i="8"/>
  <c r="C76" i="8" l="1"/>
  <c r="F76" i="8"/>
  <c r="G76" i="8" s="1"/>
  <c r="H76" i="8" s="1"/>
  <c r="A77" i="8" s="1"/>
  <c r="B76" i="8"/>
  <c r="B53" i="8"/>
  <c r="B54" i="8" l="1"/>
  <c r="C77" i="8"/>
  <c r="B77" i="8"/>
  <c r="F77" i="8"/>
  <c r="G77" i="8" l="1"/>
  <c r="H77" i="8" s="1"/>
  <c r="A78" i="8" s="1"/>
  <c r="C78" i="8" s="1"/>
  <c r="B55" i="8"/>
  <c r="F78" i="8" l="1"/>
  <c r="G78" i="8" s="1"/>
  <c r="B78" i="8"/>
  <c r="H78" i="8"/>
  <c r="A79" i="8" s="1"/>
  <c r="B56" i="8"/>
  <c r="B57" i="8" l="1"/>
  <c r="F79" i="8"/>
  <c r="C79" i="8"/>
  <c r="G79" i="8" s="1"/>
  <c r="H79" i="8" s="1"/>
  <c r="A80" i="8" s="1"/>
  <c r="B79" i="8"/>
  <c r="C80" i="8" l="1"/>
  <c r="B80" i="8"/>
  <c r="F80" i="8"/>
  <c r="B58" i="8"/>
  <c r="G80" i="8" l="1"/>
  <c r="H80" i="8"/>
  <c r="A81" i="8" s="1"/>
  <c r="F81" i="8" l="1"/>
  <c r="C81" i="8"/>
  <c r="G81" i="8" s="1"/>
  <c r="H81" i="8" s="1"/>
  <c r="A82" i="8" s="1"/>
  <c r="B81" i="8"/>
  <c r="C82" i="8" l="1"/>
  <c r="F82" i="8"/>
  <c r="B82" i="8"/>
  <c r="G82" i="8" l="1"/>
  <c r="H82" i="8"/>
  <c r="A83" i="8" s="1"/>
  <c r="F83" i="8" l="1"/>
  <c r="B83" i="8"/>
  <c r="C83" i="8"/>
  <c r="G83" i="8" s="1"/>
  <c r="H83" i="8" s="1"/>
  <c r="A84" i="8" s="1"/>
  <c r="C84" i="8" l="1"/>
  <c r="F84" i="8"/>
  <c r="B84" i="8"/>
  <c r="G84" i="8"/>
  <c r="H84" i="8" s="1"/>
  <c r="A85" i="8" s="1"/>
  <c r="F85" i="8" l="1"/>
  <c r="B85" i="8"/>
  <c r="C85" i="8"/>
  <c r="G85" i="8" s="1"/>
  <c r="H85" i="8" s="1"/>
  <c r="A86" i="8" s="1"/>
  <c r="C86" i="8" l="1"/>
  <c r="F86" i="8"/>
  <c r="B86" i="8"/>
  <c r="G86" i="8" l="1"/>
  <c r="H86" i="8" s="1"/>
  <c r="A87" i="8" s="1"/>
  <c r="F87" i="8" s="1"/>
  <c r="B87" i="8" l="1"/>
  <c r="C87" i="8"/>
  <c r="G87" i="8" s="1"/>
  <c r="H87" i="8" s="1"/>
  <c r="A88" i="8" s="1"/>
  <c r="C88" i="8" s="1"/>
  <c r="B88" i="8" l="1"/>
  <c r="F88" i="8"/>
  <c r="G88" i="8" s="1"/>
  <c r="H88" i="8" s="1"/>
  <c r="A89" i="8" s="1"/>
  <c r="C89" i="8" s="1"/>
  <c r="F89" i="8" l="1"/>
  <c r="G89" i="8" s="1"/>
  <c r="H89" i="8" s="1"/>
  <c r="A90" i="8" s="1"/>
  <c r="C90" i="8" s="1"/>
  <c r="B89" i="8"/>
  <c r="F90" i="8" l="1"/>
  <c r="G90" i="8" s="1"/>
  <c r="H90" i="8" s="1"/>
  <c r="A91" i="8" s="1"/>
  <c r="F91" i="8" s="1"/>
  <c r="B90" i="8"/>
  <c r="B91" i="8" l="1"/>
  <c r="C91" i="8"/>
  <c r="G91" i="8" s="1"/>
  <c r="H91" i="8" s="1"/>
  <c r="A92" i="8" s="1"/>
  <c r="C92" i="8" s="1"/>
  <c r="F92" i="8" l="1"/>
  <c r="G92" i="8" s="1"/>
  <c r="H92" i="8" s="1"/>
  <c r="A93" i="8" s="1"/>
  <c r="B92" i="8"/>
  <c r="F93" i="8" l="1"/>
  <c r="C93" i="8"/>
  <c r="G93" i="8" s="1"/>
  <c r="H93" i="8" s="1"/>
  <c r="A94" i="8" s="1"/>
  <c r="B94" i="8" s="1"/>
  <c r="B93" i="8"/>
  <c r="C94" i="8" l="1"/>
  <c r="F94" i="8"/>
  <c r="G94" i="8" l="1"/>
  <c r="H94" i="8" s="1"/>
  <c r="A95" i="8" s="1"/>
  <c r="C95" i="8" l="1"/>
  <c r="F95" i="8"/>
  <c r="B95" i="8"/>
  <c r="G95" i="8" l="1"/>
  <c r="H95" i="8" s="1"/>
  <c r="A96" i="8" s="1"/>
  <c r="B96" i="8" l="1"/>
  <c r="F96" i="8"/>
  <c r="C96" i="8"/>
  <c r="G96" i="8" s="1"/>
  <c r="H96" i="8" s="1"/>
  <c r="A97" i="8" s="1"/>
  <c r="C97" i="8" l="1"/>
  <c r="F97" i="8"/>
  <c r="B97" i="8"/>
  <c r="G97" i="8" l="1"/>
  <c r="H97" i="8" s="1"/>
  <c r="A98" i="8" s="1"/>
  <c r="B98" i="8" l="1"/>
  <c r="F98" i="8"/>
  <c r="C98" i="8"/>
  <c r="G98" i="8" s="1"/>
  <c r="H98" i="8" s="1"/>
  <c r="A99" i="8" s="1"/>
  <c r="H99" i="8" l="1"/>
  <c r="A100" i="8" s="1"/>
  <c r="C99" i="8"/>
  <c r="B99" i="8"/>
  <c r="G99" i="8"/>
  <c r="F99" i="8"/>
  <c r="B100" i="8" l="1"/>
  <c r="G100" i="8"/>
  <c r="F100" i="8"/>
  <c r="H100" i="8"/>
  <c r="A101" i="8" s="1"/>
  <c r="C100" i="8"/>
  <c r="G101" i="8" l="1"/>
  <c r="C101" i="8"/>
  <c r="H101" i="8"/>
  <c r="A102" i="8" s="1"/>
  <c r="F101" i="8"/>
  <c r="B101" i="8"/>
  <c r="H102" i="8" l="1"/>
  <c r="A103" i="8" s="1"/>
  <c r="G102" i="8"/>
  <c r="B102" i="8"/>
  <c r="F102" i="8"/>
  <c r="C102" i="8"/>
  <c r="C103" i="8" l="1"/>
  <c r="F103" i="8"/>
  <c r="H103" i="8"/>
  <c r="A104" i="8" s="1"/>
  <c r="B103" i="8"/>
  <c r="G103" i="8"/>
  <c r="G104" i="8" l="1"/>
  <c r="H104" i="8"/>
  <c r="A105" i="8" s="1"/>
  <c r="B104" i="8"/>
  <c r="C104" i="8"/>
  <c r="F104" i="8"/>
  <c r="H105" i="8" l="1"/>
  <c r="A106" i="8" s="1"/>
  <c r="G105" i="8"/>
  <c r="F105" i="8"/>
  <c r="B105" i="8"/>
  <c r="C105" i="8"/>
  <c r="H106" i="8" l="1"/>
  <c r="A107" i="8" s="1"/>
  <c r="B106" i="8"/>
  <c r="F106" i="8"/>
  <c r="G106" i="8"/>
  <c r="C106" i="8"/>
  <c r="G107" i="8" l="1"/>
  <c r="B107" i="8"/>
  <c r="C107" i="8"/>
  <c r="H107" i="8"/>
  <c r="A108" i="8" s="1"/>
  <c r="F107" i="8"/>
  <c r="H108" i="8" l="1"/>
  <c r="A109" i="8" s="1"/>
  <c r="G108" i="8"/>
  <c r="F108" i="8"/>
  <c r="B108" i="8"/>
  <c r="C108" i="8"/>
  <c r="G109" i="8" l="1"/>
  <c r="F109" i="8"/>
  <c r="H109" i="8"/>
  <c r="A110" i="8" s="1"/>
  <c r="C109" i="8"/>
  <c r="B109" i="8"/>
  <c r="G110" i="8" l="1"/>
  <c r="C110" i="8"/>
  <c r="H110" i="8"/>
  <c r="A111" i="8" s="1"/>
  <c r="B110" i="8"/>
  <c r="F110" i="8"/>
  <c r="F111" i="8" l="1"/>
  <c r="H111" i="8"/>
  <c r="A112" i="8" s="1"/>
  <c r="C111" i="8"/>
  <c r="B111" i="8"/>
  <c r="G111" i="8"/>
  <c r="H112" i="8" l="1"/>
  <c r="A113" i="8" s="1"/>
  <c r="B112" i="8"/>
  <c r="G112" i="8"/>
  <c r="F112" i="8"/>
  <c r="C112" i="8"/>
  <c r="G113" i="8" l="1"/>
  <c r="F113" i="8"/>
  <c r="C113" i="8"/>
  <c r="B113" i="8"/>
  <c r="H113" i="8"/>
  <c r="A114" i="8" s="1"/>
  <c r="C114" i="8" l="1"/>
  <c r="H114" i="8"/>
  <c r="A115" i="8" s="1"/>
  <c r="G114" i="8"/>
  <c r="F114" i="8"/>
  <c r="B114" i="8"/>
  <c r="G115" i="8" l="1"/>
  <c r="B115" i="8"/>
  <c r="H115" i="8"/>
  <c r="A116" i="8" s="1"/>
  <c r="F115" i="8"/>
  <c r="C115" i="8"/>
  <c r="B116" i="8" l="1"/>
  <c r="G116" i="8"/>
  <c r="H116" i="8"/>
  <c r="A117" i="8" s="1"/>
  <c r="C116" i="8"/>
  <c r="F116" i="8"/>
  <c r="G117" i="8" l="1"/>
  <c r="B117" i="8"/>
  <c r="C117" i="8"/>
  <c r="H117" i="8"/>
  <c r="A118" i="8" s="1"/>
  <c r="F117" i="8"/>
  <c r="H118" i="8" l="1"/>
  <c r="A119" i="8" s="1"/>
  <c r="B118" i="8"/>
  <c r="G118" i="8"/>
  <c r="C118" i="8"/>
  <c r="F118" i="8"/>
  <c r="F119" i="8" l="1"/>
  <c r="G119" i="8"/>
  <c r="C119" i="8"/>
  <c r="H119" i="8"/>
  <c r="A120" i="8" s="1"/>
  <c r="B119" i="8"/>
  <c r="H120" i="8" l="1"/>
  <c r="A121" i="8" s="1"/>
  <c r="B120" i="8"/>
  <c r="C120" i="8"/>
  <c r="G120" i="8"/>
  <c r="F120" i="8"/>
  <c r="G121" i="8" l="1"/>
  <c r="F121" i="8"/>
  <c r="C121" i="8"/>
  <c r="B121" i="8"/>
  <c r="H121" i="8"/>
  <c r="A122" i="8" s="1"/>
  <c r="B122" i="8" l="1"/>
  <c r="H122" i="8"/>
  <c r="A123" i="8" s="1"/>
  <c r="C122" i="8"/>
  <c r="G122" i="8"/>
  <c r="F122" i="8"/>
  <c r="F123" i="8" l="1"/>
  <c r="C123" i="8"/>
  <c r="H123" i="8"/>
  <c r="A124" i="8" s="1"/>
  <c r="G123" i="8"/>
  <c r="B123" i="8"/>
  <c r="G124" i="8" l="1"/>
  <c r="B124" i="8"/>
  <c r="H124" i="8"/>
  <c r="A125" i="8" s="1"/>
  <c r="F124" i="8"/>
  <c r="C124" i="8"/>
  <c r="G125" i="8" l="1"/>
  <c r="C125" i="8"/>
  <c r="H125" i="8"/>
  <c r="A126" i="8" s="1"/>
  <c r="B125" i="8"/>
  <c r="F125" i="8"/>
  <c r="H126" i="8" l="1"/>
  <c r="A127" i="8" s="1"/>
  <c r="B126" i="8"/>
  <c r="G126" i="8"/>
  <c r="C126" i="8"/>
  <c r="F126" i="8"/>
  <c r="B127" i="8" l="1"/>
  <c r="F127" i="8"/>
  <c r="C127" i="8"/>
  <c r="G127" i="8"/>
  <c r="H127" i="8"/>
  <c r="A128" i="8" s="1"/>
  <c r="G128" i="8" l="1"/>
  <c r="B128" i="8"/>
  <c r="H128" i="8"/>
  <c r="A129" i="8" s="1"/>
  <c r="C128" i="8"/>
  <c r="F128" i="8"/>
  <c r="H129" i="8" l="1"/>
  <c r="A130" i="8" s="1"/>
  <c r="F129" i="8"/>
  <c r="G129" i="8"/>
  <c r="C129" i="8"/>
  <c r="B129" i="8"/>
  <c r="H130" i="8" l="1"/>
  <c r="A131" i="8" s="1"/>
  <c r="B130" i="8"/>
  <c r="G130" i="8"/>
  <c r="C130" i="8"/>
  <c r="F130" i="8"/>
  <c r="G131" i="8" l="1"/>
  <c r="H131" i="8"/>
  <c r="A132" i="8" s="1"/>
  <c r="C131" i="8"/>
  <c r="F131" i="8"/>
  <c r="B131" i="8"/>
  <c r="B132" i="8" l="1"/>
  <c r="H132" i="8"/>
  <c r="A133" i="8" s="1"/>
  <c r="G132" i="8"/>
  <c r="C132" i="8"/>
  <c r="F132" i="8"/>
  <c r="H133" i="8" l="1"/>
  <c r="A134" i="8" s="1"/>
  <c r="G133" i="8"/>
  <c r="C133" i="8"/>
  <c r="B133" i="8"/>
  <c r="F133" i="8"/>
  <c r="H134" i="8" l="1"/>
  <c r="A135" i="8" s="1"/>
  <c r="G134" i="8"/>
  <c r="F134" i="8"/>
  <c r="B134" i="8"/>
  <c r="C134" i="8"/>
  <c r="G135" i="8" l="1"/>
  <c r="B135" i="8"/>
  <c r="H135" i="8"/>
  <c r="A136" i="8" s="1"/>
  <c r="F135" i="8"/>
  <c r="C135" i="8"/>
  <c r="H136" i="8" l="1"/>
  <c r="A137" i="8" s="1"/>
  <c r="B136" i="8"/>
  <c r="G136" i="8"/>
  <c r="F136" i="8"/>
  <c r="C136" i="8"/>
  <c r="G137" i="8" l="1"/>
  <c r="H137" i="8"/>
  <c r="A138" i="8" s="1"/>
  <c r="C137" i="8"/>
  <c r="B137" i="8"/>
  <c r="F137" i="8"/>
  <c r="H138" i="8" l="1"/>
  <c r="A139" i="8" s="1"/>
  <c r="G138" i="8"/>
  <c r="C138" i="8"/>
  <c r="B138" i="8"/>
  <c r="F138" i="8"/>
  <c r="G139" i="8" l="1"/>
  <c r="F139" i="8"/>
  <c r="C139" i="8"/>
  <c r="B139" i="8"/>
  <c r="H139" i="8"/>
  <c r="A140" i="8" s="1"/>
  <c r="H140" i="8" l="1"/>
  <c r="A141" i="8" s="1"/>
  <c r="B140" i="8"/>
  <c r="C140" i="8"/>
  <c r="G140" i="8"/>
  <c r="F140" i="8"/>
  <c r="H141" i="8" l="1"/>
  <c r="A142" i="8" s="1"/>
  <c r="F141" i="8"/>
  <c r="B141" i="8"/>
  <c r="G141" i="8"/>
  <c r="C141" i="8"/>
  <c r="H142" i="8" l="1"/>
  <c r="A143" i="8" s="1"/>
  <c r="C142" i="8"/>
  <c r="G142" i="8"/>
  <c r="F142" i="8"/>
  <c r="B142" i="8"/>
  <c r="C143" i="8" l="1"/>
  <c r="G143" i="8"/>
  <c r="H143" i="8"/>
  <c r="A144" i="8" s="1"/>
  <c r="F143" i="8"/>
  <c r="B143" i="8"/>
  <c r="F144" i="8" l="1"/>
  <c r="H144" i="8"/>
  <c r="A145" i="8" s="1"/>
  <c r="G144" i="8"/>
  <c r="C144" i="8"/>
  <c r="B144" i="8"/>
  <c r="G145" i="8" l="1"/>
  <c r="C145" i="8"/>
  <c r="B145" i="8"/>
  <c r="F145" i="8"/>
  <c r="H145" i="8"/>
  <c r="A146" i="8" s="1"/>
  <c r="H146" i="8" l="1"/>
  <c r="A147" i="8" s="1"/>
  <c r="B146" i="8"/>
  <c r="G146" i="8"/>
  <c r="C146" i="8"/>
  <c r="F146" i="8"/>
  <c r="H147" i="8" l="1"/>
  <c r="A148" i="8" s="1"/>
  <c r="C147" i="8"/>
  <c r="G147" i="8"/>
  <c r="F147" i="8"/>
  <c r="B147" i="8"/>
  <c r="G148" i="8" l="1"/>
  <c r="C148" i="8"/>
  <c r="H148" i="8"/>
  <c r="A149" i="8" s="1"/>
  <c r="B148" i="8"/>
  <c r="F148" i="8"/>
  <c r="H149" i="8" l="1"/>
  <c r="A150" i="8" s="1"/>
  <c r="G149" i="8"/>
  <c r="C149" i="8"/>
  <c r="F149" i="8"/>
  <c r="B149" i="8"/>
  <c r="B150" i="8" l="1"/>
  <c r="H150" i="8"/>
  <c r="A151" i="8" s="1"/>
  <c r="G150" i="8"/>
  <c r="C150" i="8"/>
  <c r="F150" i="8"/>
  <c r="G151" i="8" l="1"/>
  <c r="C151" i="8"/>
  <c r="H151" i="8"/>
  <c r="A152" i="8" s="1"/>
  <c r="F151" i="8"/>
  <c r="B151" i="8"/>
  <c r="H152" i="8" l="1"/>
  <c r="A153" i="8" s="1"/>
  <c r="C152" i="8"/>
  <c r="B152" i="8"/>
  <c r="G152" i="8"/>
  <c r="F152" i="8"/>
  <c r="B153" i="8" l="1"/>
  <c r="H153" i="8"/>
  <c r="A154" i="8" s="1"/>
  <c r="C153" i="8"/>
  <c r="G153" i="8"/>
  <c r="F153" i="8"/>
  <c r="H154" i="8" l="1"/>
  <c r="A155" i="8" s="1"/>
  <c r="G154" i="8"/>
  <c r="B154" i="8"/>
  <c r="F154" i="8"/>
  <c r="C154" i="8"/>
  <c r="C155" i="8" l="1"/>
  <c r="G155" i="8"/>
  <c r="H155" i="8"/>
  <c r="A156" i="8" s="1"/>
  <c r="F155" i="8"/>
  <c r="B155" i="8"/>
  <c r="G156" i="8" l="1"/>
  <c r="C156" i="8"/>
  <c r="H156" i="8"/>
  <c r="A157" i="8" s="1"/>
  <c r="B156" i="8"/>
  <c r="F156" i="8"/>
  <c r="F157" i="8" l="1"/>
  <c r="G157" i="8"/>
  <c r="C157" i="8"/>
  <c r="B157" i="8"/>
  <c r="H157" i="8"/>
  <c r="A158" i="8" s="1"/>
  <c r="H158" i="8" l="1"/>
  <c r="A159" i="8" s="1"/>
  <c r="G158" i="8"/>
  <c r="C158" i="8"/>
  <c r="B158" i="8"/>
  <c r="F158" i="8"/>
  <c r="B159" i="8" l="1"/>
  <c r="H159" i="8"/>
  <c r="A160" i="8" s="1"/>
  <c r="G159" i="8"/>
  <c r="F159" i="8"/>
  <c r="C159" i="8"/>
  <c r="G160" i="8" l="1"/>
  <c r="F160" i="8"/>
  <c r="H160" i="8"/>
  <c r="A161" i="8" s="1"/>
  <c r="B160" i="8"/>
  <c r="C160" i="8"/>
  <c r="G161" i="8" l="1"/>
  <c r="C161" i="8"/>
  <c r="H161" i="8"/>
  <c r="A162" i="8" s="1"/>
  <c r="F161" i="8"/>
  <c r="B161" i="8"/>
  <c r="H162" i="8" l="1"/>
  <c r="A163" i="8" s="1"/>
  <c r="C162" i="8"/>
  <c r="G162" i="8"/>
  <c r="F162" i="8"/>
  <c r="B162" i="8"/>
  <c r="G163" i="8" l="1"/>
  <c r="F163" i="8"/>
  <c r="C163" i="8"/>
  <c r="B163" i="8"/>
  <c r="H163" i="8"/>
  <c r="A164" i="8" s="1"/>
  <c r="H164" i="8" l="1"/>
  <c r="A165" i="8" s="1"/>
  <c r="C164" i="8"/>
  <c r="G164" i="8"/>
  <c r="F164" i="8"/>
  <c r="B164" i="8"/>
  <c r="H165" i="8" l="1"/>
  <c r="A166" i="8" s="1"/>
  <c r="B165" i="8"/>
  <c r="G165" i="8"/>
  <c r="F165" i="8"/>
  <c r="C165" i="8"/>
  <c r="F166" i="8" l="1"/>
  <c r="H166" i="8"/>
  <c r="A167" i="8" s="1"/>
  <c r="B166" i="8"/>
  <c r="C166" i="8"/>
  <c r="G166" i="8"/>
  <c r="C167" i="8" l="1"/>
  <c r="G167" i="8"/>
  <c r="H167" i="8"/>
  <c r="A168" i="8" s="1"/>
  <c r="F167" i="8"/>
  <c r="B167" i="8"/>
  <c r="B168" i="8" l="1"/>
  <c r="H168" i="8"/>
  <c r="A169" i="8" s="1"/>
  <c r="F168" i="8"/>
  <c r="G168" i="8"/>
  <c r="C168" i="8"/>
  <c r="G169" i="8" l="1"/>
  <c r="F169" i="8"/>
  <c r="B169" i="8"/>
  <c r="C169" i="8"/>
  <c r="H169" i="8"/>
  <c r="A170" i="8" s="1"/>
  <c r="F170" i="8" l="1"/>
  <c r="H170" i="8"/>
  <c r="A171" i="8" s="1"/>
  <c r="G170" i="8"/>
  <c r="B170" i="8"/>
  <c r="C170" i="8"/>
  <c r="H171" i="8" l="1"/>
  <c r="A172" i="8" s="1"/>
  <c r="F171" i="8"/>
  <c r="G171" i="8"/>
  <c r="C171" i="8"/>
  <c r="B171" i="8"/>
  <c r="G172" i="8" l="1"/>
  <c r="H172" i="8"/>
  <c r="A173" i="8" s="1"/>
  <c r="C172" i="8"/>
  <c r="B172" i="8"/>
  <c r="F172" i="8"/>
  <c r="G173" i="8" l="1"/>
  <c r="B173" i="8"/>
  <c r="C173" i="8"/>
  <c r="H173" i="8"/>
  <c r="A174" i="8" s="1"/>
  <c r="F173" i="8"/>
  <c r="G174" i="8" l="1"/>
  <c r="H174" i="8"/>
  <c r="A175" i="8" s="1"/>
  <c r="B174" i="8"/>
  <c r="C174" i="8"/>
  <c r="F174" i="8"/>
  <c r="G175" i="8" l="1"/>
  <c r="C175" i="8"/>
  <c r="H175" i="8"/>
  <c r="A176" i="8" s="1"/>
  <c r="F175" i="8"/>
  <c r="B175" i="8"/>
  <c r="H176" i="8" l="1"/>
  <c r="A177" i="8" s="1"/>
  <c r="G176" i="8"/>
  <c r="F176" i="8"/>
  <c r="B176" i="8"/>
  <c r="C176" i="8"/>
  <c r="C177" i="8" l="1"/>
  <c r="H177" i="8"/>
  <c r="A178" i="8" s="1"/>
  <c r="G177" i="8"/>
  <c r="B177" i="8"/>
  <c r="F177" i="8"/>
  <c r="H178" i="8" l="1"/>
  <c r="A179" i="8" s="1"/>
  <c r="B178" i="8"/>
  <c r="C178" i="8"/>
  <c r="G178" i="8"/>
  <c r="F178" i="8"/>
  <c r="G179" i="8" l="1"/>
  <c r="H179" i="8"/>
  <c r="A180" i="8" s="1"/>
  <c r="B179" i="8"/>
  <c r="C179" i="8"/>
  <c r="F179" i="8"/>
  <c r="H180" i="8" l="1"/>
  <c r="A181" i="8" s="1"/>
  <c r="G180" i="8"/>
  <c r="F180" i="8"/>
  <c r="B180" i="8"/>
  <c r="C180" i="8"/>
  <c r="G181" i="8" l="1"/>
  <c r="H181" i="8"/>
  <c r="A182" i="8" s="1"/>
  <c r="F181" i="8"/>
  <c r="B181" i="8"/>
  <c r="C181" i="8"/>
  <c r="H182" i="8" l="1"/>
  <c r="A183" i="8" s="1"/>
  <c r="B182" i="8"/>
  <c r="G182" i="8"/>
  <c r="F182" i="8"/>
  <c r="C182" i="8"/>
  <c r="H183" i="8" l="1"/>
  <c r="A184" i="8" s="1"/>
  <c r="C183" i="8"/>
  <c r="G183" i="8"/>
  <c r="F183" i="8"/>
  <c r="B183" i="8"/>
  <c r="H184" i="8" l="1"/>
  <c r="A185" i="8" s="1"/>
  <c r="B184" i="8"/>
  <c r="G184" i="8"/>
  <c r="F184" i="8"/>
  <c r="C184" i="8"/>
  <c r="C185" i="8" l="1"/>
  <c r="G185" i="8"/>
  <c r="H185" i="8"/>
  <c r="A186" i="8" s="1"/>
  <c r="B185" i="8"/>
  <c r="F185" i="8"/>
  <c r="H186" i="8" l="1"/>
  <c r="A187" i="8" s="1"/>
  <c r="F186" i="8"/>
  <c r="G186" i="8"/>
  <c r="B186" i="8"/>
  <c r="C186" i="8"/>
  <c r="F187" i="8" l="1"/>
  <c r="G187" i="8"/>
  <c r="C187" i="8"/>
  <c r="B187" i="8"/>
  <c r="H187" i="8"/>
  <c r="A188" i="8" s="1"/>
  <c r="H188" i="8" l="1"/>
  <c r="A189" i="8" s="1"/>
  <c r="G188" i="8"/>
  <c r="F188" i="8"/>
  <c r="C188" i="8"/>
  <c r="B188" i="8"/>
  <c r="C189" i="8" l="1"/>
  <c r="H189" i="8"/>
  <c r="A190" i="8" s="1"/>
  <c r="G189" i="8"/>
  <c r="F189" i="8"/>
  <c r="B189" i="8"/>
  <c r="F190" i="8" l="1"/>
  <c r="H190" i="8"/>
  <c r="A191" i="8" s="1"/>
  <c r="G190" i="8"/>
  <c r="B190" i="8"/>
  <c r="C190" i="8"/>
  <c r="G191" i="8" l="1"/>
  <c r="C191" i="8"/>
  <c r="F191" i="8"/>
  <c r="H191" i="8"/>
  <c r="A192" i="8" s="1"/>
  <c r="B191" i="8"/>
  <c r="F192" i="8" l="1"/>
  <c r="H192" i="8"/>
  <c r="A193" i="8" s="1"/>
  <c r="G192" i="8"/>
  <c r="B192" i="8"/>
  <c r="C192" i="8"/>
  <c r="G193" i="8" l="1"/>
  <c r="B193" i="8"/>
  <c r="F193" i="8"/>
  <c r="H193" i="8"/>
  <c r="A194" i="8" s="1"/>
  <c r="C193" i="8"/>
  <c r="H194" i="8" l="1"/>
  <c r="A195" i="8" s="1"/>
  <c r="C194" i="8"/>
  <c r="G194" i="8"/>
  <c r="B194" i="8"/>
  <c r="F194" i="8"/>
  <c r="F195" i="8" l="1"/>
  <c r="H195" i="8"/>
  <c r="A196" i="8" s="1"/>
  <c r="G195" i="8"/>
  <c r="C195" i="8"/>
  <c r="B195" i="8"/>
  <c r="G196" i="8" l="1"/>
  <c r="H196" i="8"/>
  <c r="A197" i="8" s="1"/>
  <c r="B196" i="8"/>
  <c r="F196" i="8"/>
  <c r="C196" i="8"/>
  <c r="C197" i="8" l="1"/>
  <c r="G197" i="8"/>
  <c r="H197" i="8"/>
  <c r="A198" i="8" s="1"/>
  <c r="F197" i="8"/>
  <c r="B197" i="8"/>
  <c r="F198" i="8" l="1"/>
  <c r="H198" i="8"/>
  <c r="A199" i="8" s="1"/>
  <c r="G198" i="8"/>
  <c r="C198" i="8"/>
  <c r="B198" i="8"/>
  <c r="G199" i="8" l="1"/>
  <c r="F199" i="8"/>
  <c r="B199" i="8"/>
  <c r="C199" i="8"/>
  <c r="H199" i="8"/>
  <c r="A200" i="8" s="1"/>
  <c r="H200" i="8" l="1"/>
  <c r="A201" i="8" s="1"/>
  <c r="B200" i="8"/>
  <c r="C200" i="8"/>
  <c r="G200" i="8"/>
  <c r="F200" i="8"/>
  <c r="B201" i="8" l="1"/>
  <c r="C201" i="8"/>
  <c r="H201" i="8"/>
  <c r="A202" i="8" s="1"/>
  <c r="G201" i="8"/>
  <c r="F201" i="8"/>
  <c r="H202" i="8" l="1"/>
  <c r="A203" i="8" s="1"/>
  <c r="G202" i="8"/>
  <c r="B202" i="8"/>
  <c r="F202" i="8"/>
  <c r="C202" i="8"/>
  <c r="G203" i="8" l="1"/>
  <c r="C203" i="8"/>
  <c r="H203" i="8"/>
  <c r="A204" i="8" s="1"/>
  <c r="B203" i="8"/>
  <c r="F203" i="8"/>
  <c r="F204" i="8" l="1"/>
  <c r="G204" i="8"/>
  <c r="H204" i="8"/>
  <c r="A205" i="8" s="1"/>
  <c r="B204" i="8"/>
  <c r="C204" i="8"/>
  <c r="G205" i="8" l="1"/>
  <c r="C205" i="8"/>
  <c r="F205" i="8"/>
  <c r="B205" i="8"/>
  <c r="H205" i="8"/>
  <c r="A206" i="8" s="1"/>
  <c r="F206" i="8" l="1"/>
  <c r="H206" i="8"/>
  <c r="A207" i="8" s="1"/>
  <c r="B206" i="8"/>
  <c r="G206" i="8"/>
  <c r="C206" i="8"/>
  <c r="H207" i="8" l="1"/>
  <c r="A208" i="8" s="1"/>
  <c r="G207" i="8"/>
  <c r="F207" i="8"/>
  <c r="C207" i="8"/>
  <c r="B207" i="8"/>
  <c r="H208" i="8" l="1"/>
  <c r="A209" i="8" s="1"/>
  <c r="B208" i="8"/>
  <c r="G208" i="8"/>
  <c r="C208" i="8"/>
  <c r="F208" i="8"/>
  <c r="H209" i="8" l="1"/>
  <c r="A210" i="8" s="1"/>
  <c r="F209" i="8"/>
  <c r="G209" i="8"/>
  <c r="C209" i="8"/>
  <c r="B209" i="8"/>
  <c r="H210" i="8" l="1"/>
  <c r="A211" i="8" s="1"/>
  <c r="C210" i="8"/>
  <c r="G210" i="8"/>
  <c r="B210" i="8"/>
  <c r="F210" i="8"/>
  <c r="F211" i="8" l="1"/>
  <c r="G211" i="8"/>
  <c r="H211" i="8"/>
  <c r="A212" i="8" s="1"/>
  <c r="C211" i="8"/>
  <c r="B211" i="8"/>
  <c r="B212" i="8" l="1"/>
  <c r="H212" i="8"/>
  <c r="A213" i="8" s="1"/>
  <c r="G212" i="8"/>
  <c r="F212" i="8"/>
  <c r="C212" i="8"/>
  <c r="F213" i="8" l="1"/>
  <c r="H213" i="8"/>
  <c r="A214" i="8" s="1"/>
  <c r="C213" i="8"/>
  <c r="B213" i="8"/>
  <c r="G213" i="8"/>
  <c r="H214" i="8" l="1"/>
  <c r="A215" i="8" s="1"/>
  <c r="F214" i="8"/>
  <c r="G214" i="8"/>
  <c r="B214" i="8"/>
  <c r="C214" i="8"/>
  <c r="B215" i="8" l="1"/>
  <c r="G215" i="8"/>
  <c r="H215" i="8"/>
  <c r="A216" i="8" s="1"/>
  <c r="F215" i="8"/>
  <c r="C215" i="8"/>
  <c r="H216" i="8" l="1"/>
  <c r="A217" i="8" s="1"/>
  <c r="F216" i="8"/>
  <c r="G216" i="8"/>
  <c r="B216" i="8"/>
  <c r="C216" i="8"/>
  <c r="H217" i="8" l="1"/>
  <c r="A218" i="8" s="1"/>
  <c r="C217" i="8"/>
  <c r="F217" i="8"/>
  <c r="B217" i="8"/>
  <c r="G217" i="8"/>
  <c r="H218" i="8" l="1"/>
  <c r="A219" i="8" s="1"/>
  <c r="G218" i="8"/>
  <c r="F218" i="8"/>
  <c r="B218" i="8"/>
  <c r="C218" i="8"/>
  <c r="H219" i="8" l="1"/>
  <c r="A220" i="8" s="1"/>
  <c r="G219" i="8"/>
  <c r="F219" i="8"/>
  <c r="C219" i="8"/>
  <c r="B219" i="8"/>
  <c r="G220" i="8" l="1"/>
  <c r="H220" i="8"/>
  <c r="A221" i="8" s="1"/>
  <c r="B220" i="8"/>
  <c r="C220" i="8"/>
  <c r="F220" i="8"/>
  <c r="B221" i="8" l="1"/>
  <c r="H221" i="8"/>
  <c r="A222" i="8" s="1"/>
  <c r="C221" i="8"/>
  <c r="F221" i="8"/>
  <c r="G221" i="8"/>
  <c r="H222" i="8" l="1"/>
  <c r="A223" i="8" s="1"/>
  <c r="B222" i="8"/>
  <c r="F222" i="8"/>
  <c r="G222" i="8"/>
  <c r="C222" i="8"/>
  <c r="H223" i="8" l="1"/>
  <c r="A224" i="8" s="1"/>
  <c r="C223" i="8"/>
  <c r="F223" i="8"/>
  <c r="G223" i="8"/>
  <c r="B223" i="8"/>
  <c r="C224" i="8" l="1"/>
  <c r="H224" i="8"/>
  <c r="A225" i="8" s="1"/>
  <c r="G224" i="8"/>
  <c r="F224" i="8"/>
  <c r="B224" i="8"/>
  <c r="H225" i="8" l="1"/>
  <c r="A226" i="8" s="1"/>
  <c r="B225" i="8"/>
  <c r="F225" i="8"/>
  <c r="C225" i="8"/>
  <c r="G225" i="8"/>
  <c r="H226" i="8" l="1"/>
  <c r="A227" i="8" s="1"/>
  <c r="F226" i="8"/>
  <c r="G226" i="8"/>
  <c r="C226" i="8"/>
  <c r="B226" i="8"/>
  <c r="H227" i="8" l="1"/>
  <c r="A228" i="8" s="1"/>
  <c r="C227" i="8"/>
  <c r="F227" i="8"/>
  <c r="G227" i="8"/>
  <c r="B227" i="8"/>
  <c r="F228" i="8" l="1"/>
  <c r="G228" i="8"/>
  <c r="H228" i="8"/>
  <c r="A229" i="8" s="1"/>
  <c r="B228" i="8"/>
  <c r="C228" i="8"/>
  <c r="F229" i="8" l="1"/>
  <c r="H229" i="8"/>
  <c r="A230" i="8" s="1"/>
  <c r="C229" i="8"/>
  <c r="G229" i="8"/>
  <c r="B229" i="8"/>
  <c r="H230" i="8" l="1"/>
  <c r="A231" i="8" s="1"/>
  <c r="G230" i="8"/>
  <c r="F230" i="8"/>
  <c r="C230" i="8"/>
  <c r="B230" i="8"/>
  <c r="H231" i="8" l="1"/>
  <c r="A232" i="8" s="1"/>
  <c r="G231" i="8"/>
  <c r="F231" i="8"/>
  <c r="C231" i="8"/>
  <c r="B231" i="8"/>
  <c r="H232" i="8" l="1"/>
  <c r="A233" i="8" s="1"/>
  <c r="B232" i="8"/>
  <c r="G232" i="8"/>
  <c r="C232" i="8"/>
  <c r="F232" i="8"/>
  <c r="H233" i="8" l="1"/>
  <c r="A234" i="8" s="1"/>
  <c r="G233" i="8"/>
  <c r="F233" i="8"/>
  <c r="C233" i="8"/>
  <c r="B233" i="8"/>
  <c r="H234" i="8" l="1"/>
  <c r="A235" i="8" s="1"/>
  <c r="C234" i="8"/>
  <c r="G234" i="8"/>
  <c r="F234" i="8"/>
  <c r="B234" i="8"/>
  <c r="H235" i="8" l="1"/>
  <c r="A236" i="8" s="1"/>
  <c r="C235" i="8"/>
  <c r="F235" i="8"/>
  <c r="G235" i="8"/>
  <c r="B235" i="8"/>
  <c r="H236" i="8" l="1"/>
  <c r="A237" i="8" s="1"/>
  <c r="G236" i="8"/>
  <c r="B236" i="8"/>
  <c r="F236" i="8"/>
  <c r="C236" i="8"/>
  <c r="H237" i="8" l="1"/>
  <c r="A238" i="8" s="1"/>
  <c r="B237" i="8"/>
  <c r="F237" i="8"/>
  <c r="C237" i="8"/>
  <c r="G237" i="8"/>
  <c r="H238" i="8" l="1"/>
  <c r="A239" i="8" s="1"/>
  <c r="B238" i="8"/>
  <c r="C238" i="8"/>
  <c r="G238" i="8"/>
  <c r="F238" i="8"/>
  <c r="F239" i="8" l="1"/>
  <c r="H239" i="8"/>
  <c r="A240" i="8" s="1"/>
  <c r="G239" i="8"/>
  <c r="B239" i="8"/>
  <c r="C239" i="8"/>
  <c r="H240" i="8" l="1"/>
  <c r="A241" i="8" s="1"/>
  <c r="C240" i="8"/>
  <c r="G240" i="8"/>
  <c r="F240" i="8"/>
  <c r="B240" i="8"/>
  <c r="H241" i="8" l="1"/>
  <c r="A242" i="8" s="1"/>
  <c r="C241" i="8"/>
  <c r="F241" i="8"/>
  <c r="G241" i="8"/>
  <c r="B241" i="8"/>
  <c r="B242" i="8" l="1"/>
  <c r="H242" i="8"/>
  <c r="A243" i="8" s="1"/>
  <c r="G242" i="8"/>
  <c r="F242" i="8"/>
  <c r="C242" i="8"/>
  <c r="F243" i="8" l="1"/>
  <c r="H243" i="8"/>
  <c r="A244" i="8" s="1"/>
  <c r="G243" i="8"/>
  <c r="C243" i="8"/>
  <c r="B243" i="8"/>
  <c r="H244" i="8" l="1"/>
  <c r="A245" i="8" s="1"/>
  <c r="B244" i="8"/>
  <c r="C244" i="8"/>
  <c r="G244" i="8"/>
  <c r="F244" i="8"/>
  <c r="H245" i="8" l="1"/>
  <c r="A246" i="8" s="1"/>
  <c r="C245" i="8"/>
  <c r="G245" i="8"/>
  <c r="F245" i="8"/>
  <c r="B245" i="8"/>
  <c r="H246" i="8" l="1"/>
  <c r="A247" i="8" s="1"/>
  <c r="B246" i="8"/>
  <c r="G246" i="8"/>
  <c r="F246" i="8"/>
  <c r="C246" i="8"/>
  <c r="F247" i="8" l="1"/>
  <c r="H247" i="8"/>
  <c r="A248" i="8" s="1"/>
  <c r="G247" i="8"/>
  <c r="C247" i="8"/>
  <c r="B247" i="8"/>
  <c r="H248" i="8" l="1"/>
  <c r="A249" i="8" s="1"/>
  <c r="G248" i="8"/>
  <c r="B248" i="8"/>
  <c r="C248" i="8"/>
  <c r="F248" i="8"/>
  <c r="C249" i="8" l="1"/>
  <c r="F249" i="8"/>
  <c r="G249" i="8"/>
  <c r="B249" i="8"/>
  <c r="H249" i="8"/>
  <c r="A250" i="8" s="1"/>
  <c r="B250" i="8" l="1"/>
  <c r="H250" i="8"/>
  <c r="A251" i="8" s="1"/>
  <c r="G250" i="8"/>
  <c r="F250" i="8"/>
  <c r="C250" i="8"/>
  <c r="H251" i="8" l="1"/>
  <c r="A252" i="8" s="1"/>
  <c r="B251" i="8"/>
  <c r="F251" i="8"/>
  <c r="G251" i="8"/>
  <c r="C251" i="8"/>
  <c r="H252" i="8" l="1"/>
  <c r="A253" i="8" s="1"/>
  <c r="F252" i="8"/>
  <c r="G252" i="8"/>
  <c r="C252" i="8"/>
  <c r="B252" i="8"/>
  <c r="C253" i="8" l="1"/>
  <c r="F253" i="8"/>
  <c r="B253" i="8"/>
  <c r="G253" i="8"/>
  <c r="H253" i="8"/>
  <c r="A254" i="8" s="1"/>
  <c r="H254" i="8" l="1"/>
  <c r="A255" i="8" s="1"/>
  <c r="B254" i="8"/>
  <c r="F254" i="8"/>
  <c r="C254" i="8"/>
  <c r="G254" i="8"/>
  <c r="H255" i="8" l="1"/>
  <c r="A256" i="8" s="1"/>
  <c r="C255" i="8"/>
  <c r="B255" i="8"/>
  <c r="G255" i="8"/>
  <c r="F255" i="8"/>
  <c r="G256" i="8" l="1"/>
  <c r="B256" i="8"/>
  <c r="F256" i="8"/>
  <c r="H256" i="8"/>
  <c r="A257" i="8" s="1"/>
  <c r="C256" i="8"/>
  <c r="C257" i="8" l="1"/>
  <c r="F257" i="8"/>
  <c r="G257" i="8"/>
  <c r="B257" i="8"/>
  <c r="H257" i="8"/>
  <c r="A258" i="8" s="1"/>
  <c r="F258" i="8" l="1"/>
  <c r="H258" i="8"/>
  <c r="A259" i="8" s="1"/>
  <c r="B258" i="8"/>
  <c r="C258" i="8"/>
  <c r="G258" i="8"/>
  <c r="H259" i="8" l="1"/>
  <c r="A260" i="8" s="1"/>
  <c r="F259" i="8"/>
  <c r="G259" i="8"/>
  <c r="C259" i="8"/>
  <c r="B259" i="8"/>
  <c r="H260" i="8" l="1"/>
  <c r="A261" i="8" s="1"/>
  <c r="C260" i="8"/>
  <c r="B260" i="8"/>
  <c r="G260" i="8"/>
  <c r="F260" i="8"/>
  <c r="F261" i="8" l="1"/>
  <c r="B261" i="8"/>
  <c r="C261" i="8"/>
  <c r="H261" i="8"/>
  <c r="A262" i="8" s="1"/>
  <c r="G261" i="8"/>
  <c r="H262" i="8" l="1"/>
  <c r="A263" i="8" s="1"/>
  <c r="B262" i="8"/>
  <c r="G262" i="8"/>
  <c r="C262" i="8"/>
  <c r="F262" i="8"/>
  <c r="F263" i="8" l="1"/>
  <c r="B263" i="8"/>
  <c r="H263" i="8"/>
  <c r="A264" i="8" s="1"/>
  <c r="C263" i="8"/>
  <c r="G263" i="8"/>
  <c r="G264" i="8" l="1"/>
  <c r="B264" i="8"/>
  <c r="F264" i="8"/>
  <c r="C264" i="8"/>
  <c r="H264" i="8"/>
  <c r="A265" i="8" s="1"/>
  <c r="C265" i="8" l="1"/>
  <c r="B265" i="8"/>
  <c r="F265" i="8"/>
  <c r="G265" i="8"/>
  <c r="H265" i="8"/>
  <c r="A266" i="8" s="1"/>
  <c r="F266" i="8" l="1"/>
  <c r="G266" i="8"/>
  <c r="B266" i="8"/>
  <c r="C266" i="8"/>
  <c r="H266" i="8"/>
  <c r="A267" i="8" s="1"/>
  <c r="G267" i="8" l="1"/>
  <c r="F267" i="8"/>
  <c r="C267" i="8"/>
  <c r="H267" i="8"/>
  <c r="A268" i="8" s="1"/>
  <c r="B267" i="8"/>
  <c r="H268" i="8" l="1"/>
  <c r="A269" i="8" s="1"/>
  <c r="C268" i="8"/>
  <c r="F268" i="8"/>
  <c r="B268" i="8"/>
  <c r="G268" i="8"/>
  <c r="C269" i="8" l="1"/>
  <c r="G269" i="8"/>
  <c r="B269" i="8"/>
  <c r="H269" i="8"/>
  <c r="A270" i="8" s="1"/>
  <c r="F269" i="8"/>
  <c r="G270" i="8" l="1"/>
  <c r="F270" i="8"/>
  <c r="C270" i="8"/>
  <c r="H270" i="8"/>
  <c r="A271" i="8" s="1"/>
  <c r="B270" i="8"/>
  <c r="F271" i="8" l="1"/>
  <c r="B271" i="8"/>
  <c r="G271" i="8"/>
  <c r="C271" i="8"/>
  <c r="H271" i="8"/>
  <c r="A272" i="8" s="1"/>
  <c r="H272" i="8" l="1"/>
  <c r="A273" i="8" s="1"/>
  <c r="G272" i="8"/>
  <c r="C272" i="8"/>
  <c r="B272" i="8"/>
  <c r="F272" i="8"/>
  <c r="C273" i="8" l="1"/>
  <c r="B273" i="8"/>
  <c r="F273" i="8"/>
  <c r="G273" i="8"/>
  <c r="H273" i="8"/>
  <c r="A274" i="8" s="1"/>
  <c r="H274" i="8" l="1"/>
  <c r="A275" i="8" s="1"/>
  <c r="G274" i="8"/>
  <c r="B274" i="8"/>
  <c r="C274" i="8"/>
  <c r="F274" i="8"/>
  <c r="G275" i="8" l="1"/>
  <c r="H275" i="8"/>
  <c r="A276" i="8" s="1"/>
  <c r="C275" i="8"/>
  <c r="F275" i="8"/>
  <c r="B275" i="8"/>
  <c r="H276" i="8" l="1"/>
  <c r="A277" i="8" s="1"/>
  <c r="G276" i="8"/>
  <c r="B276" i="8"/>
  <c r="C276" i="8"/>
  <c r="F276" i="8"/>
  <c r="H277" i="8" l="1"/>
  <c r="A278" i="8" s="1"/>
  <c r="C277" i="8"/>
  <c r="G277" i="8"/>
  <c r="F277" i="8"/>
  <c r="B277" i="8"/>
  <c r="G278" i="8" l="1"/>
  <c r="C278" i="8"/>
  <c r="H278" i="8"/>
  <c r="A279" i="8" s="1"/>
  <c r="B278" i="8"/>
  <c r="F278" i="8"/>
  <c r="H279" i="8" l="1"/>
  <c r="A280" i="8" s="1"/>
  <c r="G279" i="8"/>
  <c r="B279" i="8"/>
  <c r="F279" i="8"/>
  <c r="C279" i="8"/>
  <c r="F280" i="8" l="1"/>
  <c r="H280" i="8"/>
  <c r="A281" i="8" s="1"/>
  <c r="G280" i="8"/>
  <c r="B280" i="8"/>
  <c r="C280" i="8"/>
  <c r="C281" i="8" l="1"/>
  <c r="H281" i="8"/>
  <c r="A282" i="8" s="1"/>
  <c r="F281" i="8"/>
  <c r="G281" i="8"/>
  <c r="B281" i="8"/>
  <c r="B282" i="8" l="1"/>
  <c r="H282" i="8"/>
  <c r="A283" i="8" s="1"/>
  <c r="G282" i="8"/>
  <c r="F282" i="8"/>
  <c r="C282" i="8"/>
  <c r="C283" i="8" l="1"/>
  <c r="H283" i="8"/>
  <c r="A284" i="8" s="1"/>
  <c r="F283" i="8"/>
  <c r="G283" i="8"/>
  <c r="B283" i="8"/>
  <c r="H284" i="8" l="1"/>
  <c r="A285" i="8" s="1"/>
  <c r="F284" i="8"/>
  <c r="G284" i="8"/>
  <c r="B284" i="8"/>
  <c r="C284" i="8"/>
  <c r="H285" i="8" l="1"/>
  <c r="A286" i="8" s="1"/>
  <c r="C285" i="8"/>
  <c r="G285" i="8"/>
  <c r="F285" i="8"/>
  <c r="B285" i="8"/>
  <c r="G286" i="8" l="1"/>
  <c r="F286" i="8"/>
  <c r="H286" i="8"/>
  <c r="A287" i="8" s="1"/>
  <c r="B286" i="8"/>
  <c r="C286" i="8"/>
  <c r="F287" i="8" l="1"/>
  <c r="G287" i="8"/>
  <c r="B287" i="8"/>
  <c r="H287" i="8"/>
  <c r="A288" i="8" s="1"/>
  <c r="C287" i="8"/>
  <c r="B288" i="8" l="1"/>
  <c r="H288" i="8"/>
  <c r="A289" i="8" s="1"/>
  <c r="G288" i="8"/>
  <c r="F288" i="8"/>
  <c r="C288" i="8"/>
  <c r="F289" i="8" l="1"/>
  <c r="H289" i="8"/>
  <c r="A290" i="8" s="1"/>
  <c r="G289" i="8"/>
  <c r="C289" i="8"/>
  <c r="B289" i="8"/>
  <c r="G290" i="8" l="1"/>
  <c r="C290" i="8"/>
  <c r="H290" i="8"/>
  <c r="A291" i="8" s="1"/>
  <c r="B290" i="8"/>
  <c r="F290" i="8"/>
  <c r="F291" i="8" l="1"/>
  <c r="H291" i="8"/>
  <c r="A292" i="8" s="1"/>
  <c r="G291" i="8"/>
  <c r="C291" i="8"/>
  <c r="B291" i="8"/>
  <c r="G292" i="8" l="1"/>
  <c r="H292" i="8"/>
  <c r="A293" i="8" s="1"/>
  <c r="B292" i="8"/>
  <c r="F292" i="8"/>
  <c r="C292" i="8"/>
  <c r="H293" i="8" l="1"/>
  <c r="A294" i="8" s="1"/>
  <c r="B293" i="8"/>
  <c r="G293" i="8"/>
  <c r="C293" i="8"/>
  <c r="F293" i="8"/>
  <c r="H294" i="8" l="1"/>
  <c r="A295" i="8" s="1"/>
  <c r="F294" i="8"/>
  <c r="C294" i="8"/>
  <c r="G294" i="8"/>
  <c r="B294" i="8"/>
  <c r="H295" i="8" l="1"/>
  <c r="A296" i="8" s="1"/>
  <c r="F295" i="8"/>
  <c r="G295" i="8"/>
  <c r="B295" i="8"/>
  <c r="C295" i="8"/>
  <c r="G296" i="8" l="1"/>
  <c r="H296" i="8"/>
  <c r="A297" i="8" s="1"/>
  <c r="B296" i="8"/>
  <c r="F296" i="8"/>
  <c r="C296" i="8"/>
  <c r="H297" i="8" l="1"/>
  <c r="A298" i="8" s="1"/>
  <c r="F297" i="8"/>
  <c r="B297" i="8"/>
  <c r="G297" i="8"/>
  <c r="C297" i="8"/>
  <c r="F298" i="8" l="1"/>
  <c r="H298" i="8"/>
  <c r="A299" i="8" s="1"/>
  <c r="G298" i="8"/>
  <c r="B298" i="8"/>
  <c r="C298" i="8"/>
  <c r="H299" i="8" l="1"/>
  <c r="A300" i="8" s="1"/>
  <c r="G299" i="8"/>
  <c r="F299" i="8"/>
  <c r="C299" i="8"/>
  <c r="B299" i="8"/>
  <c r="F300" i="8" l="1"/>
  <c r="H300" i="8"/>
  <c r="A301" i="8" s="1"/>
  <c r="G300" i="8"/>
  <c r="B300" i="8"/>
  <c r="C300" i="8"/>
  <c r="B301" i="8" l="1"/>
  <c r="C301" i="8"/>
  <c r="F301" i="8"/>
  <c r="H301" i="8"/>
  <c r="A302" i="8" s="1"/>
  <c r="G301" i="8"/>
  <c r="H302" i="8" l="1"/>
  <c r="A303" i="8" s="1"/>
  <c r="F302" i="8"/>
  <c r="G302" i="8"/>
  <c r="B302" i="8"/>
  <c r="C302" i="8"/>
  <c r="H303" i="8" l="1"/>
  <c r="A304" i="8" s="1"/>
  <c r="C303" i="8"/>
  <c r="F303" i="8"/>
  <c r="G303" i="8"/>
  <c r="B303" i="8"/>
  <c r="H304" i="8" l="1"/>
  <c r="A305" i="8" s="1"/>
  <c r="G304" i="8"/>
  <c r="F304" i="8"/>
  <c r="B304" i="8"/>
  <c r="C304" i="8"/>
  <c r="H305" i="8" l="1"/>
  <c r="A306" i="8" s="1"/>
  <c r="G305" i="8"/>
  <c r="F305" i="8"/>
  <c r="B305" i="8"/>
  <c r="C305" i="8"/>
  <c r="H306" i="8" l="1"/>
  <c r="A307" i="8" s="1"/>
  <c r="B306" i="8"/>
  <c r="G306" i="8"/>
  <c r="F306" i="8"/>
  <c r="C306" i="8"/>
  <c r="F307" i="8" l="1"/>
  <c r="C307" i="8"/>
  <c r="H307" i="8"/>
  <c r="A308" i="8" s="1"/>
  <c r="G307" i="8"/>
  <c r="B307" i="8"/>
  <c r="G308" i="8" l="1"/>
  <c r="H308" i="8"/>
  <c r="A309" i="8" s="1"/>
  <c r="B308" i="8"/>
  <c r="C308" i="8"/>
  <c r="F308" i="8"/>
  <c r="H309" i="8" l="1"/>
  <c r="A310" i="8" s="1"/>
  <c r="F309" i="8"/>
  <c r="B309" i="8"/>
  <c r="G309" i="8"/>
  <c r="C309" i="8"/>
  <c r="B310" i="8" l="1"/>
  <c r="H310" i="8"/>
  <c r="A311" i="8" s="1"/>
  <c r="G310" i="8"/>
  <c r="F310" i="8"/>
  <c r="C310" i="8"/>
  <c r="H311" i="8" l="1"/>
  <c r="A312" i="8" s="1"/>
  <c r="F311" i="8"/>
  <c r="G311" i="8"/>
  <c r="C311" i="8"/>
  <c r="B311" i="8"/>
  <c r="H312" i="8" l="1"/>
  <c r="A313" i="8" s="1"/>
  <c r="B312" i="8"/>
  <c r="G312" i="8"/>
  <c r="C312" i="8"/>
  <c r="F312" i="8"/>
  <c r="G313" i="8" l="1"/>
  <c r="H313" i="8"/>
  <c r="A314" i="8" s="1"/>
  <c r="F313" i="8"/>
  <c r="B313" i="8"/>
  <c r="C313" i="8"/>
  <c r="G314" i="8" l="1"/>
  <c r="F314" i="8"/>
  <c r="H314" i="8"/>
  <c r="A315" i="8" s="1"/>
  <c r="B314" i="8"/>
  <c r="C314" i="8"/>
  <c r="G315" i="8" l="1"/>
  <c r="H315" i="8"/>
  <c r="A316" i="8" s="1"/>
  <c r="F315" i="8"/>
  <c r="C315" i="8"/>
  <c r="B315" i="8"/>
  <c r="F316" i="8" l="1"/>
  <c r="H316" i="8"/>
  <c r="A317" i="8" s="1"/>
  <c r="G316" i="8"/>
  <c r="B316" i="8"/>
  <c r="C316" i="8"/>
  <c r="H317" i="8" l="1"/>
  <c r="A318" i="8" s="1"/>
  <c r="F317" i="8"/>
  <c r="G317" i="8"/>
  <c r="B317" i="8"/>
  <c r="C317" i="8"/>
  <c r="G318" i="8" l="1"/>
  <c r="B318" i="8"/>
  <c r="C318" i="8"/>
  <c r="H318" i="8"/>
  <c r="A319" i="8" s="1"/>
  <c r="F318" i="8"/>
  <c r="H319" i="8" l="1"/>
  <c r="A320" i="8" s="1"/>
  <c r="C319" i="8"/>
  <c r="G319" i="8"/>
  <c r="B319" i="8"/>
  <c r="F319" i="8"/>
  <c r="H320" i="8" l="1"/>
  <c r="A321" i="8" s="1"/>
  <c r="B320" i="8"/>
  <c r="G320" i="8"/>
  <c r="C320" i="8"/>
  <c r="F320" i="8"/>
  <c r="G321" i="8" l="1"/>
  <c r="H321" i="8"/>
  <c r="A322" i="8" s="1"/>
  <c r="F321" i="8"/>
  <c r="B321" i="8"/>
  <c r="C321" i="8"/>
  <c r="F322" i="8" l="1"/>
  <c r="H322" i="8"/>
  <c r="A323" i="8" s="1"/>
  <c r="G322" i="8"/>
  <c r="B322" i="8"/>
  <c r="C322" i="8"/>
  <c r="H323" i="8" l="1"/>
  <c r="A324" i="8" s="1"/>
  <c r="F323" i="8"/>
  <c r="B323" i="8"/>
  <c r="G323" i="8"/>
  <c r="C323" i="8"/>
  <c r="H324" i="8" l="1"/>
  <c r="A325" i="8" s="1"/>
  <c r="G324" i="8"/>
  <c r="B324" i="8"/>
  <c r="F324" i="8"/>
  <c r="C324" i="8"/>
  <c r="H325" i="8" l="1"/>
  <c r="A326" i="8" s="1"/>
  <c r="G325" i="8"/>
  <c r="C325" i="8"/>
  <c r="F325" i="8"/>
  <c r="B325" i="8"/>
  <c r="H326" i="8" l="1"/>
  <c r="A327" i="8" s="1"/>
  <c r="B326" i="8"/>
  <c r="G326" i="8"/>
  <c r="C326" i="8"/>
  <c r="F326" i="8"/>
  <c r="C327" i="8" l="1"/>
  <c r="H327" i="8"/>
  <c r="A328" i="8" s="1"/>
  <c r="G327" i="8"/>
  <c r="F327" i="8"/>
  <c r="B327" i="8"/>
  <c r="H328" i="8" l="1"/>
  <c r="A329" i="8" s="1"/>
  <c r="B328" i="8"/>
  <c r="G328" i="8"/>
  <c r="C328" i="8"/>
  <c r="F328" i="8"/>
  <c r="H329" i="8" l="1"/>
  <c r="A330" i="8" s="1"/>
  <c r="F329" i="8"/>
  <c r="G329" i="8"/>
  <c r="C329" i="8"/>
  <c r="B329" i="8"/>
  <c r="G330" i="8" l="1"/>
  <c r="H330" i="8"/>
  <c r="A331" i="8" s="1"/>
  <c r="B330" i="8"/>
  <c r="F330" i="8"/>
  <c r="C330" i="8"/>
  <c r="H331" i="8" l="1"/>
  <c r="A332" i="8" s="1"/>
  <c r="F331" i="8"/>
  <c r="B331" i="8"/>
  <c r="G331" i="8"/>
  <c r="C331" i="8"/>
  <c r="H332" i="8" l="1"/>
  <c r="A333" i="8" s="1"/>
  <c r="G332" i="8"/>
  <c r="F332" i="8"/>
  <c r="B332" i="8"/>
  <c r="C332" i="8"/>
  <c r="G333" i="8" l="1"/>
  <c r="H333" i="8"/>
  <c r="A334" i="8" s="1"/>
  <c r="F333" i="8"/>
  <c r="C333" i="8"/>
  <c r="B333" i="8"/>
  <c r="B334" i="8" l="1"/>
  <c r="G334" i="8"/>
  <c r="F334" i="8"/>
  <c r="H334" i="8"/>
  <c r="A335" i="8" s="1"/>
  <c r="C334" i="8"/>
  <c r="F335" i="8" l="1"/>
  <c r="H335" i="8"/>
  <c r="A336" i="8" s="1"/>
  <c r="G335" i="8"/>
  <c r="C335" i="8"/>
  <c r="B335" i="8"/>
  <c r="B336" i="8" l="1"/>
  <c r="H336" i="8"/>
  <c r="A337" i="8" s="1"/>
  <c r="G336" i="8"/>
  <c r="F336" i="8"/>
  <c r="C336" i="8"/>
  <c r="H337" i="8" l="1"/>
  <c r="A338" i="8" s="1"/>
  <c r="B337" i="8"/>
  <c r="G337" i="8"/>
  <c r="C337" i="8"/>
  <c r="F337" i="8"/>
  <c r="B338" i="8" l="1"/>
  <c r="H338" i="8"/>
  <c r="A339" i="8" s="1"/>
  <c r="C338" i="8"/>
  <c r="G338" i="8"/>
  <c r="F338" i="8"/>
  <c r="H339" i="8" l="1"/>
  <c r="A340" i="8" s="1"/>
  <c r="G339" i="8"/>
  <c r="B339" i="8"/>
  <c r="C339" i="8"/>
  <c r="F339" i="8"/>
  <c r="H340" i="8" l="1"/>
  <c r="A341" i="8" s="1"/>
  <c r="B340" i="8"/>
  <c r="G340" i="8"/>
  <c r="F340" i="8"/>
  <c r="C340" i="8"/>
  <c r="H341" i="8" l="1"/>
  <c r="A342" i="8" s="1"/>
  <c r="C341" i="8"/>
  <c r="G341" i="8"/>
  <c r="B341" i="8"/>
  <c r="F341" i="8"/>
  <c r="H342" i="8" l="1"/>
  <c r="A343" i="8" s="1"/>
  <c r="B342" i="8"/>
  <c r="G342" i="8"/>
  <c r="F342" i="8"/>
  <c r="C342" i="8"/>
  <c r="H343" i="8" l="1"/>
  <c r="A344" i="8" s="1"/>
  <c r="F343" i="8"/>
  <c r="G343" i="8"/>
  <c r="C343" i="8"/>
  <c r="B343" i="8"/>
  <c r="H344" i="8" l="1"/>
  <c r="A345" i="8" s="1"/>
  <c r="B344" i="8"/>
  <c r="G344" i="8"/>
  <c r="F344" i="8"/>
  <c r="C344" i="8"/>
  <c r="H345" i="8" l="1"/>
  <c r="A346" i="8" s="1"/>
  <c r="C345" i="8"/>
  <c r="G345" i="8"/>
  <c r="B345" i="8"/>
  <c r="F345" i="8"/>
  <c r="H346" i="8" l="1"/>
  <c r="A347" i="8" s="1"/>
  <c r="B346" i="8"/>
  <c r="G346" i="8"/>
  <c r="C346" i="8"/>
  <c r="F346" i="8"/>
  <c r="H347" i="8" l="1"/>
  <c r="A348" i="8" s="1"/>
  <c r="G347" i="8"/>
  <c r="F347" i="8"/>
  <c r="B347" i="8"/>
  <c r="C347" i="8"/>
  <c r="H348" i="8" l="1"/>
  <c r="A349" i="8" s="1"/>
  <c r="G348" i="8"/>
  <c r="B348" i="8"/>
  <c r="F348" i="8"/>
  <c r="C348" i="8"/>
  <c r="H349" i="8" l="1"/>
  <c r="A350" i="8" s="1"/>
  <c r="F349" i="8"/>
  <c r="G349" i="8"/>
  <c r="B349" i="8"/>
  <c r="C349" i="8"/>
  <c r="H350" i="8" l="1"/>
  <c r="A351" i="8" s="1"/>
  <c r="B350" i="8"/>
  <c r="G350" i="8"/>
  <c r="F350" i="8"/>
  <c r="C350" i="8"/>
  <c r="B351" i="8" l="1"/>
  <c r="G351" i="8"/>
  <c r="H351" i="8"/>
  <c r="A352" i="8" s="1"/>
  <c r="F351" i="8"/>
  <c r="C351" i="8"/>
  <c r="B352" i="8" l="1"/>
  <c r="C352" i="8"/>
  <c r="F352" i="8"/>
  <c r="H352" i="8"/>
  <c r="A353" i="8" s="1"/>
  <c r="G352" i="8"/>
  <c r="G353" i="8" l="1"/>
  <c r="F353" i="8"/>
  <c r="B353" i="8"/>
  <c r="C353" i="8"/>
  <c r="H353" i="8"/>
  <c r="A354" i="8" s="1"/>
  <c r="F354" i="8" l="1"/>
  <c r="B354" i="8"/>
  <c r="C354" i="8"/>
  <c r="H354" i="8"/>
  <c r="A355" i="8" s="1"/>
  <c r="G354" i="8"/>
  <c r="F355" i="8" l="1"/>
  <c r="G355" i="8"/>
  <c r="B355" i="8"/>
  <c r="H355" i="8"/>
  <c r="A356" i="8" s="1"/>
  <c r="C355" i="8"/>
  <c r="B356" i="8" l="1"/>
  <c r="H356" i="8"/>
  <c r="A357" i="8" s="1"/>
  <c r="G356" i="8"/>
  <c r="F356" i="8"/>
  <c r="C356" i="8"/>
  <c r="B357" i="8" l="1"/>
  <c r="G357" i="8"/>
  <c r="H357" i="8"/>
  <c r="A358" i="8" s="1"/>
  <c r="F357" i="8"/>
  <c r="C357" i="8"/>
  <c r="C358" i="8" l="1"/>
  <c r="H358" i="8"/>
  <c r="A359" i="8" s="1"/>
  <c r="G358" i="8"/>
  <c r="F358" i="8"/>
  <c r="B358" i="8"/>
  <c r="F359" i="8" l="1"/>
  <c r="G359" i="8"/>
  <c r="B359" i="8"/>
  <c r="C359" i="8"/>
  <c r="H359" i="8"/>
  <c r="A360" i="8" s="1"/>
  <c r="H360" i="8" l="1"/>
  <c r="A361" i="8" s="1"/>
  <c r="G360" i="8"/>
  <c r="F360" i="8"/>
  <c r="B360" i="8"/>
  <c r="C360" i="8"/>
  <c r="G361" i="8" l="1"/>
  <c r="H361" i="8"/>
  <c r="A362" i="8" s="1"/>
  <c r="B361" i="8"/>
  <c r="C361" i="8"/>
  <c r="F361" i="8"/>
  <c r="H362" i="8" l="1"/>
  <c r="A363" i="8" s="1"/>
  <c r="B362" i="8"/>
  <c r="G362" i="8"/>
  <c r="F362" i="8"/>
  <c r="C362" i="8"/>
  <c r="C363" i="8" l="1"/>
  <c r="G363" i="8"/>
  <c r="B363" i="8"/>
  <c r="H363" i="8"/>
  <c r="A364" i="8" s="1"/>
  <c r="F363" i="8"/>
  <c r="B364" i="8" l="1"/>
  <c r="C364" i="8"/>
  <c r="H364" i="8"/>
  <c r="A365" i="8" s="1"/>
  <c r="G364" i="8"/>
  <c r="F364" i="8"/>
  <c r="G365" i="8" l="1"/>
  <c r="F365" i="8"/>
  <c r="B365" i="8"/>
  <c r="C365" i="8"/>
  <c r="H365" i="8"/>
  <c r="A366" i="8" s="1"/>
  <c r="F366" i="8" l="1"/>
  <c r="B366" i="8"/>
  <c r="H366" i="8"/>
  <c r="A367" i="8" s="1"/>
  <c r="C366" i="8"/>
  <c r="G366" i="8"/>
  <c r="H367" i="8" l="1"/>
  <c r="A368" i="8" s="1"/>
  <c r="G367" i="8"/>
  <c r="C367" i="8"/>
  <c r="F367" i="8"/>
  <c r="B367" i="8"/>
  <c r="B368" i="8" l="1"/>
  <c r="H368" i="8"/>
  <c r="A369" i="8" s="1"/>
  <c r="G368" i="8"/>
  <c r="F368" i="8"/>
  <c r="C368" i="8"/>
  <c r="G369" i="8" l="1"/>
  <c r="H369" i="8"/>
  <c r="A370" i="8" s="1"/>
  <c r="B369" i="8"/>
  <c r="F369" i="8"/>
  <c r="C369" i="8"/>
  <c r="C370" i="8" l="1"/>
  <c r="H370" i="8"/>
  <c r="A371" i="8" s="1"/>
  <c r="G370" i="8"/>
  <c r="F370" i="8"/>
  <c r="B370" i="8"/>
  <c r="G371" i="8" l="1"/>
  <c r="C371" i="8"/>
  <c r="B371" i="8"/>
  <c r="H371" i="8"/>
  <c r="A372" i="8" s="1"/>
  <c r="F371" i="8"/>
  <c r="H372" i="8" l="1"/>
  <c r="A373" i="8" s="1"/>
  <c r="F372" i="8"/>
  <c r="B372" i="8"/>
  <c r="G372" i="8"/>
  <c r="C372" i="8"/>
  <c r="G373" i="8" l="1"/>
  <c r="H373" i="8"/>
  <c r="A374" i="8" s="1"/>
  <c r="C373" i="8"/>
  <c r="B373" i="8"/>
  <c r="F373" i="8"/>
  <c r="H374" i="8" l="1"/>
  <c r="A375" i="8" s="1"/>
  <c r="F374" i="8"/>
  <c r="B374" i="8"/>
  <c r="G374" i="8"/>
  <c r="C374" i="8"/>
  <c r="H375" i="8" l="1"/>
  <c r="A376" i="8" s="1"/>
  <c r="G375" i="8"/>
  <c r="B375" i="8"/>
  <c r="F375" i="8"/>
  <c r="C375" i="8"/>
  <c r="B376" i="8" l="1"/>
  <c r="C376" i="8"/>
  <c r="H376" i="8"/>
  <c r="A377" i="8" s="1"/>
  <c r="G376" i="8"/>
  <c r="F376" i="8"/>
  <c r="B377" i="8" l="1"/>
  <c r="G377" i="8"/>
  <c r="H377" i="8"/>
  <c r="A378" i="8" s="1"/>
  <c r="C377" i="8"/>
  <c r="F377" i="8"/>
  <c r="G378" i="8" l="1"/>
  <c r="C378" i="8"/>
  <c r="F378" i="8"/>
  <c r="H378" i="8"/>
  <c r="A379" i="8" s="1"/>
  <c r="B378" i="8"/>
  <c r="G379" i="8" l="1"/>
  <c r="H379" i="8"/>
  <c r="A380" i="8" s="1"/>
  <c r="C379" i="8"/>
  <c r="B379" i="8"/>
  <c r="F379" i="8"/>
  <c r="G380" i="8" l="1"/>
  <c r="F380" i="8"/>
  <c r="B380" i="8"/>
  <c r="C380" i="8"/>
  <c r="H380" i="8"/>
  <c r="A381" i="8" s="1"/>
  <c r="H381" i="8" l="1"/>
  <c r="A382" i="8" s="1"/>
  <c r="G381" i="8"/>
  <c r="C381" i="8"/>
  <c r="B381" i="8"/>
  <c r="F381" i="8"/>
  <c r="C382" i="8" l="1"/>
  <c r="G382" i="8"/>
  <c r="H382" i="8"/>
  <c r="A383" i="8" s="1"/>
  <c r="B382" i="8"/>
  <c r="F382" i="8"/>
  <c r="H383" i="8" l="1"/>
  <c r="A384" i="8" s="1"/>
  <c r="G383" i="8"/>
  <c r="C383" i="8"/>
  <c r="F383" i="8"/>
  <c r="B383" i="8"/>
  <c r="G384" i="8" l="1"/>
  <c r="B384" i="8"/>
  <c r="F384" i="8"/>
  <c r="C384" i="8"/>
  <c r="H384" i="8"/>
  <c r="A385" i="8" s="1"/>
  <c r="F385" i="8" l="1"/>
  <c r="H385" i="8"/>
  <c r="A386" i="8" s="1"/>
  <c r="C385" i="8"/>
  <c r="G385" i="8"/>
  <c r="B385" i="8"/>
  <c r="H386" i="8" l="1"/>
  <c r="A387" i="8" s="1"/>
  <c r="G386" i="8"/>
  <c r="F386" i="8"/>
  <c r="B386" i="8"/>
  <c r="C386" i="8"/>
  <c r="B387" i="8" l="1"/>
  <c r="H387" i="8"/>
  <c r="A388" i="8" s="1"/>
  <c r="C387" i="8"/>
  <c r="F387" i="8"/>
  <c r="G387" i="8"/>
  <c r="B388" i="8" l="1"/>
  <c r="G388" i="8"/>
  <c r="F388" i="8"/>
  <c r="H388" i="8"/>
  <c r="A389" i="8" s="1"/>
  <c r="C388" i="8"/>
  <c r="H389" i="8" l="1"/>
  <c r="A390" i="8" s="1"/>
  <c r="B389" i="8"/>
  <c r="G389" i="8"/>
  <c r="C389" i="8"/>
  <c r="F389" i="8"/>
  <c r="G390" i="8" l="1"/>
  <c r="F390" i="8"/>
  <c r="B390" i="8"/>
  <c r="H390" i="8"/>
  <c r="A391" i="8" s="1"/>
  <c r="C390" i="8"/>
  <c r="H391" i="8" l="1"/>
  <c r="A392" i="8" s="1"/>
  <c r="B391" i="8"/>
  <c r="F391" i="8"/>
  <c r="C391" i="8"/>
  <c r="G391" i="8"/>
  <c r="H392" i="8" l="1"/>
  <c r="A393" i="8" s="1"/>
  <c r="G392" i="8"/>
  <c r="F392" i="8"/>
  <c r="B392" i="8"/>
  <c r="C392" i="8"/>
  <c r="B393" i="8" l="1"/>
  <c r="H393" i="8"/>
  <c r="A394" i="8" s="1"/>
  <c r="F393" i="8"/>
  <c r="C393" i="8"/>
  <c r="G393" i="8"/>
  <c r="C394" i="8" l="1"/>
  <c r="G394" i="8"/>
  <c r="F394" i="8"/>
  <c r="B394" i="8"/>
  <c r="H394" i="8"/>
  <c r="A395" i="8" s="1"/>
  <c r="H395" i="8" l="1"/>
  <c r="A396" i="8" s="1"/>
  <c r="F395" i="8"/>
  <c r="B395" i="8"/>
  <c r="C395" i="8"/>
  <c r="G395" i="8"/>
  <c r="G396" i="8" l="1"/>
  <c r="B396" i="8"/>
  <c r="F396" i="8"/>
  <c r="H396" i="8"/>
  <c r="A397" i="8" s="1"/>
  <c r="C396" i="8"/>
  <c r="F397" i="8" l="1"/>
  <c r="H397" i="8"/>
  <c r="A398" i="8" s="1"/>
  <c r="G397" i="8"/>
  <c r="C397" i="8"/>
  <c r="B397" i="8"/>
  <c r="F398" i="8" l="1"/>
  <c r="C398" i="8"/>
  <c r="G398" i="8"/>
  <c r="H398" i="8"/>
  <c r="A399" i="8" s="1"/>
  <c r="B398" i="8"/>
  <c r="H399" i="8" l="1"/>
  <c r="A400" i="8" s="1"/>
  <c r="B399" i="8"/>
  <c r="C399" i="8"/>
  <c r="F399" i="8"/>
  <c r="G399" i="8"/>
  <c r="C400" i="8" l="1"/>
  <c r="G400" i="8"/>
  <c r="F400" i="8"/>
  <c r="B400" i="8"/>
  <c r="H400" i="8"/>
  <c r="A401" i="8" s="1"/>
  <c r="F401" i="8" l="1"/>
  <c r="H401" i="8"/>
  <c r="A402" i="8" s="1"/>
  <c r="B401" i="8"/>
  <c r="C401" i="8"/>
  <c r="G401" i="8"/>
  <c r="G402" i="8" l="1"/>
  <c r="F402" i="8"/>
  <c r="C402" i="8"/>
  <c r="B402" i="8"/>
  <c r="H402" i="8"/>
  <c r="A403" i="8" s="1"/>
  <c r="G403" i="8" l="1"/>
  <c r="H403" i="8"/>
  <c r="A404" i="8" s="1"/>
  <c r="B403" i="8"/>
  <c r="C403" i="8"/>
  <c r="F403" i="8"/>
  <c r="H404" i="8" l="1"/>
  <c r="A405" i="8" s="1"/>
  <c r="G404" i="8"/>
  <c r="F404" i="8"/>
  <c r="C404" i="8"/>
  <c r="B404" i="8"/>
  <c r="H405" i="8" l="1"/>
  <c r="A406" i="8" s="1"/>
  <c r="C405" i="8"/>
  <c r="B405" i="8"/>
  <c r="G405" i="8"/>
  <c r="F405" i="8"/>
  <c r="G406" i="8" l="1"/>
  <c r="B406" i="8"/>
  <c r="F406" i="8"/>
  <c r="C406" i="8"/>
  <c r="H406" i="8"/>
  <c r="A407" i="8" s="1"/>
  <c r="G407" i="8" l="1"/>
  <c r="H407" i="8"/>
  <c r="A408" i="8" s="1"/>
  <c r="F407" i="8"/>
  <c r="B407" i="8"/>
  <c r="C407" i="8"/>
  <c r="G408" i="8" l="1"/>
  <c r="F408" i="8"/>
  <c r="B408" i="8"/>
  <c r="C408" i="8"/>
  <c r="H408" i="8"/>
  <c r="A409" i="8" s="1"/>
  <c r="G409" i="8" l="1"/>
  <c r="H409" i="8"/>
  <c r="A410" i="8" s="1"/>
  <c r="B409" i="8"/>
  <c r="C409" i="8"/>
  <c r="F409" i="8"/>
  <c r="C410" i="8" l="1"/>
  <c r="G410" i="8"/>
  <c r="F410" i="8"/>
  <c r="H410" i="8"/>
  <c r="A411" i="8" s="1"/>
  <c r="B410" i="8"/>
  <c r="C411" i="8" l="1"/>
  <c r="B411" i="8"/>
  <c r="H411" i="8"/>
  <c r="A412" i="8" s="1"/>
  <c r="G411" i="8"/>
  <c r="F411" i="8"/>
  <c r="C412" i="8" l="1"/>
  <c r="G412" i="8"/>
  <c r="F412" i="8"/>
  <c r="B412" i="8"/>
  <c r="H412" i="8"/>
  <c r="A413" i="8" s="1"/>
  <c r="H413" i="8" l="1"/>
  <c r="A414" i="8" s="1"/>
  <c r="F413" i="8"/>
  <c r="G413" i="8"/>
  <c r="C413" i="8"/>
  <c r="B413" i="8"/>
  <c r="B414" i="8" l="1"/>
  <c r="G414" i="8"/>
  <c r="F414" i="8"/>
  <c r="C414" i="8"/>
  <c r="H414" i="8"/>
  <c r="A415" i="8" s="1"/>
  <c r="C415" i="8" l="1"/>
  <c r="H415" i="8"/>
  <c r="A416" i="8" s="1"/>
  <c r="G415" i="8"/>
  <c r="F415" i="8"/>
  <c r="B415" i="8"/>
  <c r="G416" i="8" l="1"/>
  <c r="H416" i="8"/>
  <c r="A417" i="8" s="1"/>
  <c r="F416" i="8"/>
  <c r="C416" i="8"/>
  <c r="B416" i="8"/>
  <c r="C417" i="8" l="1"/>
  <c r="H417" i="8"/>
  <c r="A418" i="8" s="1"/>
  <c r="F417" i="8"/>
  <c r="G417" i="8"/>
  <c r="B417" i="8"/>
  <c r="G418" i="8" l="1"/>
  <c r="F418" i="8"/>
  <c r="C418" i="8"/>
  <c r="H418" i="8"/>
  <c r="A419" i="8" s="1"/>
  <c r="B418" i="8"/>
  <c r="H419" i="8" l="1"/>
  <c r="A420" i="8" s="1"/>
  <c r="C419" i="8"/>
  <c r="G419" i="8"/>
  <c r="F419" i="8"/>
  <c r="B419" i="8"/>
  <c r="G420" i="8" l="1"/>
  <c r="C420" i="8"/>
  <c r="F420" i="8"/>
  <c r="H420" i="8"/>
  <c r="A421" i="8" s="1"/>
  <c r="B420" i="8"/>
  <c r="B421" i="8" l="1"/>
  <c r="H421" i="8"/>
  <c r="A422" i="8" s="1"/>
  <c r="C421" i="8"/>
  <c r="G421" i="8"/>
  <c r="F421" i="8"/>
  <c r="C422" i="8" l="1"/>
  <c r="G422" i="8"/>
  <c r="F422" i="8"/>
  <c r="H422" i="8"/>
  <c r="A423" i="8" s="1"/>
  <c r="B422" i="8"/>
  <c r="H423" i="8" l="1"/>
  <c r="A424" i="8" s="1"/>
  <c r="C423" i="8"/>
  <c r="B423" i="8"/>
  <c r="F423" i="8"/>
  <c r="G423" i="8"/>
  <c r="G424" i="8" l="1"/>
  <c r="F424" i="8"/>
  <c r="C424" i="8"/>
  <c r="H424" i="8"/>
  <c r="A425" i="8" s="1"/>
  <c r="B424" i="8"/>
  <c r="H425" i="8" l="1"/>
  <c r="A426" i="8" s="1"/>
  <c r="G425" i="8"/>
  <c r="F425" i="8"/>
  <c r="C425" i="8"/>
  <c r="B425" i="8"/>
  <c r="B426" i="8" l="1"/>
  <c r="G426" i="8"/>
  <c r="F426" i="8"/>
  <c r="C426" i="8"/>
  <c r="H426" i="8"/>
  <c r="A427" i="8" s="1"/>
  <c r="F427" i="8" l="1"/>
  <c r="H427" i="8"/>
  <c r="A428" i="8" s="1"/>
  <c r="B427" i="8"/>
  <c r="C427" i="8"/>
  <c r="G427" i="8"/>
  <c r="B428" i="8" l="1"/>
  <c r="F428" i="8"/>
  <c r="H428" i="8"/>
  <c r="A429" i="8" s="1"/>
  <c r="G428" i="8"/>
  <c r="C428" i="8"/>
  <c r="F429" i="8" l="1"/>
  <c r="H429" i="8"/>
  <c r="A430" i="8" s="1"/>
  <c r="C429" i="8"/>
  <c r="G429" i="8"/>
  <c r="B429" i="8"/>
  <c r="G430" i="8" l="1"/>
  <c r="F430" i="8"/>
  <c r="C430" i="8"/>
  <c r="H430" i="8"/>
  <c r="A431" i="8" s="1"/>
  <c r="B430" i="8"/>
  <c r="G431" i="8" l="1"/>
  <c r="H431" i="8"/>
  <c r="A432" i="8" s="1"/>
  <c r="B431" i="8"/>
  <c r="C431" i="8"/>
  <c r="F431" i="8"/>
  <c r="G432" i="8" l="1"/>
  <c r="C432" i="8"/>
  <c r="F432" i="8"/>
  <c r="B432" i="8"/>
  <c r="H432" i="8"/>
  <c r="A433" i="8" s="1"/>
  <c r="F433" i="8" l="1"/>
  <c r="B433" i="8"/>
  <c r="H433" i="8"/>
  <c r="A434" i="8" s="1"/>
  <c r="G433" i="8"/>
  <c r="C433" i="8"/>
  <c r="C434" i="8" l="1"/>
  <c r="G434" i="8"/>
  <c r="F434" i="8"/>
  <c r="H434" i="8"/>
  <c r="A435" i="8" s="1"/>
  <c r="B434" i="8"/>
  <c r="H435" i="8" l="1"/>
  <c r="A436" i="8" s="1"/>
  <c r="B435" i="8"/>
  <c r="F435" i="8"/>
  <c r="C435" i="8"/>
  <c r="G435" i="8"/>
  <c r="H436" i="8" l="1"/>
  <c r="A437" i="8" s="1"/>
  <c r="F436" i="8"/>
  <c r="B436" i="8"/>
  <c r="G436" i="8"/>
  <c r="C436" i="8"/>
  <c r="H437" i="8" l="1"/>
  <c r="A438" i="8" s="1"/>
  <c r="F437" i="8"/>
  <c r="G437" i="8"/>
  <c r="B437" i="8"/>
  <c r="C437" i="8"/>
  <c r="B438" i="8" l="1"/>
  <c r="G438" i="8"/>
  <c r="F438" i="8"/>
  <c r="C438" i="8"/>
  <c r="H438" i="8"/>
  <c r="A439" i="8" s="1"/>
  <c r="G439" i="8" l="1"/>
  <c r="H439" i="8"/>
  <c r="A440" i="8" s="1"/>
  <c r="B439" i="8"/>
  <c r="C439" i="8"/>
  <c r="F439" i="8"/>
  <c r="G440" i="8" l="1"/>
  <c r="B440" i="8"/>
  <c r="F440" i="8"/>
  <c r="H440" i="8"/>
  <c r="A441" i="8" s="1"/>
  <c r="C440" i="8"/>
  <c r="H441" i="8" l="1"/>
  <c r="A442" i="8" s="1"/>
  <c r="C441" i="8"/>
  <c r="F441" i="8"/>
  <c r="G441" i="8"/>
  <c r="B441" i="8"/>
  <c r="F442" i="8" l="1"/>
  <c r="B442" i="8"/>
  <c r="G442" i="8"/>
  <c r="C442" i="8"/>
  <c r="H442" i="8"/>
  <c r="A443" i="8" s="1"/>
  <c r="H443" i="8" l="1"/>
  <c r="A444" i="8" s="1"/>
  <c r="F443" i="8"/>
  <c r="G443" i="8"/>
  <c r="C443" i="8"/>
  <c r="B443" i="8"/>
  <c r="B444" i="8" l="1"/>
  <c r="G444" i="8"/>
  <c r="F444" i="8"/>
  <c r="C444" i="8"/>
  <c r="H444" i="8"/>
  <c r="A445" i="8" s="1"/>
  <c r="H445" i="8" l="1"/>
  <c r="A446" i="8" s="1"/>
  <c r="C445" i="8"/>
  <c r="B445" i="8"/>
  <c r="F445" i="8"/>
  <c r="G445" i="8"/>
  <c r="G446" i="8" l="1"/>
  <c r="F446" i="8"/>
  <c r="C446" i="8"/>
  <c r="H446" i="8"/>
  <c r="A447" i="8" s="1"/>
  <c r="B446" i="8"/>
  <c r="F447" i="8" l="1"/>
  <c r="H447" i="8"/>
  <c r="A448" i="8" s="1"/>
  <c r="C447" i="8"/>
  <c r="B447" i="8"/>
  <c r="G447" i="8"/>
  <c r="G448" i="8" l="1"/>
  <c r="C448" i="8"/>
  <c r="B448" i="8"/>
  <c r="F448" i="8"/>
  <c r="H448" i="8"/>
  <c r="A449" i="8" s="1"/>
  <c r="H449" i="8" l="1"/>
  <c r="A450" i="8" s="1"/>
  <c r="G449" i="8"/>
  <c r="F449" i="8"/>
  <c r="B449" i="8"/>
  <c r="C449" i="8"/>
  <c r="G450" i="8" l="1"/>
  <c r="F450" i="8"/>
  <c r="C450" i="8"/>
  <c r="B450" i="8"/>
  <c r="H450" i="8"/>
  <c r="A451" i="8" s="1"/>
  <c r="B451" i="8" l="1"/>
  <c r="H451" i="8"/>
  <c r="A452" i="8" s="1"/>
  <c r="C451" i="8"/>
  <c r="F451" i="8"/>
  <c r="G451" i="8"/>
  <c r="F452" i="8" l="1"/>
  <c r="H452" i="8"/>
  <c r="A453" i="8" s="1"/>
  <c r="B452" i="8"/>
  <c r="G452" i="8"/>
  <c r="C452" i="8"/>
  <c r="H453" i="8" l="1"/>
  <c r="A454" i="8" s="1"/>
  <c r="B453" i="8"/>
  <c r="F453" i="8"/>
  <c r="G453" i="8"/>
  <c r="C453" i="8"/>
  <c r="B454" i="8" l="1"/>
  <c r="G454" i="8"/>
  <c r="F454" i="8"/>
  <c r="C454" i="8"/>
  <c r="H454" i="8"/>
  <c r="A455" i="8" s="1"/>
  <c r="H455" i="8" l="1"/>
  <c r="A456" i="8" s="1"/>
  <c r="G455" i="8"/>
  <c r="F455" i="8"/>
  <c r="B455" i="8"/>
  <c r="C455" i="8"/>
  <c r="G456" i="8" l="1"/>
  <c r="C456" i="8"/>
  <c r="F456" i="8"/>
  <c r="H456" i="8"/>
  <c r="A457" i="8" s="1"/>
  <c r="B456" i="8"/>
  <c r="H457" i="8" l="1"/>
  <c r="A458" i="8" s="1"/>
  <c r="C457" i="8"/>
  <c r="F457" i="8"/>
  <c r="G457" i="8"/>
  <c r="B457" i="8"/>
  <c r="G458" i="8" l="1"/>
  <c r="B458" i="8"/>
  <c r="F458" i="8"/>
  <c r="C458" i="8"/>
  <c r="H458" i="8"/>
  <c r="A459" i="8" s="1"/>
  <c r="H459" i="8" l="1"/>
  <c r="A460" i="8" s="1"/>
  <c r="F459" i="8"/>
  <c r="C459" i="8"/>
  <c r="G459" i="8"/>
  <c r="B459" i="8"/>
  <c r="C460" i="8" l="1"/>
  <c r="G460" i="8"/>
  <c r="F460" i="8"/>
  <c r="B460" i="8"/>
  <c r="H460" i="8"/>
  <c r="A461" i="8" s="1"/>
  <c r="B461" i="8" l="1"/>
  <c r="H461" i="8"/>
  <c r="A462" i="8" s="1"/>
  <c r="G461" i="8"/>
  <c r="F461" i="8"/>
  <c r="C461" i="8"/>
  <c r="F462" i="8" l="1"/>
  <c r="G462" i="8"/>
  <c r="C462" i="8"/>
  <c r="H462" i="8"/>
  <c r="A463" i="8" s="1"/>
  <c r="B462" i="8"/>
  <c r="H463" i="8" l="1"/>
  <c r="A464" i="8" s="1"/>
  <c r="C463" i="8"/>
  <c r="B463" i="8"/>
  <c r="G463" i="8"/>
  <c r="F463" i="8"/>
  <c r="F464" i="8" l="1"/>
  <c r="G464" i="8"/>
  <c r="C464" i="8"/>
  <c r="H464" i="8"/>
  <c r="A465" i="8" s="1"/>
  <c r="B464" i="8"/>
  <c r="F465" i="8" l="1"/>
  <c r="H465" i="8"/>
  <c r="A466" i="8" s="1"/>
  <c r="G465" i="8"/>
  <c r="B465" i="8"/>
  <c r="C465" i="8"/>
  <c r="G466" i="8" l="1"/>
  <c r="C466" i="8"/>
  <c r="F466" i="8"/>
  <c r="B466" i="8"/>
  <c r="H466" i="8"/>
  <c r="A467" i="8" s="1"/>
  <c r="B467" i="8" l="1"/>
  <c r="H467" i="8"/>
  <c r="A468" i="8" s="1"/>
  <c r="G467" i="8"/>
  <c r="F467" i="8"/>
  <c r="C467" i="8"/>
  <c r="H468" i="8" l="1"/>
  <c r="A469" i="8" s="1"/>
  <c r="G468" i="8"/>
  <c r="F468" i="8"/>
  <c r="C468" i="8"/>
  <c r="B468" i="8"/>
  <c r="H469" i="8" l="1"/>
  <c r="A470" i="8" s="1"/>
  <c r="C469" i="8"/>
  <c r="G469" i="8"/>
  <c r="B469" i="8"/>
  <c r="F469" i="8"/>
  <c r="G470" i="8" l="1"/>
  <c r="B470" i="8"/>
  <c r="F470" i="8"/>
  <c r="C470" i="8"/>
  <c r="H470" i="8"/>
  <c r="A471" i="8" s="1"/>
  <c r="H471" i="8" l="1"/>
  <c r="A472" i="8" s="1"/>
  <c r="F471" i="8"/>
  <c r="G471" i="8"/>
  <c r="C471" i="8"/>
  <c r="B471" i="8"/>
  <c r="B472" i="8" l="1"/>
  <c r="G472" i="8"/>
  <c r="F472" i="8"/>
  <c r="C472" i="8"/>
  <c r="H472" i="8"/>
  <c r="A473" i="8" s="1"/>
  <c r="C473" i="8" l="1"/>
  <c r="H473" i="8"/>
  <c r="A474" i="8" s="1"/>
  <c r="G473" i="8"/>
  <c r="F473" i="8"/>
  <c r="B473" i="8"/>
  <c r="C474" i="8" l="1"/>
  <c r="G474" i="8"/>
  <c r="F474" i="8"/>
  <c r="H474" i="8"/>
  <c r="A475" i="8" s="1"/>
  <c r="B474" i="8"/>
  <c r="B475" i="8" l="1"/>
  <c r="H475" i="8"/>
  <c r="A476" i="8" s="1"/>
  <c r="G475" i="8"/>
  <c r="F475" i="8"/>
  <c r="C475" i="8"/>
  <c r="C476" i="8" l="1"/>
  <c r="G476" i="8"/>
  <c r="F476" i="8"/>
  <c r="H476" i="8"/>
  <c r="A477" i="8" s="1"/>
  <c r="B476" i="8"/>
  <c r="H477" i="8" l="1"/>
  <c r="A478" i="8" s="1"/>
  <c r="C477" i="8"/>
  <c r="G477" i="8"/>
  <c r="F477" i="8"/>
  <c r="B477" i="8"/>
  <c r="H478" i="8" l="1"/>
  <c r="A479" i="8" s="1"/>
  <c r="G478" i="8"/>
  <c r="F478" i="8"/>
  <c r="C478" i="8"/>
  <c r="B478" i="8"/>
  <c r="H479" i="8" l="1"/>
  <c r="A480" i="8" s="1"/>
  <c r="G479" i="8"/>
  <c r="F479" i="8"/>
  <c r="C479" i="8"/>
  <c r="B479" i="8"/>
  <c r="H480" i="8" l="1"/>
  <c r="A481" i="8" s="1"/>
  <c r="G480" i="8"/>
  <c r="F480" i="8"/>
  <c r="C480" i="8"/>
  <c r="B480" i="8"/>
  <c r="H481" i="8" l="1"/>
  <c r="A482" i="8" s="1"/>
  <c r="F481" i="8"/>
  <c r="B481" i="8"/>
  <c r="G481" i="8"/>
  <c r="C481" i="8"/>
  <c r="B482" i="8" l="1"/>
  <c r="G482" i="8"/>
  <c r="F482" i="8"/>
  <c r="C482" i="8"/>
  <c r="H482" i="8"/>
  <c r="A483" i="8" s="1"/>
  <c r="H483" i="8" l="1"/>
  <c r="A484" i="8" s="1"/>
  <c r="C483" i="8"/>
  <c r="F483" i="8"/>
  <c r="B483" i="8"/>
  <c r="G483" i="8"/>
  <c r="G484" i="8" l="1"/>
  <c r="C484" i="8"/>
  <c r="F484" i="8"/>
  <c r="H484" i="8"/>
  <c r="A485" i="8" s="1"/>
  <c r="B484" i="8"/>
  <c r="H485" i="8" l="1"/>
  <c r="A486" i="8" s="1"/>
  <c r="F485" i="8"/>
  <c r="G485" i="8"/>
  <c r="B485" i="8"/>
  <c r="C485" i="8"/>
  <c r="H486" i="8" l="1"/>
  <c r="A487" i="8" s="1"/>
  <c r="G486" i="8"/>
  <c r="F486" i="8"/>
  <c r="C486" i="8"/>
  <c r="B486" i="8"/>
  <c r="G487" i="8" l="1"/>
  <c r="H487" i="8"/>
  <c r="A488" i="8" s="1"/>
  <c r="B487" i="8"/>
  <c r="C487" i="8"/>
  <c r="F487" i="8"/>
  <c r="C488" i="8" l="1"/>
  <c r="G488" i="8"/>
  <c r="F488" i="8"/>
  <c r="H488" i="8"/>
  <c r="A489" i="8" s="1"/>
  <c r="B488" i="8"/>
  <c r="B489" i="8" l="1"/>
  <c r="H489" i="8"/>
  <c r="A490" i="8" s="1"/>
  <c r="F489" i="8"/>
  <c r="C489" i="8"/>
  <c r="G489" i="8"/>
  <c r="G490" i="8" l="1"/>
  <c r="F490" i="8"/>
  <c r="B490" i="8"/>
  <c r="H490" i="8"/>
  <c r="A491" i="8" s="1"/>
  <c r="C490" i="8"/>
  <c r="H491" i="8" l="1"/>
  <c r="A492" i="8" s="1"/>
  <c r="C491" i="8"/>
  <c r="G491" i="8"/>
  <c r="F491" i="8"/>
  <c r="B491" i="8"/>
  <c r="B492" i="8" l="1"/>
  <c r="G492" i="8"/>
  <c r="F492" i="8"/>
  <c r="C492" i="8"/>
  <c r="H492" i="8"/>
  <c r="A493" i="8" s="1"/>
  <c r="B493" i="8" l="1"/>
  <c r="F493" i="8"/>
  <c r="H493" i="8"/>
  <c r="A494" i="8" s="1"/>
  <c r="C493" i="8"/>
  <c r="G493" i="8"/>
  <c r="B494" i="8" l="1"/>
  <c r="G494" i="8"/>
  <c r="F494" i="8"/>
  <c r="C494" i="8"/>
  <c r="H494" i="8"/>
  <c r="A495" i="8" s="1"/>
  <c r="H495" i="8" l="1"/>
  <c r="A496" i="8" s="1"/>
  <c r="F495" i="8"/>
  <c r="C495" i="8"/>
  <c r="G495" i="8"/>
  <c r="B495" i="8"/>
  <c r="F496" i="8" l="1"/>
  <c r="G496" i="8"/>
  <c r="C496" i="8"/>
  <c r="B496" i="8"/>
  <c r="H496" i="8"/>
  <c r="A497" i="8" s="1"/>
  <c r="F497" i="8" l="1"/>
  <c r="H497" i="8"/>
  <c r="A498" i="8" s="1"/>
  <c r="G497" i="8"/>
  <c r="C497" i="8"/>
  <c r="B497" i="8"/>
  <c r="B498" i="8" l="1"/>
  <c r="G498" i="8"/>
  <c r="F498" i="8"/>
  <c r="C498" i="8"/>
  <c r="H498" i="8"/>
  <c r="A499" i="8" s="1"/>
  <c r="C499" i="8" l="1"/>
  <c r="H499" i="8"/>
  <c r="A500" i="8" s="1"/>
  <c r="B499" i="8"/>
  <c r="G499" i="8"/>
  <c r="F499" i="8"/>
  <c r="F500" i="8" l="1"/>
  <c r="B500" i="8"/>
  <c r="G500" i="8"/>
  <c r="C500" i="8"/>
  <c r="H500" i="8"/>
  <c r="A501" i="8" s="1"/>
  <c r="F501" i="8" l="1"/>
  <c r="G501" i="8"/>
  <c r="B501" i="8"/>
  <c r="H501" i="8"/>
  <c r="A502" i="8" s="1"/>
  <c r="C501" i="8"/>
  <c r="C502" i="8" l="1"/>
  <c r="G502" i="8"/>
  <c r="F502" i="8"/>
  <c r="H502" i="8"/>
  <c r="A503" i="8" s="1"/>
  <c r="B502" i="8"/>
  <c r="F503" i="8" l="1"/>
  <c r="H503" i="8"/>
  <c r="A504" i="8" s="1"/>
  <c r="B503" i="8"/>
  <c r="G503" i="8"/>
  <c r="C503" i="8"/>
  <c r="F504" i="8" l="1"/>
  <c r="G504" i="8"/>
  <c r="C504" i="8"/>
  <c r="H504" i="8"/>
  <c r="A505" i="8" s="1"/>
  <c r="B504" i="8"/>
  <c r="F505" i="8" l="1"/>
  <c r="B505" i="8"/>
  <c r="H505" i="8"/>
  <c r="A506" i="8" s="1"/>
  <c r="G505" i="8"/>
  <c r="C505" i="8"/>
  <c r="B506" i="8" l="1"/>
  <c r="G506" i="8"/>
  <c r="F506" i="8"/>
  <c r="C506" i="8"/>
  <c r="H506" i="8"/>
  <c r="A507" i="8" s="1"/>
  <c r="C507" i="8" l="1"/>
  <c r="B507" i="8"/>
  <c r="F507" i="8"/>
  <c r="H507" i="8"/>
  <c r="A508" i="8" s="1"/>
  <c r="G507" i="8"/>
  <c r="B508" i="8" l="1"/>
  <c r="G508" i="8"/>
  <c r="F508" i="8"/>
  <c r="C508" i="8"/>
  <c r="H508" i="8"/>
  <c r="A509" i="8" s="1"/>
  <c r="F509" i="8" l="1"/>
  <c r="B509" i="8"/>
  <c r="C509" i="8"/>
  <c r="G509" i="8"/>
  <c r="H509" i="8"/>
  <c r="A510" i="8" s="1"/>
  <c r="F510" i="8" l="1"/>
  <c r="B510" i="8"/>
  <c r="G510" i="8"/>
  <c r="C510" i="8"/>
  <c r="H510" i="8"/>
  <c r="A511" i="8" s="1"/>
  <c r="B511" i="8" l="1"/>
  <c r="F511" i="8"/>
  <c r="H511" i="8"/>
  <c r="A512" i="8" s="1"/>
  <c r="G511" i="8"/>
  <c r="C511" i="8"/>
  <c r="G512" i="8" l="1"/>
  <c r="C512" i="8"/>
  <c r="F512" i="8"/>
  <c r="H512" i="8"/>
  <c r="A513" i="8" s="1"/>
  <c r="B512" i="8"/>
  <c r="F513" i="8" l="1"/>
  <c r="B513" i="8"/>
  <c r="G513" i="8"/>
  <c r="C513" i="8"/>
  <c r="H513" i="8"/>
  <c r="A514" i="8" s="1"/>
  <c r="G514" i="8" l="1"/>
  <c r="C514" i="8"/>
  <c r="H514" i="8"/>
  <c r="A515" i="8" s="1"/>
  <c r="B514" i="8"/>
  <c r="F514" i="8"/>
  <c r="F515" i="8" l="1"/>
  <c r="H515" i="8"/>
  <c r="A516" i="8" s="1"/>
  <c r="B515" i="8"/>
  <c r="C515" i="8"/>
  <c r="G515" i="8"/>
  <c r="G516" i="8" l="1"/>
  <c r="F516" i="8"/>
  <c r="C516" i="8"/>
  <c r="H516" i="8"/>
  <c r="A517" i="8" s="1"/>
  <c r="B516" i="8"/>
  <c r="G517" i="8" l="1"/>
  <c r="F517" i="8"/>
  <c r="B517" i="8"/>
  <c r="H517" i="8"/>
  <c r="A518" i="8" s="1"/>
  <c r="C517" i="8"/>
  <c r="C518" i="8" l="1"/>
  <c r="G518" i="8"/>
  <c r="F518" i="8"/>
  <c r="H518" i="8"/>
  <c r="A519" i="8" s="1"/>
  <c r="B518" i="8"/>
  <c r="F519" i="8" l="1"/>
  <c r="H519" i="8"/>
  <c r="A520" i="8" s="1"/>
  <c r="B519" i="8"/>
  <c r="G519" i="8"/>
  <c r="C519" i="8"/>
  <c r="H520" i="8" l="1"/>
  <c r="A521" i="8" s="1"/>
  <c r="G520" i="8"/>
  <c r="F520" i="8"/>
  <c r="C520" i="8"/>
  <c r="B520" i="8"/>
  <c r="B521" i="8" l="1"/>
  <c r="C521" i="8"/>
  <c r="F521" i="8"/>
  <c r="H521" i="8"/>
  <c r="A522" i="8" s="1"/>
  <c r="G521" i="8"/>
  <c r="B522" i="8" l="1"/>
  <c r="G522" i="8"/>
  <c r="F522" i="8"/>
  <c r="C522" i="8"/>
  <c r="H522" i="8"/>
  <c r="A523" i="8" s="1"/>
  <c r="F523" i="8" l="1"/>
  <c r="B523" i="8"/>
  <c r="G523" i="8"/>
  <c r="H523" i="8"/>
  <c r="A524" i="8" s="1"/>
  <c r="C523" i="8"/>
  <c r="G524" i="8" l="1"/>
  <c r="C524" i="8"/>
  <c r="F524" i="8"/>
  <c r="H524" i="8"/>
  <c r="A525" i="8" s="1"/>
  <c r="B524" i="8"/>
  <c r="G525" i="8" l="1"/>
  <c r="F525" i="8"/>
  <c r="B525" i="8"/>
  <c r="H525" i="8"/>
  <c r="A526" i="8" s="1"/>
  <c r="C525" i="8"/>
  <c r="F526" i="8" l="1"/>
  <c r="B526" i="8"/>
  <c r="G526" i="8"/>
  <c r="C526" i="8"/>
  <c r="H526" i="8"/>
  <c r="A527" i="8" s="1"/>
  <c r="F527" i="8" l="1"/>
  <c r="B527" i="8"/>
  <c r="H527" i="8"/>
  <c r="A528" i="8" s="1"/>
  <c r="C527" i="8"/>
  <c r="G527" i="8"/>
  <c r="G528" i="8" l="1"/>
  <c r="F528" i="8"/>
  <c r="C528" i="8"/>
  <c r="H528" i="8"/>
  <c r="A529" i="8" s="1"/>
  <c r="B528" i="8"/>
  <c r="G529" i="8" l="1"/>
  <c r="F529" i="8"/>
  <c r="B529" i="8"/>
  <c r="H529" i="8"/>
  <c r="A530" i="8" s="1"/>
  <c r="C529" i="8"/>
  <c r="C530" i="8" l="1"/>
  <c r="G530" i="8"/>
  <c r="F530" i="8"/>
  <c r="H530" i="8"/>
  <c r="A531" i="8" s="1"/>
  <c r="B530" i="8"/>
  <c r="C531" i="8" l="1"/>
  <c r="F531" i="8"/>
  <c r="B531" i="8"/>
  <c r="H531" i="8"/>
  <c r="A532" i="8" s="1"/>
  <c r="G531" i="8"/>
  <c r="C532" i="8" l="1"/>
  <c r="G532" i="8"/>
  <c r="F532" i="8"/>
  <c r="H532" i="8"/>
  <c r="A533" i="8" s="1"/>
  <c r="B532" i="8"/>
  <c r="G533" i="8" l="1"/>
  <c r="F533" i="8"/>
  <c r="B533" i="8"/>
  <c r="H533" i="8"/>
  <c r="A534" i="8" s="1"/>
  <c r="C533" i="8"/>
  <c r="G534" i="8" l="1"/>
  <c r="F534" i="8"/>
  <c r="C534" i="8"/>
  <c r="H534" i="8"/>
  <c r="A535" i="8" s="1"/>
  <c r="B534" i="8"/>
  <c r="H535" i="8" l="1"/>
  <c r="A536" i="8" s="1"/>
  <c r="F535" i="8"/>
  <c r="B535" i="8"/>
  <c r="G535" i="8"/>
  <c r="C535" i="8"/>
  <c r="H536" i="8" l="1"/>
  <c r="A537" i="8" s="1"/>
  <c r="G536" i="8"/>
  <c r="F536" i="8"/>
  <c r="C536" i="8"/>
  <c r="B536" i="8"/>
  <c r="C537" i="8" l="1"/>
  <c r="F537" i="8"/>
  <c r="B537" i="8"/>
  <c r="H537" i="8"/>
  <c r="A538" i="8" s="1"/>
  <c r="G537" i="8"/>
  <c r="H538" i="8" l="1"/>
  <c r="A539" i="8" s="1"/>
  <c r="G538" i="8"/>
  <c r="F538" i="8"/>
  <c r="C538" i="8"/>
  <c r="B538" i="8"/>
  <c r="F539" i="8" l="1"/>
  <c r="C539" i="8"/>
  <c r="B539" i="8"/>
  <c r="G539" i="8"/>
  <c r="H539" i="8"/>
  <c r="A540" i="8" s="1"/>
  <c r="G540" i="8" l="1"/>
  <c r="B540" i="8"/>
  <c r="F540" i="8"/>
  <c r="C540" i="8"/>
  <c r="H540" i="8"/>
  <c r="A541" i="8" s="1"/>
  <c r="C541" i="8" l="1"/>
  <c r="F541" i="8"/>
  <c r="B541" i="8"/>
  <c r="H541" i="8"/>
  <c r="A542" i="8" s="1"/>
  <c r="G541" i="8"/>
  <c r="C542" i="8" l="1"/>
  <c r="H542" i="8"/>
  <c r="A543" i="8" s="1"/>
  <c r="G542" i="8"/>
  <c r="F542" i="8"/>
  <c r="B542" i="8"/>
  <c r="B543" i="8" l="1"/>
  <c r="C543" i="8"/>
  <c r="H543" i="8"/>
  <c r="A544" i="8" s="1"/>
  <c r="F543" i="8"/>
  <c r="G543" i="8"/>
  <c r="F544" i="8" l="1"/>
  <c r="H544" i="8"/>
  <c r="A545" i="8" s="1"/>
  <c r="C544" i="8"/>
  <c r="G544" i="8"/>
  <c r="B544" i="8"/>
  <c r="H545" i="8" l="1"/>
  <c r="A546" i="8" s="1"/>
  <c r="B545" i="8"/>
  <c r="C545" i="8"/>
  <c r="G545" i="8"/>
  <c r="F545" i="8"/>
  <c r="C546" i="8" l="1"/>
  <c r="H546" i="8"/>
  <c r="A547" i="8" s="1"/>
  <c r="G546" i="8"/>
  <c r="F546" i="8"/>
  <c r="B546" i="8"/>
  <c r="B547" i="8" l="1"/>
  <c r="G547" i="8"/>
  <c r="H547" i="8"/>
  <c r="A548" i="8" s="1"/>
  <c r="C547" i="8"/>
  <c r="F547" i="8"/>
  <c r="G548" i="8" l="1"/>
  <c r="C548" i="8"/>
  <c r="H548" i="8"/>
  <c r="A549" i="8" s="1"/>
  <c r="B548" i="8"/>
  <c r="F548" i="8"/>
  <c r="B549" i="8" l="1"/>
  <c r="F549" i="8"/>
  <c r="H549" i="8"/>
  <c r="A550" i="8" s="1"/>
  <c r="G549" i="8"/>
  <c r="C549" i="8"/>
  <c r="G550" i="8" l="1"/>
  <c r="C550" i="8"/>
  <c r="B550" i="8"/>
  <c r="F550" i="8"/>
  <c r="H550" i="8"/>
  <c r="A551" i="8" s="1"/>
  <c r="B551" i="8" l="1"/>
  <c r="C551" i="8"/>
  <c r="G551" i="8"/>
  <c r="F551" i="8"/>
  <c r="H551" i="8"/>
  <c r="A552" i="8" s="1"/>
  <c r="F552" i="8" l="1"/>
  <c r="B552" i="8"/>
  <c r="H552" i="8"/>
  <c r="A553" i="8" s="1"/>
  <c r="C552" i="8"/>
  <c r="G552" i="8"/>
  <c r="B553" i="8" l="1"/>
  <c r="H553" i="8"/>
  <c r="A554" i="8" s="1"/>
  <c r="F553" i="8"/>
  <c r="G553" i="8"/>
  <c r="C553" i="8"/>
  <c r="G554" i="8" l="1"/>
  <c r="H554" i="8"/>
  <c r="A555" i="8" s="1"/>
  <c r="F554" i="8"/>
  <c r="C554" i="8"/>
  <c r="B554" i="8"/>
  <c r="C555" i="8" l="1"/>
  <c r="B555" i="8"/>
  <c r="H555" i="8"/>
  <c r="A556" i="8" s="1"/>
  <c r="F555" i="8"/>
  <c r="G555" i="8"/>
  <c r="H556" i="8" l="1"/>
  <c r="A557" i="8" s="1"/>
  <c r="F556" i="8"/>
  <c r="C556" i="8"/>
  <c r="G556" i="8"/>
  <c r="B556" i="8"/>
  <c r="F557" i="8" l="1"/>
  <c r="B557" i="8"/>
  <c r="H557" i="8"/>
  <c r="A558" i="8" s="1"/>
  <c r="C557" i="8"/>
  <c r="G557" i="8"/>
  <c r="G558" i="8" l="1"/>
  <c r="H558" i="8"/>
  <c r="A559" i="8" s="1"/>
  <c r="C558" i="8"/>
  <c r="B558" i="8"/>
  <c r="F558" i="8"/>
  <c r="H559" i="8" l="1"/>
  <c r="A560" i="8" s="1"/>
  <c r="F559" i="8"/>
  <c r="B559" i="8"/>
  <c r="G559" i="8"/>
  <c r="C559" i="8"/>
  <c r="F560" i="8" l="1"/>
  <c r="H560" i="8"/>
  <c r="A561" i="8" s="1"/>
  <c r="C560" i="8"/>
  <c r="B560" i="8"/>
  <c r="G560" i="8"/>
  <c r="B561" i="8" l="1"/>
  <c r="H561" i="8"/>
  <c r="A562" i="8" s="1"/>
  <c r="G561" i="8"/>
  <c r="C561" i="8"/>
  <c r="F561" i="8"/>
  <c r="G562" i="8" l="1"/>
  <c r="C562" i="8"/>
  <c r="F562" i="8"/>
  <c r="H562" i="8"/>
  <c r="A563" i="8" s="1"/>
  <c r="B562" i="8"/>
  <c r="H563" i="8" l="1"/>
  <c r="A564" i="8" s="1"/>
  <c r="B563" i="8"/>
  <c r="G563" i="8"/>
  <c r="F563" i="8"/>
  <c r="C563" i="8"/>
  <c r="B564" i="8" l="1"/>
  <c r="H564" i="8"/>
  <c r="A565" i="8" s="1"/>
  <c r="C564" i="8"/>
  <c r="F564" i="8"/>
  <c r="G564" i="8"/>
  <c r="H565" i="8" l="1"/>
  <c r="A566" i="8" s="1"/>
  <c r="F565" i="8"/>
  <c r="G565" i="8"/>
  <c r="B565" i="8"/>
  <c r="C565" i="8"/>
  <c r="H566" i="8" l="1"/>
  <c r="A567" i="8" s="1"/>
  <c r="C566" i="8"/>
  <c r="G566" i="8"/>
  <c r="F566" i="8"/>
  <c r="B566" i="8"/>
  <c r="H567" i="8" l="1"/>
  <c r="A568" i="8" s="1"/>
  <c r="G567" i="8"/>
  <c r="F567" i="8"/>
  <c r="B567" i="8"/>
  <c r="C567" i="8"/>
  <c r="G568" i="8" l="1"/>
  <c r="B568" i="8"/>
  <c r="C568" i="8"/>
  <c r="F568" i="8"/>
  <c r="H568" i="8"/>
  <c r="A569" i="8" s="1"/>
  <c r="H569" i="8" l="1"/>
  <c r="A570" i="8" s="1"/>
  <c r="B569" i="8"/>
  <c r="G569" i="8"/>
  <c r="C569" i="8"/>
  <c r="F569" i="8"/>
  <c r="B570" i="8" l="1"/>
  <c r="H570" i="8"/>
  <c r="A571" i="8" s="1"/>
  <c r="C570" i="8"/>
  <c r="F570" i="8"/>
  <c r="G570" i="8"/>
  <c r="H571" i="8" l="1"/>
  <c r="A572" i="8" s="1"/>
  <c r="F571" i="8"/>
  <c r="G571" i="8"/>
  <c r="C571" i="8"/>
  <c r="B571" i="8"/>
  <c r="C572" i="8" l="1"/>
  <c r="H572" i="8"/>
  <c r="A573" i="8" s="1"/>
  <c r="F572" i="8"/>
  <c r="G572" i="8"/>
  <c r="B572" i="8"/>
  <c r="F573" i="8" l="1"/>
  <c r="H573" i="8"/>
  <c r="A574" i="8" s="1"/>
  <c r="G573" i="8"/>
  <c r="B573" i="8"/>
  <c r="C573" i="8"/>
  <c r="F574" i="8" l="1"/>
  <c r="G574" i="8"/>
  <c r="C574" i="8"/>
  <c r="H574" i="8"/>
  <c r="A575" i="8" s="1"/>
  <c r="B574" i="8"/>
  <c r="B575" i="8" l="1"/>
  <c r="H575" i="8"/>
  <c r="A576" i="8" s="1"/>
  <c r="F575" i="8"/>
  <c r="G575" i="8"/>
  <c r="C575" i="8"/>
  <c r="B576" i="8" l="1"/>
  <c r="C576" i="8"/>
  <c r="F576" i="8"/>
  <c r="H576" i="8"/>
  <c r="A577" i="8" s="1"/>
  <c r="G576" i="8"/>
  <c r="H577" i="8" l="1"/>
  <c r="A578" i="8" s="1"/>
  <c r="C577" i="8"/>
  <c r="G577" i="8"/>
  <c r="B577" i="8"/>
  <c r="F577" i="8"/>
  <c r="C578" i="8" l="1"/>
  <c r="H578" i="8"/>
  <c r="A579" i="8" s="1"/>
  <c r="F578" i="8"/>
  <c r="G578" i="8"/>
  <c r="B578" i="8"/>
  <c r="H579" i="8" l="1"/>
  <c r="A580" i="8" s="1"/>
  <c r="C579" i="8"/>
  <c r="G579" i="8"/>
  <c r="B579" i="8"/>
  <c r="F579" i="8"/>
  <c r="G580" i="8" l="1"/>
  <c r="F580" i="8"/>
  <c r="C580" i="8"/>
  <c r="H580" i="8"/>
  <c r="A581" i="8" s="1"/>
  <c r="B580" i="8"/>
  <c r="H581" i="8" l="1"/>
  <c r="A582" i="8" s="1"/>
  <c r="B581" i="8"/>
  <c r="G581" i="8"/>
  <c r="C581" i="8"/>
  <c r="F581" i="8"/>
  <c r="B582" i="8" l="1"/>
  <c r="C582" i="8"/>
  <c r="F582" i="8"/>
  <c r="H582" i="8"/>
  <c r="A583" i="8" s="1"/>
  <c r="G582" i="8"/>
  <c r="H583" i="8" l="1"/>
  <c r="A584" i="8" s="1"/>
  <c r="C583" i="8"/>
  <c r="B583" i="8"/>
  <c r="G583" i="8"/>
  <c r="F583" i="8"/>
  <c r="B584" i="8" l="1"/>
  <c r="H584" i="8"/>
  <c r="A585" i="8" s="1"/>
  <c r="F584" i="8"/>
  <c r="G584" i="8"/>
  <c r="C584" i="8"/>
  <c r="G585" i="8" l="1"/>
  <c r="H585" i="8"/>
  <c r="A586" i="8" s="1"/>
  <c r="C585" i="8"/>
  <c r="B585" i="8"/>
  <c r="F585" i="8"/>
  <c r="H586" i="8" l="1"/>
  <c r="A587" i="8" s="1"/>
  <c r="G586" i="8"/>
  <c r="F586" i="8"/>
  <c r="C586" i="8"/>
  <c r="B586" i="8"/>
  <c r="H587" i="8" l="1"/>
  <c r="A588" i="8" s="1"/>
  <c r="F587" i="8"/>
  <c r="C587" i="8"/>
  <c r="G587" i="8"/>
  <c r="B587" i="8"/>
  <c r="F588" i="8" l="1"/>
  <c r="C588" i="8"/>
  <c r="B588" i="8"/>
  <c r="H588" i="8"/>
  <c r="A589" i="8" s="1"/>
  <c r="G588" i="8"/>
  <c r="H589" i="8" l="1"/>
  <c r="A590" i="8" s="1"/>
  <c r="B589" i="8"/>
  <c r="G589" i="8"/>
  <c r="C589" i="8"/>
  <c r="F589" i="8"/>
  <c r="H590" i="8" l="1"/>
  <c r="A591" i="8" s="1"/>
  <c r="C590" i="8"/>
  <c r="F590" i="8"/>
  <c r="B590" i="8"/>
  <c r="G590" i="8"/>
  <c r="H591" i="8" l="1"/>
  <c r="A592" i="8" s="1"/>
  <c r="G591" i="8"/>
  <c r="C591" i="8"/>
  <c r="B591" i="8"/>
  <c r="F591" i="8"/>
  <c r="H592" i="8" l="1"/>
  <c r="A593" i="8" s="1"/>
  <c r="G592" i="8"/>
  <c r="F592" i="8"/>
  <c r="C592" i="8"/>
  <c r="B592" i="8"/>
  <c r="B593" i="8" l="1"/>
  <c r="H593" i="8"/>
  <c r="A594" i="8" s="1"/>
  <c r="G593" i="8"/>
  <c r="C593" i="8"/>
  <c r="F593" i="8"/>
  <c r="F594" i="8" l="1"/>
  <c r="B594" i="8"/>
  <c r="H594" i="8"/>
  <c r="A595" i="8" s="1"/>
  <c r="G594" i="8"/>
  <c r="C594" i="8"/>
  <c r="H595" i="8" l="1"/>
  <c r="A596" i="8" s="1"/>
  <c r="B595" i="8"/>
  <c r="G595" i="8"/>
  <c r="F595" i="8"/>
  <c r="C595" i="8"/>
  <c r="H596" i="8" l="1"/>
  <c r="A597" i="8" s="1"/>
  <c r="F596" i="8"/>
  <c r="G596" i="8"/>
  <c r="B596" i="8"/>
  <c r="C596" i="8"/>
  <c r="H597" i="8" l="1"/>
  <c r="A598" i="8" s="1"/>
  <c r="G597" i="8"/>
  <c r="B597" i="8"/>
  <c r="F597" i="8"/>
  <c r="C597" i="8"/>
  <c r="G598" i="8" l="1"/>
  <c r="F598" i="8"/>
  <c r="C598" i="8"/>
  <c r="H598" i="8"/>
  <c r="A599" i="8" s="1"/>
  <c r="B598" i="8"/>
  <c r="H599" i="8" l="1"/>
  <c r="A600" i="8" s="1"/>
  <c r="B599" i="8"/>
  <c r="G599" i="8"/>
  <c r="F599" i="8"/>
  <c r="C599" i="8"/>
  <c r="F600" i="8" l="1"/>
  <c r="C600" i="8"/>
  <c r="B600" i="8"/>
  <c r="H600" i="8"/>
  <c r="A601" i="8" s="1"/>
  <c r="G600" i="8"/>
  <c r="F601" i="8" l="1"/>
  <c r="H601" i="8"/>
  <c r="A602" i="8" s="1"/>
  <c r="G601" i="8"/>
  <c r="B601" i="8"/>
  <c r="C601" i="8"/>
  <c r="B602" i="8" l="1"/>
  <c r="H602" i="8"/>
  <c r="A603" i="8" s="1"/>
  <c r="F602" i="8"/>
  <c r="G602" i="8"/>
  <c r="C602" i="8"/>
  <c r="H603" i="8" l="1"/>
  <c r="A604" i="8" s="1"/>
  <c r="C603" i="8"/>
  <c r="F603" i="8"/>
  <c r="B603" i="8"/>
  <c r="G603" i="8"/>
  <c r="G604" i="8" l="1"/>
  <c r="H604" i="8"/>
  <c r="A605" i="8" s="1"/>
  <c r="B604" i="8"/>
  <c r="C604" i="8"/>
  <c r="F604" i="8"/>
  <c r="H605" i="8" l="1"/>
  <c r="A606" i="8" s="1"/>
  <c r="B605" i="8"/>
  <c r="C605" i="8"/>
  <c r="G605" i="8"/>
  <c r="F605" i="8"/>
  <c r="G606" i="8" l="1"/>
  <c r="H606" i="8"/>
  <c r="A607" i="8" s="1"/>
  <c r="B606" i="8"/>
  <c r="F606" i="8"/>
  <c r="C606" i="8"/>
  <c r="G607" i="8" l="1"/>
  <c r="B607" i="8"/>
  <c r="F607" i="8"/>
  <c r="C607" i="8"/>
  <c r="H607" i="8"/>
  <c r="A608" i="8" s="1"/>
  <c r="G608" i="8" l="1"/>
  <c r="F608" i="8"/>
  <c r="B608" i="8"/>
  <c r="H608" i="8"/>
  <c r="A609" i="8" s="1"/>
  <c r="C608" i="8"/>
  <c r="G609" i="8" l="1"/>
  <c r="F609" i="8"/>
  <c r="B609" i="8"/>
  <c r="H609" i="8"/>
  <c r="A610" i="8" s="1"/>
  <c r="C609" i="8"/>
  <c r="G610" i="8" l="1"/>
  <c r="B610" i="8"/>
  <c r="F610" i="8"/>
  <c r="H610" i="8"/>
  <c r="A611" i="8" s="1"/>
  <c r="C610" i="8"/>
  <c r="H611" i="8" l="1"/>
  <c r="A612" i="8" s="1"/>
  <c r="C611" i="8"/>
  <c r="F611" i="8"/>
  <c r="G611" i="8"/>
  <c r="B611" i="8"/>
  <c r="B612" i="8" l="1"/>
  <c r="H612" i="8"/>
  <c r="A613" i="8" s="1"/>
  <c r="C612" i="8"/>
  <c r="F612" i="8"/>
  <c r="G612" i="8"/>
  <c r="B613" i="8" l="1"/>
  <c r="H613" i="8"/>
  <c r="A614" i="8" s="1"/>
  <c r="C613" i="8"/>
  <c r="G613" i="8"/>
  <c r="F613" i="8"/>
  <c r="G614" i="8" l="1"/>
  <c r="F614" i="8"/>
  <c r="B614" i="8"/>
  <c r="H614" i="8"/>
  <c r="A615" i="8" s="1"/>
  <c r="C614" i="8"/>
  <c r="F615" i="8" l="1"/>
  <c r="B615" i="8"/>
  <c r="C615" i="8"/>
  <c r="H615" i="8"/>
  <c r="A616" i="8" s="1"/>
  <c r="G615" i="8"/>
  <c r="G616" i="8" l="1"/>
  <c r="B616" i="8"/>
  <c r="F616" i="8"/>
  <c r="C616" i="8"/>
  <c r="H616" i="8"/>
  <c r="A617" i="8" s="1"/>
  <c r="G617" i="8" l="1"/>
  <c r="H617" i="8"/>
  <c r="A618" i="8" s="1"/>
  <c r="F617" i="8"/>
  <c r="C617" i="8"/>
  <c r="B617" i="8"/>
  <c r="H618" i="8" l="1"/>
  <c r="A619" i="8" s="1"/>
  <c r="G618" i="8"/>
  <c r="B618" i="8"/>
  <c r="F618" i="8"/>
  <c r="C618" i="8"/>
  <c r="F619" i="8" l="1"/>
  <c r="H619" i="8"/>
  <c r="A620" i="8" s="1"/>
  <c r="C619" i="8"/>
  <c r="B619" i="8"/>
  <c r="G619" i="8"/>
  <c r="B620" i="8" l="1"/>
  <c r="F620" i="8"/>
  <c r="G620" i="8"/>
  <c r="C620" i="8"/>
  <c r="H620" i="8"/>
  <c r="A621" i="8" s="1"/>
  <c r="H621" i="8" l="1"/>
  <c r="A622" i="8" s="1"/>
  <c r="G621" i="8"/>
  <c r="B621" i="8"/>
  <c r="C621" i="8"/>
  <c r="F621" i="8"/>
  <c r="G622" i="8" l="1"/>
  <c r="H622" i="8"/>
  <c r="A623" i="8" s="1"/>
  <c r="B622" i="8"/>
  <c r="C622" i="8"/>
  <c r="F622" i="8"/>
  <c r="B623" i="8" l="1"/>
  <c r="G623" i="8"/>
  <c r="F623" i="8"/>
  <c r="C623" i="8"/>
  <c r="H623" i="8"/>
  <c r="A624" i="8" s="1"/>
  <c r="C624" i="8" l="1"/>
  <c r="G624" i="8"/>
  <c r="B624" i="8"/>
  <c r="F624" i="8"/>
  <c r="H624" i="8"/>
  <c r="A625" i="8" s="1"/>
  <c r="B625" i="8" l="1"/>
  <c r="G625" i="8"/>
  <c r="F625" i="8"/>
  <c r="C625" i="8"/>
  <c r="H625" i="8"/>
  <c r="A626" i="8" s="1"/>
  <c r="G626" i="8" l="1"/>
  <c r="H626" i="8"/>
  <c r="A627" i="8" s="1"/>
  <c r="F626" i="8"/>
  <c r="B626" i="8"/>
  <c r="C626" i="8"/>
  <c r="B627" i="8" l="1"/>
  <c r="H627" i="8"/>
  <c r="A628" i="8" s="1"/>
  <c r="C627" i="8"/>
  <c r="F627" i="8"/>
  <c r="G627" i="8"/>
  <c r="G628" i="8" l="1"/>
  <c r="H628" i="8"/>
  <c r="A629" i="8" s="1"/>
  <c r="B628" i="8"/>
  <c r="C628" i="8"/>
  <c r="F628" i="8"/>
  <c r="H629" i="8" l="1"/>
  <c r="A630" i="8" s="1"/>
  <c r="C629" i="8"/>
  <c r="G629" i="8"/>
  <c r="B629" i="8"/>
  <c r="F629" i="8"/>
  <c r="B630" i="8" l="1"/>
  <c r="H630" i="8"/>
  <c r="A631" i="8" s="1"/>
  <c r="C630" i="8"/>
  <c r="G630" i="8"/>
  <c r="F630" i="8"/>
  <c r="F631" i="8" l="1"/>
  <c r="G631" i="8"/>
  <c r="B631" i="8"/>
  <c r="C631" i="8"/>
  <c r="H631" i="8"/>
  <c r="A632" i="8" s="1"/>
  <c r="G632" i="8" l="1"/>
  <c r="F632" i="8"/>
  <c r="C632" i="8"/>
  <c r="B632" i="8"/>
  <c r="H632" i="8"/>
  <c r="A633" i="8" s="1"/>
  <c r="C633" i="8" l="1"/>
  <c r="G633" i="8"/>
  <c r="F633" i="8"/>
  <c r="B633" i="8"/>
  <c r="H633" i="8"/>
  <c r="A634" i="8" s="1"/>
  <c r="G634" i="8" l="1"/>
  <c r="B634" i="8"/>
  <c r="F634" i="8"/>
  <c r="H634" i="8"/>
  <c r="A635" i="8" s="1"/>
  <c r="C634" i="8"/>
  <c r="C635" i="8" l="1"/>
  <c r="H635" i="8"/>
  <c r="A636" i="8" s="1"/>
  <c r="B635" i="8"/>
  <c r="F635" i="8"/>
  <c r="G635" i="8"/>
  <c r="G636" i="8" l="1"/>
  <c r="H636" i="8"/>
  <c r="A637" i="8" s="1"/>
  <c r="B636" i="8"/>
  <c r="C636" i="8"/>
  <c r="F636" i="8"/>
  <c r="F637" i="8" l="1"/>
  <c r="H637" i="8"/>
  <c r="A638" i="8" s="1"/>
  <c r="G637" i="8"/>
  <c r="C637" i="8"/>
  <c r="B637" i="8"/>
  <c r="C638" i="8" l="1"/>
  <c r="G638" i="8"/>
  <c r="B638" i="8"/>
  <c r="H638" i="8"/>
  <c r="A639" i="8" s="1"/>
  <c r="F638" i="8"/>
  <c r="F639" i="8" l="1"/>
  <c r="G639" i="8"/>
  <c r="B639" i="8"/>
  <c r="H639" i="8"/>
  <c r="A640" i="8" s="1"/>
  <c r="C639" i="8"/>
  <c r="B640" i="8" l="1"/>
  <c r="F640" i="8"/>
  <c r="C640" i="8"/>
  <c r="G640" i="8"/>
  <c r="H640" i="8"/>
  <c r="A641" i="8" s="1"/>
  <c r="G641" i="8" l="1"/>
  <c r="B641" i="8"/>
  <c r="F641" i="8"/>
  <c r="C641" i="8"/>
  <c r="H641" i="8"/>
  <c r="A642" i="8" s="1"/>
  <c r="F642" i="8" l="1"/>
  <c r="G642" i="8"/>
  <c r="B642" i="8"/>
  <c r="H642" i="8"/>
  <c r="A643" i="8" s="1"/>
  <c r="C642" i="8"/>
  <c r="C643" i="8" l="1"/>
  <c r="H643" i="8"/>
  <c r="A644" i="8" s="1"/>
  <c r="B643" i="8"/>
  <c r="F643" i="8"/>
  <c r="G643" i="8"/>
  <c r="G644" i="8" l="1"/>
  <c r="B644" i="8"/>
  <c r="C644" i="8"/>
  <c r="H644" i="8"/>
  <c r="A645" i="8" s="1"/>
  <c r="F644" i="8"/>
  <c r="G645" i="8" l="1"/>
  <c r="H645" i="8"/>
  <c r="A646" i="8" s="1"/>
  <c r="C645" i="8"/>
  <c r="B645" i="8"/>
  <c r="F645" i="8"/>
  <c r="F646" i="8" l="1"/>
  <c r="G646" i="8"/>
  <c r="B646" i="8"/>
  <c r="H646" i="8"/>
  <c r="A647" i="8" s="1"/>
  <c r="C646" i="8"/>
  <c r="F647" i="8" l="1"/>
  <c r="B647" i="8"/>
  <c r="C647" i="8"/>
  <c r="G647" i="8"/>
  <c r="H647" i="8"/>
  <c r="A648" i="8" s="1"/>
  <c r="B648" i="8" l="1"/>
  <c r="C648" i="8"/>
  <c r="G648" i="8"/>
  <c r="F648" i="8"/>
  <c r="H648" i="8"/>
  <c r="A649" i="8" s="1"/>
  <c r="G649" i="8" l="1"/>
  <c r="B649" i="8"/>
  <c r="F649" i="8"/>
  <c r="C649" i="8"/>
  <c r="H649" i="8"/>
  <c r="A650" i="8" s="1"/>
  <c r="F650" i="8" l="1"/>
  <c r="G650" i="8"/>
  <c r="B650" i="8"/>
  <c r="H650" i="8"/>
  <c r="A651" i="8" s="1"/>
  <c r="C650" i="8"/>
  <c r="C651" i="8" l="1"/>
  <c r="G651" i="8"/>
  <c r="H651" i="8"/>
  <c r="A652" i="8" s="1"/>
  <c r="B651" i="8"/>
  <c r="F651" i="8"/>
  <c r="G652" i="8" l="1"/>
  <c r="B652" i="8"/>
  <c r="C652" i="8"/>
  <c r="H652" i="8"/>
  <c r="A653" i="8" s="1"/>
  <c r="F652" i="8"/>
  <c r="G653" i="8" l="1"/>
  <c r="H653" i="8"/>
  <c r="A654" i="8" s="1"/>
  <c r="F653" i="8"/>
  <c r="B653" i="8"/>
  <c r="C653" i="8"/>
  <c r="G654" i="8" l="1"/>
  <c r="B654" i="8"/>
  <c r="H654" i="8"/>
  <c r="A655" i="8" s="1"/>
  <c r="F654" i="8"/>
  <c r="C654" i="8"/>
  <c r="B655" i="8" l="1"/>
  <c r="F655" i="8"/>
  <c r="G655" i="8"/>
  <c r="H655" i="8"/>
  <c r="A656" i="8" s="1"/>
  <c r="C655" i="8"/>
  <c r="G656" i="8" l="1"/>
  <c r="B656" i="8"/>
  <c r="H656" i="8"/>
  <c r="A657" i="8" s="1"/>
  <c r="C656" i="8"/>
  <c r="F656" i="8"/>
  <c r="G657" i="8" l="1"/>
  <c r="H657" i="8"/>
  <c r="A658" i="8" s="1"/>
  <c r="C657" i="8"/>
  <c r="B657" i="8"/>
  <c r="F657" i="8"/>
  <c r="G658" i="8" l="1"/>
  <c r="H658" i="8"/>
  <c r="A659" i="8" s="1"/>
  <c r="C658" i="8"/>
  <c r="F658" i="8"/>
  <c r="B658" i="8"/>
  <c r="H659" i="8" l="1"/>
  <c r="A660" i="8" s="1"/>
  <c r="C659" i="8"/>
  <c r="F659" i="8"/>
  <c r="G659" i="8"/>
  <c r="B659" i="8"/>
  <c r="G660" i="8" l="1"/>
  <c r="H660" i="8"/>
  <c r="A661" i="8" s="1"/>
  <c r="C660" i="8"/>
  <c r="F660" i="8"/>
  <c r="B660" i="8"/>
  <c r="H661" i="8" l="1"/>
  <c r="A662" i="8" s="1"/>
  <c r="C661" i="8"/>
  <c r="F661" i="8"/>
  <c r="G661" i="8"/>
  <c r="B661" i="8"/>
  <c r="G662" i="8" l="1"/>
  <c r="B662" i="8"/>
  <c r="F662" i="8"/>
  <c r="C662" i="8"/>
  <c r="H662" i="8"/>
  <c r="A663" i="8" s="1"/>
  <c r="B663" i="8" l="1"/>
  <c r="G663" i="8"/>
  <c r="H663" i="8"/>
  <c r="A664" i="8" s="1"/>
  <c r="C663" i="8"/>
  <c r="F663" i="8"/>
  <c r="G664" i="8" l="1"/>
  <c r="B664" i="8"/>
  <c r="F664" i="8"/>
  <c r="H664" i="8"/>
  <c r="A665" i="8" s="1"/>
  <c r="C664" i="8"/>
  <c r="H665" i="8" l="1"/>
  <c r="A666" i="8" s="1"/>
  <c r="G665" i="8"/>
  <c r="F665" i="8"/>
  <c r="C665" i="8"/>
  <c r="B665" i="8"/>
  <c r="G666" i="8" l="1"/>
  <c r="B666" i="8"/>
  <c r="F666" i="8"/>
  <c r="H666" i="8"/>
  <c r="A667" i="8" s="1"/>
  <c r="C666" i="8"/>
  <c r="F667" i="8" l="1"/>
  <c r="H667" i="8"/>
  <c r="A668" i="8" s="1"/>
  <c r="C667" i="8"/>
  <c r="G667" i="8"/>
  <c r="B667" i="8"/>
  <c r="H668" i="8" l="1"/>
  <c r="A669" i="8" s="1"/>
  <c r="G668" i="8"/>
  <c r="B668" i="8"/>
  <c r="C668" i="8"/>
  <c r="F668" i="8"/>
  <c r="C669" i="8" l="1"/>
  <c r="H669" i="8"/>
  <c r="A670" i="8" s="1"/>
  <c r="G669" i="8"/>
  <c r="F669" i="8"/>
  <c r="B669" i="8"/>
  <c r="H670" i="8" l="1"/>
  <c r="A671" i="8" s="1"/>
  <c r="G670" i="8"/>
  <c r="B670" i="8"/>
  <c r="F670" i="8"/>
  <c r="C670" i="8"/>
  <c r="F671" i="8" l="1"/>
  <c r="G671" i="8"/>
  <c r="B671" i="8"/>
  <c r="C671" i="8"/>
  <c r="H671" i="8"/>
  <c r="A672" i="8" s="1"/>
  <c r="G672" i="8" l="1"/>
  <c r="H672" i="8"/>
  <c r="A673" i="8" s="1"/>
  <c r="B672" i="8"/>
  <c r="C672" i="8"/>
  <c r="F672" i="8"/>
  <c r="H673" i="8" l="1"/>
  <c r="A674" i="8" s="1"/>
  <c r="C673" i="8"/>
  <c r="F673" i="8"/>
  <c r="G673" i="8"/>
  <c r="B673" i="8"/>
  <c r="F674" i="8" l="1"/>
  <c r="G674" i="8"/>
  <c r="B674" i="8"/>
  <c r="H674" i="8"/>
  <c r="A675" i="8" s="1"/>
  <c r="C674" i="8"/>
  <c r="F675" i="8" l="1"/>
  <c r="B675" i="8"/>
  <c r="H675" i="8"/>
  <c r="A676" i="8" s="1"/>
  <c r="C675" i="8"/>
  <c r="G675" i="8"/>
  <c r="B676" i="8" l="1"/>
  <c r="H676" i="8"/>
  <c r="A677" i="8" s="1"/>
  <c r="F676" i="8"/>
  <c r="G676" i="8"/>
  <c r="C676" i="8"/>
  <c r="C677" i="8" l="1"/>
  <c r="H677" i="8"/>
  <c r="A678" i="8" s="1"/>
  <c r="F677" i="8"/>
  <c r="G677" i="8"/>
  <c r="B677" i="8"/>
  <c r="H678" i="8" l="1"/>
  <c r="A679" i="8" s="1"/>
  <c r="F678" i="8"/>
  <c r="B678" i="8"/>
  <c r="G678" i="8"/>
  <c r="C678" i="8"/>
  <c r="G679" i="8" l="1"/>
  <c r="B679" i="8"/>
  <c r="H679" i="8"/>
  <c r="A680" i="8" s="1"/>
  <c r="F679" i="8"/>
  <c r="C679" i="8"/>
  <c r="G680" i="8" l="1"/>
  <c r="B680" i="8"/>
  <c r="F680" i="8"/>
  <c r="C680" i="8"/>
  <c r="H680" i="8"/>
  <c r="A681" i="8" s="1"/>
  <c r="H681" i="8" l="1"/>
  <c r="A682" i="8" s="1"/>
  <c r="B681" i="8"/>
  <c r="F681" i="8"/>
  <c r="G681" i="8"/>
  <c r="C681" i="8"/>
  <c r="H682" i="8" l="1"/>
  <c r="A683" i="8" s="1"/>
  <c r="G682" i="8"/>
  <c r="B682" i="8"/>
  <c r="F682" i="8"/>
  <c r="C682" i="8"/>
  <c r="H683" i="8" l="1"/>
  <c r="A684" i="8" s="1"/>
  <c r="C683" i="8"/>
  <c r="F683" i="8"/>
  <c r="B683" i="8"/>
  <c r="G683" i="8"/>
  <c r="C684" i="8" l="1"/>
  <c r="G684" i="8"/>
  <c r="F684" i="8"/>
  <c r="H684" i="8"/>
  <c r="A685" i="8" s="1"/>
  <c r="B684" i="8"/>
  <c r="C685" i="8" l="1"/>
  <c r="H685" i="8"/>
  <c r="A686" i="8" s="1"/>
  <c r="F685" i="8"/>
  <c r="G685" i="8"/>
  <c r="B685" i="8"/>
  <c r="F686" i="8" l="1"/>
  <c r="H686" i="8"/>
  <c r="A687" i="8" s="1"/>
  <c r="B686" i="8"/>
  <c r="G686" i="8"/>
  <c r="C686" i="8"/>
  <c r="H687" i="8" l="1"/>
  <c r="A688" i="8" s="1"/>
  <c r="B687" i="8"/>
  <c r="F687" i="8"/>
  <c r="G687" i="8"/>
  <c r="C687" i="8"/>
  <c r="F688" i="8" l="1"/>
  <c r="G688" i="8"/>
  <c r="B688" i="8"/>
  <c r="C688" i="8"/>
  <c r="H688" i="8"/>
  <c r="A689" i="8" s="1"/>
  <c r="H689" i="8" l="1"/>
  <c r="A690" i="8" s="1"/>
  <c r="G689" i="8"/>
  <c r="F689" i="8"/>
  <c r="C689" i="8"/>
  <c r="B689" i="8"/>
  <c r="G690" i="8" l="1"/>
  <c r="H690" i="8"/>
  <c r="A691" i="8" s="1"/>
  <c r="C690" i="8"/>
  <c r="F690" i="8"/>
  <c r="B690" i="8"/>
  <c r="H691" i="8" l="1"/>
  <c r="A692" i="8" s="1"/>
  <c r="C691" i="8"/>
  <c r="F691" i="8"/>
  <c r="B691" i="8"/>
  <c r="G691" i="8"/>
  <c r="F692" i="8" l="1"/>
  <c r="G692" i="8"/>
  <c r="B692" i="8"/>
  <c r="C692" i="8"/>
  <c r="H692" i="8"/>
  <c r="A693" i="8" s="1"/>
  <c r="H693" i="8" l="1"/>
  <c r="A694" i="8" s="1"/>
  <c r="F693" i="8"/>
  <c r="G693" i="8"/>
  <c r="B693" i="8"/>
  <c r="C693" i="8"/>
  <c r="H694" i="8" l="1"/>
  <c r="A695" i="8" s="1"/>
  <c r="F694" i="8"/>
  <c r="B694" i="8"/>
  <c r="C694" i="8"/>
  <c r="G694" i="8"/>
  <c r="C695" i="8" l="1"/>
  <c r="H695" i="8"/>
  <c r="A696" i="8" s="1"/>
  <c r="F695" i="8"/>
  <c r="B695" i="8"/>
  <c r="G695" i="8"/>
  <c r="C696" i="8" l="1"/>
  <c r="G696" i="8"/>
  <c r="B696" i="8"/>
  <c r="H696" i="8"/>
  <c r="A697" i="8" s="1"/>
  <c r="F696" i="8"/>
  <c r="B697" i="8" l="1"/>
  <c r="H697" i="8"/>
  <c r="A698" i="8" s="1"/>
  <c r="F697" i="8"/>
  <c r="G697" i="8"/>
  <c r="C697" i="8"/>
  <c r="G698" i="8" l="1"/>
  <c r="H698" i="8"/>
  <c r="A699" i="8" s="1"/>
  <c r="B698" i="8"/>
  <c r="C698" i="8"/>
  <c r="F698" i="8"/>
  <c r="H699" i="8" l="1"/>
  <c r="A700" i="8" s="1"/>
  <c r="F699" i="8"/>
  <c r="C699" i="8"/>
  <c r="B699" i="8"/>
  <c r="G699" i="8"/>
  <c r="B700" i="8" l="1"/>
  <c r="H700" i="8"/>
  <c r="A701" i="8" s="1"/>
  <c r="G700" i="8"/>
  <c r="F700" i="8"/>
  <c r="C700" i="8"/>
  <c r="H701" i="8" l="1"/>
  <c r="A702" i="8" s="1"/>
  <c r="C701" i="8"/>
  <c r="F701" i="8"/>
  <c r="B701" i="8"/>
  <c r="G701" i="8"/>
  <c r="H702" i="8" l="1"/>
  <c r="A703" i="8" s="1"/>
  <c r="C702" i="8"/>
  <c r="B702" i="8"/>
  <c r="G702" i="8"/>
  <c r="F702" i="8"/>
  <c r="F703" i="8" l="1"/>
  <c r="C703" i="8"/>
  <c r="H703" i="8"/>
  <c r="A704" i="8" s="1"/>
  <c r="B703" i="8"/>
  <c r="G703" i="8"/>
  <c r="H704" i="8" l="1"/>
  <c r="A705" i="8" s="1"/>
  <c r="B704" i="8"/>
  <c r="C704" i="8"/>
  <c r="F704" i="8"/>
  <c r="G704" i="8"/>
  <c r="H705" i="8" l="1"/>
  <c r="A706" i="8" s="1"/>
  <c r="C705" i="8"/>
  <c r="F705" i="8"/>
  <c r="G705" i="8"/>
  <c r="B705" i="8"/>
  <c r="C706" i="8" l="1"/>
  <c r="H706" i="8"/>
  <c r="A707" i="8" s="1"/>
  <c r="F706" i="8"/>
  <c r="B706" i="8"/>
  <c r="G706" i="8"/>
  <c r="B707" i="8" l="1"/>
  <c r="F707" i="8"/>
  <c r="G707" i="8"/>
  <c r="H707" i="8"/>
  <c r="A708" i="8" s="1"/>
  <c r="C707" i="8"/>
  <c r="C708" i="8" l="1"/>
  <c r="H708" i="8"/>
  <c r="A709" i="8" s="1"/>
  <c r="G708" i="8"/>
  <c r="B708" i="8"/>
  <c r="F708" i="8"/>
  <c r="H709" i="8" l="1"/>
  <c r="A710" i="8" s="1"/>
  <c r="B709" i="8"/>
  <c r="F709" i="8"/>
  <c r="C709" i="8"/>
  <c r="G709" i="8"/>
  <c r="B710" i="8" l="1"/>
  <c r="H710" i="8"/>
  <c r="A711" i="8" s="1"/>
  <c r="C710" i="8"/>
  <c r="F710" i="8"/>
  <c r="G710" i="8"/>
  <c r="H711" i="8" l="1"/>
  <c r="A712" i="8" s="1"/>
  <c r="G711" i="8"/>
  <c r="C711" i="8"/>
  <c r="F711" i="8"/>
  <c r="B711" i="8"/>
  <c r="H712" i="8" l="1"/>
  <c r="A713" i="8" s="1"/>
  <c r="F712" i="8"/>
  <c r="B712" i="8"/>
  <c r="C712" i="8"/>
  <c r="G712" i="8"/>
  <c r="H713" i="8" l="1"/>
  <c r="A714" i="8" s="1"/>
  <c r="G713" i="8"/>
  <c r="F713" i="8"/>
  <c r="C713" i="8"/>
  <c r="B713" i="8"/>
  <c r="B714" i="8" l="1"/>
  <c r="H714" i="8"/>
  <c r="A715" i="8" s="1"/>
  <c r="G714" i="8"/>
  <c r="C714" i="8"/>
  <c r="F714" i="8"/>
  <c r="H715" i="8" l="1"/>
  <c r="A716" i="8" s="1"/>
  <c r="B715" i="8"/>
  <c r="F715" i="8"/>
  <c r="C715" i="8"/>
  <c r="G715" i="8"/>
  <c r="B716" i="8" l="1"/>
  <c r="H716" i="8"/>
  <c r="A717" i="8" s="1"/>
  <c r="F716" i="8"/>
  <c r="G716" i="8"/>
  <c r="C716" i="8"/>
  <c r="H717" i="8" l="1"/>
  <c r="A718" i="8" s="1"/>
  <c r="C717" i="8"/>
  <c r="B717" i="8"/>
  <c r="F717" i="8"/>
  <c r="G717" i="8"/>
  <c r="H718" i="8" l="1"/>
  <c r="A719" i="8" s="1"/>
  <c r="C718" i="8"/>
  <c r="F718" i="8"/>
  <c r="B718" i="8"/>
  <c r="G718" i="8"/>
  <c r="H719" i="8" l="1"/>
  <c r="A720" i="8" s="1"/>
  <c r="C719" i="8"/>
  <c r="F719" i="8"/>
  <c r="B719" i="8"/>
  <c r="G719" i="8"/>
  <c r="H720" i="8" l="1"/>
  <c r="A721" i="8" s="1"/>
  <c r="G720" i="8"/>
  <c r="C720" i="8"/>
  <c r="B720" i="8"/>
  <c r="F720" i="8"/>
  <c r="F721" i="8" l="1"/>
  <c r="H721" i="8"/>
  <c r="A722" i="8" s="1"/>
  <c r="B721" i="8"/>
  <c r="G721" i="8"/>
  <c r="C721" i="8"/>
  <c r="B722" i="8" l="1"/>
  <c r="H722" i="8"/>
  <c r="A723" i="8" s="1"/>
  <c r="G722" i="8"/>
  <c r="F722" i="8"/>
  <c r="C722" i="8"/>
  <c r="H723" i="8" l="1"/>
  <c r="A724" i="8" s="1"/>
  <c r="C723" i="8"/>
  <c r="F723" i="8"/>
  <c r="B723" i="8"/>
  <c r="G723" i="8"/>
  <c r="C724" i="8" l="1"/>
  <c r="H724" i="8"/>
  <c r="A725" i="8" s="1"/>
  <c r="G724" i="8"/>
  <c r="B724" i="8"/>
  <c r="F724" i="8"/>
  <c r="F725" i="8" l="1"/>
  <c r="G725" i="8"/>
  <c r="H725" i="8"/>
  <c r="A726" i="8" s="1"/>
  <c r="C725" i="8"/>
  <c r="B725" i="8"/>
  <c r="H726" i="8" l="1"/>
  <c r="A727" i="8" s="1"/>
  <c r="F726" i="8"/>
  <c r="G726" i="8"/>
  <c r="C726" i="8"/>
  <c r="B726" i="8"/>
  <c r="B727" i="8" l="1"/>
  <c r="H727" i="8"/>
  <c r="A728" i="8" s="1"/>
  <c r="F727" i="8"/>
  <c r="G727" i="8"/>
  <c r="C727" i="8"/>
  <c r="G728" i="8" l="1"/>
  <c r="H728" i="8"/>
  <c r="A729" i="8" s="1"/>
  <c r="C728" i="8"/>
  <c r="B728" i="8"/>
  <c r="F728" i="8"/>
  <c r="C729" i="8" l="1"/>
  <c r="H729" i="8"/>
  <c r="A730" i="8" s="1"/>
  <c r="F729" i="8"/>
  <c r="G729" i="8"/>
  <c r="B729" i="8"/>
  <c r="H730" i="8" l="1"/>
  <c r="A731" i="8" s="1"/>
  <c r="B730" i="8"/>
  <c r="G730" i="8"/>
  <c r="C730" i="8"/>
  <c r="F730" i="8"/>
  <c r="H731" i="8" l="1"/>
  <c r="A732" i="8" s="1"/>
  <c r="C731" i="8"/>
  <c r="F731" i="8"/>
  <c r="B731" i="8"/>
  <c r="G731" i="8"/>
  <c r="H732" i="8" l="1"/>
  <c r="A733" i="8" s="1"/>
  <c r="C732" i="8"/>
  <c r="G732" i="8"/>
  <c r="F732" i="8"/>
  <c r="B732" i="8"/>
  <c r="H733" i="8" l="1"/>
  <c r="A734" i="8" s="1"/>
  <c r="G733" i="8"/>
  <c r="F733" i="8"/>
  <c r="C733" i="8"/>
  <c r="B733" i="8"/>
  <c r="C734" i="8" l="1"/>
  <c r="H734" i="8"/>
  <c r="A735" i="8" s="1"/>
  <c r="G734" i="8"/>
  <c r="F734" i="8"/>
  <c r="B734" i="8"/>
  <c r="G735" i="8" l="1"/>
  <c r="H735" i="8"/>
  <c r="A736" i="8" s="1"/>
  <c r="F735" i="8"/>
  <c r="C735" i="8"/>
  <c r="B735" i="8"/>
  <c r="C736" i="8" l="1"/>
  <c r="H736" i="8"/>
  <c r="A737" i="8" s="1"/>
  <c r="F736" i="8"/>
  <c r="G736" i="8"/>
  <c r="B736" i="8"/>
  <c r="H737" i="8" l="1"/>
  <c r="A738" i="8" s="1"/>
  <c r="B737" i="8"/>
  <c r="F737" i="8"/>
  <c r="G737" i="8"/>
  <c r="C737" i="8"/>
  <c r="H738" i="8" l="1"/>
  <c r="A739" i="8" s="1"/>
  <c r="B738" i="8"/>
  <c r="G738" i="8"/>
  <c r="C738" i="8"/>
  <c r="F738" i="8"/>
  <c r="H739" i="8" l="1"/>
  <c r="A740" i="8" s="1"/>
  <c r="B739" i="8"/>
  <c r="F739" i="8"/>
  <c r="C739" i="8"/>
  <c r="G739" i="8"/>
  <c r="H740" i="8" l="1"/>
  <c r="A741" i="8" s="1"/>
  <c r="F740" i="8"/>
  <c r="C740" i="8"/>
  <c r="G740" i="8"/>
  <c r="B740" i="8"/>
  <c r="B741" i="8" l="1"/>
  <c r="H741" i="8"/>
  <c r="A742" i="8" s="1"/>
  <c r="F741" i="8"/>
  <c r="G741" i="8"/>
  <c r="C741" i="8"/>
  <c r="F742" i="8" l="1"/>
  <c r="H742" i="8"/>
  <c r="A743" i="8" s="1"/>
  <c r="B742" i="8"/>
  <c r="C742" i="8"/>
  <c r="G742" i="8"/>
  <c r="C743" i="8" l="1"/>
  <c r="H743" i="8"/>
  <c r="A744" i="8" s="1"/>
  <c r="F743" i="8"/>
  <c r="B743" i="8"/>
  <c r="G743" i="8"/>
  <c r="G744" i="8" l="1"/>
  <c r="H744" i="8"/>
  <c r="A745" i="8" s="1"/>
  <c r="B744" i="8"/>
  <c r="C744" i="8"/>
  <c r="F744" i="8"/>
  <c r="F745" i="8" l="1"/>
  <c r="H745" i="8"/>
  <c r="A746" i="8" s="1"/>
  <c r="B745" i="8"/>
  <c r="G745" i="8"/>
  <c r="C745" i="8"/>
  <c r="H746" i="8" l="1"/>
  <c r="A747" i="8" s="1"/>
  <c r="B746" i="8"/>
  <c r="G746" i="8"/>
  <c r="C746" i="8"/>
  <c r="F746" i="8"/>
  <c r="F747" i="8" l="1"/>
  <c r="H747" i="8"/>
  <c r="A748" i="8" s="1"/>
  <c r="C747" i="8"/>
  <c r="G747" i="8"/>
  <c r="B747" i="8"/>
  <c r="H748" i="8" l="1"/>
  <c r="A749" i="8" s="1"/>
  <c r="G748" i="8"/>
  <c r="F748" i="8"/>
  <c r="C748" i="8"/>
  <c r="B748" i="8"/>
  <c r="H749" i="8" l="1"/>
  <c r="A750" i="8" s="1"/>
  <c r="C749" i="8"/>
  <c r="F749" i="8"/>
  <c r="B749" i="8"/>
  <c r="G749" i="8"/>
  <c r="F750" i="8" l="1"/>
  <c r="H750" i="8"/>
  <c r="A751" i="8" s="1"/>
  <c r="G750" i="8"/>
  <c r="C750" i="8"/>
  <c r="B750" i="8"/>
  <c r="H751" i="8" l="1"/>
  <c r="A752" i="8" s="1"/>
  <c r="F751" i="8"/>
  <c r="B751" i="8"/>
  <c r="C751" i="8"/>
  <c r="G751" i="8"/>
  <c r="H752" i="8" l="1"/>
  <c r="A753" i="8" s="1"/>
  <c r="F752" i="8"/>
  <c r="G752" i="8"/>
  <c r="B752" i="8"/>
  <c r="C752" i="8"/>
  <c r="H753" i="8" l="1"/>
  <c r="A754" i="8" s="1"/>
  <c r="B753" i="8"/>
  <c r="F753" i="8"/>
  <c r="C753" i="8"/>
  <c r="G753" i="8"/>
  <c r="H754" i="8" l="1"/>
  <c r="A755" i="8" s="1"/>
  <c r="F754" i="8"/>
  <c r="C754" i="8"/>
  <c r="B754" i="8"/>
  <c r="G754" i="8"/>
  <c r="F755" i="8" l="1"/>
  <c r="H755" i="8"/>
  <c r="A756" i="8" s="1"/>
  <c r="G755" i="8"/>
  <c r="C755" i="8"/>
  <c r="B755" i="8"/>
  <c r="G756" i="8" l="1"/>
  <c r="H756" i="8"/>
  <c r="A757" i="8" s="1"/>
  <c r="C756" i="8"/>
  <c r="F756" i="8"/>
  <c r="B756" i="8"/>
  <c r="F757" i="8" l="1"/>
  <c r="H757" i="8"/>
  <c r="A758" i="8" s="1"/>
  <c r="G757" i="8"/>
  <c r="B757" i="8"/>
  <c r="C757" i="8"/>
  <c r="C758" i="8" l="1"/>
  <c r="H758" i="8"/>
  <c r="A759" i="8" s="1"/>
  <c r="B758" i="8"/>
  <c r="F758" i="8"/>
  <c r="G758" i="8"/>
  <c r="H759" i="8" l="1"/>
  <c r="A760" i="8" s="1"/>
  <c r="G759" i="8"/>
  <c r="B759" i="8"/>
  <c r="F759" i="8"/>
  <c r="C759" i="8"/>
  <c r="H760" i="8" l="1"/>
  <c r="A761" i="8" s="1"/>
  <c r="F760" i="8"/>
  <c r="G760" i="8"/>
  <c r="C760" i="8"/>
  <c r="B760" i="8"/>
  <c r="H761" i="8" l="1"/>
  <c r="A762" i="8" s="1"/>
  <c r="F761" i="8"/>
  <c r="B761" i="8"/>
  <c r="C761" i="8"/>
  <c r="G761" i="8"/>
  <c r="H762" i="8" l="1"/>
  <c r="A763" i="8" s="1"/>
  <c r="B762" i="8"/>
  <c r="C762" i="8"/>
  <c r="G762" i="8"/>
  <c r="F762" i="8"/>
  <c r="H763" i="8" l="1"/>
  <c r="A764" i="8" s="1"/>
  <c r="B763" i="8"/>
  <c r="F763" i="8"/>
  <c r="G763" i="8"/>
  <c r="C763" i="8"/>
  <c r="B764" i="8" l="1"/>
  <c r="H764" i="8"/>
  <c r="A765" i="8" s="1"/>
  <c r="F764" i="8"/>
  <c r="G764" i="8"/>
  <c r="C764" i="8"/>
  <c r="C765" i="8" l="1"/>
  <c r="H765" i="8"/>
  <c r="A766" i="8" s="1"/>
  <c r="F765" i="8"/>
  <c r="B765" i="8"/>
  <c r="G765" i="8"/>
  <c r="H766" i="8" l="1"/>
  <c r="A767" i="8" s="1"/>
  <c r="F766" i="8"/>
  <c r="B766" i="8"/>
  <c r="C766" i="8"/>
  <c r="G766" i="8"/>
  <c r="H767" i="8" l="1"/>
  <c r="A768" i="8" s="1"/>
  <c r="C767" i="8"/>
  <c r="F767" i="8"/>
  <c r="G767" i="8"/>
  <c r="B767" i="8"/>
  <c r="H768" i="8" l="1"/>
  <c r="A769" i="8" s="1"/>
  <c r="C768" i="8"/>
  <c r="B768" i="8"/>
  <c r="F768" i="8"/>
  <c r="G768" i="8"/>
  <c r="H769" i="8" l="1"/>
  <c r="A770" i="8" s="1"/>
  <c r="C769" i="8"/>
  <c r="F769" i="8"/>
  <c r="G769" i="8"/>
  <c r="B769" i="8"/>
  <c r="F770" i="8" l="1"/>
  <c r="H770" i="8"/>
  <c r="A771" i="8" s="1"/>
  <c r="G770" i="8"/>
  <c r="C770" i="8"/>
  <c r="B770" i="8"/>
  <c r="H771" i="8" l="1"/>
  <c r="A772" i="8" s="1"/>
  <c r="G771" i="8"/>
  <c r="F771" i="8"/>
  <c r="C771" i="8"/>
  <c r="B771" i="8"/>
  <c r="H772" i="8" l="1"/>
  <c r="A773" i="8" s="1"/>
  <c r="B772" i="8"/>
  <c r="F772" i="8"/>
  <c r="G772" i="8"/>
  <c r="C772" i="8"/>
  <c r="C773" i="8" l="1"/>
  <c r="H773" i="8"/>
  <c r="A774" i="8" s="1"/>
  <c r="F773" i="8"/>
  <c r="G773" i="8"/>
  <c r="B773" i="8"/>
  <c r="H774" i="8" l="1"/>
  <c r="A775" i="8" s="1"/>
  <c r="C774" i="8"/>
  <c r="G774" i="8"/>
  <c r="B774" i="8"/>
  <c r="F774" i="8"/>
  <c r="H775" i="8" l="1"/>
  <c r="A776" i="8" s="1"/>
  <c r="G775" i="8"/>
  <c r="F775" i="8"/>
  <c r="B775" i="8"/>
  <c r="C775" i="8"/>
  <c r="C776" i="8" l="1"/>
  <c r="H776" i="8"/>
  <c r="A777" i="8" s="1"/>
  <c r="G776" i="8"/>
  <c r="B776" i="8"/>
  <c r="F776" i="8"/>
  <c r="H777" i="8" l="1"/>
  <c r="A778" i="8" s="1"/>
  <c r="F777" i="8"/>
  <c r="G777" i="8"/>
  <c r="C777" i="8"/>
  <c r="B777" i="8"/>
  <c r="H778" i="8" l="1"/>
  <c r="A779" i="8" s="1"/>
  <c r="G778" i="8"/>
  <c r="C778" i="8"/>
  <c r="B778" i="8"/>
  <c r="F778" i="8"/>
  <c r="H779" i="8" l="1"/>
  <c r="A780" i="8" s="1"/>
  <c r="C779" i="8"/>
  <c r="F779" i="8"/>
  <c r="B779" i="8"/>
  <c r="G779" i="8"/>
  <c r="H780" i="8" l="1"/>
  <c r="A781" i="8" s="1"/>
  <c r="F780" i="8"/>
  <c r="C780" i="8"/>
  <c r="B780" i="8"/>
  <c r="G780" i="8"/>
  <c r="H781" i="8" l="1"/>
  <c r="A782" i="8" s="1"/>
  <c r="F781" i="8"/>
  <c r="G781" i="8"/>
  <c r="B781" i="8"/>
  <c r="C781" i="8"/>
  <c r="C782" i="8" l="1"/>
  <c r="H782" i="8"/>
  <c r="A783" i="8" s="1"/>
  <c r="G782" i="8"/>
  <c r="F782" i="8"/>
  <c r="B782" i="8"/>
  <c r="H783" i="8" l="1"/>
  <c r="A784" i="8" s="1"/>
  <c r="B783" i="8"/>
  <c r="F783" i="8"/>
  <c r="G783" i="8"/>
  <c r="C783" i="8"/>
  <c r="B784" i="8" l="1"/>
  <c r="H784" i="8"/>
  <c r="A785" i="8" s="1"/>
  <c r="F784" i="8"/>
  <c r="G784" i="8"/>
  <c r="C784" i="8"/>
  <c r="H785" i="8" l="1"/>
  <c r="A786" i="8" s="1"/>
  <c r="B785" i="8"/>
  <c r="F785" i="8"/>
  <c r="C785" i="8"/>
  <c r="G785" i="8"/>
  <c r="H786" i="8" l="1"/>
  <c r="A787" i="8" s="1"/>
  <c r="G786" i="8"/>
  <c r="B786" i="8"/>
  <c r="C786" i="8"/>
  <c r="F786" i="8"/>
  <c r="G787" i="8" l="1"/>
  <c r="H787" i="8"/>
  <c r="A788" i="8" s="1"/>
  <c r="F787" i="8"/>
  <c r="B787" i="8"/>
  <c r="C787" i="8"/>
  <c r="H788" i="8" l="1"/>
  <c r="A789" i="8" s="1"/>
  <c r="B788" i="8"/>
  <c r="C788" i="8"/>
  <c r="F788" i="8"/>
  <c r="G788" i="8"/>
  <c r="G789" i="8" l="1"/>
  <c r="H789" i="8"/>
  <c r="A790" i="8" s="1"/>
  <c r="F789" i="8"/>
  <c r="C789" i="8"/>
  <c r="B789" i="8"/>
  <c r="G790" i="8" l="1"/>
  <c r="H790" i="8"/>
  <c r="A791" i="8" s="1"/>
  <c r="F790" i="8"/>
  <c r="C790" i="8"/>
  <c r="B790" i="8"/>
  <c r="H791" i="8" l="1"/>
  <c r="A792" i="8" s="1"/>
  <c r="C791" i="8"/>
  <c r="F791" i="8"/>
  <c r="G791" i="8"/>
  <c r="B791" i="8"/>
  <c r="F792" i="8" l="1"/>
  <c r="H792" i="8"/>
  <c r="A793" i="8" s="1"/>
  <c r="G792" i="8"/>
  <c r="C792" i="8"/>
  <c r="B792" i="8"/>
  <c r="G793" i="8" l="1"/>
  <c r="H793" i="8"/>
  <c r="A794" i="8" s="1"/>
  <c r="F793" i="8"/>
  <c r="C793" i="8"/>
  <c r="B793" i="8"/>
  <c r="G794" i="8" l="1"/>
  <c r="C794" i="8"/>
  <c r="H794" i="8"/>
  <c r="A795" i="8" s="1"/>
  <c r="B794" i="8"/>
  <c r="F794" i="8"/>
  <c r="H795" i="8" l="1"/>
  <c r="A796" i="8" s="1"/>
  <c r="C795" i="8"/>
  <c r="F795" i="8"/>
  <c r="B795" i="8"/>
  <c r="G795" i="8"/>
  <c r="G796" i="8" l="1"/>
  <c r="H796" i="8"/>
  <c r="A797" i="8" s="1"/>
  <c r="F796" i="8"/>
  <c r="B796" i="8"/>
  <c r="C796" i="8"/>
  <c r="H797" i="8" l="1"/>
  <c r="A798" i="8" s="1"/>
  <c r="C797" i="8"/>
  <c r="B797" i="8"/>
  <c r="F797" i="8"/>
  <c r="G797" i="8"/>
  <c r="C798" i="8" l="1"/>
  <c r="H798" i="8"/>
  <c r="A799" i="8" s="1"/>
  <c r="G798" i="8"/>
  <c r="F798" i="8"/>
  <c r="B798" i="8"/>
  <c r="G799" i="8" l="1"/>
  <c r="H799" i="8"/>
  <c r="A800" i="8" s="1"/>
  <c r="F799" i="8"/>
  <c r="B799" i="8"/>
  <c r="C799" i="8"/>
  <c r="H800" i="8" l="1"/>
  <c r="A801" i="8" s="1"/>
  <c r="F800" i="8"/>
  <c r="G800" i="8"/>
  <c r="B800" i="8"/>
  <c r="C800" i="8"/>
  <c r="H801" i="8" l="1"/>
  <c r="A802" i="8" s="1"/>
  <c r="F801" i="8"/>
  <c r="B801" i="8"/>
  <c r="C801" i="8"/>
  <c r="G801" i="8"/>
  <c r="H802" i="8" l="1"/>
  <c r="A803" i="8" s="1"/>
  <c r="B802" i="8"/>
  <c r="C802" i="8"/>
  <c r="G802" i="8"/>
  <c r="F802" i="8"/>
  <c r="H803" i="8" l="1"/>
  <c r="A804" i="8" s="1"/>
  <c r="B803" i="8"/>
  <c r="F803" i="8"/>
  <c r="C803" i="8"/>
  <c r="G803" i="8"/>
  <c r="H804" i="8" l="1"/>
  <c r="A805" i="8" s="1"/>
  <c r="F804" i="8"/>
  <c r="C804" i="8"/>
  <c r="B804" i="8"/>
  <c r="G804" i="8"/>
  <c r="H805" i="8" l="1"/>
  <c r="A806" i="8" s="1"/>
  <c r="B805" i="8"/>
  <c r="F805" i="8"/>
  <c r="G805" i="8"/>
  <c r="C805" i="8"/>
  <c r="H806" i="8" l="1"/>
  <c r="A807" i="8" s="1"/>
  <c r="B806" i="8"/>
  <c r="C806" i="8"/>
  <c r="F806" i="8"/>
  <c r="G806" i="8"/>
  <c r="H807" i="8" l="1"/>
  <c r="A808" i="8" s="1"/>
  <c r="B807" i="8"/>
  <c r="F807" i="8"/>
  <c r="G807" i="8"/>
  <c r="C807" i="8"/>
  <c r="H808" i="8" l="1"/>
  <c r="A809" i="8" s="1"/>
  <c r="B808" i="8"/>
  <c r="C808" i="8"/>
  <c r="F808" i="8"/>
  <c r="G808" i="8"/>
  <c r="H809" i="8" l="1"/>
  <c r="A810" i="8" s="1"/>
  <c r="F809" i="8"/>
  <c r="C809" i="8"/>
  <c r="B809" i="8"/>
  <c r="G809" i="8"/>
  <c r="F810" i="8" l="1"/>
  <c r="H810" i="8"/>
  <c r="A811" i="8" s="1"/>
  <c r="G810" i="8"/>
  <c r="B810" i="8"/>
  <c r="C810" i="8"/>
  <c r="H811" i="8" l="1"/>
  <c r="A812" i="8" s="1"/>
  <c r="B811" i="8"/>
  <c r="F811" i="8"/>
  <c r="C811" i="8"/>
  <c r="G811" i="8"/>
  <c r="F812" i="8" l="1"/>
  <c r="H812" i="8"/>
  <c r="A813" i="8" s="1"/>
  <c r="B812" i="8"/>
  <c r="C812" i="8"/>
  <c r="G812" i="8"/>
  <c r="H813" i="8" l="1"/>
  <c r="A814" i="8" s="1"/>
  <c r="C813" i="8"/>
  <c r="F813" i="8"/>
  <c r="G813" i="8"/>
  <c r="B813" i="8"/>
  <c r="H814" i="8" l="1"/>
  <c r="A815" i="8" s="1"/>
  <c r="G814" i="8"/>
  <c r="B814" i="8"/>
  <c r="F814" i="8"/>
  <c r="C814" i="8"/>
  <c r="F815" i="8" l="1"/>
  <c r="H815" i="8"/>
  <c r="A816" i="8" s="1"/>
  <c r="B815" i="8"/>
  <c r="G815" i="8"/>
  <c r="C815" i="8"/>
  <c r="H816" i="8" l="1"/>
  <c r="A817" i="8" s="1"/>
  <c r="F816" i="8"/>
  <c r="B816" i="8"/>
  <c r="G816" i="8"/>
  <c r="C816" i="8"/>
  <c r="H817" i="8" l="1"/>
  <c r="A818" i="8" s="1"/>
  <c r="F817" i="8"/>
  <c r="B817" i="8"/>
  <c r="C817" i="8"/>
  <c r="G817" i="8"/>
  <c r="F818" i="8" l="1"/>
  <c r="H818" i="8"/>
  <c r="A819" i="8" s="1"/>
  <c r="G818" i="8"/>
  <c r="B818" i="8"/>
  <c r="C818" i="8"/>
  <c r="H819" i="8" l="1"/>
  <c r="A820" i="8" s="1"/>
  <c r="C819" i="8"/>
  <c r="B819" i="8"/>
  <c r="F819" i="8"/>
  <c r="G819" i="8"/>
  <c r="H820" i="8" l="1"/>
  <c r="A821" i="8" s="1"/>
  <c r="B820" i="8"/>
  <c r="G820" i="8"/>
  <c r="C820" i="8"/>
  <c r="F820" i="8"/>
  <c r="F821" i="8" l="1"/>
  <c r="H821" i="8"/>
  <c r="A822" i="8" s="1"/>
  <c r="C821" i="8"/>
  <c r="B821" i="8"/>
  <c r="G821" i="8"/>
  <c r="H822" i="8" l="1"/>
  <c r="A823" i="8" s="1"/>
  <c r="G822" i="8"/>
  <c r="C822" i="8"/>
  <c r="B822" i="8"/>
  <c r="F822" i="8"/>
  <c r="F823" i="8" l="1"/>
  <c r="H823" i="8"/>
  <c r="A824" i="8" s="1"/>
  <c r="G823" i="8"/>
  <c r="B823" i="8"/>
  <c r="C823" i="8"/>
  <c r="C824" i="8" l="1"/>
  <c r="F824" i="8"/>
  <c r="H824" i="8"/>
  <c r="A825" i="8" s="1"/>
  <c r="B824" i="8"/>
  <c r="G824" i="8"/>
  <c r="H825" i="8" l="1"/>
  <c r="A826" i="8" s="1"/>
  <c r="B825" i="8"/>
  <c r="F825" i="8"/>
  <c r="G825" i="8"/>
  <c r="C825" i="8"/>
  <c r="G826" i="8" l="1"/>
  <c r="H826" i="8"/>
  <c r="A827" i="8" s="1"/>
  <c r="C826" i="8"/>
  <c r="B826" i="8"/>
  <c r="F826" i="8"/>
  <c r="H827" i="8" l="1"/>
  <c r="A828" i="8" s="1"/>
  <c r="C827" i="8"/>
  <c r="F827" i="8"/>
  <c r="B827" i="8"/>
  <c r="G827" i="8"/>
  <c r="F828" i="8" l="1"/>
  <c r="H828" i="8"/>
  <c r="A829" i="8" s="1"/>
  <c r="C828" i="8"/>
  <c r="G828" i="8"/>
  <c r="B828" i="8"/>
  <c r="H829" i="8" l="1"/>
  <c r="A830" i="8" s="1"/>
  <c r="G829" i="8"/>
  <c r="F829" i="8"/>
  <c r="C829" i="8"/>
  <c r="B829" i="8"/>
  <c r="H830" i="8" l="1"/>
  <c r="A831" i="8" s="1"/>
  <c r="F830" i="8"/>
  <c r="B830" i="8"/>
  <c r="G830" i="8"/>
  <c r="C830" i="8"/>
  <c r="G831" i="8" l="1"/>
  <c r="H831" i="8"/>
  <c r="A832" i="8" s="1"/>
  <c r="F831" i="8"/>
  <c r="C831" i="8"/>
  <c r="B831" i="8"/>
  <c r="F832" i="8" l="1"/>
  <c r="H832" i="8"/>
  <c r="A833" i="8" s="1"/>
  <c r="G832" i="8"/>
  <c r="B832" i="8"/>
  <c r="C832" i="8"/>
  <c r="C833" i="8" l="1"/>
  <c r="H833" i="8"/>
  <c r="A834" i="8" s="1"/>
  <c r="F833" i="8"/>
  <c r="G833" i="8"/>
  <c r="B833" i="8"/>
  <c r="H834" i="8" l="1"/>
  <c r="A835" i="8" s="1"/>
  <c r="G834" i="8"/>
  <c r="F834" i="8"/>
  <c r="C834" i="8"/>
  <c r="B834" i="8"/>
  <c r="G835" i="8" l="1"/>
  <c r="F835" i="8"/>
  <c r="B835" i="8"/>
  <c r="H835" i="8"/>
  <c r="A836" i="8" s="1"/>
  <c r="C835" i="8"/>
  <c r="G836" i="8" l="1"/>
  <c r="H836" i="8"/>
  <c r="A837" i="8" s="1"/>
  <c r="F836" i="8"/>
  <c r="B836" i="8"/>
  <c r="C836" i="8"/>
  <c r="H837" i="8" l="1"/>
  <c r="A838" i="8" s="1"/>
  <c r="B837" i="8"/>
  <c r="G837" i="8"/>
  <c r="F837" i="8"/>
  <c r="C837" i="8"/>
  <c r="F838" i="8" l="1"/>
  <c r="H838" i="8"/>
  <c r="A839" i="8" s="1"/>
  <c r="G838" i="8"/>
  <c r="C838" i="8"/>
  <c r="B838" i="8"/>
  <c r="F839" i="8" l="1"/>
  <c r="H839" i="8"/>
  <c r="A840" i="8" s="1"/>
  <c r="G839" i="8"/>
  <c r="C839" i="8"/>
  <c r="B839" i="8"/>
  <c r="H840" i="8" l="1"/>
  <c r="A841" i="8" s="1"/>
  <c r="F840" i="8"/>
  <c r="B840" i="8"/>
  <c r="G840" i="8"/>
  <c r="C840" i="8"/>
  <c r="C841" i="8" l="1"/>
  <c r="H841" i="8"/>
  <c r="A842" i="8" s="1"/>
  <c r="G841" i="8"/>
  <c r="F841" i="8"/>
  <c r="B841" i="8"/>
  <c r="G842" i="8" l="1"/>
  <c r="B842" i="8"/>
  <c r="H842" i="8"/>
  <c r="H12" i="8" s="1"/>
  <c r="F842" i="8"/>
  <c r="C842" i="8"/>
  <c r="H9" i="8" l="1"/>
  <c r="H10" i="8"/>
  <c r="H11" i="8" s="1"/>
  <c r="D28" i="8"/>
  <c r="C28" i="8"/>
  <c r="C30" i="8" s="1"/>
  <c r="G28" i="8"/>
  <c r="C29" i="8"/>
  <c r="F28" i="8"/>
  <c r="F29" i="8" l="1"/>
  <c r="F30" i="8"/>
  <c r="G29" i="8"/>
  <c r="H28" i="8"/>
  <c r="C31" i="8"/>
  <c r="D29" i="8"/>
  <c r="H29" i="8" l="1"/>
  <c r="D30" i="8"/>
  <c r="C32" i="8"/>
  <c r="F31" i="8"/>
  <c r="G30" i="8"/>
  <c r="G31" i="8" l="1"/>
  <c r="G32" i="8" s="1"/>
  <c r="H30" i="8"/>
  <c r="C33" i="8"/>
  <c r="F32" i="8"/>
  <c r="F33" i="8" s="1"/>
  <c r="F34" i="8" s="1"/>
  <c r="F35" i="8" s="1"/>
  <c r="F36" i="8" s="1"/>
  <c r="F37" i="8" s="1"/>
  <c r="F38" i="8" s="1"/>
  <c r="F39" i="8" s="1"/>
  <c r="F40" i="8" s="1"/>
  <c r="F41" i="8" s="1"/>
  <c r="F42" i="8" s="1"/>
  <c r="F43" i="8" s="1"/>
  <c r="F44" i="8" s="1"/>
  <c r="F45" i="8" s="1"/>
  <c r="F46" i="8" s="1"/>
  <c r="F47" i="8" s="1"/>
  <c r="F48" i="8" s="1"/>
  <c r="F49" i="8" s="1"/>
  <c r="F50" i="8" s="1"/>
  <c r="F51" i="8" s="1"/>
  <c r="F52" i="8" s="1"/>
  <c r="F53" i="8" s="1"/>
  <c r="F54" i="8" s="1"/>
  <c r="F55" i="8" s="1"/>
  <c r="F56" i="8" s="1"/>
  <c r="F57" i="8" s="1"/>
  <c r="F58" i="8" s="1"/>
  <c r="D31" i="8"/>
  <c r="D32" i="8" s="1"/>
  <c r="G33" i="8" l="1"/>
  <c r="G34" i="8" s="1"/>
  <c r="G35" i="8" s="1"/>
  <c r="G36" i="8" s="1"/>
  <c r="G37" i="8" s="1"/>
  <c r="G38" i="8" s="1"/>
  <c r="G39" i="8" s="1"/>
  <c r="G40" i="8" s="1"/>
  <c r="G41" i="8" s="1"/>
  <c r="G42" i="8" s="1"/>
  <c r="G43" i="8" s="1"/>
  <c r="G44" i="8" s="1"/>
  <c r="G45" i="8" s="1"/>
  <c r="G46" i="8" s="1"/>
  <c r="G47" i="8" s="1"/>
  <c r="G48" i="8" s="1"/>
  <c r="G49" i="8" s="1"/>
  <c r="G50" i="8" s="1"/>
  <c r="G51" i="8" s="1"/>
  <c r="G52" i="8" s="1"/>
  <c r="G53" i="8" s="1"/>
  <c r="G54" i="8" s="1"/>
  <c r="G55" i="8" s="1"/>
  <c r="G56" i="8" s="1"/>
  <c r="G57" i="8" s="1"/>
  <c r="G58" i="8" s="1"/>
  <c r="D33" i="8"/>
  <c r="H31" i="8"/>
  <c r="H32" i="8" s="1"/>
  <c r="D34" i="8"/>
  <c r="D35" i="8"/>
  <c r="C34" i="8"/>
  <c r="V43" i="5"/>
  <c r="AC37" i="5"/>
  <c r="AB37" i="5"/>
  <c r="AA37" i="5"/>
  <c r="Z37" i="5"/>
  <c r="AC2" i="5"/>
  <c r="AB2" i="5"/>
  <c r="AA2" i="5"/>
  <c r="Z2" i="5"/>
  <c r="Y2" i="5"/>
  <c r="H33" i="8" l="1"/>
  <c r="H34" i="8" s="1"/>
  <c r="D36" i="8"/>
  <c r="D37" i="8" s="1"/>
  <c r="H35" i="8"/>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C35" i="8"/>
  <c r="C36" i="8" s="1"/>
  <c r="C37" i="8" l="1"/>
  <c r="C38" i="8" s="1"/>
  <c r="C39" i="8" s="1"/>
  <c r="C40" i="8" s="1"/>
  <c r="C41" i="8" s="1"/>
  <c r="C42" i="8" s="1"/>
  <c r="C43" i="8" s="1"/>
  <c r="C44" i="8" s="1"/>
  <c r="C45" i="8" s="1"/>
  <c r="C46" i="8" s="1"/>
  <c r="C47" i="8" s="1"/>
  <c r="C48" i="8" s="1"/>
  <c r="C49" i="8" s="1"/>
  <c r="C50" i="8" s="1"/>
  <c r="C51" i="8" s="1"/>
  <c r="C52" i="8" s="1"/>
  <c r="C53" i="8" s="1"/>
  <c r="C54" i="8" s="1"/>
  <c r="C55" i="8" s="1"/>
  <c r="C56" i="8" s="1"/>
  <c r="C57" i="8" s="1"/>
  <c r="C58" i="8" s="1"/>
  <c r="D38" i="8"/>
  <c r="D39" i="8" s="1"/>
  <c r="D40" i="8" s="1"/>
  <c r="D41" i="8" s="1"/>
  <c r="D42" i="8" l="1"/>
  <c r="D43" i="8" s="1"/>
  <c r="D44" i="8" s="1"/>
  <c r="D45" i="8" s="1"/>
  <c r="D46" i="8" s="1"/>
  <c r="D47" i="8" s="1"/>
  <c r="D48" i="8" s="1"/>
  <c r="D49" i="8" s="1"/>
  <c r="D50" i="8" s="1"/>
  <c r="D51" i="8" s="1"/>
  <c r="D52" i="8" s="1"/>
  <c r="D53" i="8" s="1"/>
  <c r="D54" i="8" s="1"/>
  <c r="D55" i="8" s="1"/>
  <c r="D56" i="8" s="1"/>
  <c r="D57" i="8" s="1"/>
  <c r="D58" i="8" s="1"/>
  <c r="V46" i="5" l="1"/>
  <c r="V45" i="5"/>
  <c r="V44" i="5"/>
  <c r="V42" i="5"/>
  <c r="V41" i="5"/>
  <c r="V38" i="5"/>
  <c r="V37" i="5"/>
  <c r="V36" i="5"/>
  <c r="V35" i="5"/>
  <c r="Y37" i="5" s="1"/>
  <c r="V34" i="5"/>
  <c r="V31" i="5"/>
  <c r="V30" i="5"/>
  <c r="V29" i="5"/>
  <c r="V28" i="5"/>
  <c r="V27" i="5"/>
  <c r="V26" i="5"/>
  <c r="V25" i="5"/>
  <c r="V24" i="5"/>
  <c r="V23" i="5"/>
  <c r="V22" i="5"/>
  <c r="V21" i="5"/>
  <c r="V20" i="5"/>
  <c r="V19" i="5"/>
  <c r="V18" i="5"/>
  <c r="V15" i="5"/>
  <c r="V14" i="5"/>
  <c r="V12" i="5"/>
  <c r="V11" i="5"/>
  <c r="V10" i="5"/>
  <c r="Z28" i="5" l="1"/>
  <c r="X28" i="5"/>
  <c r="AB28" i="5"/>
  <c r="AA28" i="5"/>
  <c r="AC28" i="5"/>
  <c r="Z11" i="5"/>
  <c r="X11" i="5"/>
  <c r="AC11" i="5"/>
  <c r="AB11" i="5"/>
  <c r="AA11" i="5"/>
  <c r="Z20" i="5"/>
  <c r="Z30" i="5" s="1"/>
  <c r="X20" i="5"/>
  <c r="AA20" i="5"/>
  <c r="AB20" i="5"/>
  <c r="AC20" i="5"/>
  <c r="X41" i="5"/>
  <c r="AA41" i="5"/>
  <c r="AC41" i="5"/>
  <c r="AB41" i="5"/>
  <c r="Z26" i="5"/>
  <c r="X26" i="5"/>
  <c r="AA26" i="5"/>
  <c r="AB26" i="5"/>
  <c r="AC26" i="5"/>
  <c r="Z10" i="5"/>
  <c r="X10" i="5"/>
  <c r="AC10" i="5"/>
  <c r="AA10" i="5"/>
  <c r="AB10" i="5"/>
  <c r="Z21" i="5"/>
  <c r="X21" i="5"/>
  <c r="AA21" i="5"/>
  <c r="AC21" i="5"/>
  <c r="AB21" i="5"/>
  <c r="X42" i="5"/>
  <c r="AC42" i="5"/>
  <c r="AA42" i="5"/>
  <c r="AB42" i="5"/>
  <c r="Z24" i="5"/>
  <c r="X24" i="5"/>
  <c r="AC24" i="5"/>
  <c r="AB24" i="5"/>
  <c r="AA24" i="5"/>
  <c r="Z27" i="5"/>
  <c r="X27" i="5"/>
  <c r="AA27" i="5"/>
  <c r="AB27" i="5"/>
  <c r="AC27" i="5"/>
  <c r="Z29" i="5"/>
  <c r="X29" i="5"/>
  <c r="AA29" i="5"/>
  <c r="AB29" i="5"/>
  <c r="AC29" i="5"/>
  <c r="Z19" i="5"/>
  <c r="X19" i="5"/>
  <c r="AA19" i="5"/>
  <c r="AB19" i="5"/>
  <c r="AC19" i="5"/>
  <c r="Z22" i="5"/>
  <c r="X22" i="5"/>
  <c r="AC22" i="5"/>
  <c r="AB22" i="5"/>
  <c r="AA22" i="5"/>
  <c r="Z23" i="5"/>
  <c r="X23" i="5"/>
  <c r="AC23" i="5"/>
  <c r="AB23" i="5"/>
  <c r="AA23" i="5"/>
  <c r="Z25" i="5"/>
  <c r="X25" i="5"/>
  <c r="AB25" i="5"/>
  <c r="AC25" i="5"/>
  <c r="AA25" i="5"/>
  <c r="Y42" i="5"/>
  <c r="Z42" i="5"/>
  <c r="Y41" i="5"/>
  <c r="Z41" i="5"/>
  <c r="Y20" i="5"/>
  <c r="Y19" i="5"/>
  <c r="Y22" i="5"/>
  <c r="Y24" i="5"/>
  <c r="Y27" i="5"/>
  <c r="Y28" i="5"/>
  <c r="Y25" i="5"/>
  <c r="Y26" i="5"/>
  <c r="Y10" i="5"/>
  <c r="Y29" i="5"/>
  <c r="Y21" i="5"/>
  <c r="Y23" i="5"/>
  <c r="Y11" i="5"/>
  <c r="V13" i="5"/>
  <c r="AA5" i="5" l="1"/>
  <c r="AA53" i="5"/>
  <c r="F14" i="9"/>
  <c r="AA13" i="5"/>
  <c r="X53" i="5"/>
  <c r="X5" i="5"/>
  <c r="X13" i="5"/>
  <c r="D14" i="9"/>
  <c r="Y53" i="5"/>
  <c r="Y5" i="5"/>
  <c r="X30" i="5"/>
  <c r="AB5" i="5"/>
  <c r="AB53" i="5"/>
  <c r="G14" i="9"/>
  <c r="AB13" i="5"/>
  <c r="AB14" i="5" s="1"/>
  <c r="AB15" i="5" s="1"/>
  <c r="AC13" i="5"/>
  <c r="AC14" i="5" s="1"/>
  <c r="AC15" i="5" s="1"/>
  <c r="AC53" i="5"/>
  <c r="H14" i="9"/>
  <c r="AC5" i="5"/>
  <c r="Z13" i="5"/>
  <c r="Z14" i="5" s="1"/>
  <c r="Z15" i="5" s="1"/>
  <c r="Z31" i="5" s="1"/>
  <c r="Z38" i="5" s="1"/>
  <c r="Z53" i="5"/>
  <c r="E14" i="9"/>
  <c r="Z5" i="5"/>
  <c r="AA30" i="5"/>
  <c r="AC30" i="5"/>
  <c r="AB30" i="5"/>
  <c r="Y30" i="5"/>
  <c r="Y13" i="5"/>
  <c r="Y14" i="5" s="1"/>
  <c r="AB31" i="5" l="1"/>
  <c r="AB38" i="5" s="1"/>
  <c r="AB44" i="5" s="1"/>
  <c r="AB45" i="5" s="1"/>
  <c r="AB46" i="5" s="1"/>
  <c r="AB49" i="5" s="1"/>
  <c r="AB51" i="5"/>
  <c r="AB52" i="5"/>
  <c r="X14" i="5"/>
  <c r="X15" i="5" s="1"/>
  <c r="X31" i="5" s="1"/>
  <c r="X38" i="5" s="1"/>
  <c r="Y15" i="5"/>
  <c r="Y31" i="5" s="1"/>
  <c r="Y38" i="5" s="1"/>
  <c r="Z44" i="5"/>
  <c r="Z45" i="5" s="1"/>
  <c r="Z46" i="5" s="1"/>
  <c r="Z49" i="5" s="1"/>
  <c r="Z3" i="5" s="1"/>
  <c r="Z52" i="5"/>
  <c r="Z51" i="5"/>
  <c r="AA14" i="5"/>
  <c r="AA15" i="5"/>
  <c r="AA31" i="5" s="1"/>
  <c r="AA38" i="5" s="1"/>
  <c r="AC31" i="5"/>
  <c r="AC38" i="5" s="1"/>
  <c r="X52" i="5" l="1"/>
  <c r="X51" i="5"/>
  <c r="X44" i="5"/>
  <c r="X45" i="5" s="1"/>
  <c r="X46" i="5" s="1"/>
  <c r="X49" i="5" s="1"/>
  <c r="AA44" i="5"/>
  <c r="AA45" i="5" s="1"/>
  <c r="AA46" i="5" s="1"/>
  <c r="AA49" i="5" s="1"/>
  <c r="AA51" i="5"/>
  <c r="AA52" i="5"/>
  <c r="Z55" i="5"/>
  <c r="E15" i="9" s="1"/>
  <c r="Z54" i="5"/>
  <c r="AB55" i="5"/>
  <c r="G15" i="9" s="1"/>
  <c r="AB54" i="5"/>
  <c r="Z6" i="5"/>
  <c r="AC44" i="5"/>
  <c r="AC45" i="5" s="1"/>
  <c r="AC46" i="5" s="1"/>
  <c r="AC49" i="5" s="1"/>
  <c r="AC51" i="5"/>
  <c r="AC52" i="5"/>
  <c r="Y44" i="5"/>
  <c r="Y45" i="5" s="1"/>
  <c r="Y46" i="5" s="1"/>
  <c r="Y49" i="5" s="1"/>
  <c r="Y52" i="5"/>
  <c r="Y51" i="5"/>
  <c r="AB3" i="5"/>
  <c r="AB6" i="5"/>
  <c r="X6" i="5" l="1"/>
  <c r="X3" i="5"/>
  <c r="AC55" i="5"/>
  <c r="H15" i="9" s="1"/>
  <c r="AC54" i="5"/>
  <c r="AC6" i="5"/>
  <c r="AC3" i="5"/>
  <c r="AA6" i="5"/>
  <c r="AA3" i="5"/>
  <c r="Y55" i="5"/>
  <c r="D15" i="9" s="1"/>
  <c r="D17" i="9" s="1"/>
  <c r="Y54" i="5"/>
  <c r="X54" i="5"/>
  <c r="X55" i="5"/>
  <c r="AA55" i="5"/>
  <c r="F15" i="9" s="1"/>
  <c r="AA54" i="5"/>
  <c r="Y3" i="5"/>
  <c r="Y6" i="5"/>
  <c r="F16" i="9"/>
  <c r="H16" i="9"/>
  <c r="D16" i="9"/>
  <c r="G16" i="9"/>
  <c r="G17" i="9"/>
  <c r="G18" i="9" s="1"/>
  <c r="G19" i="9" s="1"/>
  <c r="E16" i="9"/>
  <c r="E17" i="9" s="1"/>
  <c r="E18" i="9" s="1"/>
  <c r="E19" i="9" s="1"/>
  <c r="C16" i="9"/>
  <c r="C17" i="9"/>
  <c r="C18" i="9" s="1"/>
  <c r="C19" i="9" s="1"/>
  <c r="H7" i="9"/>
  <c r="H9" i="9"/>
  <c r="H6" i="9"/>
  <c r="H8" i="9"/>
  <c r="D18" i="9" l="1"/>
  <c r="D19" i="9" s="1"/>
  <c r="H17" i="9"/>
  <c r="H18" i="9" s="1"/>
  <c r="H19" i="9" s="1"/>
  <c r="F17" i="9"/>
  <c r="F18" i="9" s="1"/>
  <c r="F19"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Maria</author>
    <author>Jon</author>
  </authors>
  <commentList>
    <comment ref="G8" authorId="0" shapeId="0" xr:uid="{74566BDD-978F-4800-AC2B-3C3EB2488BC8}">
      <text>
        <r>
          <rPr>
            <b/>
            <sz val="8"/>
            <color indexed="81"/>
            <rFont val="Tahoma"/>
            <family val="2"/>
          </rPr>
          <t>Rate Per PAYMENT Period:</t>
        </r>
        <r>
          <rPr>
            <sz val="8"/>
            <color indexed="81"/>
            <rFont val="Tahoma"/>
            <family val="2"/>
          </rPr>
          <t xml:space="preserve">
When the Compound Period is equal to the Payment Frequency, the rate per period ends up being simply the annual rate divided by the number of periods per year.</t>
        </r>
      </text>
    </comment>
    <comment ref="C10" authorId="1" shapeId="0" xr:uid="{0D5C2BE8-7D02-4EDF-8F54-10E514BFD040}">
      <text>
        <r>
          <rPr>
            <b/>
            <sz val="8"/>
            <color indexed="81"/>
            <rFont val="Tahoma"/>
            <family val="2"/>
          </rPr>
          <t>Term of Loan</t>
        </r>
        <r>
          <rPr>
            <sz val="8"/>
            <color indexed="81"/>
            <rFont val="Tahoma"/>
            <family val="2"/>
          </rPr>
          <t xml:space="preserve">
Mortgage loans usually have 15 or 30-year terms. Auto loans are usually between 2 and 5 years. For a 6-month term, enter 6/12.
</t>
        </r>
      </text>
    </comment>
    <comment ref="G11" authorId="1" shapeId="0" xr:uid="{DFCF0077-40D6-4999-901A-D1D9A4A5A81F}">
      <text>
        <r>
          <rPr>
            <b/>
            <sz val="8"/>
            <color indexed="81"/>
            <rFont val="Tahoma"/>
            <family val="2"/>
          </rPr>
          <t>Estimated Interest Savings</t>
        </r>
        <r>
          <rPr>
            <sz val="8"/>
            <color indexed="81"/>
            <rFont val="Tahoma"/>
            <family val="2"/>
          </rPr>
          <t xml:space="preserve">
The reduced interest expense associated with making extra payments. The result may be off by a small amount (a few dollars) due to rounding.</t>
        </r>
      </text>
    </comment>
    <comment ref="C12" authorId="0" shapeId="0" xr:uid="{805A57BE-99CA-483D-8E9B-B4D846975372}">
      <text>
        <r>
          <rPr>
            <b/>
            <sz val="8"/>
            <color indexed="81"/>
            <rFont val="Tahoma"/>
            <family val="2"/>
          </rPr>
          <t>Payment Frequency:</t>
        </r>
        <r>
          <rPr>
            <sz val="8"/>
            <color indexed="81"/>
            <rFont val="Tahoma"/>
            <family val="2"/>
          </rPr>
          <t xml:space="preserve">
This defines the Payment Period, or the number of payments per year.</t>
        </r>
      </text>
    </comment>
    <comment ref="C13" authorId="2" shapeId="0" xr:uid="{538D95C0-3925-403C-83CF-9C142D74BFCC}">
      <text>
        <r>
          <rPr>
            <b/>
            <sz val="8"/>
            <color indexed="81"/>
            <rFont val="Tahoma"/>
            <family val="2"/>
          </rPr>
          <t>Compound Period:</t>
        </r>
        <r>
          <rPr>
            <sz val="8"/>
            <color indexed="81"/>
            <rFont val="Tahoma"/>
            <family val="2"/>
          </rPr>
          <t xml:space="preserve">
The number of times per year that the interest is compounded.
Annually: 1 time per year
Semi-Annually: 2 times per year
Quarterly: 4 times per year
Monthly: 12 times per year
</t>
        </r>
        <r>
          <rPr>
            <b/>
            <sz val="8"/>
            <color indexed="81"/>
            <rFont val="Tahoma"/>
            <family val="2"/>
          </rPr>
          <t>Canadian</t>
        </r>
        <r>
          <rPr>
            <sz val="8"/>
            <color indexed="81"/>
            <rFont val="Tahoma"/>
            <family val="2"/>
          </rPr>
          <t xml:space="preserve"> mortgages are compounded </t>
        </r>
        <r>
          <rPr>
            <b/>
            <sz val="8"/>
            <color indexed="81"/>
            <rFont val="Tahoma"/>
            <family val="2"/>
          </rPr>
          <t>semi-annually</t>
        </r>
        <r>
          <rPr>
            <sz val="8"/>
            <color indexed="81"/>
            <rFont val="Tahoma"/>
            <family val="2"/>
          </rPr>
          <t xml:space="preserve">.
</t>
        </r>
        <r>
          <rPr>
            <b/>
            <sz val="8"/>
            <color indexed="81"/>
            <rFont val="Tahoma"/>
            <family val="2"/>
          </rPr>
          <t>US</t>
        </r>
        <r>
          <rPr>
            <sz val="8"/>
            <color indexed="81"/>
            <rFont val="Tahoma"/>
            <family val="2"/>
          </rPr>
          <t xml:space="preserve"> mortgages are compounded </t>
        </r>
        <r>
          <rPr>
            <b/>
            <sz val="8"/>
            <color indexed="81"/>
            <rFont val="Tahoma"/>
            <family val="2"/>
          </rPr>
          <t>monthly</t>
        </r>
        <r>
          <rPr>
            <sz val="8"/>
            <color indexed="81"/>
            <rFont val="Tahoma"/>
            <family val="2"/>
          </rPr>
          <t xml:space="preserve">.
The default is to set the compound period EQUAL to the payment frequency.
</t>
        </r>
        <r>
          <rPr>
            <i/>
            <sz val="8"/>
            <color indexed="81"/>
            <rFont val="Tahoma"/>
            <family val="2"/>
          </rPr>
          <t>WARNING</t>
        </r>
        <r>
          <rPr>
            <sz val="8"/>
            <color indexed="81"/>
            <rFont val="Tahoma"/>
            <family val="2"/>
          </rPr>
          <t>:Choosing a compound period that is shorter than the payment period results in negative amortization.</t>
        </r>
      </text>
    </comment>
    <comment ref="C14" authorId="0" shapeId="0" xr:uid="{AF95CC96-A8BC-40EE-BBD8-4785DC44C7CF}">
      <text>
        <r>
          <rPr>
            <b/>
            <sz val="8"/>
            <color indexed="81"/>
            <rFont val="Tahoma"/>
            <family val="2"/>
          </rPr>
          <t>Payment Type:</t>
        </r>
        <r>
          <rPr>
            <sz val="8"/>
            <color indexed="81"/>
            <rFont val="Tahoma"/>
            <family val="2"/>
          </rPr>
          <t xml:space="preserve">
This affects the "type" argument in the Excel PMT function.
"End of Period" (type=0) is the most common option. Choosing "Beginning of Period" (type=1) means that you will pay zero interest on your first payment.</t>
        </r>
      </text>
    </comment>
    <comment ref="C15" authorId="2" shapeId="0" xr:uid="{42C882DA-E198-4165-88B5-82F95F265603}">
      <text>
        <r>
          <rPr>
            <b/>
            <sz val="8"/>
            <color indexed="81"/>
            <rFont val="Tahoma"/>
            <family val="2"/>
          </rPr>
          <t>Rounding:</t>
        </r>
        <r>
          <rPr>
            <sz val="8"/>
            <color indexed="81"/>
            <rFont val="Tahoma"/>
            <family val="2"/>
          </rPr>
          <t xml:space="preserve">
Interest calculations are normally rounded to the nearest cent in an amortization schedule.</t>
        </r>
      </text>
    </comment>
    <comment ref="D61" authorId="1" shapeId="0" xr:uid="{808BA795-DCE1-4768-B85F-2B4B8F6D61E2}">
      <text>
        <r>
          <rPr>
            <b/>
            <sz val="8"/>
            <color indexed="81"/>
            <rFont val="Tahoma"/>
            <family val="2"/>
          </rPr>
          <t>Additional Payment</t>
        </r>
        <r>
          <rPr>
            <sz val="8"/>
            <color indexed="81"/>
            <rFont val="Tahoma"/>
            <family val="2"/>
          </rPr>
          <t xml:space="preserve">
The amount paid directly towards the principal, in additional to the normal payment.
To pay off the remaining balance, the additional payment must be the</t>
        </r>
        <r>
          <rPr>
            <b/>
            <sz val="8"/>
            <color indexed="81"/>
            <rFont val="Tahoma"/>
            <family val="2"/>
          </rPr>
          <t xml:space="preserve"> last period balance - payment due + interest due</t>
        </r>
        <r>
          <rPr>
            <sz val="8"/>
            <color indexed="81"/>
            <rFont val="Tahoma"/>
            <family val="2"/>
          </rPr>
          <t>.
(Assumes no penalties for making additional payments.)</t>
        </r>
      </text>
    </comment>
  </commentList>
</comments>
</file>

<file path=xl/sharedStrings.xml><?xml version="1.0" encoding="utf-8"?>
<sst xmlns="http://schemas.openxmlformats.org/spreadsheetml/2006/main" count="208" uniqueCount="185">
  <si>
    <t>Interest</t>
  </si>
  <si>
    <r>
      <rPr>
        <b/>
        <sz val="14"/>
        <rFont val="Arial"/>
        <family val="2"/>
      </rPr>
      <t xml:space="preserve">Organic Farms Corporation Balance Sheet
</t>
    </r>
    <r>
      <rPr>
        <b/>
        <sz val="10"/>
        <rFont val="Arial"/>
        <family val="2"/>
      </rPr>
      <t>As of December 31, 2024</t>
    </r>
  </si>
  <si>
    <r>
      <rPr>
        <b/>
        <sz val="9"/>
        <rFont val="Arial"/>
        <family val="2"/>
      </rPr>
      <t xml:space="preserve">Total
</t>
    </r>
    <r>
      <rPr>
        <b/>
        <sz val="8"/>
        <rFont val="Arial"/>
        <family val="2"/>
      </rPr>
      <t xml:space="preserve">ASSETS
</t>
    </r>
    <r>
      <rPr>
        <b/>
        <sz val="8"/>
        <rFont val="Arial"/>
        <family val="2"/>
      </rPr>
      <t>Current Assets</t>
    </r>
  </si>
  <si>
    <r>
      <rPr>
        <b/>
        <sz val="8"/>
        <rFont val="Arial"/>
        <family val="2"/>
      </rPr>
      <t>Cash</t>
    </r>
  </si>
  <si>
    <r>
      <rPr>
        <b/>
        <sz val="8"/>
        <rFont val="Arial"/>
        <family val="2"/>
      </rPr>
      <t>$</t>
    </r>
  </si>
  <si>
    <r>
      <rPr>
        <b/>
        <sz val="8"/>
        <rFont val="Arial"/>
        <family val="2"/>
      </rPr>
      <t>Inventory</t>
    </r>
  </si>
  <si>
    <r>
      <rPr>
        <b/>
        <sz val="8"/>
        <rFont val="Arial"/>
        <family val="2"/>
      </rPr>
      <t xml:space="preserve">Prepaid Expenses
</t>
    </r>
    <r>
      <rPr>
        <b/>
        <sz val="8"/>
        <rFont val="Arial"/>
        <family val="2"/>
      </rPr>
      <t>Fixed Assets</t>
    </r>
  </si>
  <si>
    <r>
      <rPr>
        <b/>
        <sz val="8"/>
        <rFont val="Arial"/>
        <family val="2"/>
      </rPr>
      <t>Furniture &amp; Fixtures</t>
    </r>
  </si>
  <si>
    <r>
      <rPr>
        <b/>
        <sz val="8"/>
        <rFont val="Arial"/>
        <family val="2"/>
      </rPr>
      <t>Leasehold Improvements</t>
    </r>
  </si>
  <si>
    <r>
      <rPr>
        <b/>
        <sz val="8"/>
        <rFont val="Arial"/>
        <family val="2"/>
      </rPr>
      <t>Technology</t>
    </r>
  </si>
  <si>
    <r>
      <rPr>
        <b/>
        <sz val="8"/>
        <rFont val="Arial"/>
        <family val="2"/>
      </rPr>
      <t>Accumulated Depreciation</t>
    </r>
  </si>
  <si>
    <r>
      <rPr>
        <b/>
        <sz val="8"/>
        <rFont val="Arial"/>
        <family val="2"/>
      </rPr>
      <t>Total Fixed Assets</t>
    </r>
  </si>
  <si>
    <r>
      <rPr>
        <b/>
        <sz val="8"/>
        <rFont val="Arial"/>
        <family val="2"/>
      </rPr>
      <t>Security Deposit</t>
    </r>
  </si>
  <si>
    <r>
      <rPr>
        <b/>
        <sz val="8"/>
        <rFont val="Arial"/>
        <family val="2"/>
      </rPr>
      <t>License Acquisition Costs</t>
    </r>
  </si>
  <si>
    <r>
      <rPr>
        <b/>
        <sz val="8"/>
        <rFont val="Arial"/>
        <family val="2"/>
      </rPr>
      <t>TOTAL ASSETS</t>
    </r>
  </si>
  <si>
    <r>
      <rPr>
        <b/>
        <sz val="8"/>
        <rFont val="Arial"/>
        <family val="2"/>
      </rPr>
      <t>LIABILITIES AND EQUITY</t>
    </r>
  </si>
  <si>
    <r>
      <rPr>
        <b/>
        <sz val="8"/>
        <rFont val="Arial"/>
        <family val="2"/>
      </rPr>
      <t xml:space="preserve">Liabilities
</t>
    </r>
    <r>
      <rPr>
        <b/>
        <sz val="8"/>
        <rFont val="Arial"/>
        <family val="2"/>
      </rPr>
      <t>Current Liabilities Accounts Payable</t>
    </r>
  </si>
  <si>
    <r>
      <rPr>
        <b/>
        <sz val="8"/>
        <rFont val="Arial"/>
        <family val="2"/>
      </rPr>
      <t>Accounts Payable (A/P)</t>
    </r>
  </si>
  <si>
    <r>
      <rPr>
        <sz val="8"/>
        <rFont val="Arial"/>
        <family val="2"/>
      </rPr>
      <t>$</t>
    </r>
  </si>
  <si>
    <r>
      <rPr>
        <b/>
        <sz val="8"/>
        <rFont val="Arial"/>
        <family val="2"/>
      </rPr>
      <t>Accrued Interest</t>
    </r>
  </si>
  <si>
    <r>
      <rPr>
        <b/>
        <sz val="8"/>
        <rFont val="Arial"/>
        <family val="2"/>
      </rPr>
      <t>Capital One Business 4666</t>
    </r>
  </si>
  <si>
    <r>
      <rPr>
        <b/>
        <sz val="8"/>
        <rFont val="Arial"/>
        <family val="2"/>
      </rPr>
      <t>Sales Taxes</t>
    </r>
  </si>
  <si>
    <r>
      <rPr>
        <b/>
        <sz val="8"/>
        <rFont val="Arial"/>
        <family val="2"/>
      </rPr>
      <t>Short Term Loans</t>
    </r>
  </si>
  <si>
    <r>
      <rPr>
        <b/>
        <sz val="8"/>
        <rFont val="Arial"/>
        <family val="2"/>
      </rPr>
      <t xml:space="preserve">Total Current Liabilities Long-Term Liabilities
</t>
    </r>
    <r>
      <rPr>
        <b/>
        <sz val="8"/>
        <rFont val="Arial"/>
        <family val="2"/>
      </rPr>
      <t>Notes Payable</t>
    </r>
  </si>
  <si>
    <r>
      <rPr>
        <b/>
        <sz val="8"/>
        <rFont val="Arial"/>
        <family val="2"/>
      </rPr>
      <t xml:space="preserve">690,724.49
</t>
    </r>
    <r>
      <rPr>
        <sz val="8"/>
        <rFont val="Arial"/>
        <family val="2"/>
      </rPr>
      <t>989,686.46</t>
    </r>
  </si>
  <si>
    <r>
      <rPr>
        <b/>
        <sz val="8"/>
        <rFont val="Arial"/>
        <family val="2"/>
      </rPr>
      <t>Total Long-Term Liabilities</t>
    </r>
  </si>
  <si>
    <r>
      <rPr>
        <b/>
        <sz val="8"/>
        <rFont val="Arial"/>
        <family val="2"/>
      </rPr>
      <t>Total Liabilities</t>
    </r>
  </si>
  <si>
    <r>
      <rPr>
        <b/>
        <sz val="8"/>
        <rFont val="Arial"/>
        <family val="2"/>
      </rPr>
      <t>Equity</t>
    </r>
  </si>
  <si>
    <r>
      <rPr>
        <b/>
        <sz val="8"/>
        <rFont val="Arial"/>
        <family val="2"/>
      </rPr>
      <t>TOTAL LIABILITIES AND EQUITY</t>
    </r>
  </si>
  <si>
    <r>
      <rPr>
        <sz val="11"/>
        <rFont val="Calibri"/>
        <family val="2"/>
      </rPr>
      <t>Accrued Interest, Short Term Loans, and Notes Payable will be paid off in the closing purchase of the company and will not be assumed by new ownership.</t>
    </r>
  </si>
  <si>
    <r>
      <rPr>
        <b/>
        <sz val="10.5"/>
        <rFont val="Arial"/>
        <family val="2"/>
      </rPr>
      <t>Organic Farms Corporation Profit and Loss</t>
    </r>
  </si>
  <si>
    <r>
      <rPr>
        <b/>
        <sz val="6.5"/>
        <rFont val="Arial"/>
        <family val="2"/>
      </rPr>
      <t>Q1 2024</t>
    </r>
  </si>
  <si>
    <r>
      <rPr>
        <b/>
        <sz val="6.5"/>
        <rFont val="Arial"/>
        <family val="2"/>
      </rPr>
      <t>Q2 2024</t>
    </r>
  </si>
  <si>
    <r>
      <rPr>
        <b/>
        <sz val="6.5"/>
        <rFont val="Arial"/>
        <family val="2"/>
      </rPr>
      <t>Q3 2024</t>
    </r>
  </si>
  <si>
    <r>
      <rPr>
        <b/>
        <sz val="6.5"/>
        <rFont val="Arial"/>
        <family val="2"/>
      </rPr>
      <t>Q4 2024</t>
    </r>
  </si>
  <si>
    <r>
      <rPr>
        <b/>
        <sz val="6.5"/>
        <rFont val="Arial"/>
        <family val="2"/>
      </rPr>
      <t>Q1 2025</t>
    </r>
  </si>
  <si>
    <r>
      <rPr>
        <b/>
        <sz val="6"/>
        <rFont val="Arial"/>
        <family val="2"/>
      </rPr>
      <t>Income</t>
    </r>
  </si>
  <si>
    <r>
      <rPr>
        <b/>
        <sz val="6"/>
        <rFont val="Arial"/>
        <family val="2"/>
      </rPr>
      <t>Accessory Sales</t>
    </r>
  </si>
  <si>
    <r>
      <rPr>
        <b/>
        <sz val="6"/>
        <rFont val="Arial"/>
        <family val="2"/>
      </rPr>
      <t>Card Activation Fees</t>
    </r>
  </si>
  <si>
    <r>
      <rPr>
        <b/>
        <sz val="6"/>
        <rFont val="Arial"/>
        <family val="2"/>
      </rPr>
      <t>Total Income</t>
    </r>
  </si>
  <si>
    <r>
      <rPr>
        <b/>
        <sz val="6"/>
        <rFont val="Arial"/>
        <family val="2"/>
      </rPr>
      <t>Cost of Goods Sold</t>
    </r>
  </si>
  <si>
    <r>
      <rPr>
        <b/>
        <sz val="6"/>
        <rFont val="Arial"/>
        <family val="2"/>
      </rPr>
      <t>Gross Profit</t>
    </r>
  </si>
  <si>
    <r>
      <rPr>
        <b/>
        <sz val="6"/>
        <rFont val="Arial"/>
        <family val="2"/>
      </rPr>
      <t>Expenses</t>
    </r>
  </si>
  <si>
    <r>
      <rPr>
        <b/>
        <sz val="6"/>
        <rFont val="Arial"/>
        <family val="2"/>
      </rPr>
      <t>Advertising Expense</t>
    </r>
  </si>
  <si>
    <r>
      <rPr>
        <b/>
        <sz val="6"/>
        <rFont val="Arial"/>
        <family val="2"/>
      </rPr>
      <t>Bank Fees and Cash Services</t>
    </r>
  </si>
  <si>
    <r>
      <rPr>
        <b/>
        <sz val="6"/>
        <rFont val="Arial"/>
        <family val="2"/>
      </rPr>
      <t>Communication</t>
    </r>
  </si>
  <si>
    <r>
      <rPr>
        <b/>
        <sz val="6"/>
        <rFont val="Arial"/>
        <family val="2"/>
      </rPr>
      <t>Insurance</t>
    </r>
  </si>
  <si>
    <r>
      <rPr>
        <b/>
        <sz val="6"/>
        <rFont val="Arial"/>
        <family val="2"/>
      </rPr>
      <t>Legal &amp; Professional Fees</t>
    </r>
  </si>
  <si>
    <r>
      <rPr>
        <b/>
        <sz val="6"/>
        <rFont val="Arial"/>
        <family val="2"/>
      </rPr>
      <t>Office/General Administrative Expenses</t>
    </r>
  </si>
  <si>
    <r>
      <rPr>
        <b/>
        <sz val="6"/>
        <rFont val="Arial"/>
        <family val="2"/>
      </rPr>
      <t>Payroll Expense</t>
    </r>
  </si>
  <si>
    <r>
      <rPr>
        <b/>
        <sz val="6"/>
        <rFont val="Arial"/>
        <family val="2"/>
      </rPr>
      <t>Payroll Taxes</t>
    </r>
  </si>
  <si>
    <r>
      <rPr>
        <b/>
        <sz val="6"/>
        <rFont val="Arial"/>
        <family val="2"/>
      </rPr>
      <t>Rent or Lease of Buildings</t>
    </r>
  </si>
  <si>
    <r>
      <rPr>
        <b/>
        <sz val="6"/>
        <rFont val="Arial"/>
        <family val="2"/>
      </rPr>
      <t>Repairs and Maintenance</t>
    </r>
  </si>
  <si>
    <r>
      <rPr>
        <b/>
        <sz val="6"/>
        <rFont val="Arial"/>
        <family val="2"/>
      </rPr>
      <t>Software</t>
    </r>
  </si>
  <si>
    <r>
      <rPr>
        <b/>
        <sz val="6"/>
        <rFont val="Arial"/>
        <family val="2"/>
      </rPr>
      <t>Utilities</t>
    </r>
  </si>
  <si>
    <r>
      <rPr>
        <b/>
        <sz val="6"/>
        <rFont val="Arial"/>
        <family val="2"/>
      </rPr>
      <t>Total Expenses</t>
    </r>
  </si>
  <si>
    <r>
      <rPr>
        <b/>
        <sz val="6"/>
        <rFont val="Arial"/>
        <family val="2"/>
      </rPr>
      <t>Net Operating Income</t>
    </r>
  </si>
  <si>
    <r>
      <rPr>
        <b/>
        <sz val="6"/>
        <rFont val="Arial"/>
        <family val="2"/>
      </rPr>
      <t>Management Expenses</t>
    </r>
  </si>
  <si>
    <r>
      <rPr>
        <b/>
        <sz val="6"/>
        <rFont val="Arial"/>
        <family val="2"/>
      </rPr>
      <t>Consulting - Pharma Pro</t>
    </r>
  </si>
  <si>
    <r>
      <rPr>
        <b/>
        <sz val="6"/>
        <rFont val="Arial"/>
        <family val="2"/>
      </rPr>
      <t>Officer Compensation</t>
    </r>
  </si>
  <si>
    <r>
      <rPr>
        <b/>
        <sz val="6"/>
        <rFont val="Arial"/>
        <family val="2"/>
      </rPr>
      <t>Security Expense</t>
    </r>
  </si>
  <si>
    <r>
      <rPr>
        <b/>
        <sz val="6"/>
        <rFont val="Arial"/>
        <family val="2"/>
      </rPr>
      <t>Total Total Management Expenses</t>
    </r>
  </si>
  <si>
    <r>
      <rPr>
        <b/>
        <sz val="6"/>
        <rFont val="Arial"/>
        <family val="2"/>
      </rPr>
      <t>EBITDA</t>
    </r>
  </si>
  <si>
    <r>
      <rPr>
        <b/>
        <sz val="6"/>
        <rFont val="Arial"/>
        <family val="2"/>
      </rPr>
      <t>Amortization</t>
    </r>
  </si>
  <si>
    <r>
      <rPr>
        <b/>
        <sz val="6"/>
        <rFont val="Arial"/>
        <family val="2"/>
      </rPr>
      <t>Depreciation</t>
    </r>
  </si>
  <si>
    <r>
      <rPr>
        <b/>
        <sz val="6"/>
        <rFont val="Arial"/>
        <family val="2"/>
      </rPr>
      <t>Interest</t>
    </r>
  </si>
  <si>
    <r>
      <rPr>
        <b/>
        <sz val="6"/>
        <rFont val="Arial"/>
        <family val="2"/>
      </rPr>
      <t>Taxes</t>
    </r>
  </si>
  <si>
    <r>
      <rPr>
        <b/>
        <sz val="6"/>
        <rFont val="Arial"/>
        <family val="2"/>
      </rPr>
      <t>Net Income</t>
    </r>
  </si>
  <si>
    <t>Full Year 2024</t>
  </si>
  <si>
    <t>Annualized Estimates Post Acquisition</t>
  </si>
  <si>
    <t>Improvement Multiple</t>
  </si>
  <si>
    <t>Notes</t>
  </si>
  <si>
    <t>Sunday/Monday/Tuesday is really slow and 90% of business is in the drive thru</t>
  </si>
  <si>
    <t>Other Expenses</t>
  </si>
  <si>
    <t>Total Other Expenses Expenses</t>
  </si>
  <si>
    <t>Loan Amortization Schedule</t>
  </si>
  <si>
    <t>http://www.vertex42.com/ExcelTemplates/loan-amortization-schedule.html</t>
  </si>
  <si>
    <t>Loan Information</t>
  </si>
  <si>
    <t>Summary</t>
  </si>
  <si>
    <t>About This Worksheet</t>
  </si>
  <si>
    <t>Frequency</t>
  </si>
  <si>
    <t>Loan Amount</t>
  </si>
  <si>
    <t>Rate (per period)</t>
  </si>
  <si>
    <t>This spreadsheet creates an amortization schedule for a fixed-rate loan, with optional extra payments. See the Help worksheet for more details. Edit cells within gray borders.</t>
  </si>
  <si>
    <t>Annual</t>
  </si>
  <si>
    <t>Annual Interest Rate</t>
  </si>
  <si>
    <t>Total Payments</t>
  </si>
  <si>
    <t>Semi-Annual</t>
  </si>
  <si>
    <t>Term of Loan in Years</t>
  </si>
  <si>
    <t>Total Interest</t>
  </si>
  <si>
    <t>Quarterly</t>
  </si>
  <si>
    <t>First Payment Date</t>
  </si>
  <si>
    <t>Est. Interest Savings</t>
  </si>
  <si>
    <t>Bi-Monthly</t>
  </si>
  <si>
    <t>Payment Frequency</t>
  </si>
  <si>
    <t>Monthly</t>
  </si>
  <si>
    <t>Compound Period</t>
  </si>
  <si>
    <t>An unlocked commercial version of this template is available:</t>
  </si>
  <si>
    <t>Semi-Monthly</t>
  </si>
  <si>
    <t>Payment Type</t>
  </si>
  <si>
    <t>Bi-Weekly</t>
  </si>
  <si>
    <t>Rounding</t>
  </si>
  <si>
    <t>On</t>
  </si>
  <si>
    <t>Purchase the Unlocked Version</t>
  </si>
  <si>
    <t>Weekly</t>
  </si>
  <si>
    <t>Periods Per Year</t>
  </si>
  <si>
    <t>Months Per Period</t>
  </si>
  <si>
    <t>Number of Periods</t>
  </si>
  <si>
    <t>Rounding Option</t>
  </si>
  <si>
    <t>[42]</t>
  </si>
  <si>
    <t>Yearly Summary</t>
  </si>
  <si>
    <t>Year</t>
  </si>
  <si>
    <t>Payments</t>
  </si>
  <si>
    <t>Additional Payments</t>
  </si>
  <si>
    <t>Interest Paid</t>
  </si>
  <si>
    <t>Principal Paid</t>
  </si>
  <si>
    <t>Year-End
 Balance</t>
  </si>
  <si>
    <t>Hide rows in the summary table that you do not want to display.</t>
  </si>
  <si>
    <t>Amortization Schedule</t>
  </si>
  <si>
    <t>No.</t>
  </si>
  <si>
    <t>Due
Date</t>
  </si>
  <si>
    <t>Payment
Due</t>
  </si>
  <si>
    <t>Additional Payment</t>
  </si>
  <si>
    <t>Principal</t>
  </si>
  <si>
    <t>Balance</t>
  </si>
  <si>
    <t>End</t>
  </si>
  <si>
    <t>Seller Note Payments (Annual)</t>
  </si>
  <si>
    <t>Net Cash Flow</t>
  </si>
  <si>
    <t>Net Cash Flow Margin</t>
  </si>
  <si>
    <r>
      <rPr>
        <b/>
        <sz val="6"/>
        <rFont val="Arial"/>
        <family val="2"/>
      </rPr>
      <t>Sales of Cannabis Product Income</t>
    </r>
    <r>
      <rPr>
        <b/>
        <sz val="6"/>
        <rFont val="Arial"/>
      </rPr>
      <t>*</t>
    </r>
  </si>
  <si>
    <t>*Net of sales discounts, NJ revenue tax at 6.625% and municipal tax of 2% of gross revenues.  Taxes are based on what you receive in net of discounts.</t>
  </si>
  <si>
    <t xml:space="preserve">They had done too much security spend in the beginning but have paired it down now to a non-armed/non-police officer staff </t>
  </si>
  <si>
    <t>We will deploy in $50k increments as long as it is returning proper revenue bump</t>
  </si>
  <si>
    <t>Reduced due to Seller's personal staff being removed and replaced</t>
  </si>
  <si>
    <t>Restructured seller note interest used here for tax calculation</t>
  </si>
  <si>
    <t>Full 280E Elimination (already implemented)</t>
  </si>
  <si>
    <t>Net Revenue Growth</t>
  </si>
  <si>
    <t>Should not apply going forward</t>
  </si>
  <si>
    <t>Net Revenue</t>
  </si>
  <si>
    <t>Net Cash Flow (after seller note &amp; taxes)</t>
  </si>
  <si>
    <t>End of Period</t>
  </si>
  <si>
    <t>Anand</t>
  </si>
  <si>
    <t>Rob</t>
  </si>
  <si>
    <t>Rich</t>
  </si>
  <si>
    <t>Total</t>
  </si>
  <si>
    <t>Valuation</t>
  </si>
  <si>
    <t>CAP TABLE</t>
  </si>
  <si>
    <t>Equity Acquisition</t>
  </si>
  <si>
    <t>Capital Needs</t>
  </si>
  <si>
    <t>Estimated 10 minute driving distance from Organic Farms</t>
  </si>
  <si>
    <t>Estimated 20-30 minute driving distance from Organic Farms</t>
  </si>
  <si>
    <t>Dominic, social equity licenseholder salary expenses 64k.</t>
  </si>
  <si>
    <t>Working Capital</t>
  </si>
  <si>
    <t>Shareholder</t>
  </si>
  <si>
    <t>Investment Amount</t>
  </si>
  <si>
    <t>Ownership %</t>
  </si>
  <si>
    <t>Shares*</t>
  </si>
  <si>
    <t>Other</t>
  </si>
  <si>
    <t>Rich Existing</t>
  </si>
  <si>
    <t>Current Terms</t>
  </si>
  <si>
    <t>Pistil Data Report Summary</t>
  </si>
  <si>
    <t>Curaleaf - Belmawr</t>
  </si>
  <si>
    <t>Latest 3-months</t>
  </si>
  <si>
    <t>Annualized Revenue (based on latest 3-months)</t>
  </si>
  <si>
    <t>Cuzzie's Dispensary</t>
  </si>
  <si>
    <t>Indigo</t>
  </si>
  <si>
    <t>Nova Farms</t>
  </si>
  <si>
    <t>Organic Farms</t>
  </si>
  <si>
    <t>*Data as of 7/15/25</t>
  </si>
  <si>
    <t xml:space="preserve">*Management would get 30% of capital gains beyond the initial capital return to investor as carried interest. </t>
  </si>
  <si>
    <t>GENERAL DISCLOSURES</t>
  </si>
  <si>
    <r>
      <t xml:space="preserve">THIS EXECUTIVE SUMMARY HAS BEEN PREPARED BY BAR CAPITAL LLC (THE “COMPANY”) SOLELY FOR INFORMATIONAL PURPOSES AND IS NOT TO BE USED AS A BASIS FOR AN INVESTMENT DECISION. REFERENCES HEREIN TO “WE”, “US”, OR “OUR” REFER TO THE COMPANY.  THIS EXECUTIVE SUMMARY IS NOT AN OFFERING DOCUMENT AND DOES NOT CONSTITUTE AN OFFER TO SELL OR A SOLICITATION OF AN OFFER TO PURCHASE SECURITIES. THIS EXECUTIVE SUMMARY CONSTITUTES PROPRIETARY INFORMATION OF THE COMPANY AND SHOULD NOT BE DISSEMINATED WITHOUT THE WRITTEN CONSENT OF THE COMPANY. THE INFORMATION CONTAINED IN THIS EXECUTIVE SUMMARY DOES NOT PURPORT TO BE ALL-INCLUSIVE OR TO CONTAIN ALL OF THE INFORMATION THAT A PROSPECTIVE INVESTOR MAY REQUIRE.  </t>
    </r>
    <r>
      <rPr>
        <sz val="12"/>
        <color theme="1"/>
        <rFont val="Times New Roman"/>
        <family val="1"/>
      </rPr>
      <t>THE INFORMATION PRESENTED IN THIS EXECUTIVE SUMMARY MAY ALSO CONTAIN CERTAIN FORWARD-LOOKING STATEMENTS REGARDING FUTURE FINANCIAL PERFORMANCE, WHICH ARE NOT HISTORICAL FACTS AND WHICH INVOLVE VARIOUS RISKS AND UNCERTAINTIES. WE INTEND SUCH FORWARD-LOOKING STATEMENTS TO BE COVERED BY THE SAFE HARBOR PROVISIONS FOR FORWARD-LOOKING STATEMENTS CONTAINED IN THE PRIVATE SECURITIES LITIGATION REFORM ACT OF 1995 AND ARE INCLUDING THIS STATEMENT FOR PURPOSES OF INVOKING THESE SAFE HARBOR PROVISIONS. THESE FORWARD-LOOKING STATEMENTS REPRESENT PLANS, ESTIMATES, OBJECTIVES, GOALS, GUIDELINES, EXPECTATIONS, INTENTIONS, PROJECTIONS AND STATEMENTS OF OUR BELIEFS CONCERNING FUTURE EVENTS, BUSINESS PLANS, OBJECTIVES, EXPECTED OPERATING RESULTS AND THE ASSUMPTIONS UPON WHICH THOSE STATEMENTS ARE BASED. THE WORDS “BELIEVES,” “EXPECTS,” “MAY,” “WILL,” “SHOULD,” “PROJECTS,” “CONTEMPLATES,” “ANTICIPATES,” “FORECASTS,” “INTENDS,” OR OTHER SIMILAR WORDS OR TERMS ARE INTENDED TO IDENTIFY FORWARD-LOOKING STATEMENTS. FORWARD-LOOKING STATEMENTS ARE NEITHER HISTORICAL FACTS NOR ASSURANCES OF FUTURE PERFORMANCE. INSTEAD, THEY ARE BASED ONLY ON OUR CURRENT BELIEFS, EXPECTATIONS AND ASSUMPTIONS REGARDING THE FUTURE OF OUR BUSINESS, FUTURE PLANS AND STRATEGIES, PROJECTIONS, ANTICIPATED EVENTS AND TRENDS, THE ECONOMY AND OTHER FUTURE CONDITIONS. BECAUSE FORWARD-LOOKING STATEMENTS RELATE TO THE FUTURE, THEY ARE SUBJECT TO INHERENT UNCERTAINTIES, RISKS AND CHANGES IN CIRCUMSTANCES THAT ARE DIFFICULT TO PREDICT AND MANY OF WHICH ARE OUTSIDE OF OUR CONTROL. OUR ACTUAL RESULTS AND FINANCIAL CONDITION MAY DIFFER MATERIALLY FROM THOSE INDICATED IN THE FORWARD-LOOKING STATEMENTS. THEREFORE, YOU SHOULD NOT RELY ON ANY OF THESE FORWARD-LOOKING STATEMENTS</t>
    </r>
    <r>
      <rPr>
        <sz val="12"/>
        <color rgb="FF0E2841"/>
        <rFont val="Times New Roman"/>
        <family val="1"/>
      </rPr>
      <t>. NO OPINION IS EXPRESSED ON THE ACHIEVABILITY OF THOSE FORWARDLOOKING STATEMENTS. NO ASSURANCE CAN BE GIVEN THAT ANY OF THE ASSUMPTIONS RELATING TO THE FORWARD-LOOKING STATEMENTS SPECIFIED IN THE ENCLOSED MATERIAL ARE ACCURATE, AND THE COMPANY ASSUMES NO OBLIGATION TO UPDATE ANY SUCH FORWARD-LOOKING STATEMENTS. SOME OF THE ENTITIES LISTED MAY BE IN THE PROCESS OF FORMATION. THIS EXECUTIVE SUMMARY IS INTENDED ONLY FOR THE PARTY OR PARTIES TO WHOM IT WAS DIRECTED. IF YOU HAVE RECEIVED THE EXECUTIVE SUMMARY IN ERROR OR BY OTHER MEANS, IT MUST BE DESTROYED AND BY NO MEANS CIRCULATED, COPIED OR OTHERWISE DUPLICATED OR DISSEMINATED WITHOUT THE EXPRESS PERMISSION OF THE COMPANY. NOTHING IN THIS EXECUTIVE SUMMARY SHOULD BE CONSTRUED AS INVESTMENT ADVICE, NOR SHOULD IT BE USED TO MAKE INVESTMENT DECISIONS. READERS ARE ADVISED TO CONDUCT THEIR OWN DUE DILIGENCE PRIOR TO CONSIDERING BUYING OR SELLING ANY SECURITIES. NO REGULATORY AUTHORITY HAS APPROVED OR DISAPPROVED OF THE INFORMATION CONTAINED HEREIN.</t>
    </r>
  </si>
  <si>
    <t>Valuation at 3x EBITDA</t>
  </si>
  <si>
    <t>Valuation at 5x EBITDA</t>
  </si>
  <si>
    <t>Valuation at 1x Net Revenues</t>
  </si>
  <si>
    <t>Valuation Average</t>
  </si>
  <si>
    <t>Valuation Min</t>
  </si>
  <si>
    <t>Return on Invested Capital</t>
  </si>
  <si>
    <t>Net Revenues</t>
  </si>
  <si>
    <t>Management Fee* (30%)</t>
  </si>
  <si>
    <t>Equity Investor Payback</t>
  </si>
  <si>
    <t>Above analysis assumes that the full Seller Note has been paid back from cash flows already</t>
  </si>
  <si>
    <t>(1M coming in for 95% since  RJ gets 5% out of the gate)</t>
  </si>
  <si>
    <t>ROIC for Investors</t>
  </si>
  <si>
    <t>Net Return to Investors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</si>
</sst>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0.000%"/>
    <numFmt numFmtId="165" formatCode="m/d/yy;@"/>
  </numFmts>
  <fonts count="49" x14ac:knownFonts="1">
    <font>
      <sz val="11"/>
      <color theme="1"/>
      <name val="Calibri"/>
      <family val="2"/>
      <scheme val="minor"/>
    </font>
    <font>
      <b/>
      <sz val="11"/>
      <color theme="1"/>
      <name val="Calibri"/>
      <family val="2"/>
      <scheme val="minor"/>
    </font>
    <font>
      <sz val="10"/>
      <color rgb="FF000000"/>
      <name val="Times New Roman"/>
      <charset val="204"/>
    </font>
    <font>
      <b/>
      <sz val="14"/>
      <name val="Arial"/>
      <family val="2"/>
    </font>
    <font>
      <b/>
      <sz val="10"/>
      <name val="Arial"/>
      <family val="2"/>
    </font>
    <font>
      <b/>
      <sz val="9"/>
      <name val="Arial"/>
      <family val="2"/>
    </font>
    <font>
      <b/>
      <sz val="8"/>
      <name val="Arial"/>
      <family val="2"/>
    </font>
    <font>
      <b/>
      <sz val="8"/>
      <name val="Arial"/>
    </font>
    <font>
      <b/>
      <sz val="8"/>
      <color rgb="FF000000"/>
      <name val="Arial"/>
      <family val="2"/>
    </font>
    <font>
      <sz val="8"/>
      <color rgb="FF000000"/>
      <name val="Arial"/>
      <family val="2"/>
    </font>
    <font>
      <sz val="8"/>
      <name val="Arial"/>
    </font>
    <font>
      <sz val="8"/>
      <name val="Arial"/>
      <family val="2"/>
    </font>
    <font>
      <sz val="11"/>
      <name val="Calibri"/>
    </font>
    <font>
      <sz val="11"/>
      <name val="Calibri"/>
      <family val="2"/>
    </font>
    <font>
      <b/>
      <sz val="10.5"/>
      <name val="Arial"/>
    </font>
    <font>
      <b/>
      <sz val="10.5"/>
      <name val="Arial"/>
      <family val="2"/>
    </font>
    <font>
      <b/>
      <sz val="6.5"/>
      <name val="Arial"/>
    </font>
    <font>
      <b/>
      <sz val="6.5"/>
      <name val="Arial"/>
      <family val="2"/>
    </font>
    <font>
      <b/>
      <sz val="6"/>
      <name val="Arial"/>
    </font>
    <font>
      <b/>
      <sz val="6"/>
      <name val="Arial"/>
      <family val="2"/>
    </font>
    <font>
      <sz val="6"/>
      <name val="Arial"/>
    </font>
    <font>
      <sz val="6"/>
      <color rgb="FF000000"/>
      <name val="Arial"/>
      <family val="2"/>
    </font>
    <font>
      <b/>
      <sz val="6"/>
      <color rgb="FF000000"/>
      <name val="Arial"/>
      <family val="2"/>
    </font>
    <font>
      <sz val="10"/>
      <name val="Arial"/>
    </font>
    <font>
      <b/>
      <sz val="18"/>
      <name val="Arial"/>
      <family val="2"/>
    </font>
    <font>
      <sz val="18"/>
      <name val="Arial"/>
      <family val="2"/>
    </font>
    <font>
      <sz val="10"/>
      <color indexed="9"/>
      <name val="Arial"/>
      <family val="2"/>
    </font>
    <font>
      <u/>
      <sz val="10"/>
      <color indexed="12"/>
      <name val="Calibri"/>
      <family val="2"/>
      <scheme val="minor"/>
    </font>
    <font>
      <u/>
      <sz val="8"/>
      <color indexed="12"/>
      <name val="Arial"/>
      <family val="2"/>
    </font>
    <font>
      <sz val="10"/>
      <name val="Arial"/>
      <family val="2"/>
    </font>
    <font>
      <sz val="11"/>
      <name val="Arial"/>
      <family val="2"/>
    </font>
    <font>
      <b/>
      <sz val="10"/>
      <color theme="4" tint="-0.249977111117893"/>
      <name val="Tahoma"/>
      <family val="2"/>
    </font>
    <font>
      <sz val="9"/>
      <name val="Arial"/>
      <family val="2"/>
    </font>
    <font>
      <b/>
      <sz val="11"/>
      <color indexed="10"/>
      <name val="Arial"/>
      <family val="2"/>
    </font>
    <font>
      <sz val="11"/>
      <color indexed="10"/>
      <name val="Arial"/>
      <family val="2"/>
    </font>
    <font>
      <b/>
      <sz val="10"/>
      <color theme="1" tint="0.34998626667073579"/>
      <name val="Arial"/>
      <family val="2"/>
    </font>
    <font>
      <u/>
      <sz val="10"/>
      <color indexed="12"/>
      <name val="Arial"/>
      <family val="2"/>
    </font>
    <font>
      <sz val="6"/>
      <color indexed="9"/>
      <name val="Arial"/>
      <family val="2"/>
    </font>
    <font>
      <b/>
      <sz val="11"/>
      <name val="Arial"/>
      <family val="2"/>
    </font>
    <font>
      <b/>
      <sz val="12"/>
      <name val="Arial"/>
      <family val="2"/>
    </font>
    <font>
      <sz val="12"/>
      <name val="Arial"/>
      <family val="2"/>
    </font>
    <font>
      <b/>
      <sz val="8"/>
      <color indexed="81"/>
      <name val="Tahoma"/>
      <family val="2"/>
    </font>
    <font>
      <sz val="8"/>
      <color indexed="81"/>
      <name val="Tahoma"/>
      <family val="2"/>
    </font>
    <font>
      <i/>
      <sz val="8"/>
      <color indexed="81"/>
      <name val="Tahoma"/>
      <family val="2"/>
    </font>
    <font>
      <b/>
      <sz val="11"/>
      <color theme="0"/>
      <name val="Calibri"/>
      <family val="2"/>
      <scheme val="minor"/>
    </font>
    <font>
      <b/>
      <sz val="14"/>
      <color theme="1"/>
      <name val="Niveau Grotesk Black"/>
      <family val="3"/>
    </font>
    <font>
      <sz val="12"/>
      <color rgb="FF0E2841"/>
      <name val="Times New Roman"/>
      <family val="1"/>
    </font>
    <font>
      <sz val="12"/>
      <color theme="1"/>
      <name val="Times New Roman"/>
      <family val="1"/>
    </font>
    <font>
      <b/>
      <sz val="10"/>
      <color rgb="FF000000"/>
      <name val="Times New Roman"/>
      <family val="1"/>
    </font>
  </fonts>
  <fills count="11">
    <fill>
      <patternFill patternType="none"/>
    </fill>
    <fill>
      <patternFill patternType="gray125"/>
    </fill>
    <fill>
      <patternFill patternType="solid">
        <fgColor theme="9"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indexed="51"/>
        <bgColor indexed="64"/>
      </patternFill>
    </fill>
    <fill>
      <patternFill patternType="solid">
        <fgColor indexed="22"/>
        <bgColor indexed="64"/>
      </patternFill>
    </fill>
    <fill>
      <patternFill patternType="solid">
        <fgColor theme="8"/>
        <bgColor theme="8"/>
      </patternFill>
    </fill>
  </fills>
  <borders count="22">
    <border>
      <left/>
      <right/>
      <top/>
      <bottom/>
      <diagonal/>
    </border>
    <border>
      <left/>
      <right/>
      <top/>
      <bottom style="thin">
        <color indexed="64"/>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right/>
      <top/>
      <bottom style="thin">
        <color theme="4"/>
      </bottom>
      <diagonal/>
    </border>
    <border>
      <left/>
      <right/>
      <top/>
      <bottom style="thin">
        <color indexed="53"/>
      </bottom>
      <diagonal/>
    </border>
    <border>
      <left style="thin">
        <color indexed="55"/>
      </left>
      <right style="thin">
        <color indexed="55"/>
      </right>
      <top/>
      <bottom style="thin">
        <color indexed="55"/>
      </bottom>
      <diagonal/>
    </border>
    <border>
      <left/>
      <right/>
      <top style="thin">
        <color theme="4"/>
      </top>
      <bottom/>
      <diagonal/>
    </border>
    <border>
      <left style="thin">
        <color indexed="55"/>
      </left>
      <right style="thin">
        <color indexed="55"/>
      </right>
      <top style="thin">
        <color indexed="55"/>
      </top>
      <bottom style="thin">
        <color indexed="55"/>
      </bottom>
      <diagonal/>
    </border>
    <border>
      <left/>
      <right/>
      <top/>
      <bottom style="medium">
        <color theme="4"/>
      </bottom>
      <diagonal/>
    </border>
    <border>
      <left style="thin">
        <color indexed="55"/>
      </left>
      <right style="thin">
        <color indexed="55"/>
      </right>
      <top style="thin">
        <color indexed="55"/>
      </top>
      <bottom/>
      <diagonal/>
    </border>
    <border>
      <left style="thin">
        <color indexed="55"/>
      </left>
      <right style="thin">
        <color indexed="55"/>
      </right>
      <top/>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7">
    <xf numFmtId="0" fontId="0" fillId="0" borderId="0"/>
    <xf numFmtId="0" fontId="2" fillId="0" borderId="0"/>
    <xf numFmtId="0" fontId="23" fillId="0" borderId="0"/>
    <xf numFmtId="0" fontId="27" fillId="0" borderId="0" applyNumberFormat="0" applyFill="0" applyBorder="0" applyAlignment="0" applyProtection="0">
      <alignment vertical="top"/>
      <protection locked="0"/>
    </xf>
    <xf numFmtId="43" fontId="29" fillId="0" borderId="0" applyFont="0" applyFill="0" applyBorder="0" applyAlignment="0" applyProtection="0"/>
    <xf numFmtId="9" fontId="29" fillId="0" borderId="0" applyFont="0" applyFill="0" applyBorder="0" applyAlignment="0" applyProtection="0"/>
    <xf numFmtId="0" fontId="29" fillId="0" borderId="0"/>
  </cellStyleXfs>
  <cellXfs count="221">
    <xf numFmtId="0" fontId="0" fillId="0" borderId="0" xfId="0"/>
    <xf numFmtId="4" fontId="0" fillId="0" borderId="0" xfId="0" applyNumberFormat="1"/>
    <xf numFmtId="0" fontId="1" fillId="0" borderId="0" xfId="0" applyFont="1"/>
    <xf numFmtId="0" fontId="1" fillId="0" borderId="1" xfId="0" applyFont="1" applyBorder="1"/>
    <xf numFmtId="0" fontId="2" fillId="0" borderId="0" xfId="1" applyAlignment="1">
      <alignment horizontal="left" wrapText="1"/>
    </xf>
    <xf numFmtId="0" fontId="2" fillId="0" borderId="0" xfId="1" applyAlignment="1">
      <alignment horizontal="left" vertical="top"/>
    </xf>
    <xf numFmtId="0" fontId="2" fillId="0" borderId="0" xfId="1" applyAlignment="1">
      <alignment horizontal="left" vertical="top" wrapText="1"/>
    </xf>
    <xf numFmtId="0" fontId="2" fillId="0" borderId="0" xfId="1" applyAlignment="1">
      <alignment horizontal="left" vertical="center" wrapText="1"/>
    </xf>
    <xf numFmtId="0" fontId="2" fillId="0" borderId="2" xfId="1" applyBorder="1" applyAlignment="1">
      <alignment horizontal="left" wrapText="1"/>
    </xf>
    <xf numFmtId="0" fontId="16" fillId="0" borderId="2" xfId="1" applyFont="1" applyBorder="1" applyAlignment="1">
      <alignment horizontal="left" vertical="top" wrapText="1" indent="1"/>
    </xf>
    <xf numFmtId="0" fontId="18" fillId="0" borderId="0" xfId="1" applyFont="1" applyAlignment="1">
      <alignment horizontal="left" vertical="top" wrapText="1"/>
    </xf>
    <xf numFmtId="0" fontId="20" fillId="0" borderId="0" xfId="1" applyFont="1" applyAlignment="1">
      <alignment horizontal="left" vertical="top" wrapText="1"/>
    </xf>
    <xf numFmtId="4" fontId="21" fillId="0" borderId="0" xfId="1" applyNumberFormat="1" applyFont="1" applyAlignment="1">
      <alignment horizontal="right" vertical="top" shrinkToFit="1"/>
    </xf>
    <xf numFmtId="4" fontId="21" fillId="0" borderId="2" xfId="1" applyNumberFormat="1" applyFont="1" applyBorder="1" applyAlignment="1">
      <alignment horizontal="right" vertical="top" shrinkToFit="1"/>
    </xf>
    <xf numFmtId="2" fontId="21" fillId="0" borderId="2" xfId="1" applyNumberFormat="1" applyFont="1" applyBorder="1" applyAlignment="1">
      <alignment horizontal="right" vertical="top" shrinkToFit="1"/>
    </xf>
    <xf numFmtId="0" fontId="18" fillId="0" borderId="3" xfId="1" applyFont="1" applyBorder="1" applyAlignment="1">
      <alignment horizontal="left" vertical="top" wrapText="1"/>
    </xf>
    <xf numFmtId="4" fontId="22" fillId="0" borderId="3" xfId="1" applyNumberFormat="1" applyFont="1" applyBorder="1" applyAlignment="1">
      <alignment horizontal="right" vertical="top" shrinkToFit="1"/>
    </xf>
    <xf numFmtId="2" fontId="21" fillId="0" borderId="0" xfId="1" applyNumberFormat="1" applyFont="1" applyAlignment="1">
      <alignment horizontal="right" vertical="top" shrinkToFit="1"/>
    </xf>
    <xf numFmtId="4" fontId="22" fillId="0" borderId="0" xfId="1" applyNumberFormat="1" applyFont="1" applyAlignment="1">
      <alignment horizontal="right" vertical="top" shrinkToFit="1"/>
    </xf>
    <xf numFmtId="0" fontId="18" fillId="2" borderId="4" xfId="1" applyFont="1" applyFill="1" applyBorder="1" applyAlignment="1">
      <alignment horizontal="left" vertical="top" wrapText="1"/>
    </xf>
    <xf numFmtId="4" fontId="22" fillId="2" borderId="4" xfId="1" applyNumberFormat="1" applyFont="1" applyFill="1" applyBorder="1" applyAlignment="1">
      <alignment horizontal="right" vertical="top" shrinkToFit="1"/>
    </xf>
    <xf numFmtId="0" fontId="2" fillId="2" borderId="0" xfId="1" applyFill="1" applyAlignment="1">
      <alignment horizontal="left" wrapText="1"/>
    </xf>
    <xf numFmtId="0" fontId="18" fillId="3" borderId="3" xfId="1" applyFont="1" applyFill="1" applyBorder="1" applyAlignment="1">
      <alignment horizontal="left" vertical="top" wrapText="1"/>
    </xf>
    <xf numFmtId="4" fontId="22" fillId="3" borderId="3" xfId="1" applyNumberFormat="1" applyFont="1" applyFill="1" applyBorder="1" applyAlignment="1">
      <alignment horizontal="right" vertical="top" shrinkToFit="1"/>
    </xf>
    <xf numFmtId="0" fontId="2" fillId="3" borderId="0" xfId="1" applyFill="1" applyAlignment="1">
      <alignment horizontal="left" wrapText="1"/>
    </xf>
    <xf numFmtId="0" fontId="2" fillId="2" borderId="2" xfId="1" applyFill="1" applyBorder="1" applyAlignment="1">
      <alignment horizontal="left" wrapText="1"/>
    </xf>
    <xf numFmtId="4" fontId="22" fillId="2" borderId="2" xfId="1" applyNumberFormat="1" applyFont="1" applyFill="1" applyBorder="1" applyAlignment="1">
      <alignment horizontal="right" vertical="top" shrinkToFit="1"/>
    </xf>
    <xf numFmtId="0" fontId="2" fillId="4" borderId="3" xfId="1" applyFill="1" applyBorder="1" applyAlignment="1">
      <alignment horizontal="left" wrapText="1"/>
    </xf>
    <xf numFmtId="0" fontId="2" fillId="4" borderId="0" xfId="1" applyFill="1" applyAlignment="1">
      <alignment horizontal="left" wrapText="1"/>
    </xf>
    <xf numFmtId="0" fontId="2" fillId="3" borderId="0" xfId="1" applyFill="1" applyAlignment="1">
      <alignment horizontal="left" vertical="top" wrapText="1"/>
    </xf>
    <xf numFmtId="0" fontId="16" fillId="0" borderId="0" xfId="1" applyFont="1" applyAlignment="1">
      <alignment horizontal="left" vertical="top" wrapText="1" indent="1"/>
    </xf>
    <xf numFmtId="4" fontId="22" fillId="2" borderId="0" xfId="1" applyNumberFormat="1" applyFont="1" applyFill="1" applyAlignment="1">
      <alignment horizontal="right" vertical="top" shrinkToFit="1"/>
    </xf>
    <xf numFmtId="4" fontId="22" fillId="3" borderId="0" xfId="1" applyNumberFormat="1" applyFont="1" applyFill="1" applyAlignment="1">
      <alignment horizontal="right" vertical="top" shrinkToFit="1"/>
    </xf>
    <xf numFmtId="0" fontId="16" fillId="0" borderId="5" xfId="1" applyFont="1" applyBorder="1" applyAlignment="1">
      <alignment horizontal="left" vertical="top" wrapText="1" indent="1"/>
    </xf>
    <xf numFmtId="0" fontId="2" fillId="4" borderId="6" xfId="1" applyFill="1" applyBorder="1" applyAlignment="1">
      <alignment horizontal="left" wrapText="1"/>
    </xf>
    <xf numFmtId="4" fontId="21" fillId="0" borderId="7" xfId="1" applyNumberFormat="1" applyFont="1" applyBorder="1" applyAlignment="1">
      <alignment horizontal="right" vertical="top" shrinkToFit="1"/>
    </xf>
    <xf numFmtId="4" fontId="22" fillId="0" borderId="6" xfId="1" applyNumberFormat="1" applyFont="1" applyBorder="1" applyAlignment="1">
      <alignment horizontal="right" vertical="top" shrinkToFit="1"/>
    </xf>
    <xf numFmtId="4" fontId="22" fillId="2" borderId="8" xfId="1" applyNumberFormat="1" applyFont="1" applyFill="1" applyBorder="1" applyAlignment="1">
      <alignment horizontal="right" vertical="top" shrinkToFit="1"/>
    </xf>
    <xf numFmtId="4" fontId="22" fillId="3" borderId="6" xfId="1" applyNumberFormat="1" applyFont="1" applyFill="1" applyBorder="1" applyAlignment="1">
      <alignment horizontal="right" vertical="top" shrinkToFit="1"/>
    </xf>
    <xf numFmtId="4" fontId="22" fillId="0" borderId="7" xfId="1" applyNumberFormat="1" applyFont="1" applyBorder="1" applyAlignment="1">
      <alignment horizontal="right" vertical="top" shrinkToFit="1"/>
    </xf>
    <xf numFmtId="0" fontId="2" fillId="4" borderId="7" xfId="1" applyFill="1" applyBorder="1" applyAlignment="1">
      <alignment horizontal="left" wrapText="1"/>
    </xf>
    <xf numFmtId="2" fontId="21" fillId="0" borderId="8" xfId="1" applyNumberFormat="1" applyFont="1" applyBorder="1" applyAlignment="1">
      <alignment horizontal="right" vertical="top" shrinkToFit="1"/>
    </xf>
    <xf numFmtId="4" fontId="22" fillId="2" borderId="9" xfId="1" applyNumberFormat="1" applyFont="1" applyFill="1" applyBorder="1" applyAlignment="1">
      <alignment horizontal="right" vertical="top" shrinkToFit="1"/>
    </xf>
    <xf numFmtId="4" fontId="21" fillId="0" borderId="8" xfId="1" applyNumberFormat="1" applyFont="1" applyBorder="1" applyAlignment="1">
      <alignment horizontal="right" vertical="top" shrinkToFit="1"/>
    </xf>
    <xf numFmtId="4" fontId="22" fillId="3" borderId="10" xfId="1" applyNumberFormat="1" applyFont="1" applyFill="1" applyBorder="1" applyAlignment="1">
      <alignment horizontal="right" vertical="top" shrinkToFit="1"/>
    </xf>
    <xf numFmtId="4" fontId="21" fillId="5" borderId="7" xfId="1" applyNumberFormat="1" applyFont="1" applyFill="1" applyBorder="1" applyAlignment="1">
      <alignment horizontal="right" vertical="top" shrinkToFit="1"/>
    </xf>
    <xf numFmtId="0" fontId="28" fillId="7" borderId="0" xfId="3" applyFont="1" applyFill="1" applyAlignment="1" applyProtection="1"/>
    <xf numFmtId="43" fontId="30" fillId="0" borderId="13" xfId="4" applyFont="1" applyFill="1" applyBorder="1" applyProtection="1">
      <protection locked="0"/>
    </xf>
    <xf numFmtId="164" fontId="30" fillId="0" borderId="0" xfId="5" applyNumberFormat="1" applyFont="1" applyProtection="1"/>
    <xf numFmtId="10" fontId="30" fillId="0" borderId="15" xfId="5" applyNumberFormat="1" applyFont="1" applyFill="1" applyBorder="1" applyAlignment="1" applyProtection="1">
      <alignment horizontal="right"/>
      <protection locked="0"/>
    </xf>
    <xf numFmtId="43" fontId="30" fillId="0" borderId="0" xfId="4" applyFont="1" applyFill="1" applyProtection="1"/>
    <xf numFmtId="43" fontId="30" fillId="0" borderId="0" xfId="4" applyFont="1" applyFill="1" applyAlignment="1" applyProtection="1">
      <alignment horizontal="right"/>
    </xf>
    <xf numFmtId="0" fontId="36" fillId="0" borderId="0" xfId="3" applyFont="1" applyBorder="1" applyAlignment="1" applyProtection="1">
      <alignment vertical="center" wrapText="1"/>
    </xf>
    <xf numFmtId="43" fontId="39" fillId="0" borderId="0" xfId="4" applyFont="1" applyFill="1" applyProtection="1"/>
    <xf numFmtId="0" fontId="0" fillId="0" borderId="0" xfId="5" applyNumberFormat="1" applyFont="1" applyProtection="1"/>
    <xf numFmtId="164" fontId="0" fillId="0" borderId="0" xfId="5" applyNumberFormat="1" applyFont="1" applyProtection="1"/>
    <xf numFmtId="0" fontId="14" fillId="0" borderId="0" xfId="1" applyFont="1" applyAlignment="1">
      <alignment vertical="top" wrapText="1"/>
    </xf>
    <xf numFmtId="0" fontId="21" fillId="0" borderId="0" xfId="1" applyFont="1" applyAlignment="1">
      <alignment horizontal="left" vertical="top"/>
    </xf>
    <xf numFmtId="0" fontId="21" fillId="4" borderId="6" xfId="1" applyFont="1" applyFill="1" applyBorder="1" applyAlignment="1">
      <alignment horizontal="left" wrapText="1"/>
    </xf>
    <xf numFmtId="9" fontId="21" fillId="0" borderId="0" xfId="1" applyNumberFormat="1" applyFont="1" applyAlignment="1">
      <alignment horizontal="left" vertical="top"/>
    </xf>
    <xf numFmtId="4" fontId="21" fillId="0" borderId="0" xfId="1" applyNumberFormat="1" applyFont="1" applyAlignment="1">
      <alignment horizontal="left" vertical="top"/>
    </xf>
    <xf numFmtId="10" fontId="21" fillId="0" borderId="0" xfId="1" applyNumberFormat="1" applyFont="1" applyAlignment="1">
      <alignment horizontal="left" vertical="top"/>
    </xf>
    <xf numFmtId="0" fontId="22" fillId="0" borderId="0" xfId="1" applyFont="1" applyAlignment="1">
      <alignment horizontal="left" vertical="top"/>
    </xf>
    <xf numFmtId="4" fontId="22" fillId="0" borderId="0" xfId="1" applyNumberFormat="1" applyFont="1" applyAlignment="1">
      <alignment horizontal="left" vertical="top"/>
    </xf>
    <xf numFmtId="0" fontId="0" fillId="0" borderId="0" xfId="0" quotePrefix="1"/>
    <xf numFmtId="0" fontId="24" fillId="6" borderId="0" xfId="6" applyFont="1" applyFill="1" applyAlignment="1">
      <alignment vertical="center"/>
    </xf>
    <xf numFmtId="0" fontId="25" fillId="6" borderId="0" xfId="6" applyFont="1" applyFill="1"/>
    <xf numFmtId="0" fontId="26" fillId="6" borderId="0" xfId="6" applyFont="1" applyFill="1"/>
    <xf numFmtId="0" fontId="29" fillId="0" borderId="0" xfId="6"/>
    <xf numFmtId="0" fontId="29" fillId="7" borderId="0" xfId="6" applyFill="1"/>
    <xf numFmtId="0" fontId="11" fillId="7" borderId="0" xfId="6" applyFont="1" applyFill="1" applyAlignment="1">
      <alignment horizontal="right"/>
    </xf>
    <xf numFmtId="0" fontId="30" fillId="6" borderId="11" xfId="6" applyFont="1" applyFill="1" applyBorder="1" applyAlignment="1">
      <alignment horizontal="left" vertical="center" indent="1"/>
    </xf>
    <xf numFmtId="0" fontId="4" fillId="6" borderId="11" xfId="6" applyFont="1" applyFill="1" applyBorder="1" applyAlignment="1">
      <alignment horizontal="left" vertical="center" indent="1"/>
    </xf>
    <xf numFmtId="0" fontId="4" fillId="6" borderId="11" xfId="6" applyFont="1" applyFill="1" applyBorder="1" applyAlignment="1">
      <alignment horizontal="center" wrapText="1"/>
    </xf>
    <xf numFmtId="0" fontId="31" fillId="0" borderId="11" xfId="6" applyFont="1" applyBorder="1"/>
    <xf numFmtId="0" fontId="29" fillId="8" borderId="12" xfId="6" applyFill="1" applyBorder="1" applyAlignment="1">
      <alignment horizontal="center" wrapText="1"/>
    </xf>
    <xf numFmtId="0" fontId="30" fillId="7" borderId="0" xfId="6" applyFont="1" applyFill="1" applyAlignment="1">
      <alignment horizontal="right" indent="1"/>
    </xf>
    <xf numFmtId="0" fontId="30" fillId="0" borderId="0" xfId="6" applyFont="1" applyAlignment="1">
      <alignment horizontal="right" indent="1"/>
    </xf>
    <xf numFmtId="0" fontId="30" fillId="0" borderId="15" xfId="6" applyFont="1" applyBorder="1" applyAlignment="1" applyProtection="1">
      <alignment horizontal="right"/>
      <protection locked="0"/>
    </xf>
    <xf numFmtId="14" fontId="30" fillId="0" borderId="15" xfId="6" applyNumberFormat="1" applyFont="1" applyBorder="1" applyAlignment="1" applyProtection="1">
      <alignment horizontal="right"/>
      <protection locked="0"/>
    </xf>
    <xf numFmtId="0" fontId="33" fillId="0" borderId="0" xfId="6" applyFont="1" applyAlignment="1">
      <alignment horizontal="right"/>
    </xf>
    <xf numFmtId="0" fontId="32" fillId="0" borderId="0" xfId="6" applyFont="1" applyAlignment="1">
      <alignment vertical="top" wrapText="1"/>
    </xf>
    <xf numFmtId="14" fontId="32" fillId="0" borderId="15" xfId="6" applyNumberFormat="1" applyFont="1" applyBorder="1" applyAlignment="1" applyProtection="1">
      <alignment horizontal="right"/>
      <protection locked="0"/>
    </xf>
    <xf numFmtId="0" fontId="34" fillId="0" borderId="0" xfId="6" applyFont="1" applyAlignment="1">
      <alignment horizontal="right"/>
    </xf>
    <xf numFmtId="0" fontId="29" fillId="7" borderId="0" xfId="6" applyFill="1" applyAlignment="1">
      <alignment horizontal="right" indent="1"/>
    </xf>
    <xf numFmtId="0" fontId="29" fillId="0" borderId="0" xfId="6" applyAlignment="1">
      <alignment horizontal="left" vertical="top" wrapText="1"/>
    </xf>
    <xf numFmtId="0" fontId="37" fillId="0" borderId="0" xfId="6" applyFont="1" applyAlignment="1">
      <alignment horizontal="right"/>
    </xf>
    <xf numFmtId="0" fontId="38" fillId="0" borderId="0" xfId="6" applyFont="1" applyAlignment="1">
      <alignment horizontal="right" indent="1"/>
    </xf>
    <xf numFmtId="0" fontId="40" fillId="0" borderId="0" xfId="6" applyFont="1" applyAlignment="1">
      <alignment horizontal="left"/>
    </xf>
    <xf numFmtId="0" fontId="4" fillId="6" borderId="16" xfId="6" applyFont="1" applyFill="1" applyBorder="1" applyAlignment="1">
      <alignment horizontal="center"/>
    </xf>
    <xf numFmtId="0" fontId="29" fillId="6" borderId="16" xfId="6" applyFill="1" applyBorder="1" applyAlignment="1">
      <alignment horizontal="center" wrapText="1"/>
    </xf>
    <xf numFmtId="0" fontId="29" fillId="6" borderId="16" xfId="6" applyFill="1" applyBorder="1" applyAlignment="1">
      <alignment horizontal="right" wrapText="1"/>
    </xf>
    <xf numFmtId="0" fontId="11" fillId="7" borderId="0" xfId="6" applyFont="1" applyFill="1" applyAlignment="1">
      <alignment horizontal="center" vertical="center"/>
    </xf>
    <xf numFmtId="14" fontId="11" fillId="7" borderId="0" xfId="6" applyNumberFormat="1" applyFont="1" applyFill="1" applyAlignment="1">
      <alignment horizontal="right" vertical="center"/>
    </xf>
    <xf numFmtId="0" fontId="11" fillId="7" borderId="0" xfId="6" applyFont="1" applyFill="1" applyAlignment="1">
      <alignment horizontal="right" vertical="center"/>
    </xf>
    <xf numFmtId="4" fontId="32" fillId="7" borderId="0" xfId="6" applyNumberFormat="1" applyFont="1" applyFill="1" applyAlignment="1">
      <alignment horizontal="right" vertical="center"/>
    </xf>
    <xf numFmtId="0" fontId="32" fillId="0" borderId="0" xfId="6" applyFont="1" applyAlignment="1">
      <alignment horizontal="center" vertical="center"/>
    </xf>
    <xf numFmtId="4" fontId="32" fillId="0" borderId="0" xfId="6" applyNumberFormat="1" applyFont="1" applyAlignment="1">
      <alignment horizontal="right" vertical="center"/>
    </xf>
    <xf numFmtId="0" fontId="32" fillId="0" borderId="0" xfId="6" applyFont="1" applyAlignment="1">
      <alignment vertical="center"/>
    </xf>
    <xf numFmtId="0" fontId="29" fillId="0" borderId="0" xfId="6" applyAlignment="1">
      <alignment vertical="center"/>
    </xf>
    <xf numFmtId="0" fontId="29" fillId="0" borderId="0" xfId="6" applyAlignment="1">
      <alignment horizontal="right"/>
    </xf>
    <xf numFmtId="0" fontId="29" fillId="6" borderId="16" xfId="6" applyFill="1" applyBorder="1" applyAlignment="1">
      <alignment horizontal="center" vertical="center"/>
    </xf>
    <xf numFmtId="0" fontId="29" fillId="6" borderId="16" xfId="6" applyFill="1" applyBorder="1" applyAlignment="1">
      <alignment horizontal="center" vertical="center" wrapText="1"/>
    </xf>
    <xf numFmtId="0" fontId="29" fillId="6" borderId="16" xfId="6" applyFill="1" applyBorder="1" applyAlignment="1">
      <alignment horizontal="right" vertical="center" wrapText="1"/>
    </xf>
    <xf numFmtId="0" fontId="11" fillId="0" borderId="0" xfId="6" applyFont="1" applyAlignment="1">
      <alignment horizontal="center"/>
    </xf>
    <xf numFmtId="14" fontId="11" fillId="0" borderId="0" xfId="6" applyNumberFormat="1" applyFont="1" applyAlignment="1">
      <alignment horizontal="center"/>
    </xf>
    <xf numFmtId="4" fontId="11" fillId="0" borderId="0" xfId="6" applyNumberFormat="1" applyFont="1" applyAlignment="1">
      <alignment horizontal="right"/>
    </xf>
    <xf numFmtId="4" fontId="29" fillId="0" borderId="0" xfId="6" applyNumberFormat="1"/>
    <xf numFmtId="165" fontId="11" fillId="0" borderId="0" xfId="6" applyNumberFormat="1" applyFont="1" applyAlignment="1">
      <alignment horizontal="center"/>
    </xf>
    <xf numFmtId="4" fontId="11" fillId="0" borderId="0" xfId="6" applyNumberFormat="1" applyFont="1" applyAlignment="1">
      <alignment horizontal="center"/>
    </xf>
    <xf numFmtId="4" fontId="11" fillId="0" borderId="17" xfId="6" applyNumberFormat="1" applyFont="1" applyBorder="1" applyAlignment="1" applyProtection="1">
      <alignment horizontal="center"/>
      <protection locked="0"/>
    </xf>
    <xf numFmtId="4" fontId="11" fillId="0" borderId="18" xfId="6" applyNumberFormat="1" applyFont="1" applyBorder="1" applyAlignment="1" applyProtection="1">
      <alignment horizontal="center"/>
      <protection locked="0"/>
    </xf>
    <xf numFmtId="4" fontId="11" fillId="0" borderId="13" xfId="6" applyNumberFormat="1" applyFont="1" applyBorder="1" applyAlignment="1" applyProtection="1">
      <alignment horizontal="center"/>
      <protection locked="0"/>
    </xf>
    <xf numFmtId="0" fontId="29" fillId="9" borderId="0" xfId="6" applyFill="1"/>
    <xf numFmtId="0" fontId="29" fillId="9" borderId="0" xfId="6" applyFill="1" applyAlignment="1">
      <alignment horizontal="center"/>
    </xf>
    <xf numFmtId="3" fontId="0" fillId="0" borderId="0" xfId="0" applyNumberFormat="1"/>
    <xf numFmtId="0" fontId="45" fillId="0" borderId="0" xfId="0" applyFont="1"/>
    <xf numFmtId="3" fontId="0" fillId="0" borderId="1" xfId="0" applyNumberFormat="1" applyBorder="1"/>
    <xf numFmtId="6" fontId="1" fillId="0" borderId="0" xfId="0" applyNumberFormat="1" applyFont="1"/>
    <xf numFmtId="0" fontId="44" fillId="10" borderId="0" xfId="0" applyFont="1" applyFill="1" applyAlignment="1">
      <alignment horizontal="center" vertical="center" wrapText="1"/>
    </xf>
    <xf numFmtId="0" fontId="44" fillId="10" borderId="0" xfId="0" applyFont="1" applyFill="1" applyAlignment="1">
      <alignment horizontal="left" vertical="center" wrapText="1"/>
    </xf>
    <xf numFmtId="0" fontId="22" fillId="0" borderId="1" xfId="1" applyFont="1" applyBorder="1" applyAlignment="1">
      <alignment horizontal="left" vertical="top"/>
    </xf>
    <xf numFmtId="0" fontId="0" fillId="0" borderId="0" xfId="0" applyAlignment="1">
      <alignment vertical="center" wrapText="1"/>
    </xf>
    <xf numFmtId="6" fontId="0" fillId="0" borderId="0" xfId="0" applyNumberFormat="1" applyAlignment="1">
      <alignment vertical="center" wrapText="1"/>
    </xf>
    <xf numFmtId="10" fontId="0" fillId="0" borderId="0" xfId="0" applyNumberFormat="1"/>
    <xf numFmtId="10" fontId="0" fillId="0" borderId="0" xfId="0" applyNumberFormat="1" applyAlignment="1">
      <alignment vertical="center" wrapText="1"/>
    </xf>
    <xf numFmtId="3" fontId="0" fillId="0" borderId="0" xfId="0" applyNumberFormat="1" applyAlignment="1">
      <alignment vertical="center" wrapText="1"/>
    </xf>
    <xf numFmtId="0" fontId="1" fillId="0" borderId="0" xfId="0" applyFont="1" applyAlignment="1">
      <alignment vertical="center" wrapText="1"/>
    </xf>
    <xf numFmtId="6" fontId="1" fillId="0" borderId="0" xfId="0" applyNumberFormat="1" applyFont="1" applyAlignment="1">
      <alignment vertical="center" wrapText="1"/>
    </xf>
    <xf numFmtId="10" fontId="1" fillId="0" borderId="0" xfId="0" applyNumberFormat="1" applyFont="1" applyAlignment="1">
      <alignment vertical="center" wrapText="1"/>
    </xf>
    <xf numFmtId="3" fontId="1" fillId="0" borderId="0" xfId="0" applyNumberFormat="1" applyFont="1" applyAlignment="1">
      <alignment vertical="center" wrapText="1"/>
    </xf>
    <xf numFmtId="0" fontId="46" fillId="0" borderId="0" xfId="0" applyFont="1" applyAlignment="1">
      <alignment horizontal="justify" vertical="center"/>
    </xf>
    <xf numFmtId="0" fontId="47" fillId="0" borderId="0" xfId="0" applyFont="1" applyAlignment="1">
      <alignment vertical="center"/>
    </xf>
    <xf numFmtId="0" fontId="0" fillId="0" borderId="19" xfId="0" applyBorder="1"/>
    <xf numFmtId="3" fontId="0" fillId="0" borderId="19" xfId="0" applyNumberFormat="1" applyBorder="1"/>
    <xf numFmtId="0" fontId="2" fillId="0" borderId="0" xfId="1" applyAlignment="1">
      <alignment horizontal="left" wrapText="1"/>
    </xf>
    <xf numFmtId="0" fontId="16" fillId="0" borderId="2" xfId="1" applyFont="1" applyBorder="1" applyAlignment="1">
      <alignment horizontal="left" vertical="top" wrapText="1" indent="1"/>
    </xf>
    <xf numFmtId="0" fontId="19" fillId="0" borderId="0" xfId="1" applyFont="1" applyAlignment="1">
      <alignment horizontal="left" vertical="top" wrapText="1"/>
    </xf>
    <xf numFmtId="0" fontId="18" fillId="0" borderId="0" xfId="1" applyFont="1" applyAlignment="1">
      <alignment horizontal="left" vertical="top" wrapText="1"/>
    </xf>
    <xf numFmtId="4" fontId="21" fillId="0" borderId="0" xfId="1" applyNumberFormat="1" applyFont="1" applyAlignment="1">
      <alignment horizontal="right" vertical="top" shrinkToFit="1"/>
    </xf>
    <xf numFmtId="0" fontId="18" fillId="4" borderId="0" xfId="1" applyFont="1" applyFill="1" applyAlignment="1">
      <alignment horizontal="left" vertical="top" wrapText="1"/>
    </xf>
    <xf numFmtId="0" fontId="2" fillId="4" borderId="3" xfId="1" applyFill="1" applyBorder="1" applyAlignment="1">
      <alignment horizontal="left" wrapText="1"/>
    </xf>
    <xf numFmtId="0" fontId="2" fillId="4" borderId="0" xfId="1" applyFill="1" applyAlignment="1">
      <alignment horizontal="left" wrapText="1"/>
    </xf>
    <xf numFmtId="4" fontId="21" fillId="0" borderId="2" xfId="1" applyNumberFormat="1" applyFont="1" applyBorder="1" applyAlignment="1">
      <alignment horizontal="right" vertical="top" shrinkToFit="1"/>
    </xf>
    <xf numFmtId="0" fontId="18" fillId="2" borderId="0" xfId="1" applyFont="1" applyFill="1" applyAlignment="1">
      <alignment horizontal="left" vertical="top" wrapText="1"/>
    </xf>
    <xf numFmtId="4" fontId="22" fillId="2" borderId="2" xfId="1" applyNumberFormat="1" applyFont="1" applyFill="1" applyBorder="1" applyAlignment="1">
      <alignment horizontal="right" vertical="top" shrinkToFit="1"/>
    </xf>
    <xf numFmtId="0" fontId="2" fillId="2" borderId="0" xfId="1" applyFill="1" applyAlignment="1">
      <alignment horizontal="left" wrapText="1"/>
    </xf>
    <xf numFmtId="4" fontId="22" fillId="0" borderId="3" xfId="1" applyNumberFormat="1" applyFont="1" applyBorder="1" applyAlignment="1">
      <alignment horizontal="right" vertical="top" shrinkToFit="1"/>
    </xf>
    <xf numFmtId="0" fontId="18" fillId="3" borderId="0" xfId="1" applyFont="1" applyFill="1" applyAlignment="1">
      <alignment horizontal="left" vertical="top" wrapText="1"/>
    </xf>
    <xf numFmtId="4" fontId="22" fillId="3" borderId="3" xfId="1" applyNumberFormat="1" applyFont="1" applyFill="1" applyBorder="1" applyAlignment="1">
      <alignment horizontal="right" vertical="top" shrinkToFit="1"/>
    </xf>
    <xf numFmtId="0" fontId="2" fillId="3" borderId="0" xfId="1" applyFill="1" applyAlignment="1">
      <alignment horizontal="left" wrapText="1"/>
    </xf>
    <xf numFmtId="2" fontId="21" fillId="0" borderId="0" xfId="1" applyNumberFormat="1" applyFont="1" applyAlignment="1">
      <alignment horizontal="right" vertical="top" shrinkToFit="1"/>
    </xf>
    <xf numFmtId="4" fontId="22" fillId="2" borderId="4" xfId="1" applyNumberFormat="1" applyFont="1" applyFill="1" applyBorder="1" applyAlignment="1">
      <alignment horizontal="right" vertical="top" shrinkToFit="1"/>
    </xf>
    <xf numFmtId="0" fontId="19" fillId="4" borderId="0" xfId="1" applyFont="1" applyFill="1" applyAlignment="1">
      <alignment horizontal="left" vertical="top" wrapText="1"/>
    </xf>
    <xf numFmtId="0" fontId="19" fillId="2" borderId="0" xfId="1" applyFont="1" applyFill="1" applyAlignment="1">
      <alignment horizontal="left" vertical="top" wrapText="1"/>
    </xf>
    <xf numFmtId="0" fontId="2" fillId="3" borderId="0" xfId="1" applyFill="1" applyAlignment="1">
      <alignment horizontal="left" vertical="top" wrapText="1"/>
    </xf>
    <xf numFmtId="0" fontId="14" fillId="0" borderId="0" xfId="1" applyFont="1" applyAlignment="1">
      <alignment horizontal="center" vertical="top" wrapText="1"/>
    </xf>
    <xf numFmtId="2" fontId="21" fillId="0" borderId="2" xfId="1" applyNumberFormat="1" applyFont="1" applyBorder="1" applyAlignment="1">
      <alignment horizontal="right" vertical="top" shrinkToFit="1"/>
    </xf>
    <xf numFmtId="0" fontId="2" fillId="0" borderId="0" xfId="1" applyAlignment="1">
      <alignment horizontal="center" vertical="center" wrapText="1"/>
    </xf>
    <xf numFmtId="0" fontId="2" fillId="0" borderId="0" xfId="1" applyAlignment="1">
      <alignment horizontal="left" vertical="top" wrapText="1"/>
    </xf>
    <xf numFmtId="0" fontId="2" fillId="0" borderId="0" xfId="1" applyAlignment="1">
      <alignment horizontal="left" vertical="top" wrapText="1" indent="13"/>
    </xf>
    <xf numFmtId="0" fontId="7" fillId="0" borderId="0" xfId="1" applyFont="1" applyAlignment="1">
      <alignment horizontal="left" vertical="top" wrapText="1" indent="12"/>
    </xf>
    <xf numFmtId="0" fontId="7" fillId="0" borderId="0" xfId="1" applyFont="1" applyAlignment="1">
      <alignment horizontal="left" vertical="top" wrapText="1" indent="1"/>
    </xf>
    <xf numFmtId="4" fontId="8" fillId="0" borderId="0" xfId="1" applyNumberFormat="1" applyFont="1" applyAlignment="1">
      <alignment horizontal="left" vertical="top" indent="5" shrinkToFit="1"/>
    </xf>
    <xf numFmtId="0" fontId="2" fillId="0" borderId="0" xfId="1" applyAlignment="1">
      <alignment horizontal="left" vertical="top" wrapText="1" indent="11"/>
    </xf>
    <xf numFmtId="0" fontId="2" fillId="0" borderId="0" xfId="1" applyAlignment="1">
      <alignment horizontal="left" vertical="center" wrapText="1"/>
    </xf>
    <xf numFmtId="4" fontId="8" fillId="0" borderId="0" xfId="1" applyNumberFormat="1" applyFont="1" applyAlignment="1">
      <alignment horizontal="left" vertical="top" indent="6" shrinkToFit="1"/>
    </xf>
    <xf numFmtId="4" fontId="9" fillId="0" borderId="0" xfId="1" applyNumberFormat="1" applyFont="1" applyAlignment="1">
      <alignment horizontal="left" vertical="top" indent="6" shrinkToFit="1"/>
    </xf>
    <xf numFmtId="4" fontId="9" fillId="0" borderId="0" xfId="1" applyNumberFormat="1" applyFont="1" applyAlignment="1">
      <alignment horizontal="left" vertical="top" indent="5" shrinkToFit="1"/>
    </xf>
    <xf numFmtId="0" fontId="2" fillId="0" borderId="2" xfId="1" applyBorder="1" applyAlignment="1">
      <alignment horizontal="left" wrapText="1"/>
    </xf>
    <xf numFmtId="4" fontId="9" fillId="0" borderId="2" xfId="1" applyNumberFormat="1" applyFont="1" applyBorder="1" applyAlignment="1">
      <alignment horizontal="left" vertical="top" indent="5" shrinkToFit="1"/>
    </xf>
    <xf numFmtId="0" fontId="7" fillId="0" borderId="0" xfId="1" applyFont="1" applyAlignment="1">
      <alignment horizontal="left" vertical="top" wrapText="1" indent="11"/>
    </xf>
    <xf numFmtId="0" fontId="7" fillId="0" borderId="3" xfId="1" applyFont="1" applyBorder="1" applyAlignment="1">
      <alignment horizontal="left" vertical="top" wrapText="1" indent="1"/>
    </xf>
    <xf numFmtId="4" fontId="8" fillId="0" borderId="3" xfId="1" applyNumberFormat="1" applyFont="1" applyBorder="1" applyAlignment="1">
      <alignment horizontal="left" vertical="top" indent="5" shrinkToFit="1"/>
    </xf>
    <xf numFmtId="4" fontId="8" fillId="0" borderId="2" xfId="1" applyNumberFormat="1" applyFont="1" applyBorder="1" applyAlignment="1">
      <alignment horizontal="left" vertical="top" indent="6" shrinkToFit="1"/>
    </xf>
    <xf numFmtId="0" fontId="7" fillId="0" borderId="0" xfId="1" applyFont="1" applyAlignment="1">
      <alignment horizontal="left" vertical="top" wrapText="1" indent="10"/>
    </xf>
    <xf numFmtId="0" fontId="7" fillId="0" borderId="4" xfId="1" applyFont="1" applyBorder="1" applyAlignment="1">
      <alignment horizontal="left" vertical="top" wrapText="1" indent="1"/>
    </xf>
    <xf numFmtId="4" fontId="8" fillId="0" borderId="4" xfId="1" applyNumberFormat="1" applyFont="1" applyBorder="1" applyAlignment="1">
      <alignment horizontal="left" vertical="top" indent="5" shrinkToFit="1"/>
    </xf>
    <xf numFmtId="0" fontId="7" fillId="0" borderId="0" xfId="1" applyFont="1" applyAlignment="1">
      <alignment horizontal="center" vertical="top" wrapText="1"/>
    </xf>
    <xf numFmtId="0" fontId="10" fillId="0" borderId="0" xfId="1" applyFont="1" applyAlignment="1">
      <alignment horizontal="left" vertical="top" wrapText="1" indent="1"/>
    </xf>
    <xf numFmtId="4" fontId="9" fillId="0" borderId="0" xfId="1" applyNumberFormat="1" applyFont="1" applyAlignment="1">
      <alignment horizontal="right" vertical="top" shrinkToFit="1"/>
    </xf>
    <xf numFmtId="0" fontId="2" fillId="0" borderId="3" xfId="1" applyBorder="1" applyAlignment="1">
      <alignment horizontal="left" vertical="center" wrapText="1"/>
    </xf>
    <xf numFmtId="0" fontId="2" fillId="0" borderId="0" xfId="1" applyAlignment="1">
      <alignment horizontal="left" vertical="top" wrapText="1" indent="14"/>
    </xf>
    <xf numFmtId="0" fontId="7" fillId="0" borderId="0" xfId="1" applyFont="1" applyAlignment="1">
      <alignment horizontal="left" vertical="top" wrapText="1" indent="14"/>
    </xf>
    <xf numFmtId="4" fontId="9" fillId="0" borderId="2" xfId="1" applyNumberFormat="1" applyFont="1" applyBorder="1" applyAlignment="1">
      <alignment horizontal="right" vertical="top" shrinkToFit="1"/>
    </xf>
    <xf numFmtId="4" fontId="8" fillId="0" borderId="4" xfId="1" applyNumberFormat="1" applyFont="1" applyBorder="1" applyAlignment="1">
      <alignment horizontal="right" vertical="top" shrinkToFit="1"/>
    </xf>
    <xf numFmtId="0" fontId="2" fillId="0" borderId="0" xfId="1" applyAlignment="1">
      <alignment horizontal="left" vertical="top" wrapText="1" indent="12"/>
    </xf>
    <xf numFmtId="0" fontId="2" fillId="0" borderId="4" xfId="1" applyBorder="1" applyAlignment="1">
      <alignment horizontal="left" vertical="top" wrapText="1" indent="5"/>
    </xf>
    <xf numFmtId="0" fontId="12" fillId="0" borderId="0" xfId="1" applyFont="1" applyAlignment="1">
      <alignment horizontal="left" wrapText="1" indent="1"/>
    </xf>
    <xf numFmtId="4" fontId="8" fillId="0" borderId="3" xfId="1" applyNumberFormat="1" applyFont="1" applyBorder="1" applyAlignment="1">
      <alignment horizontal="right" vertical="top" shrinkToFit="1"/>
    </xf>
    <xf numFmtId="4" fontId="8" fillId="0" borderId="2" xfId="1" applyNumberFormat="1" applyFont="1" applyBorder="1" applyAlignment="1">
      <alignment horizontal="right" vertical="top" shrinkToFit="1"/>
    </xf>
    <xf numFmtId="0" fontId="32" fillId="0" borderId="14" xfId="6" applyFont="1" applyBorder="1" applyAlignment="1">
      <alignment horizontal="left" vertical="top" wrapText="1"/>
    </xf>
    <xf numFmtId="0" fontId="32" fillId="0" borderId="0" xfId="6" applyFont="1" applyAlignment="1">
      <alignment horizontal="left" vertical="top" wrapText="1"/>
    </xf>
    <xf numFmtId="0" fontId="35" fillId="0" borderId="0" xfId="6" applyFont="1" applyAlignment="1">
      <alignment horizontal="left" vertical="top" wrapText="1"/>
    </xf>
    <xf numFmtId="0" fontId="18" fillId="2" borderId="3" xfId="1" applyFont="1" applyFill="1" applyBorder="1" applyAlignment="1">
      <alignment horizontal="left" vertical="top" wrapText="1"/>
    </xf>
    <xf numFmtId="4" fontId="22" fillId="2" borderId="3" xfId="1" applyNumberFormat="1" applyFont="1" applyFill="1" applyBorder="1" applyAlignment="1">
      <alignment horizontal="right" vertical="top" shrinkToFit="1"/>
    </xf>
    <xf numFmtId="4" fontId="22" fillId="2" borderId="3" xfId="1" applyNumberFormat="1" applyFont="1" applyFill="1" applyBorder="1" applyAlignment="1">
      <alignment horizontal="right" vertical="top" shrinkToFit="1"/>
    </xf>
    <xf numFmtId="4" fontId="22" fillId="2" borderId="6" xfId="1" applyNumberFormat="1" applyFont="1" applyFill="1" applyBorder="1" applyAlignment="1">
      <alignment horizontal="right" vertical="top" shrinkToFit="1"/>
    </xf>
    <xf numFmtId="0" fontId="18" fillId="3" borderId="20" xfId="1" applyFont="1" applyFill="1" applyBorder="1" applyAlignment="1">
      <alignment horizontal="left" vertical="top" wrapText="1"/>
    </xf>
    <xf numFmtId="0" fontId="19" fillId="3" borderId="20" xfId="1" applyFont="1" applyFill="1" applyBorder="1" applyAlignment="1">
      <alignment horizontal="left" vertical="top" wrapText="1"/>
    </xf>
    <xf numFmtId="4" fontId="22" fillId="3" borderId="20" xfId="1" applyNumberFormat="1" applyFont="1" applyFill="1" applyBorder="1" applyAlignment="1">
      <alignment horizontal="right" vertical="top" shrinkToFit="1"/>
    </xf>
    <xf numFmtId="0" fontId="2" fillId="3" borderId="20" xfId="1" applyFill="1" applyBorder="1" applyAlignment="1">
      <alignment horizontal="left" wrapText="1"/>
    </xf>
    <xf numFmtId="0" fontId="18" fillId="3" borderId="20" xfId="1" applyFont="1" applyFill="1" applyBorder="1" applyAlignment="1">
      <alignment horizontal="left" vertical="top" wrapText="1"/>
    </xf>
    <xf numFmtId="0" fontId="2" fillId="3" borderId="20" xfId="1" applyFill="1" applyBorder="1" applyAlignment="1">
      <alignment horizontal="left" wrapText="1"/>
    </xf>
    <xf numFmtId="4" fontId="22" fillId="3" borderId="20" xfId="1" applyNumberFormat="1" applyFont="1" applyFill="1" applyBorder="1" applyAlignment="1">
      <alignment horizontal="right" vertical="top" shrinkToFit="1"/>
    </xf>
    <xf numFmtId="4" fontId="22" fillId="3" borderId="21" xfId="1" applyNumberFormat="1" applyFont="1" applyFill="1" applyBorder="1" applyAlignment="1">
      <alignment horizontal="right" vertical="top" shrinkToFit="1"/>
    </xf>
    <xf numFmtId="0" fontId="21" fillId="0" borderId="20" xfId="1" applyFont="1" applyBorder="1" applyAlignment="1">
      <alignment horizontal="left" vertical="top"/>
    </xf>
    <xf numFmtId="0" fontId="2" fillId="0" borderId="20" xfId="1" applyBorder="1" applyAlignment="1">
      <alignment horizontal="left" vertical="top"/>
    </xf>
    <xf numFmtId="3" fontId="21" fillId="0" borderId="1" xfId="1" applyNumberFormat="1" applyFont="1" applyBorder="1" applyAlignment="1">
      <alignment horizontal="left" vertical="top"/>
    </xf>
    <xf numFmtId="3" fontId="22" fillId="0" borderId="1" xfId="1" applyNumberFormat="1" applyFont="1" applyBorder="1" applyAlignment="1">
      <alignment horizontal="left" vertical="top"/>
    </xf>
    <xf numFmtId="3" fontId="22" fillId="3" borderId="1" xfId="1" applyNumberFormat="1" applyFont="1" applyFill="1" applyBorder="1" applyAlignment="1">
      <alignment horizontal="left" vertical="top"/>
    </xf>
    <xf numFmtId="0" fontId="48" fillId="3" borderId="0" xfId="1" applyFont="1" applyFill="1" applyAlignment="1">
      <alignment horizontal="left" vertical="top"/>
    </xf>
    <xf numFmtId="3" fontId="44" fillId="10" borderId="0" xfId="0" applyNumberFormat="1" applyFont="1" applyFill="1" applyAlignment="1">
      <alignment horizontal="center" vertical="center" wrapText="1"/>
    </xf>
    <xf numFmtId="9" fontId="2" fillId="4" borderId="7" xfId="1" applyNumberFormat="1" applyFill="1" applyBorder="1" applyAlignment="1">
      <alignment horizontal="left" wrapText="1"/>
    </xf>
    <xf numFmtId="0" fontId="0" fillId="0" borderId="0" xfId="0" applyAlignment="1">
      <alignment horizontal="left" vertical="center" wrapText="1"/>
    </xf>
    <xf numFmtId="3" fontId="0" fillId="0" borderId="0" xfId="0" applyNumberFormat="1" applyFont="1" applyAlignment="1">
      <alignment vertical="center" wrapText="1"/>
    </xf>
    <xf numFmtId="0" fontId="0" fillId="0" borderId="0" xfId="0" applyFont="1"/>
    <xf numFmtId="0" fontId="1" fillId="0" borderId="19" xfId="0" applyFont="1" applyBorder="1" applyAlignment="1">
      <alignment vertical="center" wrapText="1"/>
    </xf>
    <xf numFmtId="4" fontId="1" fillId="0" borderId="19" xfId="0" applyNumberFormat="1" applyFont="1" applyBorder="1"/>
    <xf numFmtId="0" fontId="0" fillId="5" borderId="19" xfId="0" applyFill="1" applyBorder="1"/>
    <xf numFmtId="9" fontId="1" fillId="5" borderId="19" xfId="0" applyNumberFormat="1" applyFont="1" applyFill="1" applyBorder="1"/>
  </cellXfs>
  <cellStyles count="7">
    <cellStyle name="Comma 2" xfId="4" xr:uid="{0F36479F-4D6A-496E-8CB4-96B1BEC58CC6}"/>
    <cellStyle name="Hyperlink 2" xfId="3" xr:uid="{0F759290-0261-4447-B21E-3A55D40EE2BA}"/>
    <cellStyle name="Normal" xfId="0" builtinId="0"/>
    <cellStyle name="Normal 2" xfId="1" xr:uid="{D71C3C27-C6DB-4B57-8D23-7C6D6A5A4E9D}"/>
    <cellStyle name="Normal 3" xfId="2" xr:uid="{3B3E5929-B451-432F-989F-654C9728D11A}"/>
    <cellStyle name="Normal 3 2" xfId="6" xr:uid="{A7C21C40-450B-4A91-BD3A-562CCA69622A}"/>
    <cellStyle name="Percent 2" xfId="5" xr:uid="{C6224B89-6A92-46EF-9E44-0CFFC20A8FD7}"/>
  </cellStyles>
  <dxfs count="2">
    <dxf>
      <font>
        <condense val="0"/>
        <extend val="0"/>
        <color indexed="10"/>
      </font>
    </dxf>
    <dxf>
      <border>
        <bottom style="thin">
          <color indexed="55"/>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68580</xdr:rowOff>
    </xdr:from>
    <xdr:to>
      <xdr:col>8</xdr:col>
      <xdr:colOff>15240</xdr:colOff>
      <xdr:row>12</xdr:row>
      <xdr:rowOff>114300</xdr:rowOff>
    </xdr:to>
    <xdr:sp macro="" textlink="">
      <xdr:nvSpPr>
        <xdr:cNvPr id="2" name="TextBox 1">
          <a:extLst>
            <a:ext uri="{FF2B5EF4-FFF2-40B4-BE49-F238E27FC236}">
              <a16:creationId xmlns:a16="http://schemas.microsoft.com/office/drawing/2014/main" id="{AB77E070-6F11-1004-9730-3321DD3D9704}"/>
            </a:ext>
          </a:extLst>
        </xdr:cNvPr>
        <xdr:cNvSpPr txBox="1"/>
      </xdr:nvSpPr>
      <xdr:spPr>
        <a:xfrm>
          <a:off x="609600" y="655320"/>
          <a:ext cx="4282440" cy="1691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t>Overview:</a:t>
          </a:r>
        </a:p>
        <a:p>
          <a:r>
            <a:rPr lang="en-US" sz="1100"/>
            <a:t>-Steady</a:t>
          </a:r>
          <a:r>
            <a:rPr lang="en-US" sz="1100" baseline="0"/>
            <a:t> performing store at about $3.4M gross / $3M net revenues.</a:t>
          </a:r>
        </a:p>
        <a:p>
          <a:r>
            <a:rPr lang="en-US" sz="1100" baseline="0"/>
            <a:t>-No marketing spend currently</a:t>
          </a:r>
        </a:p>
        <a:p>
          <a:r>
            <a:rPr lang="en-US" sz="1100" baseline="0"/>
            <a:t>-Will be breakeven at acquisition based on current figures</a:t>
          </a:r>
        </a:p>
        <a:p>
          <a:r>
            <a:rPr lang="en-US" sz="1100" baseline="0"/>
            <a:t>-Location is convenient to highways and located on high traffic road with Dunkin and McDonalds drive thru nearby.</a:t>
          </a:r>
        </a:p>
        <a:p>
          <a:br>
            <a:rPr lang="en-US" sz="1100" baseline="0"/>
          </a:br>
          <a:r>
            <a:rPr lang="en-US" sz="1100" b="1" baseline="0"/>
            <a:t>Address:</a:t>
          </a:r>
          <a:r>
            <a:rPr lang="en-US" sz="1100" baseline="0"/>
            <a:t> 2895 Mt Ephraim Ave, Camden, NJ 08104</a:t>
          </a:r>
          <a:endParaRPr lang="en-US" sz="1100"/>
        </a:p>
      </xdr:txBody>
    </xdr:sp>
    <xdr:clientData/>
  </xdr:twoCellAnchor>
  <xdr:twoCellAnchor>
    <xdr:from>
      <xdr:col>1</xdr:col>
      <xdr:colOff>3685</xdr:colOff>
      <xdr:row>2</xdr:row>
      <xdr:rowOff>55371</xdr:rowOff>
    </xdr:from>
    <xdr:to>
      <xdr:col>15</xdr:col>
      <xdr:colOff>373710</xdr:colOff>
      <xdr:row>2</xdr:row>
      <xdr:rowOff>147763</xdr:rowOff>
    </xdr:to>
    <xdr:sp macro="" textlink="">
      <xdr:nvSpPr>
        <xdr:cNvPr id="3" name="Rectangle 2">
          <a:extLst>
            <a:ext uri="{FF2B5EF4-FFF2-40B4-BE49-F238E27FC236}">
              <a16:creationId xmlns:a16="http://schemas.microsoft.com/office/drawing/2014/main" id="{AAFE29AD-076A-48DE-ACDC-09F9B406800B}"/>
            </a:ext>
          </a:extLst>
        </xdr:cNvPr>
        <xdr:cNvSpPr/>
      </xdr:nvSpPr>
      <xdr:spPr>
        <a:xfrm>
          <a:off x="308485" y="459231"/>
          <a:ext cx="12470585" cy="92392"/>
        </a:xfrm>
        <a:prstGeom prst="rect">
          <a:avLst/>
        </a:prstGeom>
        <a:solidFill>
          <a:srgbClr val="06394C"/>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365760</xdr:colOff>
      <xdr:row>3</xdr:row>
      <xdr:rowOff>68580</xdr:rowOff>
    </xdr:from>
    <xdr:to>
      <xdr:col>15</xdr:col>
      <xdr:colOff>381000</xdr:colOff>
      <xdr:row>12</xdr:row>
      <xdr:rowOff>114300</xdr:rowOff>
    </xdr:to>
    <xdr:sp macro="" textlink="">
      <xdr:nvSpPr>
        <xdr:cNvPr id="4" name="TextBox 3">
          <a:extLst>
            <a:ext uri="{FF2B5EF4-FFF2-40B4-BE49-F238E27FC236}">
              <a16:creationId xmlns:a16="http://schemas.microsoft.com/office/drawing/2014/main" id="{4B340529-336C-406C-A8BF-921FBA02C5CE}"/>
            </a:ext>
          </a:extLst>
        </xdr:cNvPr>
        <xdr:cNvSpPr txBox="1"/>
      </xdr:nvSpPr>
      <xdr:spPr>
        <a:xfrm>
          <a:off x="5242560" y="655320"/>
          <a:ext cx="4282440" cy="1691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mn-lt"/>
              <a:ea typeface="+mn-ea"/>
              <a:cs typeface="+mn-cs"/>
            </a:rPr>
            <a:t>Deal Stage: </a:t>
          </a:r>
          <a:r>
            <a:rPr lang="en-US" sz="1100" b="0" baseline="0">
              <a:solidFill>
                <a:schemeClr val="dk1"/>
              </a:solidFill>
              <a:effectLst/>
              <a:latin typeface="+mn-lt"/>
              <a:ea typeface="+mn-ea"/>
              <a:cs typeface="+mn-cs"/>
            </a:rPr>
            <a:t>Pre-LOI</a:t>
          </a:r>
          <a:r>
            <a:rPr lang="en-US" sz="1100" b="1" baseline="0">
              <a:solidFill>
                <a:schemeClr val="dk1"/>
              </a:solidFill>
              <a:effectLst/>
              <a:latin typeface="+mn-lt"/>
              <a:ea typeface="+mn-ea"/>
              <a:cs typeface="+mn-cs"/>
            </a:rPr>
            <a:t> </a:t>
          </a:r>
          <a:r>
            <a:rPr lang="en-US" sz="1100" baseline="0">
              <a:solidFill>
                <a:schemeClr val="dk1"/>
              </a:solidFill>
              <a:effectLst/>
              <a:latin typeface="+mn-lt"/>
              <a:ea typeface="+mn-ea"/>
              <a:cs typeface="+mn-cs"/>
            </a:rPr>
            <a:t>Terms are close to agreement</a:t>
          </a:r>
          <a:br>
            <a:rPr lang="en-US" sz="1100" baseline="0">
              <a:solidFill>
                <a:schemeClr val="dk1"/>
              </a:solidFill>
              <a:effectLst/>
              <a:latin typeface="+mn-lt"/>
              <a:ea typeface="+mn-ea"/>
              <a:cs typeface="+mn-cs"/>
            </a:rPr>
          </a:br>
          <a:r>
            <a:rPr lang="en-US" sz="1100" b="1" baseline="0">
              <a:solidFill>
                <a:schemeClr val="dk1"/>
              </a:solidFill>
              <a:effectLst/>
              <a:latin typeface="+mn-lt"/>
              <a:ea typeface="+mn-ea"/>
              <a:cs typeface="+mn-cs"/>
            </a:rPr>
            <a:t>Seller Status:</a:t>
          </a:r>
          <a:r>
            <a:rPr lang="en-US" sz="1100" baseline="0">
              <a:solidFill>
                <a:schemeClr val="dk1"/>
              </a:solidFill>
              <a:effectLst/>
              <a:latin typeface="+mn-lt"/>
              <a:ea typeface="+mn-ea"/>
              <a:cs typeface="+mn-cs"/>
            </a:rPr>
            <a:t> Green</a:t>
          </a:r>
          <a:br>
            <a:rPr lang="en-US" sz="1100" baseline="0">
              <a:solidFill>
                <a:schemeClr val="dk1"/>
              </a:solidFill>
              <a:effectLst/>
              <a:latin typeface="+mn-lt"/>
              <a:ea typeface="+mn-ea"/>
              <a:cs typeface="+mn-cs"/>
            </a:rPr>
          </a:br>
          <a:r>
            <a:rPr lang="en-US" sz="1100" b="1" baseline="0">
              <a:solidFill>
                <a:schemeClr val="dk1"/>
              </a:solidFill>
              <a:effectLst/>
              <a:latin typeface="+mn-lt"/>
              <a:ea typeface="+mn-ea"/>
              <a:cs typeface="+mn-cs"/>
            </a:rPr>
            <a:t>Social Equity:</a:t>
          </a:r>
          <a:r>
            <a:rPr lang="en-US" sz="1100" baseline="0">
              <a:solidFill>
                <a:schemeClr val="dk1"/>
              </a:solidFill>
              <a:effectLst/>
              <a:latin typeface="+mn-lt"/>
              <a:ea typeface="+mn-ea"/>
              <a:cs typeface="+mn-cs"/>
            </a:rPr>
            <a:t> Yellow (employee and incentive equity negotiation)</a:t>
          </a:r>
          <a:br>
            <a:rPr lang="en-US" sz="1100" baseline="0">
              <a:solidFill>
                <a:schemeClr val="dk1"/>
              </a:solidFill>
              <a:effectLst/>
              <a:latin typeface="+mn-lt"/>
              <a:ea typeface="+mn-ea"/>
              <a:cs typeface="+mn-cs"/>
            </a:rPr>
          </a:br>
          <a:r>
            <a:rPr lang="en-US" sz="1100" b="1" baseline="0">
              <a:solidFill>
                <a:schemeClr val="dk1"/>
              </a:solidFill>
              <a:effectLst/>
              <a:latin typeface="+mn-lt"/>
              <a:ea typeface="+mn-ea"/>
              <a:cs typeface="+mn-cs"/>
            </a:rPr>
            <a:t>Landlord:</a:t>
          </a:r>
          <a:r>
            <a:rPr lang="en-US" sz="1100" baseline="0">
              <a:solidFill>
                <a:schemeClr val="dk1"/>
              </a:solidFill>
              <a:effectLst/>
              <a:latin typeface="+mn-lt"/>
              <a:ea typeface="+mn-ea"/>
              <a:cs typeface="+mn-cs"/>
            </a:rPr>
            <a:t> Green (no deal ending issues)</a:t>
          </a:r>
          <a:endParaRPr lang="en-US">
            <a:effectLst/>
          </a:endParaRPr>
        </a:p>
        <a:p>
          <a:br>
            <a:rPr lang="en-US" sz="1100"/>
          </a:br>
          <a:r>
            <a:rPr lang="en-US" sz="1100" b="1"/>
            <a:t>Location Score:</a:t>
          </a:r>
          <a:r>
            <a:rPr lang="en-US" sz="1100"/>
            <a:t> 8/10</a:t>
          </a:r>
          <a:br>
            <a:rPr lang="en-US" sz="1100"/>
          </a:br>
          <a:r>
            <a:rPr lang="en-US" sz="1100" b="1"/>
            <a:t>Upside Potential:</a:t>
          </a:r>
          <a:r>
            <a:rPr lang="en-US" sz="1100"/>
            <a:t> 8/10</a:t>
          </a:r>
          <a:br>
            <a:rPr lang="en-US" sz="1100"/>
          </a:br>
          <a:r>
            <a:rPr lang="en-US" sz="1100" b="1"/>
            <a:t>Deal Terms:</a:t>
          </a:r>
          <a:r>
            <a:rPr lang="en-US" sz="1100"/>
            <a:t> 9/10</a:t>
          </a:r>
          <a:br>
            <a:rPr lang="en-US" sz="1100"/>
          </a:br>
          <a:r>
            <a:rPr lang="en-US" sz="1100" b="1"/>
            <a:t>Risk</a:t>
          </a:r>
          <a:r>
            <a:rPr lang="en-US" sz="1100" b="1" baseline="0"/>
            <a:t> to Conversion</a:t>
          </a:r>
          <a:r>
            <a:rPr lang="en-US" sz="1100" b="1"/>
            <a:t>:</a:t>
          </a:r>
          <a:r>
            <a:rPr lang="en-US" sz="1100"/>
            <a:t> 5/10 (standard concerns)</a:t>
          </a:r>
        </a:p>
      </xdr:txBody>
    </xdr:sp>
    <xdr:clientData/>
  </xdr:twoCellAnchor>
  <xdr:twoCellAnchor editAs="oneCell">
    <xdr:from>
      <xdr:col>1</xdr:col>
      <xdr:colOff>373380</xdr:colOff>
      <xdr:row>13</xdr:row>
      <xdr:rowOff>175260</xdr:rowOff>
    </xdr:from>
    <xdr:to>
      <xdr:col>12</xdr:col>
      <xdr:colOff>107238</xdr:colOff>
      <xdr:row>37</xdr:row>
      <xdr:rowOff>30848</xdr:rowOff>
    </xdr:to>
    <xdr:pic>
      <xdr:nvPicPr>
        <xdr:cNvPr id="7" name="Picture 6">
          <a:extLst>
            <a:ext uri="{FF2B5EF4-FFF2-40B4-BE49-F238E27FC236}">
              <a16:creationId xmlns:a16="http://schemas.microsoft.com/office/drawing/2014/main" id="{FF3E2C4C-90B9-FD6F-6A57-25681CE17355}"/>
            </a:ext>
          </a:extLst>
        </xdr:cNvPr>
        <xdr:cNvPicPr>
          <a:picLocks noChangeAspect="1"/>
        </xdr:cNvPicPr>
      </xdr:nvPicPr>
      <xdr:blipFill>
        <a:blip xmlns:r="http://schemas.openxmlformats.org/officeDocument/2006/relationships" r:embed="rId1"/>
        <a:stretch>
          <a:fillRect/>
        </a:stretch>
      </xdr:blipFill>
      <xdr:spPr>
        <a:xfrm>
          <a:off x="982980" y="2590800"/>
          <a:ext cx="6439458" cy="4244708"/>
        </a:xfrm>
        <a:prstGeom prst="rect">
          <a:avLst/>
        </a:prstGeom>
      </xdr:spPr>
    </xdr:pic>
    <xdr:clientData/>
  </xdr:twoCellAnchor>
  <xdr:twoCellAnchor editAs="oneCell">
    <xdr:from>
      <xdr:col>20</xdr:col>
      <xdr:colOff>0</xdr:colOff>
      <xdr:row>34</xdr:row>
      <xdr:rowOff>22860</xdr:rowOff>
    </xdr:from>
    <xdr:to>
      <xdr:col>20</xdr:col>
      <xdr:colOff>304800</xdr:colOff>
      <xdr:row>35</xdr:row>
      <xdr:rowOff>144780</xdr:rowOff>
    </xdr:to>
    <xdr:sp macro="" textlink="">
      <xdr:nvSpPr>
        <xdr:cNvPr id="1025" name="AutoShape 1" descr="Nova Farms - Woodbury">
          <a:extLst>
            <a:ext uri="{FF2B5EF4-FFF2-40B4-BE49-F238E27FC236}">
              <a16:creationId xmlns:a16="http://schemas.microsoft.com/office/drawing/2014/main" id="{7AA1FAA0-A454-23AB-66C7-2A37A890966F}"/>
            </a:ext>
          </a:extLst>
        </xdr:cNvPr>
        <xdr:cNvSpPr>
          <a:spLocks noChangeAspect="1" noChangeArrowheads="1"/>
        </xdr:cNvSpPr>
      </xdr:nvSpPr>
      <xdr:spPr bwMode="auto">
        <a:xfrm>
          <a:off x="12565380" y="6278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449580</xdr:colOff>
      <xdr:row>30</xdr:row>
      <xdr:rowOff>129540</xdr:rowOff>
    </xdr:from>
    <xdr:to>
      <xdr:col>2</xdr:col>
      <xdr:colOff>449580</xdr:colOff>
      <xdr:row>33</xdr:row>
      <xdr:rowOff>116072</xdr:rowOff>
    </xdr:to>
    <xdr:pic>
      <xdr:nvPicPr>
        <xdr:cNvPr id="10" name="Picture 9">
          <a:extLst>
            <a:ext uri="{FF2B5EF4-FFF2-40B4-BE49-F238E27FC236}">
              <a16:creationId xmlns:a16="http://schemas.microsoft.com/office/drawing/2014/main" id="{741149CE-2DB7-34BF-CF65-4FEB629B9520}"/>
            </a:ext>
          </a:extLst>
        </xdr:cNvPr>
        <xdr:cNvPicPr>
          <a:picLocks noChangeAspect="1"/>
        </xdr:cNvPicPr>
      </xdr:nvPicPr>
      <xdr:blipFill>
        <a:blip xmlns:r="http://schemas.openxmlformats.org/officeDocument/2006/relationships" r:embed="rId2"/>
        <a:stretch>
          <a:fillRect/>
        </a:stretch>
      </xdr:blipFill>
      <xdr:spPr>
        <a:xfrm>
          <a:off x="1059180" y="5654040"/>
          <a:ext cx="609600" cy="535172"/>
        </a:xfrm>
        <a:prstGeom prst="rect">
          <a:avLst/>
        </a:prstGeom>
      </xdr:spPr>
    </xdr:pic>
    <xdr:clientData/>
  </xdr:twoCellAnchor>
  <xdr:twoCellAnchor editAs="oneCell">
    <xdr:from>
      <xdr:col>4</xdr:col>
      <xdr:colOff>289560</xdr:colOff>
      <xdr:row>21</xdr:row>
      <xdr:rowOff>83819</xdr:rowOff>
    </xdr:from>
    <xdr:to>
      <xdr:col>5</xdr:col>
      <xdr:colOff>472440</xdr:colOff>
      <xdr:row>23</xdr:row>
      <xdr:rowOff>66032</xdr:rowOff>
    </xdr:to>
    <xdr:pic>
      <xdr:nvPicPr>
        <xdr:cNvPr id="11" name="Picture 10" descr="Organic Farms - Cannabis Store Camden, New Jersey">
          <a:extLst>
            <a:ext uri="{FF2B5EF4-FFF2-40B4-BE49-F238E27FC236}">
              <a16:creationId xmlns:a16="http://schemas.microsoft.com/office/drawing/2014/main" id="{540265E9-C465-EF03-A50F-0CB91908BE16}"/>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790" t="17707" r="11135" b="17872"/>
        <a:stretch>
          <a:fillRect/>
        </a:stretch>
      </xdr:blipFill>
      <xdr:spPr bwMode="auto">
        <a:xfrm>
          <a:off x="2727960" y="3962399"/>
          <a:ext cx="792480" cy="347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91440</xdr:colOff>
      <xdr:row>30</xdr:row>
      <xdr:rowOff>161172</xdr:rowOff>
    </xdr:from>
    <xdr:to>
      <xdr:col>5</xdr:col>
      <xdr:colOff>381000</xdr:colOff>
      <xdr:row>34</xdr:row>
      <xdr:rowOff>28221</xdr:rowOff>
    </xdr:to>
    <xdr:pic>
      <xdr:nvPicPr>
        <xdr:cNvPr id="13" name="Picture 12" descr="Curaleaf Releases Inaugural Social ...">
          <a:extLst>
            <a:ext uri="{FF2B5EF4-FFF2-40B4-BE49-F238E27FC236}">
              <a16:creationId xmlns:a16="http://schemas.microsoft.com/office/drawing/2014/main" id="{DA8A14A0-C643-A955-4219-68870C80FEA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529840" y="5685672"/>
          <a:ext cx="899160" cy="598569"/>
        </a:xfrm>
        <a:prstGeom prst="rect">
          <a:avLst/>
        </a:prstGeom>
        <a:noFill/>
        <a:ln w="19050">
          <a:solidFill>
            <a:schemeClr val="accent2"/>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441960</xdr:colOff>
      <xdr:row>16</xdr:row>
      <xdr:rowOff>145932</xdr:rowOff>
    </xdr:from>
    <xdr:to>
      <xdr:col>3</xdr:col>
      <xdr:colOff>121920</xdr:colOff>
      <xdr:row>20</xdr:row>
      <xdr:rowOff>12981</xdr:rowOff>
    </xdr:to>
    <xdr:pic>
      <xdr:nvPicPr>
        <xdr:cNvPr id="14" name="Picture 13" descr="Curaleaf Releases Inaugural Social ...">
          <a:extLst>
            <a:ext uri="{FF2B5EF4-FFF2-40B4-BE49-F238E27FC236}">
              <a16:creationId xmlns:a16="http://schemas.microsoft.com/office/drawing/2014/main" id="{EAEB224B-084A-43CC-A175-B49C70AA8E0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1560" y="3110112"/>
          <a:ext cx="899160" cy="598569"/>
        </a:xfrm>
        <a:prstGeom prst="rect">
          <a:avLst/>
        </a:prstGeom>
        <a:noFill/>
        <a:ln w="19050">
          <a:solidFill>
            <a:schemeClr val="accent2"/>
          </a:solidFill>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152400</xdr:colOff>
      <xdr:row>20</xdr:row>
      <xdr:rowOff>7620</xdr:rowOff>
    </xdr:from>
    <xdr:to>
      <xdr:col>7</xdr:col>
      <xdr:colOff>487680</xdr:colOff>
      <xdr:row>29</xdr:row>
      <xdr:rowOff>144780</xdr:rowOff>
    </xdr:to>
    <xdr:sp macro="" textlink="">
      <xdr:nvSpPr>
        <xdr:cNvPr id="15" name="Oval 14">
          <a:extLst>
            <a:ext uri="{FF2B5EF4-FFF2-40B4-BE49-F238E27FC236}">
              <a16:creationId xmlns:a16="http://schemas.microsoft.com/office/drawing/2014/main" id="{6325DC0D-CB9A-47AA-8196-FD56E2C136AB}"/>
            </a:ext>
          </a:extLst>
        </xdr:cNvPr>
        <xdr:cNvSpPr/>
      </xdr:nvSpPr>
      <xdr:spPr>
        <a:xfrm>
          <a:off x="1981200" y="3703320"/>
          <a:ext cx="2773680" cy="1783080"/>
        </a:xfrm>
        <a:prstGeom prst="ellipse">
          <a:avLst/>
        </a:prstGeom>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xdr:col>
      <xdr:colOff>510540</xdr:colOff>
      <xdr:row>27</xdr:row>
      <xdr:rowOff>7620</xdr:rowOff>
    </xdr:from>
    <xdr:to>
      <xdr:col>3</xdr:col>
      <xdr:colOff>556260</xdr:colOff>
      <xdr:row>30</xdr:row>
      <xdr:rowOff>114300</xdr:rowOff>
    </xdr:to>
    <xdr:pic>
      <xdr:nvPicPr>
        <xdr:cNvPr id="18" name="Picture 17" descr="Indigo Dispensary">
          <a:extLst>
            <a:ext uri="{FF2B5EF4-FFF2-40B4-BE49-F238E27FC236}">
              <a16:creationId xmlns:a16="http://schemas.microsoft.com/office/drawing/2014/main" id="{72D9D2D0-DAC2-7600-F074-61900D0DCC5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729740" y="4983480"/>
          <a:ext cx="655320" cy="655320"/>
        </a:xfrm>
        <a:prstGeom prst="rect">
          <a:avLst/>
        </a:prstGeom>
        <a:noFill/>
        <a:ln w="19050">
          <a:solidFill>
            <a:schemeClr val="accent2"/>
          </a:solid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39793</xdr:colOff>
      <xdr:row>15</xdr:row>
      <xdr:rowOff>130629</xdr:rowOff>
    </xdr:from>
    <xdr:to>
      <xdr:col>9</xdr:col>
      <xdr:colOff>601980</xdr:colOff>
      <xdr:row>34</xdr:row>
      <xdr:rowOff>152400</xdr:rowOff>
    </xdr:to>
    <xdr:sp macro="" textlink="">
      <xdr:nvSpPr>
        <xdr:cNvPr id="17" name="Oval 16">
          <a:extLst>
            <a:ext uri="{FF2B5EF4-FFF2-40B4-BE49-F238E27FC236}">
              <a16:creationId xmlns:a16="http://schemas.microsoft.com/office/drawing/2014/main" id="{72E3AB1A-88B6-4000-B948-8D776920E76A}"/>
            </a:ext>
          </a:extLst>
        </xdr:cNvPr>
        <xdr:cNvSpPr/>
      </xdr:nvSpPr>
      <xdr:spPr>
        <a:xfrm>
          <a:off x="649393" y="2911929"/>
          <a:ext cx="5438987" cy="3496491"/>
        </a:xfrm>
        <a:prstGeom prst="ellipse">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xdr:colOff>
      <xdr:row>14</xdr:row>
      <xdr:rowOff>45720</xdr:rowOff>
    </xdr:from>
    <xdr:to>
      <xdr:col>15</xdr:col>
      <xdr:colOff>27940</xdr:colOff>
      <xdr:row>18</xdr:row>
      <xdr:rowOff>91440</xdr:rowOff>
    </xdr:to>
    <xdr:sp macro="" textlink="">
      <xdr:nvSpPr>
        <xdr:cNvPr id="19" name="Oval 18">
          <a:extLst>
            <a:ext uri="{FF2B5EF4-FFF2-40B4-BE49-F238E27FC236}">
              <a16:creationId xmlns:a16="http://schemas.microsoft.com/office/drawing/2014/main" id="{27072A86-533C-4BEE-A134-A2329015127E}"/>
            </a:ext>
          </a:extLst>
        </xdr:cNvPr>
        <xdr:cNvSpPr/>
      </xdr:nvSpPr>
      <xdr:spPr>
        <a:xfrm>
          <a:off x="7962900" y="2644140"/>
          <a:ext cx="1209040" cy="777240"/>
        </a:xfrm>
        <a:prstGeom prst="ellipse">
          <a:avLst/>
        </a:prstGeom>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99060</xdr:colOff>
      <xdr:row>19</xdr:row>
      <xdr:rowOff>106680</xdr:rowOff>
    </xdr:from>
    <xdr:to>
      <xdr:col>15</xdr:col>
      <xdr:colOff>88900</xdr:colOff>
      <xdr:row>23</xdr:row>
      <xdr:rowOff>152400</xdr:rowOff>
    </xdr:to>
    <xdr:sp macro="" textlink="">
      <xdr:nvSpPr>
        <xdr:cNvPr id="20" name="Oval 19">
          <a:extLst>
            <a:ext uri="{FF2B5EF4-FFF2-40B4-BE49-F238E27FC236}">
              <a16:creationId xmlns:a16="http://schemas.microsoft.com/office/drawing/2014/main" id="{A93C86C1-1CB0-4396-A70A-FD4C80C6791E}"/>
            </a:ext>
          </a:extLst>
        </xdr:cNvPr>
        <xdr:cNvSpPr/>
      </xdr:nvSpPr>
      <xdr:spPr>
        <a:xfrm>
          <a:off x="8023860" y="3619500"/>
          <a:ext cx="1209040" cy="777240"/>
        </a:xfrm>
        <a:prstGeom prst="ellipse">
          <a:avLst/>
        </a:prstGeom>
        <a:noFill/>
        <a:ln>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0</xdr:colOff>
      <xdr:row>40</xdr:row>
      <xdr:rowOff>0</xdr:rowOff>
    </xdr:from>
    <xdr:to>
      <xdr:col>15</xdr:col>
      <xdr:colOff>370025</xdr:colOff>
      <xdr:row>40</xdr:row>
      <xdr:rowOff>92392</xdr:rowOff>
    </xdr:to>
    <xdr:sp macro="" textlink="">
      <xdr:nvSpPr>
        <xdr:cNvPr id="5" name="Rectangle 4">
          <a:extLst>
            <a:ext uri="{FF2B5EF4-FFF2-40B4-BE49-F238E27FC236}">
              <a16:creationId xmlns:a16="http://schemas.microsoft.com/office/drawing/2014/main" id="{4933D4F9-74EB-4720-AEC3-5EF90B7DBD83}"/>
            </a:ext>
          </a:extLst>
        </xdr:cNvPr>
        <xdr:cNvSpPr/>
      </xdr:nvSpPr>
      <xdr:spPr>
        <a:xfrm>
          <a:off x="609600" y="7391400"/>
          <a:ext cx="8904425" cy="92392"/>
        </a:xfrm>
        <a:prstGeom prst="rect">
          <a:avLst/>
        </a:prstGeom>
        <a:solidFill>
          <a:srgbClr val="06394C"/>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1</xdr:col>
      <xdr:colOff>0</xdr:colOff>
      <xdr:row>42</xdr:row>
      <xdr:rowOff>0</xdr:rowOff>
    </xdr:from>
    <xdr:to>
      <xdr:col>22</xdr:col>
      <xdr:colOff>427920</xdr:colOff>
      <xdr:row>67</xdr:row>
      <xdr:rowOff>129947</xdr:rowOff>
    </xdr:to>
    <xdr:pic>
      <xdr:nvPicPr>
        <xdr:cNvPr id="6" name="Picture 5">
          <a:extLst>
            <a:ext uri="{FF2B5EF4-FFF2-40B4-BE49-F238E27FC236}">
              <a16:creationId xmlns:a16="http://schemas.microsoft.com/office/drawing/2014/main" id="{DC11198A-EF09-4B94-3D6A-6ABD252F3F88}"/>
            </a:ext>
          </a:extLst>
        </xdr:cNvPr>
        <xdr:cNvPicPr>
          <a:picLocks noChangeAspect="1"/>
        </xdr:cNvPicPr>
      </xdr:nvPicPr>
      <xdr:blipFill>
        <a:blip xmlns:r="http://schemas.openxmlformats.org/officeDocument/2006/relationships" r:embed="rId6"/>
        <a:stretch>
          <a:fillRect/>
        </a:stretch>
      </xdr:blipFill>
      <xdr:spPr>
        <a:xfrm>
          <a:off x="609600" y="7757160"/>
          <a:ext cx="13846740" cy="47019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3685</xdr:colOff>
      <xdr:row>2</xdr:row>
      <xdr:rowOff>55370</xdr:rowOff>
    </xdr:from>
    <xdr:to>
      <xdr:col>17</xdr:col>
      <xdr:colOff>16565</xdr:colOff>
      <xdr:row>2</xdr:row>
      <xdr:rowOff>150587</xdr:rowOff>
    </xdr:to>
    <xdr:sp macro="" textlink="">
      <xdr:nvSpPr>
        <xdr:cNvPr id="2" name="Rectangle 1">
          <a:extLst>
            <a:ext uri="{FF2B5EF4-FFF2-40B4-BE49-F238E27FC236}">
              <a16:creationId xmlns:a16="http://schemas.microsoft.com/office/drawing/2014/main" id="{F3DE7191-D8F0-462E-9168-71BEEECC4E5A}"/>
            </a:ext>
          </a:extLst>
        </xdr:cNvPr>
        <xdr:cNvSpPr/>
      </xdr:nvSpPr>
      <xdr:spPr>
        <a:xfrm>
          <a:off x="301859" y="475022"/>
          <a:ext cx="15214228" cy="95217"/>
        </a:xfrm>
        <a:prstGeom prst="rect">
          <a:avLst/>
        </a:prstGeom>
        <a:solidFill>
          <a:srgbClr val="06394C"/>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8</xdr:col>
      <xdr:colOff>373124</xdr:colOff>
      <xdr:row>1</xdr:row>
      <xdr:rowOff>156717</xdr:rowOff>
    </xdr:from>
    <xdr:ext cx="1580515" cy="12700"/>
    <xdr:sp macro="" textlink="">
      <xdr:nvSpPr>
        <xdr:cNvPr id="6" name="Shape 6">
          <a:extLst>
            <a:ext uri="{FF2B5EF4-FFF2-40B4-BE49-F238E27FC236}">
              <a16:creationId xmlns:a16="http://schemas.microsoft.com/office/drawing/2014/main" id="{1A284EBD-8EFD-4DAB-999E-CD22130B3CFD}"/>
            </a:ext>
          </a:extLst>
        </xdr:cNvPr>
        <xdr:cNvSpPr/>
      </xdr:nvSpPr>
      <xdr:spPr>
        <a:xfrm>
          <a:off x="4807964" y="1947417"/>
          <a:ext cx="1580515" cy="12700"/>
        </a:xfrm>
        <a:custGeom>
          <a:avLst/>
          <a:gdLst/>
          <a:ahLst/>
          <a:cxnLst/>
          <a:rect l="0" t="0" r="0" b="0"/>
          <a:pathLst>
            <a:path w="1580515" h="12700">
              <a:moveTo>
                <a:pt x="1580388" y="0"/>
              </a:moveTo>
              <a:lnTo>
                <a:pt x="0" y="0"/>
              </a:lnTo>
              <a:lnTo>
                <a:pt x="0" y="12192"/>
              </a:lnTo>
              <a:lnTo>
                <a:pt x="1580388" y="12192"/>
              </a:lnTo>
              <a:lnTo>
                <a:pt x="1580388" y="0"/>
              </a:lnTo>
              <a:close/>
            </a:path>
          </a:pathLst>
        </a:custGeom>
        <a:solidFill>
          <a:srgbClr val="000000"/>
        </a:solidFill>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696806</xdr:colOff>
      <xdr:row>0</xdr:row>
      <xdr:rowOff>45720</xdr:rowOff>
    </xdr:from>
    <xdr:to>
      <xdr:col>8</xdr:col>
      <xdr:colOff>3808</xdr:colOff>
      <xdr:row>0</xdr:row>
      <xdr:rowOff>323850</xdr:rowOff>
    </xdr:to>
    <xdr:pic>
      <xdr:nvPicPr>
        <xdr:cNvPr id="2" name="Picture 1">
          <a:extLst>
            <a:ext uri="{FF2B5EF4-FFF2-40B4-BE49-F238E27FC236}">
              <a16:creationId xmlns:a16="http://schemas.microsoft.com/office/drawing/2014/main" id="{41F02031-788B-4B2D-A5F9-DE327E6612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97306" y="45720"/>
          <a:ext cx="1196763" cy="2781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3685</xdr:colOff>
      <xdr:row>2</xdr:row>
      <xdr:rowOff>55371</xdr:rowOff>
    </xdr:from>
    <xdr:to>
      <xdr:col>15</xdr:col>
      <xdr:colOff>373710</xdr:colOff>
      <xdr:row>2</xdr:row>
      <xdr:rowOff>147763</xdr:rowOff>
    </xdr:to>
    <xdr:sp macro="" textlink="">
      <xdr:nvSpPr>
        <xdr:cNvPr id="2" name="Rectangle 1">
          <a:extLst>
            <a:ext uri="{FF2B5EF4-FFF2-40B4-BE49-F238E27FC236}">
              <a16:creationId xmlns:a16="http://schemas.microsoft.com/office/drawing/2014/main" id="{A651F2DF-8A43-46C6-BE29-30541196AB20}"/>
            </a:ext>
          </a:extLst>
        </xdr:cNvPr>
        <xdr:cNvSpPr/>
      </xdr:nvSpPr>
      <xdr:spPr>
        <a:xfrm>
          <a:off x="613285" y="459231"/>
          <a:ext cx="21126905" cy="92392"/>
        </a:xfrm>
        <a:prstGeom prst="rect">
          <a:avLst/>
        </a:prstGeom>
        <a:solidFill>
          <a:srgbClr val="06394C"/>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vertex42.com/ExcelTemplates/loan-amortization-schedule.html" TargetMode="External"/><Relationship Id="rId1" Type="http://schemas.openxmlformats.org/officeDocument/2006/relationships/hyperlink" Target="http://www.vertex42.com/ExcelTemplates/loan-amortization-schedule.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EF1-5A23-496B-9240-9E1F7AF129B6}">
  <dimension ref="B2:U40"/>
  <sheetViews>
    <sheetView showGridLines="0" topLeftCell="A6" workbookViewId="0">
      <selection activeCell="Q37" sqref="Q37"/>
    </sheetView>
  </sheetViews>
  <sheetFormatPr defaultRowHeight="15" x14ac:dyDescent="0.25"/>
  <cols>
    <col min="20" max="20" width="14.28515625" bestFit="1" customWidth="1"/>
    <col min="21" max="21" width="12.42578125" bestFit="1" customWidth="1"/>
  </cols>
  <sheetData>
    <row r="2" spans="2:3" ht="18" x14ac:dyDescent="0.25">
      <c r="B2" s="116" t="s">
        <v>78</v>
      </c>
    </row>
    <row r="5" spans="2:3" x14ac:dyDescent="0.25">
      <c r="B5" s="64"/>
    </row>
    <row r="6" spans="2:3" x14ac:dyDescent="0.25">
      <c r="C6" s="2"/>
    </row>
    <row r="17" spans="17:21" x14ac:dyDescent="0.25">
      <c r="Q17" t="s">
        <v>149</v>
      </c>
    </row>
    <row r="22" spans="17:21" x14ac:dyDescent="0.25">
      <c r="Q22" t="s">
        <v>150</v>
      </c>
    </row>
    <row r="28" spans="17:21" x14ac:dyDescent="0.25">
      <c r="Q28" s="2" t="s">
        <v>160</v>
      </c>
      <c r="T28" s="2" t="s">
        <v>162</v>
      </c>
      <c r="U28" s="2" t="s">
        <v>163</v>
      </c>
    </row>
    <row r="29" spans="17:21" x14ac:dyDescent="0.25">
      <c r="Q29" t="s">
        <v>164</v>
      </c>
      <c r="T29" s="115">
        <v>200100</v>
      </c>
      <c r="U29" s="115">
        <f>T29*4</f>
        <v>800400</v>
      </c>
    </row>
    <row r="30" spans="17:21" x14ac:dyDescent="0.25">
      <c r="Q30" t="s">
        <v>165</v>
      </c>
      <c r="T30" s="115">
        <v>6680200</v>
      </c>
      <c r="U30" s="115">
        <f t="shared" ref="U30:U33" si="0">T30*4</f>
        <v>26720800</v>
      </c>
    </row>
    <row r="31" spans="17:21" x14ac:dyDescent="0.25">
      <c r="Q31" t="s">
        <v>161</v>
      </c>
      <c r="T31" s="115">
        <v>2889200</v>
      </c>
      <c r="U31" s="115">
        <f t="shared" si="0"/>
        <v>11556800</v>
      </c>
    </row>
    <row r="32" spans="17:21" x14ac:dyDescent="0.25">
      <c r="Q32" t="s">
        <v>166</v>
      </c>
      <c r="T32" s="115">
        <v>3751700</v>
      </c>
      <c r="U32" s="115">
        <f t="shared" si="0"/>
        <v>15006800</v>
      </c>
    </row>
    <row r="33" spans="2:21" x14ac:dyDescent="0.25">
      <c r="Q33" s="133" t="s">
        <v>167</v>
      </c>
      <c r="R33" s="133"/>
      <c r="S33" s="133"/>
      <c r="T33" s="134">
        <v>825000</v>
      </c>
      <c r="U33" s="134">
        <f t="shared" si="0"/>
        <v>3300000</v>
      </c>
    </row>
    <row r="34" spans="2:21" x14ac:dyDescent="0.25">
      <c r="Q34" t="s">
        <v>168</v>
      </c>
    </row>
    <row r="40" spans="2:21" ht="18" x14ac:dyDescent="0.25">
      <c r="B40" s="116" t="s">
        <v>159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9079A-C7BA-4CCF-BCE9-41D8C63010B1}">
  <dimension ref="B2:J22"/>
  <sheetViews>
    <sheetView showGridLines="0" tabSelected="1" zoomScale="115" zoomScaleNormal="115" workbookViewId="0">
      <selection activeCell="C20" sqref="C20"/>
    </sheetView>
  </sheetViews>
  <sheetFormatPr defaultRowHeight="15" x14ac:dyDescent="0.25"/>
  <cols>
    <col min="1" max="1" width="4.42578125" customWidth="1"/>
    <col min="2" max="2" width="36" customWidth="1"/>
    <col min="3" max="5" width="12.140625" bestFit="1" customWidth="1"/>
    <col min="6" max="6" width="13.7109375" bestFit="1" customWidth="1"/>
    <col min="7" max="7" width="14" bestFit="1" customWidth="1"/>
    <col min="8" max="8" width="11.85546875" bestFit="1" customWidth="1"/>
    <col min="9" max="9" width="12.28515625" bestFit="1" customWidth="1"/>
    <col min="10" max="10" width="12.140625" bestFit="1" customWidth="1"/>
    <col min="11" max="11" width="23.28515625" bestFit="1" customWidth="1"/>
    <col min="12" max="17" width="12.140625" bestFit="1" customWidth="1"/>
  </cols>
  <sheetData>
    <row r="2" spans="2:10" ht="18" x14ac:dyDescent="0.25">
      <c r="B2" s="116" t="s">
        <v>146</v>
      </c>
    </row>
    <row r="4" spans="2:10" ht="30" customHeight="1" x14ac:dyDescent="0.25">
      <c r="B4" s="120" t="s">
        <v>148</v>
      </c>
      <c r="C4" s="119"/>
      <c r="F4" s="120" t="s">
        <v>153</v>
      </c>
      <c r="G4" s="119" t="s">
        <v>154</v>
      </c>
      <c r="H4" s="120" t="s">
        <v>155</v>
      </c>
      <c r="I4" s="119" t="s">
        <v>156</v>
      </c>
    </row>
    <row r="5" spans="2:10" x14ac:dyDescent="0.25">
      <c r="B5" s="118" t="s">
        <v>147</v>
      </c>
      <c r="C5" s="115">
        <v>700000</v>
      </c>
      <c r="F5" s="122" t="s">
        <v>158</v>
      </c>
      <c r="G5" s="123">
        <v>0</v>
      </c>
      <c r="H5" s="125">
        <v>0.05</v>
      </c>
      <c r="I5" s="126">
        <v>50000</v>
      </c>
    </row>
    <row r="6" spans="2:10" x14ac:dyDescent="0.25">
      <c r="B6" s="3" t="s">
        <v>152</v>
      </c>
      <c r="C6" s="117">
        <v>300000</v>
      </c>
      <c r="F6" s="122" t="s">
        <v>143</v>
      </c>
      <c r="G6" s="123">
        <v>250000</v>
      </c>
      <c r="H6" s="125">
        <f>G6/$I$11</f>
        <v>0.23749999999999996</v>
      </c>
      <c r="I6" s="126">
        <v>237500</v>
      </c>
      <c r="J6" s="124"/>
    </row>
    <row r="7" spans="2:10" ht="15" customHeight="1" x14ac:dyDescent="0.25">
      <c r="B7" t="s">
        <v>144</v>
      </c>
      <c r="C7" s="115">
        <f>SUM(C5:C6)</f>
        <v>1000000</v>
      </c>
      <c r="F7" s="122" t="s">
        <v>142</v>
      </c>
      <c r="G7" s="123">
        <v>350000</v>
      </c>
      <c r="H7" s="125">
        <f>G7/$I$11</f>
        <v>0.33249999999999996</v>
      </c>
      <c r="I7" s="126">
        <v>237500</v>
      </c>
    </row>
    <row r="8" spans="2:10" x14ac:dyDescent="0.25">
      <c r="C8" s="115"/>
      <c r="F8" s="122" t="s">
        <v>141</v>
      </c>
      <c r="G8" s="123">
        <v>100000</v>
      </c>
      <c r="H8" s="125">
        <f>G8/$I$11</f>
        <v>9.4999999999999987E-2</v>
      </c>
      <c r="I8" s="126">
        <v>95000</v>
      </c>
    </row>
    <row r="9" spans="2:10" x14ac:dyDescent="0.25">
      <c r="F9" s="122" t="s">
        <v>157</v>
      </c>
      <c r="G9" s="123">
        <v>300000</v>
      </c>
      <c r="H9" s="125">
        <f>G9/$I$11</f>
        <v>0.28499999999999998</v>
      </c>
      <c r="I9" s="126">
        <v>380000</v>
      </c>
    </row>
    <row r="10" spans="2:10" x14ac:dyDescent="0.25">
      <c r="F10" s="127" t="s">
        <v>144</v>
      </c>
      <c r="G10" s="128">
        <f>SUM(G5:G9)</f>
        <v>1000000</v>
      </c>
      <c r="H10" s="129">
        <v>1</v>
      </c>
      <c r="I10" s="130">
        <f>SUM(I5:I9)</f>
        <v>1000000</v>
      </c>
    </row>
    <row r="11" spans="2:10" ht="21.75" customHeight="1" x14ac:dyDescent="0.25">
      <c r="F11" s="217" t="s">
        <v>145</v>
      </c>
      <c r="G11" s="133"/>
      <c r="H11" s="133"/>
      <c r="I11" s="218">
        <f>G10/0.95</f>
        <v>1052631.5789473685</v>
      </c>
      <c r="J11" t="s">
        <v>182</v>
      </c>
    </row>
    <row r="12" spans="2:10" ht="21.75" customHeight="1" x14ac:dyDescent="0.25">
      <c r="F12" s="122"/>
    </row>
    <row r="13" spans="2:10" ht="30" customHeight="1" x14ac:dyDescent="0.25">
      <c r="C13" s="212" t="s">
        <v>177</v>
      </c>
      <c r="D13" s="212"/>
      <c r="E13" s="212"/>
      <c r="F13" s="212"/>
      <c r="G13" s="212"/>
      <c r="H13" s="212"/>
    </row>
    <row r="14" spans="2:10" x14ac:dyDescent="0.25">
      <c r="B14" t="s">
        <v>178</v>
      </c>
      <c r="C14" s="1">
        <f>'P&amp;L 2025Q1'!X10</f>
        <v>2995998.7600000002</v>
      </c>
      <c r="D14" s="1">
        <f>'P&amp;L 2025Q1'!Y10</f>
        <v>3445398.574</v>
      </c>
      <c r="E14" s="1">
        <f>'P&amp;L 2025Q1'!Z10</f>
        <v>3744998.45</v>
      </c>
      <c r="F14" s="1">
        <f>'P&amp;L 2025Q1'!AA10</f>
        <v>4044598.3260000008</v>
      </c>
      <c r="G14" s="1">
        <f>'P&amp;L 2025Q1'!AB10</f>
        <v>5093197.892</v>
      </c>
      <c r="H14" s="1">
        <f>'P&amp;L 2025Q1'!AC10</f>
        <v>8987996.2800000012</v>
      </c>
    </row>
    <row r="15" spans="2:10" x14ac:dyDescent="0.25">
      <c r="B15" s="2" t="s">
        <v>176</v>
      </c>
      <c r="C15" s="130">
        <f>'P&amp;L 2025Q1'!X55</f>
        <v>1881157.1850000008</v>
      </c>
      <c r="D15" s="130">
        <f>'P&amp;L 2025Q1'!Y55</f>
        <v>2503648.8008099999</v>
      </c>
      <c r="E15" s="130">
        <f>'P&amp;L 2025Q1'!Z55</f>
        <v>2938483.1617500004</v>
      </c>
      <c r="F15" s="130">
        <f>'P&amp;L 2025Q1'!AA55</f>
        <v>3373317.5226900014</v>
      </c>
      <c r="G15" s="130">
        <f>'P&amp;L 2025Q1'!AB55</f>
        <v>4895237.7859800011</v>
      </c>
      <c r="H15" s="130">
        <f>'P&amp;L 2025Q1'!AC55</f>
        <v>8987996.2800000012</v>
      </c>
    </row>
    <row r="16" spans="2:10" x14ac:dyDescent="0.25">
      <c r="B16" s="216" t="s">
        <v>180</v>
      </c>
      <c r="C16" s="215">
        <f>$I$11</f>
        <v>1052631.5789473685</v>
      </c>
      <c r="D16" s="215">
        <f>$I$11</f>
        <v>1052631.5789473685</v>
      </c>
      <c r="E16" s="215">
        <f>$I$11</f>
        <v>1052631.5789473685</v>
      </c>
      <c r="F16" s="215">
        <f>$I$11</f>
        <v>1052631.5789473685</v>
      </c>
      <c r="G16" s="215">
        <f>$I$11</f>
        <v>1052631.5789473685</v>
      </c>
      <c r="H16" s="215">
        <f>$I$11</f>
        <v>1052631.5789473685</v>
      </c>
    </row>
    <row r="17" spans="2:8" x14ac:dyDescent="0.25">
      <c r="B17" t="s">
        <v>179</v>
      </c>
      <c r="C17" s="115">
        <f>0.3*(C15-C16)</f>
        <v>248557.68181578966</v>
      </c>
      <c r="D17" s="115">
        <f t="shared" ref="D17:H17" si="0">0.3*(D15-D16)</f>
        <v>435305.16655878938</v>
      </c>
      <c r="E17" s="115">
        <f t="shared" si="0"/>
        <v>565755.47484078957</v>
      </c>
      <c r="F17" s="115">
        <f t="shared" si="0"/>
        <v>696205.78312278981</v>
      </c>
      <c r="G17" s="115">
        <f t="shared" si="0"/>
        <v>1152781.8621097896</v>
      </c>
      <c r="H17" s="115">
        <f t="shared" si="0"/>
        <v>2380609.4103157897</v>
      </c>
    </row>
    <row r="18" spans="2:8" x14ac:dyDescent="0.25">
      <c r="B18" t="s">
        <v>184</v>
      </c>
      <c r="C18" s="115">
        <f>C15-C17</f>
        <v>1632599.503184211</v>
      </c>
      <c r="D18" s="115">
        <f>D15-D17</f>
        <v>2068343.6342512106</v>
      </c>
      <c r="E18" s="115">
        <f>E15-E17</f>
        <v>2372727.6869092109</v>
      </c>
      <c r="F18" s="115">
        <f>F15-F17</f>
        <v>2677111.7395672118</v>
      </c>
      <c r="G18" s="115">
        <f>G15-G17</f>
        <v>3742455.9238702115</v>
      </c>
      <c r="H18" s="115">
        <f>H15-H17</f>
        <v>6607386.8696842119</v>
      </c>
    </row>
    <row r="19" spans="2:8" x14ac:dyDescent="0.25">
      <c r="B19" s="219" t="s">
        <v>183</v>
      </c>
      <c r="C19" s="220">
        <f>C18/$I$10</f>
        <v>1.6325995031842109</v>
      </c>
      <c r="D19" s="220">
        <f>D18/$I$10</f>
        <v>2.0683436342512107</v>
      </c>
      <c r="E19" s="220">
        <f t="shared" ref="E19:H19" si="1">E18/$I$10</f>
        <v>2.3727276869092107</v>
      </c>
      <c r="F19" s="220">
        <f t="shared" si="1"/>
        <v>2.6771117395672119</v>
      </c>
      <c r="G19" s="220">
        <f t="shared" si="1"/>
        <v>3.7424559238702115</v>
      </c>
      <c r="H19" s="220">
        <f t="shared" si="1"/>
        <v>6.6073868696842117</v>
      </c>
    </row>
    <row r="21" spans="2:8" x14ac:dyDescent="0.25">
      <c r="C21" s="214" t="s">
        <v>169</v>
      </c>
      <c r="D21" s="214"/>
      <c r="E21" s="214"/>
      <c r="F21" s="214"/>
      <c r="G21" s="214"/>
      <c r="H21" s="214"/>
    </row>
    <row r="22" spans="2:8" x14ac:dyDescent="0.25">
      <c r="C22" t="s">
        <v>181</v>
      </c>
    </row>
  </sheetData>
  <mergeCells count="2">
    <mergeCell ref="C13:H13"/>
    <mergeCell ref="C21:H21"/>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8371-A9E1-44E9-A60B-F07C17F9FE69}">
  <dimension ref="A1:AC55"/>
  <sheetViews>
    <sheetView topLeftCell="A24" zoomScale="130" zoomScaleNormal="130" workbookViewId="0">
      <pane xSplit="1" topLeftCell="U1" activePane="topRight" state="frozen"/>
      <selection pane="topRight" activeCell="W51" sqref="W51"/>
    </sheetView>
  </sheetViews>
  <sheetFormatPr defaultColWidth="8.85546875" defaultRowHeight="12.75" x14ac:dyDescent="0.25"/>
  <cols>
    <col min="1" max="1" width="34.28515625" style="5" customWidth="1"/>
    <col min="2" max="2" width="4.5703125" style="5" customWidth="1"/>
    <col min="3" max="3" width="5.7109375" style="5" customWidth="1"/>
    <col min="4" max="4" width="10.42578125" style="5" customWidth="1"/>
    <col min="5" max="5" width="3.28515625" style="5" customWidth="1"/>
    <col min="6" max="7" width="2.28515625" style="5" customWidth="1"/>
    <col min="8" max="8" width="5.7109375" style="5" customWidth="1"/>
    <col min="9" max="9" width="6.85546875" style="5" customWidth="1"/>
    <col min="10" max="10" width="9.28515625" style="5" customWidth="1"/>
    <col min="11" max="12" width="1.140625" style="5" customWidth="1"/>
    <col min="13" max="13" width="4.7109375" style="5" customWidth="1"/>
    <col min="14" max="14" width="12.7109375" style="5" customWidth="1"/>
    <col min="15" max="15" width="4.7109375" style="5" customWidth="1"/>
    <col min="16" max="16" width="2.28515625" style="5" customWidth="1"/>
    <col min="17" max="17" width="4.7109375" style="5" customWidth="1"/>
    <col min="18" max="18" width="17.28515625" style="5" customWidth="1"/>
    <col min="19" max="19" width="2.28515625" style="5" customWidth="1"/>
    <col min="20" max="20" width="11.5703125" style="5" customWidth="1"/>
    <col min="21" max="21" width="2.28515625" style="5" customWidth="1"/>
    <col min="22" max="22" width="15.42578125" style="5" customWidth="1"/>
    <col min="23" max="23" width="36.5703125" style="5" customWidth="1"/>
    <col min="24" max="29" width="14" style="5" bestFit="1" customWidth="1"/>
    <col min="30" max="16384" width="8.85546875" style="5"/>
  </cols>
  <sheetData>
    <row r="1" spans="1:29" x14ac:dyDescent="0.25">
      <c r="A1" s="62" t="s">
        <v>136</v>
      </c>
      <c r="W1" s="62" t="s">
        <v>136</v>
      </c>
      <c r="X1" s="59">
        <v>0</v>
      </c>
      <c r="Y1" s="59">
        <v>0.15</v>
      </c>
      <c r="Z1" s="59">
        <v>0.25</v>
      </c>
      <c r="AA1" s="59">
        <v>0.35</v>
      </c>
      <c r="AB1" s="59">
        <v>0.7</v>
      </c>
      <c r="AC1" s="59">
        <v>2</v>
      </c>
    </row>
    <row r="2" spans="1:29" x14ac:dyDescent="0.25">
      <c r="A2" s="62" t="s">
        <v>70</v>
      </c>
      <c r="W2" s="62" t="s">
        <v>70</v>
      </c>
      <c r="X2" s="60">
        <f>1+X1</f>
        <v>1</v>
      </c>
      <c r="Y2" s="60">
        <f>1+Y1</f>
        <v>1.1499999999999999</v>
      </c>
      <c r="Z2" s="60">
        <f t="shared" ref="Z2:AC2" si="0">1+Z1</f>
        <v>1.25</v>
      </c>
      <c r="AA2" s="60">
        <f t="shared" si="0"/>
        <v>1.35</v>
      </c>
      <c r="AB2" s="60">
        <f t="shared" si="0"/>
        <v>1.7</v>
      </c>
      <c r="AC2" s="60">
        <f t="shared" si="0"/>
        <v>3</v>
      </c>
    </row>
    <row r="3" spans="1:29" x14ac:dyDescent="0.25">
      <c r="A3" s="62" t="s">
        <v>128</v>
      </c>
      <c r="W3" s="62" t="s">
        <v>128</v>
      </c>
      <c r="X3" s="61">
        <f>X49/X13</f>
        <v>-1.8778914497313868E-2</v>
      </c>
      <c r="Y3" s="61">
        <f>Y49/Y13</f>
        <v>2.5958374795216801E-2</v>
      </c>
      <c r="Z3" s="61">
        <f>Z49/Z13</f>
        <v>5.105823096539467E-2</v>
      </c>
      <c r="AA3" s="61">
        <f>AA49/AA13</f>
        <v>7.2439589925175851E-2</v>
      </c>
      <c r="AB3" s="61">
        <f>AB49/AB13</f>
        <v>0.12746514607167139</v>
      </c>
      <c r="AC3" s="61">
        <f>AC49/AC13</f>
        <v>0.21943643277367111</v>
      </c>
    </row>
    <row r="4" spans="1:29" x14ac:dyDescent="0.25">
      <c r="A4" s="62"/>
      <c r="W4" s="62"/>
      <c r="X4" s="60"/>
      <c r="Y4" s="60"/>
      <c r="Z4" s="60"/>
      <c r="AA4" s="60"/>
      <c r="AB4" s="60"/>
      <c r="AC4" s="60"/>
    </row>
    <row r="5" spans="1:29" x14ac:dyDescent="0.25">
      <c r="A5" s="121" t="s">
        <v>138</v>
      </c>
      <c r="W5" s="121" t="s">
        <v>138</v>
      </c>
      <c r="X5" s="208">
        <f>X10</f>
        <v>2995998.7600000002</v>
      </c>
      <c r="Y5" s="208">
        <f>Y10</f>
        <v>3445398.574</v>
      </c>
      <c r="Z5" s="208">
        <f t="shared" ref="Z5:AC5" si="1">Z10</f>
        <v>3744998.45</v>
      </c>
      <c r="AA5" s="208">
        <f t="shared" si="1"/>
        <v>4044598.3260000008</v>
      </c>
      <c r="AB5" s="208">
        <f t="shared" si="1"/>
        <v>5093197.892</v>
      </c>
      <c r="AC5" s="208">
        <f t="shared" si="1"/>
        <v>8987996.2800000012</v>
      </c>
    </row>
    <row r="6" spans="1:29" x14ac:dyDescent="0.25">
      <c r="A6" s="62" t="s">
        <v>139</v>
      </c>
      <c r="W6" s="62" t="s">
        <v>139</v>
      </c>
      <c r="X6" s="63">
        <f>X49</f>
        <v>-56688.579412499792</v>
      </c>
      <c r="Y6" s="63">
        <f>Y49</f>
        <v>90115.693316025019</v>
      </c>
      <c r="Z6" s="63">
        <f t="shared" ref="Z6:AC6" si="2">Z49</f>
        <v>192664.13010437507</v>
      </c>
      <c r="AA6" s="63">
        <f t="shared" si="2"/>
        <v>295212.5668927253</v>
      </c>
      <c r="AB6" s="63">
        <f t="shared" si="2"/>
        <v>654132.09565195022</v>
      </c>
      <c r="AC6" s="63">
        <f t="shared" si="2"/>
        <v>1987261.7739005</v>
      </c>
    </row>
    <row r="7" spans="1:29" ht="37.5" customHeight="1" thickBot="1" x14ac:dyDescent="0.3">
      <c r="A7" s="156" t="s">
        <v>30</v>
      </c>
      <c r="B7" s="156"/>
      <c r="C7" s="156"/>
      <c r="D7" s="156"/>
      <c r="E7" s="156"/>
      <c r="F7" s="156"/>
      <c r="G7" s="156"/>
      <c r="H7" s="156"/>
      <c r="I7" s="156"/>
      <c r="J7" s="156"/>
      <c r="K7" s="156"/>
      <c r="L7" s="156"/>
      <c r="M7" s="156"/>
      <c r="N7" s="156"/>
      <c r="O7" s="156"/>
      <c r="P7" s="156"/>
      <c r="Q7" s="156"/>
      <c r="R7" s="156"/>
      <c r="S7" s="156"/>
      <c r="T7" s="156"/>
      <c r="U7" s="56"/>
      <c r="V7" s="56"/>
    </row>
    <row r="8" spans="1:29" ht="33" customHeight="1" x14ac:dyDescent="0.2">
      <c r="A8" s="135"/>
      <c r="B8" s="135"/>
      <c r="C8" s="135"/>
      <c r="D8" s="136" t="s">
        <v>31</v>
      </c>
      <c r="E8" s="136"/>
      <c r="F8" s="136"/>
      <c r="G8" s="4"/>
      <c r="H8" s="8"/>
      <c r="I8" s="136" t="s">
        <v>32</v>
      </c>
      <c r="J8" s="136"/>
      <c r="K8" s="135"/>
      <c r="L8" s="135"/>
      <c r="M8" s="8"/>
      <c r="N8" s="136" t="s">
        <v>33</v>
      </c>
      <c r="O8" s="136"/>
      <c r="P8" s="4"/>
      <c r="Q8" s="8"/>
      <c r="R8" s="9" t="s">
        <v>34</v>
      </c>
      <c r="S8" s="30"/>
      <c r="T8" s="9" t="s">
        <v>35</v>
      </c>
      <c r="U8" s="30"/>
      <c r="V8" s="33" t="s">
        <v>68</v>
      </c>
      <c r="W8" s="57" t="s">
        <v>71</v>
      </c>
      <c r="X8" s="33" t="s">
        <v>69</v>
      </c>
      <c r="Y8" s="33" t="s">
        <v>69</v>
      </c>
      <c r="Z8" s="33" t="s">
        <v>69</v>
      </c>
      <c r="AA8" s="33" t="s">
        <v>69</v>
      </c>
      <c r="AB8" s="33" t="s">
        <v>69</v>
      </c>
      <c r="AC8" s="33" t="s">
        <v>69</v>
      </c>
    </row>
    <row r="9" spans="1:29" ht="10.9" customHeight="1" x14ac:dyDescent="0.2">
      <c r="A9" s="140" t="s">
        <v>36</v>
      </c>
      <c r="B9" s="140"/>
      <c r="C9" s="27"/>
      <c r="D9" s="141"/>
      <c r="E9" s="141"/>
      <c r="F9" s="141"/>
      <c r="G9" s="28"/>
      <c r="H9" s="27"/>
      <c r="I9" s="141"/>
      <c r="J9" s="141"/>
      <c r="K9" s="142"/>
      <c r="L9" s="142"/>
      <c r="M9" s="27"/>
      <c r="N9" s="141"/>
      <c r="O9" s="141"/>
      <c r="P9" s="28"/>
      <c r="Q9" s="27"/>
      <c r="R9" s="27"/>
      <c r="S9" s="28"/>
      <c r="T9" s="27"/>
      <c r="U9" s="28"/>
      <c r="V9" s="34"/>
      <c r="W9" s="58"/>
      <c r="X9" s="34"/>
      <c r="Y9" s="34"/>
      <c r="Z9" s="34"/>
      <c r="AA9" s="34"/>
      <c r="AB9" s="34"/>
      <c r="AC9" s="34"/>
    </row>
    <row r="10" spans="1:29" ht="10.9" customHeight="1" x14ac:dyDescent="0.2">
      <c r="A10" s="137" t="s">
        <v>129</v>
      </c>
      <c r="B10" s="138"/>
      <c r="C10" s="11"/>
      <c r="D10" s="139">
        <v>755693.88</v>
      </c>
      <c r="E10" s="139"/>
      <c r="F10" s="139"/>
      <c r="G10" s="4"/>
      <c r="H10" s="11"/>
      <c r="I10" s="139">
        <v>757536.42</v>
      </c>
      <c r="J10" s="139"/>
      <c r="K10" s="135"/>
      <c r="L10" s="135"/>
      <c r="M10" s="11"/>
      <c r="N10" s="139">
        <v>742164.78</v>
      </c>
      <c r="O10" s="139"/>
      <c r="P10" s="4"/>
      <c r="Q10" s="11"/>
      <c r="R10" s="12">
        <v>740603.68</v>
      </c>
      <c r="S10" s="12"/>
      <c r="T10" s="12">
        <v>740598.18</v>
      </c>
      <c r="U10" s="12"/>
      <c r="V10" s="35">
        <f>SUM(D10:R10)</f>
        <v>2995998.7600000002</v>
      </c>
      <c r="W10" s="57" t="s">
        <v>130</v>
      </c>
      <c r="X10" s="35">
        <f>$V$10*X2</f>
        <v>2995998.7600000002</v>
      </c>
      <c r="Y10" s="35">
        <f>$V$10*Y2</f>
        <v>3445398.574</v>
      </c>
      <c r="Z10" s="35">
        <f>$V$10*Z2</f>
        <v>3744998.45</v>
      </c>
      <c r="AA10" s="35">
        <f>$V$10*AA2</f>
        <v>4044598.3260000008</v>
      </c>
      <c r="AB10" s="35">
        <f>$V$10*AB2</f>
        <v>5093197.892</v>
      </c>
      <c r="AC10" s="35">
        <f>$V$10*AC2</f>
        <v>8987996.2800000012</v>
      </c>
    </row>
    <row r="11" spans="1:29" ht="10.9" customHeight="1" x14ac:dyDescent="0.2">
      <c r="A11" s="138" t="s">
        <v>37</v>
      </c>
      <c r="B11" s="138"/>
      <c r="C11" s="4"/>
      <c r="D11" s="139">
        <v>6244.7</v>
      </c>
      <c r="E11" s="139"/>
      <c r="F11" s="139"/>
      <c r="G11" s="4"/>
      <c r="H11" s="4"/>
      <c r="I11" s="139">
        <v>6831.22</v>
      </c>
      <c r="J11" s="139"/>
      <c r="K11" s="135"/>
      <c r="L11" s="135"/>
      <c r="M11" s="4"/>
      <c r="N11" s="139">
        <v>5455.42</v>
      </c>
      <c r="O11" s="139"/>
      <c r="P11" s="4"/>
      <c r="Q11" s="4"/>
      <c r="R11" s="12">
        <v>4205.59</v>
      </c>
      <c r="S11" s="12"/>
      <c r="T11" s="12">
        <v>5142.41</v>
      </c>
      <c r="U11" s="12"/>
      <c r="V11" s="35">
        <f>SUM(D11:R11)</f>
        <v>22736.93</v>
      </c>
      <c r="W11" s="57"/>
      <c r="X11" s="35">
        <f>$V$11*X2</f>
        <v>22736.93</v>
      </c>
      <c r="Y11" s="35">
        <f>$V$11*Y2</f>
        <v>26147.469499999999</v>
      </c>
      <c r="Z11" s="35">
        <f>$V$11*Z2</f>
        <v>28421.162499999999</v>
      </c>
      <c r="AA11" s="35">
        <f>$V$11*AA2</f>
        <v>30694.855500000001</v>
      </c>
      <c r="AB11" s="35">
        <f>$V$11*AB2</f>
        <v>38652.781000000003</v>
      </c>
      <c r="AC11" s="35">
        <f>$V$11*AC2</f>
        <v>68210.790000000008</v>
      </c>
    </row>
    <row r="12" spans="1:29" ht="10.9" customHeight="1" x14ac:dyDescent="0.2">
      <c r="A12" s="138" t="s">
        <v>38</v>
      </c>
      <c r="B12" s="138"/>
      <c r="C12" s="8"/>
      <c r="D12" s="143">
        <v>8280</v>
      </c>
      <c r="E12" s="143"/>
      <c r="F12" s="143"/>
      <c r="G12" s="4"/>
      <c r="H12" s="8"/>
      <c r="I12" s="143">
        <v>9571.5</v>
      </c>
      <c r="J12" s="143"/>
      <c r="K12" s="135"/>
      <c r="L12" s="135"/>
      <c r="M12" s="8"/>
      <c r="N12" s="143">
        <v>7098</v>
      </c>
      <c r="O12" s="143"/>
      <c r="P12" s="4"/>
      <c r="Q12" s="8"/>
      <c r="R12" s="13">
        <v>1501.5</v>
      </c>
      <c r="S12" s="12"/>
      <c r="T12" s="14">
        <v>0</v>
      </c>
      <c r="U12" s="12"/>
      <c r="V12" s="35">
        <f>SUM(D12:R12)</f>
        <v>26451</v>
      </c>
      <c r="W12" s="57" t="s">
        <v>137</v>
      </c>
      <c r="X12" s="35">
        <v>0</v>
      </c>
      <c r="Y12" s="35">
        <v>0</v>
      </c>
      <c r="Z12" s="35">
        <v>0</v>
      </c>
      <c r="AA12" s="35">
        <v>0</v>
      </c>
      <c r="AB12" s="35">
        <v>0</v>
      </c>
      <c r="AC12" s="35">
        <v>0</v>
      </c>
    </row>
    <row r="13" spans="1:29" ht="10.9" customHeight="1" x14ac:dyDescent="0.2">
      <c r="A13" s="138" t="s">
        <v>39</v>
      </c>
      <c r="B13" s="138"/>
      <c r="C13" s="15"/>
      <c r="D13" s="147">
        <v>770218.58</v>
      </c>
      <c r="E13" s="147"/>
      <c r="F13" s="147"/>
      <c r="G13" s="4"/>
      <c r="H13" s="15"/>
      <c r="I13" s="147">
        <v>773939.14</v>
      </c>
      <c r="J13" s="147"/>
      <c r="K13" s="135"/>
      <c r="L13" s="135"/>
      <c r="M13" s="15"/>
      <c r="N13" s="147">
        <v>754718.2</v>
      </c>
      <c r="O13" s="147"/>
      <c r="P13" s="4"/>
      <c r="Q13" s="15"/>
      <c r="R13" s="16">
        <v>746310.77</v>
      </c>
      <c r="S13" s="18"/>
      <c r="T13" s="16">
        <v>745740.59</v>
      </c>
      <c r="U13" s="18"/>
      <c r="V13" s="36">
        <f>SUM(V10:V12)</f>
        <v>3045186.6900000004</v>
      </c>
      <c r="W13" s="57"/>
      <c r="X13" s="36">
        <f>SUM(X10:X12)</f>
        <v>3018735.6900000004</v>
      </c>
      <c r="Y13" s="36">
        <f>SUM(Y10:Y12)</f>
        <v>3471546.0435000001</v>
      </c>
      <c r="Z13" s="36">
        <f>SUM(Z10:Z12)</f>
        <v>3773419.6125000003</v>
      </c>
      <c r="AA13" s="36">
        <f>SUM(AA10:AA12)</f>
        <v>4075293.1815000009</v>
      </c>
      <c r="AB13" s="36">
        <f>SUM(AB10:AB12)</f>
        <v>5131850.6730000004</v>
      </c>
      <c r="AC13" s="36">
        <f>SUM(AC10:AC12)</f>
        <v>9056207.0700000003</v>
      </c>
    </row>
    <row r="14" spans="1:29" ht="10.9" customHeight="1" x14ac:dyDescent="0.2">
      <c r="A14" s="144" t="s">
        <v>40</v>
      </c>
      <c r="B14" s="144"/>
      <c r="C14" s="25"/>
      <c r="D14" s="145">
        <v>460435.61</v>
      </c>
      <c r="E14" s="145"/>
      <c r="F14" s="145"/>
      <c r="G14" s="21"/>
      <c r="H14" s="25"/>
      <c r="I14" s="145">
        <v>453744.3</v>
      </c>
      <c r="J14" s="145"/>
      <c r="K14" s="146"/>
      <c r="L14" s="146"/>
      <c r="M14" s="25"/>
      <c r="N14" s="145">
        <v>441475.63</v>
      </c>
      <c r="O14" s="145"/>
      <c r="P14" s="21"/>
      <c r="Q14" s="25"/>
      <c r="R14" s="26">
        <v>456057.64</v>
      </c>
      <c r="S14" s="31"/>
      <c r="T14" s="26">
        <v>451526.24</v>
      </c>
      <c r="U14" s="31"/>
      <c r="V14" s="37">
        <f>SUM(D14:R14)</f>
        <v>1811713.1800000002</v>
      </c>
      <c r="W14" s="57"/>
      <c r="X14" s="37">
        <f>+X13*0.5</f>
        <v>1509367.8450000002</v>
      </c>
      <c r="Y14" s="37">
        <f>+Y13*0.5</f>
        <v>1735773.0217500001</v>
      </c>
      <c r="Z14" s="37">
        <f>+Z13*0.5</f>
        <v>1886709.8062500001</v>
      </c>
      <c r="AA14" s="37">
        <f>+AA13*0.5</f>
        <v>2037646.5907500004</v>
      </c>
      <c r="AB14" s="37">
        <f>+AB13*0.5</f>
        <v>2565925.3365000002</v>
      </c>
      <c r="AC14" s="37">
        <f>+AC13*0.5</f>
        <v>4528103.5350000001</v>
      </c>
    </row>
    <row r="15" spans="1:29" ht="10.9" customHeight="1" x14ac:dyDescent="0.2">
      <c r="A15" s="148" t="s">
        <v>41</v>
      </c>
      <c r="B15" s="148"/>
      <c r="C15" s="22"/>
      <c r="D15" s="149">
        <v>309782.96999999997</v>
      </c>
      <c r="E15" s="149"/>
      <c r="F15" s="149"/>
      <c r="G15" s="24"/>
      <c r="H15" s="22"/>
      <c r="I15" s="149">
        <v>320194.84000000003</v>
      </c>
      <c r="J15" s="149"/>
      <c r="K15" s="150"/>
      <c r="L15" s="150"/>
      <c r="M15" s="22"/>
      <c r="N15" s="149">
        <v>313242.57</v>
      </c>
      <c r="O15" s="149"/>
      <c r="P15" s="24"/>
      <c r="Q15" s="22"/>
      <c r="R15" s="23">
        <v>290253.13</v>
      </c>
      <c r="S15" s="32"/>
      <c r="T15" s="23">
        <v>294214.34999999998</v>
      </c>
      <c r="U15" s="32"/>
      <c r="V15" s="38">
        <f>SUM(D15:R15)</f>
        <v>1233473.5100000002</v>
      </c>
      <c r="W15" s="57"/>
      <c r="X15" s="38">
        <f>X13-X14</f>
        <v>1509367.8450000002</v>
      </c>
      <c r="Y15" s="38">
        <f>Y13-Y14</f>
        <v>1735773.0217500001</v>
      </c>
      <c r="Z15" s="38">
        <f>Z13-Z14</f>
        <v>1886709.8062500001</v>
      </c>
      <c r="AA15" s="38">
        <f>AA13-AA14</f>
        <v>2037646.5907500004</v>
      </c>
      <c r="AB15" s="38">
        <f>AB13-AB14</f>
        <v>2565925.3365000002</v>
      </c>
      <c r="AC15" s="38">
        <f>AC13-AC14</f>
        <v>4528103.5350000001</v>
      </c>
    </row>
    <row r="16" spans="1:29" ht="10.9" customHeight="1" x14ac:dyDescent="0.2">
      <c r="A16" s="10"/>
      <c r="B16" s="10"/>
      <c r="C16" s="10"/>
      <c r="D16" s="18"/>
      <c r="E16" s="18"/>
      <c r="F16" s="18"/>
      <c r="G16" s="4"/>
      <c r="H16" s="10"/>
      <c r="I16" s="18"/>
      <c r="J16" s="18"/>
      <c r="K16" s="4"/>
      <c r="L16" s="4"/>
      <c r="M16" s="10"/>
      <c r="N16" s="18"/>
      <c r="O16" s="18"/>
      <c r="P16" s="4"/>
      <c r="Q16" s="10"/>
      <c r="R16" s="18"/>
      <c r="S16" s="18"/>
      <c r="T16" s="18"/>
      <c r="U16" s="18"/>
      <c r="V16" s="39"/>
      <c r="W16" s="57"/>
      <c r="X16" s="39"/>
      <c r="Y16" s="39"/>
      <c r="Z16" s="39"/>
      <c r="AA16" s="39"/>
      <c r="AB16" s="39"/>
      <c r="AC16" s="39"/>
    </row>
    <row r="17" spans="1:29" ht="10.15" customHeight="1" x14ac:dyDescent="0.2">
      <c r="A17" s="140" t="s">
        <v>42</v>
      </c>
      <c r="B17" s="140"/>
      <c r="C17" s="28"/>
      <c r="D17" s="142"/>
      <c r="E17" s="142"/>
      <c r="F17" s="142"/>
      <c r="G17" s="28"/>
      <c r="H17" s="28"/>
      <c r="I17" s="142"/>
      <c r="J17" s="142"/>
      <c r="K17" s="142"/>
      <c r="L17" s="142"/>
      <c r="M17" s="28"/>
      <c r="N17" s="142"/>
      <c r="O17" s="142"/>
      <c r="P17" s="28"/>
      <c r="Q17" s="28"/>
      <c r="R17" s="28"/>
      <c r="S17" s="28"/>
      <c r="T17" s="28"/>
      <c r="U17" s="28"/>
      <c r="V17" s="40"/>
      <c r="W17" s="58"/>
      <c r="X17" s="213"/>
      <c r="Y17" s="40"/>
      <c r="Z17" s="40"/>
      <c r="AA17" s="40"/>
      <c r="AB17" s="40"/>
      <c r="AC17" s="40"/>
    </row>
    <row r="18" spans="1:29" ht="10.9" customHeight="1" x14ac:dyDescent="0.2">
      <c r="A18" s="138" t="s">
        <v>43</v>
      </c>
      <c r="B18" s="138"/>
      <c r="C18" s="4"/>
      <c r="D18" s="139">
        <v>21986.78</v>
      </c>
      <c r="E18" s="139"/>
      <c r="F18" s="139"/>
      <c r="G18" s="4"/>
      <c r="H18" s="4"/>
      <c r="I18" s="139">
        <v>21717.74</v>
      </c>
      <c r="J18" s="139"/>
      <c r="K18" s="135"/>
      <c r="L18" s="135"/>
      <c r="M18" s="4"/>
      <c r="N18" s="139">
        <v>19697.419999999998</v>
      </c>
      <c r="O18" s="139"/>
      <c r="P18" s="4"/>
      <c r="Q18" s="4"/>
      <c r="R18" s="12">
        <v>7346.64</v>
      </c>
      <c r="S18" s="12"/>
      <c r="T18" s="12">
        <v>2448.16</v>
      </c>
      <c r="U18" s="12"/>
      <c r="V18" s="35">
        <f t="shared" ref="V18:V31" si="3">SUM(D18:R18)</f>
        <v>70748.58</v>
      </c>
      <c r="W18" s="57" t="s">
        <v>132</v>
      </c>
      <c r="X18" s="45">
        <v>50000</v>
      </c>
      <c r="Y18" s="45">
        <f>Y10*0.02</f>
        <v>68907.971480000007</v>
      </c>
      <c r="Z18" s="45">
        <f>Z10*0.02</f>
        <v>74899.969000000012</v>
      </c>
      <c r="AA18" s="45">
        <f>AA10*0.02</f>
        <v>80891.966520000016</v>
      </c>
      <c r="AB18" s="45">
        <f>AB10*0.02</f>
        <v>101863.95784</v>
      </c>
      <c r="AC18" s="45">
        <f>AC10*0.02</f>
        <v>179759.92560000002</v>
      </c>
    </row>
    <row r="19" spans="1:29" ht="10.9" customHeight="1" x14ac:dyDescent="0.2">
      <c r="A19" s="138" t="s">
        <v>44</v>
      </c>
      <c r="B19" s="138"/>
      <c r="C19" s="4"/>
      <c r="D19" s="139">
        <v>3650.14</v>
      </c>
      <c r="E19" s="139"/>
      <c r="F19" s="139"/>
      <c r="G19" s="4"/>
      <c r="H19" s="4"/>
      <c r="I19" s="139">
        <v>1811.26</v>
      </c>
      <c r="J19" s="139"/>
      <c r="K19" s="135"/>
      <c r="L19" s="135"/>
      <c r="M19" s="4"/>
      <c r="N19" s="139">
        <v>1865.53</v>
      </c>
      <c r="O19" s="139"/>
      <c r="P19" s="4"/>
      <c r="Q19" s="4"/>
      <c r="R19" s="12">
        <v>2361.12</v>
      </c>
      <c r="S19" s="12"/>
      <c r="T19" s="12">
        <v>3933.43</v>
      </c>
      <c r="U19" s="12"/>
      <c r="V19" s="35">
        <f t="shared" si="3"/>
        <v>9688.0499999999993</v>
      </c>
      <c r="W19" s="57"/>
      <c r="X19" s="35">
        <f>$V$19</f>
        <v>9688.0499999999993</v>
      </c>
      <c r="Y19" s="35">
        <f>$V$19</f>
        <v>9688.0499999999993</v>
      </c>
      <c r="Z19" s="35">
        <f>$V$19</f>
        <v>9688.0499999999993</v>
      </c>
      <c r="AA19" s="35">
        <f>$V$19</f>
        <v>9688.0499999999993</v>
      </c>
      <c r="AB19" s="35">
        <f>$V$19</f>
        <v>9688.0499999999993</v>
      </c>
      <c r="AC19" s="35">
        <f>$V$19</f>
        <v>9688.0499999999993</v>
      </c>
    </row>
    <row r="20" spans="1:29" ht="10.9" customHeight="1" x14ac:dyDescent="0.2">
      <c r="A20" s="138" t="s">
        <v>45</v>
      </c>
      <c r="B20" s="138"/>
      <c r="C20" s="4"/>
      <c r="D20" s="151">
        <v>874.11</v>
      </c>
      <c r="E20" s="151"/>
      <c r="F20" s="151"/>
      <c r="G20" s="4"/>
      <c r="H20" s="4"/>
      <c r="I20" s="139">
        <v>1607.71</v>
      </c>
      <c r="J20" s="139"/>
      <c r="K20" s="135"/>
      <c r="L20" s="135"/>
      <c r="M20" s="4"/>
      <c r="N20" s="139">
        <v>1470.19</v>
      </c>
      <c r="O20" s="139"/>
      <c r="P20" s="4"/>
      <c r="Q20" s="4"/>
      <c r="R20" s="12">
        <v>2631</v>
      </c>
      <c r="S20" s="12"/>
      <c r="T20" s="12">
        <v>1494.27</v>
      </c>
      <c r="U20" s="12"/>
      <c r="V20" s="35">
        <f t="shared" si="3"/>
        <v>6583.01</v>
      </c>
      <c r="W20" s="57"/>
      <c r="X20" s="35">
        <f>$V$20</f>
        <v>6583.01</v>
      </c>
      <c r="Y20" s="35">
        <f>$V$20</f>
        <v>6583.01</v>
      </c>
      <c r="Z20" s="35">
        <f>$V$20</f>
        <v>6583.01</v>
      </c>
      <c r="AA20" s="35">
        <f>$V$20</f>
        <v>6583.01</v>
      </c>
      <c r="AB20" s="35">
        <f>$V$20</f>
        <v>6583.01</v>
      </c>
      <c r="AC20" s="35">
        <f>$V$20</f>
        <v>6583.01</v>
      </c>
    </row>
    <row r="21" spans="1:29" ht="10.9" customHeight="1" x14ac:dyDescent="0.2">
      <c r="A21" s="138" t="s">
        <v>46</v>
      </c>
      <c r="B21" s="138"/>
      <c r="C21" s="4"/>
      <c r="D21" s="139">
        <v>5295</v>
      </c>
      <c r="E21" s="139"/>
      <c r="F21" s="139"/>
      <c r="G21" s="4"/>
      <c r="H21" s="4"/>
      <c r="I21" s="139">
        <v>15040.56</v>
      </c>
      <c r="J21" s="139"/>
      <c r="K21" s="135"/>
      <c r="L21" s="135"/>
      <c r="M21" s="4"/>
      <c r="N21" s="139">
        <v>1765</v>
      </c>
      <c r="O21" s="139"/>
      <c r="P21" s="4"/>
      <c r="Q21" s="4"/>
      <c r="R21" s="12">
        <v>6399.52</v>
      </c>
      <c r="S21" s="12"/>
      <c r="T21" s="12">
        <v>17110.5</v>
      </c>
      <c r="U21" s="12"/>
      <c r="V21" s="35">
        <f t="shared" si="3"/>
        <v>28500.079999999998</v>
      </c>
      <c r="W21" s="57"/>
      <c r="X21" s="35">
        <f>$V$21</f>
        <v>28500.079999999998</v>
      </c>
      <c r="Y21" s="35">
        <f>$V$21</f>
        <v>28500.079999999998</v>
      </c>
      <c r="Z21" s="35">
        <f>$V$21</f>
        <v>28500.079999999998</v>
      </c>
      <c r="AA21" s="35">
        <f>$V$21</f>
        <v>28500.079999999998</v>
      </c>
      <c r="AB21" s="35">
        <f>$V$21</f>
        <v>28500.079999999998</v>
      </c>
      <c r="AC21" s="35">
        <f>$V$21</f>
        <v>28500.079999999998</v>
      </c>
    </row>
    <row r="22" spans="1:29" ht="10.9" customHeight="1" x14ac:dyDescent="0.2">
      <c r="A22" s="138" t="s">
        <v>47</v>
      </c>
      <c r="B22" s="138"/>
      <c r="C22" s="4"/>
      <c r="D22" s="139">
        <v>5650</v>
      </c>
      <c r="E22" s="139"/>
      <c r="F22" s="139"/>
      <c r="G22" s="4"/>
      <c r="H22" s="4"/>
      <c r="I22" s="139">
        <v>27111</v>
      </c>
      <c r="J22" s="139"/>
      <c r="K22" s="135"/>
      <c r="L22" s="135"/>
      <c r="M22" s="4"/>
      <c r="N22" s="139">
        <v>12054</v>
      </c>
      <c r="O22" s="139"/>
      <c r="P22" s="4"/>
      <c r="Q22" s="4"/>
      <c r="R22" s="12">
        <v>8950</v>
      </c>
      <c r="S22" s="12"/>
      <c r="T22" s="12">
        <v>8352.07</v>
      </c>
      <c r="U22" s="12"/>
      <c r="V22" s="35">
        <f t="shared" si="3"/>
        <v>53765</v>
      </c>
      <c r="W22" s="57"/>
      <c r="X22" s="35">
        <f>$V$22</f>
        <v>53765</v>
      </c>
      <c r="Y22" s="35">
        <f>$V$22</f>
        <v>53765</v>
      </c>
      <c r="Z22" s="35">
        <f>$V$22</f>
        <v>53765</v>
      </c>
      <c r="AA22" s="35">
        <f>$V$22</f>
        <v>53765</v>
      </c>
      <c r="AB22" s="35">
        <f>$V$22</f>
        <v>53765</v>
      </c>
      <c r="AC22" s="35">
        <f>$V$22</f>
        <v>53765</v>
      </c>
    </row>
    <row r="23" spans="1:29" ht="10.9" customHeight="1" x14ac:dyDescent="0.2">
      <c r="A23" s="138" t="s">
        <v>48</v>
      </c>
      <c r="B23" s="138"/>
      <c r="C23" s="4"/>
      <c r="D23" s="139">
        <v>43833.34</v>
      </c>
      <c r="E23" s="139"/>
      <c r="F23" s="139"/>
      <c r="G23" s="4"/>
      <c r="H23" s="4"/>
      <c r="I23" s="139">
        <v>13011.75</v>
      </c>
      <c r="J23" s="139"/>
      <c r="K23" s="135"/>
      <c r="L23" s="135"/>
      <c r="M23" s="4"/>
      <c r="N23" s="139">
        <v>9426.01</v>
      </c>
      <c r="O23" s="139"/>
      <c r="P23" s="4"/>
      <c r="Q23" s="4"/>
      <c r="R23" s="12">
        <v>13180.84</v>
      </c>
      <c r="S23" s="12"/>
      <c r="T23" s="12">
        <v>7983.97</v>
      </c>
      <c r="U23" s="12"/>
      <c r="V23" s="35">
        <f t="shared" si="3"/>
        <v>79451.939999999988</v>
      </c>
      <c r="W23" s="57"/>
      <c r="X23" s="35">
        <f>$V$23</f>
        <v>79451.939999999988</v>
      </c>
      <c r="Y23" s="35">
        <f>$V$23</f>
        <v>79451.939999999988</v>
      </c>
      <c r="Z23" s="35">
        <f>$V$23</f>
        <v>79451.939999999988</v>
      </c>
      <c r="AA23" s="35">
        <f>$V$23</f>
        <v>79451.939999999988</v>
      </c>
      <c r="AB23" s="35">
        <f>$V$23</f>
        <v>79451.939999999988</v>
      </c>
      <c r="AC23" s="35">
        <f>$V$23</f>
        <v>79451.939999999988</v>
      </c>
    </row>
    <row r="24" spans="1:29" ht="10.9" customHeight="1" x14ac:dyDescent="0.2">
      <c r="A24" s="138" t="s">
        <v>49</v>
      </c>
      <c r="B24" s="138"/>
      <c r="C24" s="4"/>
      <c r="D24" s="139">
        <v>108593.48</v>
      </c>
      <c r="E24" s="139"/>
      <c r="F24" s="139"/>
      <c r="G24" s="4"/>
      <c r="H24" s="4"/>
      <c r="I24" s="139">
        <v>79464.91</v>
      </c>
      <c r="J24" s="139"/>
      <c r="K24" s="135"/>
      <c r="L24" s="135"/>
      <c r="M24" s="4"/>
      <c r="N24" s="139">
        <v>75542.84</v>
      </c>
      <c r="O24" s="139"/>
      <c r="P24" s="4"/>
      <c r="Q24" s="4"/>
      <c r="R24" s="12">
        <v>59312.63</v>
      </c>
      <c r="S24" s="12"/>
      <c r="T24" s="12">
        <v>82773.52</v>
      </c>
      <c r="U24" s="12"/>
      <c r="V24" s="35">
        <f t="shared" si="3"/>
        <v>322913.86</v>
      </c>
      <c r="W24" s="57" t="s">
        <v>72</v>
      </c>
      <c r="X24" s="35">
        <f>$V$24</f>
        <v>322913.86</v>
      </c>
      <c r="Y24" s="35">
        <f>$V$24</f>
        <v>322913.86</v>
      </c>
      <c r="Z24" s="35">
        <f>$V$24</f>
        <v>322913.86</v>
      </c>
      <c r="AA24" s="35">
        <f>$V$24</f>
        <v>322913.86</v>
      </c>
      <c r="AB24" s="35">
        <f>$V$24</f>
        <v>322913.86</v>
      </c>
      <c r="AC24" s="35">
        <f>$V$24</f>
        <v>322913.86</v>
      </c>
    </row>
    <row r="25" spans="1:29" ht="10.9" customHeight="1" x14ac:dyDescent="0.2">
      <c r="A25" s="138" t="s">
        <v>50</v>
      </c>
      <c r="B25" s="138"/>
      <c r="C25" s="4"/>
      <c r="D25" s="139">
        <v>14994.96</v>
      </c>
      <c r="E25" s="139"/>
      <c r="F25" s="139"/>
      <c r="G25" s="4"/>
      <c r="H25" s="4"/>
      <c r="I25" s="139">
        <v>10282.879999999999</v>
      </c>
      <c r="J25" s="139"/>
      <c r="K25" s="135"/>
      <c r="L25" s="135"/>
      <c r="M25" s="4"/>
      <c r="N25" s="139">
        <v>8051.49</v>
      </c>
      <c r="O25" s="139"/>
      <c r="P25" s="4"/>
      <c r="Q25" s="4"/>
      <c r="R25" s="12">
        <v>6106.64</v>
      </c>
      <c r="S25" s="12"/>
      <c r="T25" s="12">
        <v>10227.23</v>
      </c>
      <c r="U25" s="12"/>
      <c r="V25" s="35">
        <f t="shared" si="3"/>
        <v>39435.969999999994</v>
      </c>
      <c r="W25" s="57"/>
      <c r="X25" s="35">
        <f>$V$25</f>
        <v>39435.969999999994</v>
      </c>
      <c r="Y25" s="35">
        <f>$V$25</f>
        <v>39435.969999999994</v>
      </c>
      <c r="Z25" s="35">
        <f>$V$25</f>
        <v>39435.969999999994</v>
      </c>
      <c r="AA25" s="35">
        <f>$V$25</f>
        <v>39435.969999999994</v>
      </c>
      <c r="AB25" s="35">
        <f>$V$25</f>
        <v>39435.969999999994</v>
      </c>
      <c r="AC25" s="35">
        <f>$V$25</f>
        <v>39435.969999999994</v>
      </c>
    </row>
    <row r="26" spans="1:29" ht="10.9" customHeight="1" x14ac:dyDescent="0.2">
      <c r="A26" s="138" t="s">
        <v>51</v>
      </c>
      <c r="B26" s="138"/>
      <c r="C26" s="4"/>
      <c r="D26" s="139">
        <v>15659.43</v>
      </c>
      <c r="E26" s="139"/>
      <c r="F26" s="139"/>
      <c r="G26" s="4"/>
      <c r="H26" s="4"/>
      <c r="I26" s="139">
        <v>16465.53</v>
      </c>
      <c r="J26" s="139"/>
      <c r="K26" s="135"/>
      <c r="L26" s="135"/>
      <c r="M26" s="4"/>
      <c r="N26" s="139">
        <v>16244.04</v>
      </c>
      <c r="O26" s="139"/>
      <c r="P26" s="4"/>
      <c r="Q26" s="4"/>
      <c r="R26" s="12">
        <v>16244.04</v>
      </c>
      <c r="S26" s="12"/>
      <c r="T26" s="12">
        <v>16986.57</v>
      </c>
      <c r="U26" s="12"/>
      <c r="V26" s="35">
        <f t="shared" si="3"/>
        <v>64613.04</v>
      </c>
      <c r="W26" s="57"/>
      <c r="X26" s="35">
        <f>$V$26</f>
        <v>64613.04</v>
      </c>
      <c r="Y26" s="35">
        <f>$V$26</f>
        <v>64613.04</v>
      </c>
      <c r="Z26" s="35">
        <f>$V$26</f>
        <v>64613.04</v>
      </c>
      <c r="AA26" s="35">
        <f>$V$26</f>
        <v>64613.04</v>
      </c>
      <c r="AB26" s="35">
        <f>$V$26</f>
        <v>64613.04</v>
      </c>
      <c r="AC26" s="35">
        <f>$V$26</f>
        <v>64613.04</v>
      </c>
    </row>
    <row r="27" spans="1:29" ht="10.9" customHeight="1" x14ac:dyDescent="0.2">
      <c r="A27" s="138" t="s">
        <v>52</v>
      </c>
      <c r="B27" s="138"/>
      <c r="C27" s="4"/>
      <c r="D27" s="139">
        <v>1499.01</v>
      </c>
      <c r="E27" s="139"/>
      <c r="F27" s="139"/>
      <c r="G27" s="4"/>
      <c r="H27" s="4"/>
      <c r="I27" s="139">
        <v>2263.29</v>
      </c>
      <c r="J27" s="139"/>
      <c r="K27" s="135"/>
      <c r="L27" s="135"/>
      <c r="M27" s="4"/>
      <c r="N27" s="139">
        <v>2456.4</v>
      </c>
      <c r="O27" s="139"/>
      <c r="P27" s="4"/>
      <c r="Q27" s="4"/>
      <c r="R27" s="12">
        <v>2193.5</v>
      </c>
      <c r="S27" s="12"/>
      <c r="T27" s="12">
        <v>6960.43</v>
      </c>
      <c r="U27" s="12"/>
      <c r="V27" s="35">
        <f t="shared" si="3"/>
        <v>8412.2000000000007</v>
      </c>
      <c r="W27" s="57"/>
      <c r="X27" s="35">
        <f>$V$27</f>
        <v>8412.2000000000007</v>
      </c>
      <c r="Y27" s="35">
        <f>$V$27</f>
        <v>8412.2000000000007</v>
      </c>
      <c r="Z27" s="35">
        <f>$V$27</f>
        <v>8412.2000000000007</v>
      </c>
      <c r="AA27" s="35">
        <f>$V$27</f>
        <v>8412.2000000000007</v>
      </c>
      <c r="AB27" s="35">
        <f>$V$27</f>
        <v>8412.2000000000007</v>
      </c>
      <c r="AC27" s="35">
        <f>$V$27</f>
        <v>8412.2000000000007</v>
      </c>
    </row>
    <row r="28" spans="1:29" ht="10.9" customHeight="1" x14ac:dyDescent="0.2">
      <c r="A28" s="138" t="s">
        <v>53</v>
      </c>
      <c r="B28" s="138"/>
      <c r="C28" s="4"/>
      <c r="D28" s="139">
        <v>10028.11</v>
      </c>
      <c r="E28" s="139"/>
      <c r="F28" s="139"/>
      <c r="G28" s="4"/>
      <c r="H28" s="4"/>
      <c r="I28" s="139">
        <v>4778.16</v>
      </c>
      <c r="J28" s="139"/>
      <c r="K28" s="135"/>
      <c r="L28" s="135"/>
      <c r="M28" s="4"/>
      <c r="N28" s="151">
        <v>506.88</v>
      </c>
      <c r="O28" s="151"/>
      <c r="P28" s="4"/>
      <c r="Q28" s="4"/>
      <c r="R28" s="12">
        <v>11302.37</v>
      </c>
      <c r="S28" s="12"/>
      <c r="T28" s="12">
        <v>7003.01</v>
      </c>
      <c r="U28" s="12"/>
      <c r="V28" s="35">
        <f t="shared" si="3"/>
        <v>26615.52</v>
      </c>
      <c r="W28" s="57"/>
      <c r="X28" s="35">
        <f>$V$28</f>
        <v>26615.52</v>
      </c>
      <c r="Y28" s="35">
        <f>$V$28</f>
        <v>26615.52</v>
      </c>
      <c r="Z28" s="35">
        <f>$V$28</f>
        <v>26615.52</v>
      </c>
      <c r="AA28" s="35">
        <f>$V$28</f>
        <v>26615.52</v>
      </c>
      <c r="AB28" s="35">
        <f>$V$28</f>
        <v>26615.52</v>
      </c>
      <c r="AC28" s="35">
        <f>$V$28</f>
        <v>26615.52</v>
      </c>
    </row>
    <row r="29" spans="1:29" ht="10.9" customHeight="1" x14ac:dyDescent="0.2">
      <c r="A29" s="138" t="s">
        <v>54</v>
      </c>
      <c r="B29" s="138"/>
      <c r="C29" s="8"/>
      <c r="D29" s="143">
        <v>2404.7600000000002</v>
      </c>
      <c r="E29" s="143"/>
      <c r="F29" s="143"/>
      <c r="G29" s="4"/>
      <c r="H29" s="8"/>
      <c r="I29" s="143">
        <v>2587.7199999999998</v>
      </c>
      <c r="J29" s="143"/>
      <c r="K29" s="135"/>
      <c r="L29" s="135"/>
      <c r="M29" s="8"/>
      <c r="N29" s="143">
        <v>2618.92</v>
      </c>
      <c r="O29" s="143"/>
      <c r="P29" s="4"/>
      <c r="Q29" s="8"/>
      <c r="R29" s="14">
        <v>725.38</v>
      </c>
      <c r="S29" s="17"/>
      <c r="T29" s="13">
        <v>3453.67</v>
      </c>
      <c r="U29" s="17"/>
      <c r="V29" s="41">
        <f t="shared" si="3"/>
        <v>8336.7799999999988</v>
      </c>
      <c r="W29" s="57"/>
      <c r="X29" s="41">
        <f>$V$29</f>
        <v>8336.7799999999988</v>
      </c>
      <c r="Y29" s="41">
        <f>$V$29</f>
        <v>8336.7799999999988</v>
      </c>
      <c r="Z29" s="41">
        <f>$V$29</f>
        <v>8336.7799999999988</v>
      </c>
      <c r="AA29" s="41">
        <f>$V$29</f>
        <v>8336.7799999999988</v>
      </c>
      <c r="AB29" s="41">
        <f>$V$29</f>
        <v>8336.7799999999988</v>
      </c>
      <c r="AC29" s="41">
        <f>$V$29</f>
        <v>8336.7799999999988</v>
      </c>
    </row>
    <row r="30" spans="1:29" ht="10.9" customHeight="1" x14ac:dyDescent="0.2">
      <c r="A30" s="144" t="s">
        <v>55</v>
      </c>
      <c r="B30" s="144"/>
      <c r="C30" s="19"/>
      <c r="D30" s="152">
        <v>234469.12</v>
      </c>
      <c r="E30" s="152"/>
      <c r="F30" s="152"/>
      <c r="G30" s="21"/>
      <c r="H30" s="19"/>
      <c r="I30" s="152">
        <v>196142.51</v>
      </c>
      <c r="J30" s="152"/>
      <c r="K30" s="146"/>
      <c r="L30" s="146"/>
      <c r="M30" s="19"/>
      <c r="N30" s="152">
        <v>151698.72</v>
      </c>
      <c r="O30" s="152"/>
      <c r="P30" s="21"/>
      <c r="Q30" s="19"/>
      <c r="R30" s="20">
        <v>136753.68</v>
      </c>
      <c r="S30" s="31"/>
      <c r="T30" s="20">
        <v>168726.83</v>
      </c>
      <c r="U30" s="31"/>
      <c r="V30" s="42">
        <f t="shared" si="3"/>
        <v>719064.03</v>
      </c>
      <c r="W30" s="57"/>
      <c r="X30" s="42">
        <f>SUM(X18:X29)</f>
        <v>698315.45</v>
      </c>
      <c r="Y30" s="42">
        <f>SUM(Y18:Y29)</f>
        <v>717223.42148000002</v>
      </c>
      <c r="Z30" s="42">
        <f>SUM(Z18:Z29)</f>
        <v>723215.41899999999</v>
      </c>
      <c r="AA30" s="42">
        <f>SUM(AA18:AA29)</f>
        <v>729207.41651999997</v>
      </c>
      <c r="AB30" s="42">
        <f>SUM(AB18:AB29)</f>
        <v>750179.40784</v>
      </c>
      <c r="AC30" s="42">
        <f>SUM(AC18:AC29)</f>
        <v>828075.37559999991</v>
      </c>
    </row>
    <row r="31" spans="1:29" ht="10.15" customHeight="1" x14ac:dyDescent="0.2">
      <c r="A31" s="148" t="s">
        <v>56</v>
      </c>
      <c r="B31" s="148"/>
      <c r="C31" s="22"/>
      <c r="D31" s="149">
        <v>75313.850000000006</v>
      </c>
      <c r="E31" s="149"/>
      <c r="F31" s="149"/>
      <c r="G31" s="24"/>
      <c r="H31" s="22"/>
      <c r="I31" s="149">
        <v>124052.33</v>
      </c>
      <c r="J31" s="149"/>
      <c r="K31" s="150"/>
      <c r="L31" s="150"/>
      <c r="M31" s="22"/>
      <c r="N31" s="149">
        <v>161543.85</v>
      </c>
      <c r="O31" s="149"/>
      <c r="P31" s="24"/>
      <c r="Q31" s="22"/>
      <c r="R31" s="23">
        <v>153499.45000000001</v>
      </c>
      <c r="S31" s="32"/>
      <c r="T31" s="23">
        <v>125487.52</v>
      </c>
      <c r="U31" s="32"/>
      <c r="V31" s="38">
        <f t="shared" si="3"/>
        <v>514409.48000000004</v>
      </c>
      <c r="W31" s="57"/>
      <c r="X31" s="38">
        <f>X15-X30</f>
        <v>811052.39500000025</v>
      </c>
      <c r="Y31" s="38">
        <f>Y15-Y30</f>
        <v>1018549.6002700001</v>
      </c>
      <c r="Z31" s="38">
        <f>Z15-Z30</f>
        <v>1163494.3872500001</v>
      </c>
      <c r="AA31" s="38">
        <f>AA15-AA30</f>
        <v>1308439.1742300005</v>
      </c>
      <c r="AB31" s="38">
        <f>AB15-AB30</f>
        <v>1815745.9286600002</v>
      </c>
      <c r="AC31" s="38">
        <f>AC15-AC30</f>
        <v>3700028.1594000002</v>
      </c>
    </row>
    <row r="32" spans="1:29" ht="10.15" customHeight="1" x14ac:dyDescent="0.2">
      <c r="A32" s="10"/>
      <c r="B32" s="10"/>
      <c r="C32" s="10"/>
      <c r="D32" s="18"/>
      <c r="E32" s="18"/>
      <c r="F32" s="18"/>
      <c r="G32" s="4"/>
      <c r="H32" s="10"/>
      <c r="I32" s="18"/>
      <c r="J32" s="18"/>
      <c r="K32" s="4"/>
      <c r="L32" s="4"/>
      <c r="M32" s="10"/>
      <c r="N32" s="18"/>
      <c r="O32" s="18"/>
      <c r="P32" s="4"/>
      <c r="Q32" s="10"/>
      <c r="R32" s="18"/>
      <c r="S32" s="18"/>
      <c r="T32" s="18"/>
      <c r="U32" s="18"/>
      <c r="V32" s="39"/>
      <c r="W32" s="57"/>
      <c r="X32" s="39"/>
      <c r="Y32" s="39"/>
      <c r="Z32" s="39"/>
      <c r="AA32" s="39"/>
      <c r="AB32" s="39"/>
      <c r="AC32" s="39"/>
    </row>
    <row r="33" spans="1:29" ht="10.9" customHeight="1" x14ac:dyDescent="0.2">
      <c r="A33" s="140" t="s">
        <v>57</v>
      </c>
      <c r="B33" s="140"/>
      <c r="C33" s="28"/>
      <c r="D33" s="142"/>
      <c r="E33" s="142"/>
      <c r="F33" s="142"/>
      <c r="G33" s="28"/>
      <c r="H33" s="28"/>
      <c r="I33" s="142"/>
      <c r="J33" s="142"/>
      <c r="K33" s="142"/>
      <c r="L33" s="142"/>
      <c r="M33" s="28"/>
      <c r="N33" s="142"/>
      <c r="O33" s="142"/>
      <c r="P33" s="28"/>
      <c r="Q33" s="28"/>
      <c r="R33" s="28"/>
      <c r="S33" s="28"/>
      <c r="T33" s="28"/>
      <c r="U33" s="28"/>
      <c r="V33" s="40"/>
      <c r="W33" s="58"/>
      <c r="X33" s="40"/>
      <c r="Y33" s="40"/>
      <c r="Z33" s="40"/>
      <c r="AA33" s="40"/>
      <c r="AB33" s="40"/>
      <c r="AC33" s="40"/>
    </row>
    <row r="34" spans="1:29" ht="10.9" customHeight="1" x14ac:dyDescent="0.2">
      <c r="A34" s="138" t="s">
        <v>58</v>
      </c>
      <c r="B34" s="138"/>
      <c r="C34" s="4"/>
      <c r="D34" s="139">
        <v>44200</v>
      </c>
      <c r="E34" s="139"/>
      <c r="F34" s="139"/>
      <c r="G34" s="4"/>
      <c r="H34" s="4"/>
      <c r="I34" s="139">
        <v>44200</v>
      </c>
      <c r="J34" s="139"/>
      <c r="K34" s="135"/>
      <c r="L34" s="135"/>
      <c r="M34" s="4"/>
      <c r="N34" s="139">
        <v>44200</v>
      </c>
      <c r="O34" s="139"/>
      <c r="P34" s="4"/>
      <c r="Q34" s="4"/>
      <c r="R34" s="12">
        <v>45400</v>
      </c>
      <c r="S34" s="12"/>
      <c r="T34" s="12">
        <v>30600</v>
      </c>
      <c r="U34" s="12"/>
      <c r="V34" s="35">
        <f>SUM(D34:R34)</f>
        <v>178000</v>
      </c>
      <c r="W34" s="57" t="s">
        <v>133</v>
      </c>
      <c r="X34" s="45">
        <v>50000</v>
      </c>
      <c r="Y34" s="45">
        <v>50000</v>
      </c>
      <c r="Z34" s="45">
        <v>50000</v>
      </c>
      <c r="AA34" s="45">
        <v>50000</v>
      </c>
      <c r="AB34" s="45">
        <v>50000</v>
      </c>
      <c r="AC34" s="45">
        <v>50000</v>
      </c>
    </row>
    <row r="35" spans="1:29" ht="10.9" customHeight="1" x14ac:dyDescent="0.2">
      <c r="A35" s="138" t="s">
        <v>59</v>
      </c>
      <c r="B35" s="138"/>
      <c r="C35" s="4"/>
      <c r="D35" s="139">
        <v>14743.62</v>
      </c>
      <c r="E35" s="139"/>
      <c r="F35" s="139"/>
      <c r="G35" s="4"/>
      <c r="H35" s="4"/>
      <c r="I35" s="139">
        <v>12796.34</v>
      </c>
      <c r="J35" s="139"/>
      <c r="K35" s="135"/>
      <c r="L35" s="135"/>
      <c r="M35" s="4"/>
      <c r="N35" s="139">
        <v>13855.33</v>
      </c>
      <c r="O35" s="139"/>
      <c r="P35" s="4"/>
      <c r="Q35" s="4"/>
      <c r="R35" s="12">
        <v>11886.48</v>
      </c>
      <c r="S35" s="12"/>
      <c r="T35" s="12">
        <v>13630.57</v>
      </c>
      <c r="U35" s="12"/>
      <c r="V35" s="35">
        <f>SUM(D35:R35)</f>
        <v>53281.770000000004</v>
      </c>
      <c r="W35" s="57" t="s">
        <v>151</v>
      </c>
      <c r="X35" s="35">
        <v>64000</v>
      </c>
      <c r="Y35" s="35">
        <v>64000</v>
      </c>
      <c r="Z35" s="35">
        <v>64000</v>
      </c>
      <c r="AA35" s="35">
        <v>64000</v>
      </c>
      <c r="AB35" s="35">
        <v>64000</v>
      </c>
      <c r="AC35" s="35">
        <v>64000</v>
      </c>
    </row>
    <row r="36" spans="1:29" ht="10.9" customHeight="1" x14ac:dyDescent="0.2">
      <c r="A36" s="138" t="s">
        <v>60</v>
      </c>
      <c r="B36" s="138"/>
      <c r="C36" s="8"/>
      <c r="D36" s="143">
        <v>29245.52</v>
      </c>
      <c r="E36" s="143"/>
      <c r="F36" s="143"/>
      <c r="G36" s="4"/>
      <c r="H36" s="8"/>
      <c r="I36" s="143">
        <v>41802.839999999997</v>
      </c>
      <c r="J36" s="143"/>
      <c r="K36" s="135"/>
      <c r="L36" s="135"/>
      <c r="M36" s="8"/>
      <c r="N36" s="143">
        <v>52949.29</v>
      </c>
      <c r="O36" s="143"/>
      <c r="P36" s="4"/>
      <c r="Q36" s="8"/>
      <c r="R36" s="13">
        <v>52240.52</v>
      </c>
      <c r="S36" s="12"/>
      <c r="T36" s="13">
        <v>64895.34</v>
      </c>
      <c r="U36" s="12"/>
      <c r="V36" s="43">
        <f>SUM(D36:R36)</f>
        <v>176238.16999999998</v>
      </c>
      <c r="W36" s="57" t="s">
        <v>131</v>
      </c>
      <c r="X36" s="45">
        <v>70000</v>
      </c>
      <c r="Y36" s="45">
        <v>70000</v>
      </c>
      <c r="Z36" s="45">
        <v>70000</v>
      </c>
      <c r="AA36" s="45">
        <v>70000</v>
      </c>
      <c r="AB36" s="45">
        <v>70000</v>
      </c>
      <c r="AC36" s="45">
        <v>70000</v>
      </c>
    </row>
    <row r="37" spans="1:29" ht="10.9" customHeight="1" x14ac:dyDescent="0.2">
      <c r="A37" s="144" t="s">
        <v>61</v>
      </c>
      <c r="B37" s="144"/>
      <c r="C37" s="194"/>
      <c r="D37" s="195">
        <v>88189.14</v>
      </c>
      <c r="E37" s="195"/>
      <c r="F37" s="195"/>
      <c r="G37" s="21"/>
      <c r="H37" s="194"/>
      <c r="I37" s="195">
        <v>98799.18</v>
      </c>
      <c r="J37" s="195"/>
      <c r="K37" s="146"/>
      <c r="L37" s="146"/>
      <c r="M37" s="194"/>
      <c r="N37" s="195">
        <v>111004.62</v>
      </c>
      <c r="O37" s="195"/>
      <c r="P37" s="21"/>
      <c r="Q37" s="194"/>
      <c r="R37" s="196">
        <v>109527</v>
      </c>
      <c r="S37" s="31"/>
      <c r="T37" s="196">
        <v>109125.91</v>
      </c>
      <c r="U37" s="31"/>
      <c r="V37" s="197">
        <f>SUM(D37:R37)</f>
        <v>407519.94</v>
      </c>
      <c r="W37" s="57"/>
      <c r="X37" s="197">
        <f>SUM(X34:X36)</f>
        <v>184000</v>
      </c>
      <c r="Y37" s="197">
        <f>SUM(Y34:Y36)</f>
        <v>184000</v>
      </c>
      <c r="Z37" s="197">
        <f>SUM(Z34:Z36)</f>
        <v>184000</v>
      </c>
      <c r="AA37" s="197">
        <f>SUM(AA34:AA36)</f>
        <v>184000</v>
      </c>
      <c r="AB37" s="197">
        <f>SUM(AB34:AB36)</f>
        <v>184000</v>
      </c>
      <c r="AC37" s="197">
        <f>SUM(AC34:AC36)</f>
        <v>184000</v>
      </c>
    </row>
    <row r="38" spans="1:29" s="207" customFormat="1" ht="10.9" customHeight="1" thickBot="1" x14ac:dyDescent="0.25">
      <c r="A38" s="198" t="s">
        <v>62</v>
      </c>
      <c r="B38" s="198"/>
      <c r="C38" s="199"/>
      <c r="D38" s="200">
        <v>-12875.29</v>
      </c>
      <c r="E38" s="200"/>
      <c r="F38" s="200"/>
      <c r="G38" s="201"/>
      <c r="H38" s="202"/>
      <c r="I38" s="200">
        <v>25253.15</v>
      </c>
      <c r="J38" s="200"/>
      <c r="K38" s="203"/>
      <c r="L38" s="203"/>
      <c r="M38" s="202"/>
      <c r="N38" s="200">
        <v>50539.23</v>
      </c>
      <c r="O38" s="200"/>
      <c r="P38" s="201"/>
      <c r="Q38" s="202"/>
      <c r="R38" s="204">
        <v>43972.45</v>
      </c>
      <c r="S38" s="204"/>
      <c r="T38" s="204">
        <v>16361.61</v>
      </c>
      <c r="U38" s="204"/>
      <c r="V38" s="205">
        <f>SUM(D38:R38)</f>
        <v>106889.54000000001</v>
      </c>
      <c r="W38" s="206"/>
      <c r="X38" s="205">
        <f>X31-X37</f>
        <v>627052.39500000025</v>
      </c>
      <c r="Y38" s="205">
        <f>Y31-Y37</f>
        <v>834549.60027000005</v>
      </c>
      <c r="Z38" s="205">
        <f>Z31-Z37</f>
        <v>979494.38725000015</v>
      </c>
      <c r="AA38" s="205">
        <f>AA31-AA37</f>
        <v>1124439.1742300005</v>
      </c>
      <c r="AB38" s="205">
        <f>AB31-AB37</f>
        <v>1631745.9286600002</v>
      </c>
      <c r="AC38" s="205">
        <f>AC31-AC37</f>
        <v>3516028.1594000002</v>
      </c>
    </row>
    <row r="39" spans="1:29" ht="10.9" customHeight="1" x14ac:dyDescent="0.2">
      <c r="A39" s="10"/>
      <c r="B39" s="10"/>
      <c r="C39" s="10"/>
      <c r="D39" s="18"/>
      <c r="E39" s="18"/>
      <c r="F39" s="18"/>
      <c r="G39" s="4"/>
      <c r="H39" s="10"/>
      <c r="I39" s="18"/>
      <c r="J39" s="18"/>
      <c r="K39" s="4"/>
      <c r="L39" s="4"/>
      <c r="M39" s="10"/>
      <c r="N39" s="18"/>
      <c r="O39" s="18"/>
      <c r="P39" s="4"/>
      <c r="Q39" s="10"/>
      <c r="R39" s="18"/>
      <c r="S39" s="18"/>
      <c r="T39" s="18"/>
      <c r="U39" s="18"/>
      <c r="V39" s="39"/>
      <c r="W39" s="57"/>
      <c r="X39" s="39"/>
      <c r="Y39" s="39"/>
      <c r="Z39" s="39"/>
      <c r="AA39" s="39"/>
      <c r="AB39" s="39"/>
      <c r="AC39" s="39"/>
    </row>
    <row r="40" spans="1:29" ht="10.9" customHeight="1" x14ac:dyDescent="0.2">
      <c r="A40" s="153" t="s">
        <v>73</v>
      </c>
      <c r="B40" s="140"/>
      <c r="C40" s="28"/>
      <c r="D40" s="142"/>
      <c r="E40" s="142"/>
      <c r="F40" s="142"/>
      <c r="G40" s="28"/>
      <c r="H40" s="28"/>
      <c r="I40" s="142"/>
      <c r="J40" s="142"/>
      <c r="K40" s="142"/>
      <c r="L40" s="142"/>
      <c r="M40" s="28"/>
      <c r="N40" s="142"/>
      <c r="O40" s="142"/>
      <c r="P40" s="28"/>
      <c r="Q40" s="28"/>
      <c r="R40" s="28"/>
      <c r="S40" s="28"/>
      <c r="T40" s="28"/>
      <c r="U40" s="28"/>
      <c r="V40" s="40"/>
      <c r="W40" s="58"/>
      <c r="X40" s="40"/>
      <c r="Y40" s="40"/>
      <c r="Z40" s="40"/>
      <c r="AA40" s="40"/>
      <c r="AB40" s="40"/>
      <c r="AC40" s="40"/>
    </row>
    <row r="41" spans="1:29" ht="10.9" customHeight="1" x14ac:dyDescent="0.2">
      <c r="A41" s="138" t="s">
        <v>63</v>
      </c>
      <c r="B41" s="138"/>
      <c r="C41" s="4"/>
      <c r="D41" s="139">
        <v>1074.99</v>
      </c>
      <c r="E41" s="139"/>
      <c r="F41" s="139"/>
      <c r="G41" s="4"/>
      <c r="H41" s="4"/>
      <c r="I41" s="139">
        <v>1074.99</v>
      </c>
      <c r="J41" s="139"/>
      <c r="K41" s="135"/>
      <c r="L41" s="135"/>
      <c r="M41" s="4"/>
      <c r="N41" s="139">
        <v>1074.99</v>
      </c>
      <c r="O41" s="139"/>
      <c r="P41" s="4"/>
      <c r="Q41" s="4"/>
      <c r="R41" s="12">
        <v>1075.03</v>
      </c>
      <c r="S41" s="12"/>
      <c r="T41" s="12">
        <v>1075.1099999999999</v>
      </c>
      <c r="U41" s="12"/>
      <c r="V41" s="35">
        <f t="shared" ref="V41:V46" si="4">SUM(D41:R41)</f>
        <v>4300</v>
      </c>
      <c r="W41" s="57"/>
      <c r="X41" s="35">
        <f>$V$41</f>
        <v>4300</v>
      </c>
      <c r="Y41" s="35">
        <f>$V$41</f>
        <v>4300</v>
      </c>
      <c r="Z41" s="35">
        <f>$V$41</f>
        <v>4300</v>
      </c>
      <c r="AA41" s="35">
        <f>$V$41</f>
        <v>4300</v>
      </c>
      <c r="AB41" s="35">
        <f>$V$41</f>
        <v>4300</v>
      </c>
      <c r="AC41" s="35">
        <f>$V$41</f>
        <v>4300</v>
      </c>
    </row>
    <row r="42" spans="1:29" ht="10.9" customHeight="1" x14ac:dyDescent="0.2">
      <c r="A42" s="138" t="s">
        <v>64</v>
      </c>
      <c r="B42" s="138"/>
      <c r="C42" s="4"/>
      <c r="D42" s="139">
        <v>10829.76</v>
      </c>
      <c r="E42" s="139"/>
      <c r="F42" s="139"/>
      <c r="G42" s="4"/>
      <c r="H42" s="4"/>
      <c r="I42" s="139">
        <v>10829.76</v>
      </c>
      <c r="J42" s="139"/>
      <c r="K42" s="135"/>
      <c r="L42" s="135"/>
      <c r="M42" s="4"/>
      <c r="N42" s="139">
        <v>10863.09</v>
      </c>
      <c r="O42" s="139"/>
      <c r="P42" s="4"/>
      <c r="Q42" s="4"/>
      <c r="R42" s="12">
        <v>10929.71</v>
      </c>
      <c r="S42" s="12"/>
      <c r="T42" s="12">
        <v>10929.63</v>
      </c>
      <c r="U42" s="12"/>
      <c r="V42" s="35">
        <f t="shared" si="4"/>
        <v>43452.32</v>
      </c>
      <c r="W42" s="57"/>
      <c r="X42" s="35">
        <f>$V$42</f>
        <v>43452.32</v>
      </c>
      <c r="Y42" s="35">
        <f>$V$42</f>
        <v>43452.32</v>
      </c>
      <c r="Z42" s="35">
        <f>$V$42</f>
        <v>43452.32</v>
      </c>
      <c r="AA42" s="35">
        <f>$V$42</f>
        <v>43452.32</v>
      </c>
      <c r="AB42" s="35">
        <f>$V$42</f>
        <v>43452.32</v>
      </c>
      <c r="AC42" s="35">
        <f>$V$42</f>
        <v>43452.32</v>
      </c>
    </row>
    <row r="43" spans="1:29" ht="10.9" customHeight="1" x14ac:dyDescent="0.2">
      <c r="A43" s="138" t="s">
        <v>65</v>
      </c>
      <c r="B43" s="138"/>
      <c r="C43" s="4"/>
      <c r="D43" s="139">
        <v>37194.83</v>
      </c>
      <c r="E43" s="139"/>
      <c r="F43" s="139"/>
      <c r="G43" s="4"/>
      <c r="H43" s="4"/>
      <c r="I43" s="139">
        <v>36783.230000000003</v>
      </c>
      <c r="J43" s="139"/>
      <c r="K43" s="135"/>
      <c r="L43" s="135"/>
      <c r="M43" s="4"/>
      <c r="N43" s="139">
        <v>35732.49</v>
      </c>
      <c r="O43" s="139"/>
      <c r="P43" s="4"/>
      <c r="Q43" s="4"/>
      <c r="R43" s="12">
        <v>27010.2</v>
      </c>
      <c r="S43" s="12"/>
      <c r="T43" s="12">
        <v>25586.5</v>
      </c>
      <c r="U43" s="12"/>
      <c r="V43" s="35">
        <f t="shared" si="4"/>
        <v>136720.75</v>
      </c>
      <c r="W43" s="57" t="s">
        <v>134</v>
      </c>
      <c r="X43" s="35">
        <f>SUM(Seller_Note_Schedule!$F$63:$F$74)</f>
        <v>100965.53</v>
      </c>
      <c r="Y43" s="35">
        <f>SUM(Seller_Note_Schedule!$F$63:$F$74)</f>
        <v>100965.53</v>
      </c>
      <c r="Z43" s="35">
        <f>SUM(Seller_Note_Schedule!$F$63:$F$74)</f>
        <v>100965.53</v>
      </c>
      <c r="AA43" s="35">
        <f>SUM(Seller_Note_Schedule!$F$63:$F$74)</f>
        <v>100965.53</v>
      </c>
      <c r="AB43" s="35">
        <f>SUM(Seller_Note_Schedule!$F$63:$F$74)</f>
        <v>100965.53</v>
      </c>
      <c r="AC43" s="35">
        <f>SUM(Seller_Note_Schedule!$F$63:$F$74)</f>
        <v>100965.53</v>
      </c>
    </row>
    <row r="44" spans="1:29" ht="10.9" customHeight="1" x14ac:dyDescent="0.2">
      <c r="A44" s="138" t="s">
        <v>66</v>
      </c>
      <c r="B44" s="138"/>
      <c r="C44" s="8"/>
      <c r="D44" s="157">
        <v>0</v>
      </c>
      <c r="E44" s="157"/>
      <c r="F44" s="157"/>
      <c r="G44" s="4"/>
      <c r="H44" s="8"/>
      <c r="I44" s="157">
        <v>0</v>
      </c>
      <c r="J44" s="157"/>
      <c r="K44" s="135"/>
      <c r="L44" s="135"/>
      <c r="M44" s="8"/>
      <c r="N44" s="157">
        <v>0</v>
      </c>
      <c r="O44" s="157"/>
      <c r="P44" s="4"/>
      <c r="Q44" s="8"/>
      <c r="R44" s="13">
        <v>2025.12</v>
      </c>
      <c r="S44" s="12"/>
      <c r="T44" s="14">
        <v>0</v>
      </c>
      <c r="U44" s="12"/>
      <c r="V44" s="43">
        <f t="shared" si="4"/>
        <v>2025.12</v>
      </c>
      <c r="W44" s="57" t="s">
        <v>135</v>
      </c>
      <c r="X44" s="43">
        <f>+((X38-X43-X41-X42)*0.2925)</f>
        <v>139912.85441250005</v>
      </c>
      <c r="Y44" s="43">
        <f>+((Y38-Y43-Y41-Y42)*0.2925)</f>
        <v>200605.78695397501</v>
      </c>
      <c r="Z44" s="43">
        <f>+((Z38-Z43-Z41-Z42)*0.2925)</f>
        <v>243002.13714562505</v>
      </c>
      <c r="AA44" s="43">
        <f>+((AA38-AA43-AA41-AA42)*0.2925)</f>
        <v>285398.48733727512</v>
      </c>
      <c r="AB44" s="43">
        <f>+((AB38-AB43-AB41-AB42)*0.2925)</f>
        <v>433785.71300804999</v>
      </c>
      <c r="AC44" s="43">
        <f>+((AC38-AC43-AC41-AC42)*0.2925)</f>
        <v>984938.26549950009</v>
      </c>
    </row>
    <row r="45" spans="1:29" ht="10.9" customHeight="1" x14ac:dyDescent="0.2">
      <c r="A45" s="154" t="s">
        <v>74</v>
      </c>
      <c r="B45" s="144"/>
      <c r="C45" s="19"/>
      <c r="D45" s="152">
        <v>49099.58</v>
      </c>
      <c r="E45" s="152"/>
      <c r="F45" s="152"/>
      <c r="G45" s="21"/>
      <c r="H45" s="19"/>
      <c r="I45" s="152">
        <v>48687.98</v>
      </c>
      <c r="J45" s="152"/>
      <c r="K45" s="146"/>
      <c r="L45" s="146"/>
      <c r="M45" s="19"/>
      <c r="N45" s="152">
        <v>47670.57</v>
      </c>
      <c r="O45" s="152"/>
      <c r="P45" s="21"/>
      <c r="Q45" s="19"/>
      <c r="R45" s="20">
        <v>41040.06</v>
      </c>
      <c r="S45" s="31"/>
      <c r="T45" s="20">
        <v>37591.24</v>
      </c>
      <c r="U45" s="31"/>
      <c r="V45" s="42">
        <f t="shared" si="4"/>
        <v>186498.19</v>
      </c>
      <c r="W45" s="57"/>
      <c r="X45" s="42">
        <f>SUM(X41:X44)</f>
        <v>288630.70441250002</v>
      </c>
      <c r="Y45" s="42">
        <f>SUM(Y41:Y44)</f>
        <v>349323.63695397502</v>
      </c>
      <c r="Z45" s="42">
        <f>SUM(Z41:Z44)</f>
        <v>391719.98714562505</v>
      </c>
      <c r="AA45" s="42">
        <f>SUM(AA41:AA44)</f>
        <v>434116.33733727515</v>
      </c>
      <c r="AB45" s="42">
        <f>SUM(AB41:AB44)</f>
        <v>582503.56300804997</v>
      </c>
      <c r="AC45" s="42">
        <f>SUM(AC41:AC44)</f>
        <v>1133656.1154995002</v>
      </c>
    </row>
    <row r="46" spans="1:29" ht="13.5" thickBot="1" x14ac:dyDescent="0.3">
      <c r="A46" s="148" t="s">
        <v>67</v>
      </c>
      <c r="B46" s="148"/>
      <c r="C46" s="22"/>
      <c r="D46" s="149">
        <v>-61974.87</v>
      </c>
      <c r="E46" s="149"/>
      <c r="F46" s="149"/>
      <c r="G46" s="29"/>
      <c r="H46" s="22"/>
      <c r="I46" s="149">
        <v>-23434.83</v>
      </c>
      <c r="J46" s="149"/>
      <c r="K46" s="155"/>
      <c r="L46" s="155"/>
      <c r="M46" s="22"/>
      <c r="N46" s="149">
        <v>2868.66</v>
      </c>
      <c r="O46" s="149"/>
      <c r="P46" s="29"/>
      <c r="Q46" s="22"/>
      <c r="R46" s="23">
        <v>2932.39</v>
      </c>
      <c r="S46" s="32"/>
      <c r="T46" s="23">
        <v>-21229.63</v>
      </c>
      <c r="U46" s="32"/>
      <c r="V46" s="44">
        <f t="shared" si="4"/>
        <v>-79608.650000000009</v>
      </c>
      <c r="W46" s="57"/>
      <c r="X46" s="44">
        <f>X38-X45</f>
        <v>338421.69058750023</v>
      </c>
      <c r="Y46" s="44">
        <f>Y38-Y45</f>
        <v>485225.96331602504</v>
      </c>
      <c r="Z46" s="44">
        <f>Z38-Z45</f>
        <v>587774.40010437509</v>
      </c>
      <c r="AA46" s="44">
        <f>AA38-AA45</f>
        <v>690322.83689272532</v>
      </c>
      <c r="AB46" s="44">
        <f>AB38-AB45</f>
        <v>1049242.3656519502</v>
      </c>
      <c r="AC46" s="44">
        <f>AC38-AC45</f>
        <v>2382372.0439005001</v>
      </c>
    </row>
    <row r="48" spans="1:29" x14ac:dyDescent="0.2">
      <c r="A48" s="154" t="s">
        <v>126</v>
      </c>
      <c r="B48" s="144"/>
      <c r="C48" s="19"/>
      <c r="D48" s="152"/>
      <c r="E48" s="152"/>
      <c r="F48" s="152"/>
      <c r="G48" s="21"/>
      <c r="H48" s="19"/>
      <c r="I48" s="152"/>
      <c r="J48" s="152"/>
      <c r="K48" s="146"/>
      <c r="L48" s="146"/>
      <c r="M48" s="19"/>
      <c r="N48" s="152"/>
      <c r="O48" s="152"/>
      <c r="P48" s="21"/>
      <c r="Q48" s="19"/>
      <c r="R48" s="20"/>
      <c r="S48" s="31"/>
      <c r="T48" s="31"/>
      <c r="U48" s="31"/>
      <c r="V48" s="31"/>
      <c r="W48" s="31"/>
      <c r="X48" s="42">
        <f>(Seller_Note_Schedule!$D$23*12)-X43</f>
        <v>395110.27</v>
      </c>
      <c r="Y48" s="42">
        <f>(Seller_Note_Schedule!$D$23*12)-Y43</f>
        <v>395110.27</v>
      </c>
      <c r="Z48" s="42">
        <f>(Seller_Note_Schedule!$D$23*12)-Z43</f>
        <v>395110.27</v>
      </c>
      <c r="AA48" s="42">
        <f>(Seller_Note_Schedule!$D$23*12)-AA43</f>
        <v>395110.27</v>
      </c>
      <c r="AB48" s="42">
        <f>(Seller_Note_Schedule!$D$23*12)-AB43</f>
        <v>395110.27</v>
      </c>
      <c r="AC48" s="42">
        <f>(Seller_Note_Schedule!$D$23*12)-AC43</f>
        <v>395110.27</v>
      </c>
    </row>
    <row r="49" spans="1:29" ht="13.5" thickBot="1" x14ac:dyDescent="0.3">
      <c r="A49" s="148" t="s">
        <v>127</v>
      </c>
      <c r="B49" s="148"/>
      <c r="C49" s="22"/>
      <c r="D49" s="149"/>
      <c r="E49" s="149"/>
      <c r="F49" s="149"/>
      <c r="G49" s="29"/>
      <c r="H49" s="22"/>
      <c r="I49" s="149"/>
      <c r="J49" s="149"/>
      <c r="K49" s="155"/>
      <c r="L49" s="155"/>
      <c r="M49" s="22"/>
      <c r="N49" s="149"/>
      <c r="O49" s="149"/>
      <c r="P49" s="29"/>
      <c r="Q49" s="22"/>
      <c r="R49" s="23"/>
      <c r="S49" s="32"/>
      <c r="T49" s="32"/>
      <c r="U49" s="32"/>
      <c r="V49" s="32"/>
      <c r="W49" s="32"/>
      <c r="X49" s="44">
        <f>X46-X48</f>
        <v>-56688.579412499792</v>
      </c>
      <c r="Y49" s="44">
        <f>Y46-Y48</f>
        <v>90115.693316025019</v>
      </c>
      <c r="Z49" s="44">
        <f>Z46-Z48</f>
        <v>192664.13010437507</v>
      </c>
      <c r="AA49" s="44">
        <f>AA46-AA48</f>
        <v>295212.5668927253</v>
      </c>
      <c r="AB49" s="44">
        <f>AB46-AB48</f>
        <v>654132.09565195022</v>
      </c>
      <c r="AC49" s="44">
        <f>AC46-AC48</f>
        <v>1987261.7739005</v>
      </c>
    </row>
    <row r="51" spans="1:29" x14ac:dyDescent="0.25">
      <c r="W51" s="5" t="s">
        <v>172</v>
      </c>
      <c r="X51" s="208">
        <f>X$38*3</f>
        <v>1881157.1850000008</v>
      </c>
      <c r="Y51" s="208">
        <f>Y$38*3</f>
        <v>2503648.8008099999</v>
      </c>
      <c r="Z51" s="208">
        <f t="shared" ref="Z51:AC51" si="5">Z$38*3</f>
        <v>2938483.1617500004</v>
      </c>
      <c r="AA51" s="208">
        <f t="shared" si="5"/>
        <v>3373317.5226900014</v>
      </c>
      <c r="AB51" s="208">
        <f t="shared" si="5"/>
        <v>4895237.7859800011</v>
      </c>
      <c r="AC51" s="208">
        <f t="shared" si="5"/>
        <v>10548084.4782</v>
      </c>
    </row>
    <row r="52" spans="1:29" x14ac:dyDescent="0.25">
      <c r="W52" s="5" t="s">
        <v>173</v>
      </c>
      <c r="X52" s="208">
        <f>X$38*5</f>
        <v>3135261.9750000015</v>
      </c>
      <c r="Y52" s="208">
        <f>Y$38*5</f>
        <v>4172748.0013500005</v>
      </c>
      <c r="Z52" s="208">
        <f t="shared" ref="Z52:AC52" si="6">Z$38*5</f>
        <v>4897471.9362500012</v>
      </c>
      <c r="AA52" s="208">
        <f t="shared" si="6"/>
        <v>5622195.8711500019</v>
      </c>
      <c r="AB52" s="208">
        <f t="shared" si="6"/>
        <v>8158729.6433000006</v>
      </c>
      <c r="AC52" s="208">
        <f t="shared" si="6"/>
        <v>17580140.797000002</v>
      </c>
    </row>
    <row r="53" spans="1:29" x14ac:dyDescent="0.25">
      <c r="W53" s="5" t="s">
        <v>174</v>
      </c>
      <c r="X53" s="208">
        <f>X10</f>
        <v>2995998.7600000002</v>
      </c>
      <c r="Y53" s="208">
        <f>Y10</f>
        <v>3445398.574</v>
      </c>
      <c r="Z53" s="208">
        <f>Z10</f>
        <v>3744998.45</v>
      </c>
      <c r="AA53" s="208">
        <f>AA10</f>
        <v>4044598.3260000008</v>
      </c>
      <c r="AB53" s="208">
        <f>AB10</f>
        <v>5093197.892</v>
      </c>
      <c r="AC53" s="208">
        <f>AC10</f>
        <v>8987996.2800000012</v>
      </c>
    </row>
    <row r="54" spans="1:29" x14ac:dyDescent="0.25">
      <c r="W54" s="5" t="s">
        <v>175</v>
      </c>
      <c r="X54" s="209">
        <f>AVERAGE(X51:X53)</f>
        <v>2670805.9733333341</v>
      </c>
      <c r="Y54" s="209">
        <f>AVERAGE(Y51:Y53)</f>
        <v>3373931.792053333</v>
      </c>
      <c r="Z54" s="209">
        <f>AVERAGE(Z51:Z53)</f>
        <v>3860317.8493333333</v>
      </c>
      <c r="AA54" s="209">
        <f>AVERAGE(AA51:AA53)</f>
        <v>4346703.906613335</v>
      </c>
      <c r="AB54" s="209">
        <f>AVERAGE(AB51:AB53)</f>
        <v>6049055.1070933342</v>
      </c>
      <c r="AC54" s="209">
        <f>AVERAGE(AC51:AC53)</f>
        <v>12372073.851733334</v>
      </c>
    </row>
    <row r="55" spans="1:29" x14ac:dyDescent="0.25">
      <c r="W55" s="211" t="s">
        <v>176</v>
      </c>
      <c r="X55" s="210">
        <f>MIN(X51:X53)</f>
        <v>1881157.1850000008</v>
      </c>
      <c r="Y55" s="210">
        <f>MIN(Y51:Y53)</f>
        <v>2503648.8008099999</v>
      </c>
      <c r="Z55" s="210">
        <f t="shared" ref="Z55:AC55" si="7">MIN(Z51:Z53)</f>
        <v>2938483.1617500004</v>
      </c>
      <c r="AA55" s="210">
        <f t="shared" si="7"/>
        <v>3373317.5226900014</v>
      </c>
      <c r="AB55" s="210">
        <f t="shared" si="7"/>
        <v>4895237.7859800011</v>
      </c>
      <c r="AC55" s="210">
        <f t="shared" si="7"/>
        <v>8987996.2800000012</v>
      </c>
    </row>
  </sheetData>
  <mergeCells count="191">
    <mergeCell ref="A7:T7"/>
    <mergeCell ref="A46:B46"/>
    <mergeCell ref="D46:F46"/>
    <mergeCell ref="I46:J46"/>
    <mergeCell ref="K46:L46"/>
    <mergeCell ref="N46:O46"/>
    <mergeCell ref="A45:B45"/>
    <mergeCell ref="D45:F45"/>
    <mergeCell ref="I45:J45"/>
    <mergeCell ref="K45:L45"/>
    <mergeCell ref="N45:O45"/>
    <mergeCell ref="A44:B44"/>
    <mergeCell ref="D44:F44"/>
    <mergeCell ref="I44:J44"/>
    <mergeCell ref="K44:L44"/>
    <mergeCell ref="N44:O44"/>
    <mergeCell ref="A43:B43"/>
    <mergeCell ref="D43:F43"/>
    <mergeCell ref="I43:J43"/>
    <mergeCell ref="K43:L43"/>
    <mergeCell ref="N43:O43"/>
    <mergeCell ref="A42:B42"/>
    <mergeCell ref="D42:F42"/>
    <mergeCell ref="I42:J42"/>
    <mergeCell ref="A48:B48"/>
    <mergeCell ref="D48:F48"/>
    <mergeCell ref="I48:J48"/>
    <mergeCell ref="K48:L48"/>
    <mergeCell ref="N48:O48"/>
    <mergeCell ref="A49:B49"/>
    <mergeCell ref="D49:F49"/>
    <mergeCell ref="I49:J49"/>
    <mergeCell ref="K49:L49"/>
    <mergeCell ref="N49:O49"/>
    <mergeCell ref="K42:L42"/>
    <mergeCell ref="N42:O42"/>
    <mergeCell ref="A41:B41"/>
    <mergeCell ref="D41:F41"/>
    <mergeCell ref="I41:J41"/>
    <mergeCell ref="K41:L41"/>
    <mergeCell ref="N41:O41"/>
    <mergeCell ref="A40:B40"/>
    <mergeCell ref="D40:F40"/>
    <mergeCell ref="I40:J40"/>
    <mergeCell ref="K40:L40"/>
    <mergeCell ref="N40:O40"/>
    <mergeCell ref="A38:B38"/>
    <mergeCell ref="D38:F38"/>
    <mergeCell ref="I38:J38"/>
    <mergeCell ref="K38:L38"/>
    <mergeCell ref="N38:O38"/>
    <mergeCell ref="A37:B37"/>
    <mergeCell ref="D37:F37"/>
    <mergeCell ref="I37:J37"/>
    <mergeCell ref="K37:L37"/>
    <mergeCell ref="N37:O37"/>
    <mergeCell ref="A36:B36"/>
    <mergeCell ref="D36:F36"/>
    <mergeCell ref="I36:J36"/>
    <mergeCell ref="K36:L36"/>
    <mergeCell ref="N36:O36"/>
    <mergeCell ref="A35:B35"/>
    <mergeCell ref="D35:F35"/>
    <mergeCell ref="I35:J35"/>
    <mergeCell ref="K35:L35"/>
    <mergeCell ref="N35:O35"/>
    <mergeCell ref="A34:B34"/>
    <mergeCell ref="D34:F34"/>
    <mergeCell ref="I34:J34"/>
    <mergeCell ref="K34:L34"/>
    <mergeCell ref="N34:O34"/>
    <mergeCell ref="A33:B33"/>
    <mergeCell ref="D33:F33"/>
    <mergeCell ref="I33:J33"/>
    <mergeCell ref="K33:L33"/>
    <mergeCell ref="N33:O33"/>
    <mergeCell ref="A31:B31"/>
    <mergeCell ref="D31:F31"/>
    <mergeCell ref="I31:J31"/>
    <mergeCell ref="K31:L31"/>
    <mergeCell ref="N31:O31"/>
    <mergeCell ref="A30:B30"/>
    <mergeCell ref="D30:F30"/>
    <mergeCell ref="I30:J30"/>
    <mergeCell ref="K30:L30"/>
    <mergeCell ref="N30:O30"/>
    <mergeCell ref="A29:B29"/>
    <mergeCell ref="D29:F29"/>
    <mergeCell ref="I29:J29"/>
    <mergeCell ref="K29:L29"/>
    <mergeCell ref="N29:O29"/>
    <mergeCell ref="A28:B28"/>
    <mergeCell ref="D28:F28"/>
    <mergeCell ref="I28:J28"/>
    <mergeCell ref="K28:L28"/>
    <mergeCell ref="N28:O28"/>
    <mergeCell ref="A27:B27"/>
    <mergeCell ref="D27:F27"/>
    <mergeCell ref="I27:J27"/>
    <mergeCell ref="K27:L27"/>
    <mergeCell ref="N27:O27"/>
    <mergeCell ref="A26:B26"/>
    <mergeCell ref="D26:F26"/>
    <mergeCell ref="I26:J26"/>
    <mergeCell ref="K26:L26"/>
    <mergeCell ref="N26:O26"/>
    <mergeCell ref="A25:B25"/>
    <mergeCell ref="D25:F25"/>
    <mergeCell ref="I25:J25"/>
    <mergeCell ref="K25:L25"/>
    <mergeCell ref="N25:O25"/>
    <mergeCell ref="A24:B24"/>
    <mergeCell ref="D24:F24"/>
    <mergeCell ref="I24:J24"/>
    <mergeCell ref="K24:L24"/>
    <mergeCell ref="N24:O24"/>
    <mergeCell ref="A23:B23"/>
    <mergeCell ref="D23:F23"/>
    <mergeCell ref="I23:J23"/>
    <mergeCell ref="K23:L23"/>
    <mergeCell ref="N23:O23"/>
    <mergeCell ref="A22:B22"/>
    <mergeCell ref="D22:F22"/>
    <mergeCell ref="I22:J22"/>
    <mergeCell ref="K22:L22"/>
    <mergeCell ref="N22:O22"/>
    <mergeCell ref="A21:B21"/>
    <mergeCell ref="D21:F21"/>
    <mergeCell ref="I21:J21"/>
    <mergeCell ref="K21:L21"/>
    <mergeCell ref="N21:O21"/>
    <mergeCell ref="A20:B20"/>
    <mergeCell ref="D20:F20"/>
    <mergeCell ref="I20:J20"/>
    <mergeCell ref="K20:L20"/>
    <mergeCell ref="N20:O20"/>
    <mergeCell ref="A19:B19"/>
    <mergeCell ref="D19:F19"/>
    <mergeCell ref="I19:J19"/>
    <mergeCell ref="K19:L19"/>
    <mergeCell ref="N19:O19"/>
    <mergeCell ref="A18:B18"/>
    <mergeCell ref="D18:F18"/>
    <mergeCell ref="I18:J18"/>
    <mergeCell ref="K18:L18"/>
    <mergeCell ref="N18:O18"/>
    <mergeCell ref="A17:B17"/>
    <mergeCell ref="D17:F17"/>
    <mergeCell ref="I17:J17"/>
    <mergeCell ref="K17:L17"/>
    <mergeCell ref="N17:O17"/>
    <mergeCell ref="A15:B15"/>
    <mergeCell ref="D15:F15"/>
    <mergeCell ref="I15:J15"/>
    <mergeCell ref="K15:L15"/>
    <mergeCell ref="N15:O15"/>
    <mergeCell ref="A14:B14"/>
    <mergeCell ref="D14:F14"/>
    <mergeCell ref="I14:J14"/>
    <mergeCell ref="K14:L14"/>
    <mergeCell ref="N14:O14"/>
    <mergeCell ref="A13:B13"/>
    <mergeCell ref="D13:F13"/>
    <mergeCell ref="I13:J13"/>
    <mergeCell ref="K13:L13"/>
    <mergeCell ref="N13:O13"/>
    <mergeCell ref="A12:B12"/>
    <mergeCell ref="D12:F12"/>
    <mergeCell ref="I12:J12"/>
    <mergeCell ref="K12:L12"/>
    <mergeCell ref="N12:O12"/>
    <mergeCell ref="A11:B11"/>
    <mergeCell ref="D11:F11"/>
    <mergeCell ref="I11:J11"/>
    <mergeCell ref="K11:L11"/>
    <mergeCell ref="N11:O11"/>
    <mergeCell ref="A8:C8"/>
    <mergeCell ref="D8:F8"/>
    <mergeCell ref="I8:J8"/>
    <mergeCell ref="K8:L8"/>
    <mergeCell ref="N8:O8"/>
    <mergeCell ref="A10:B10"/>
    <mergeCell ref="D10:F10"/>
    <mergeCell ref="I10:J10"/>
    <mergeCell ref="K10:L10"/>
    <mergeCell ref="N10:O10"/>
    <mergeCell ref="A9:B9"/>
    <mergeCell ref="D9:F9"/>
    <mergeCell ref="I9:J9"/>
    <mergeCell ref="K9:L9"/>
    <mergeCell ref="N9:O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DBF5D-2C6B-4DB7-8C46-8D5D26A4B714}">
  <dimension ref="A1:W67"/>
  <sheetViews>
    <sheetView workbookViewId="0">
      <selection activeCell="A15" sqref="A15:S15"/>
    </sheetView>
  </sheetViews>
  <sheetFormatPr defaultColWidth="8.85546875" defaultRowHeight="12.75" x14ac:dyDescent="0.25"/>
  <cols>
    <col min="1" max="1" width="4.7109375" style="5" customWidth="1"/>
    <col min="2" max="2" width="30.28515625" style="5" customWidth="1"/>
    <col min="3" max="3" width="5.7109375" style="5" customWidth="1"/>
    <col min="4" max="4" width="10.42578125" style="5" customWidth="1"/>
    <col min="5" max="5" width="3.28515625" style="5" customWidth="1"/>
    <col min="6" max="7" width="2.28515625" style="5" customWidth="1"/>
    <col min="8" max="8" width="5.7109375" style="5" customWidth="1"/>
    <col min="9" max="9" width="6.85546875" style="5" customWidth="1"/>
    <col min="10" max="10" width="9.28515625" style="5" customWidth="1"/>
    <col min="11" max="12" width="1.140625" style="5" customWidth="1"/>
    <col min="13" max="13" width="4.7109375" style="5" customWidth="1"/>
    <col min="14" max="14" width="12.7109375" style="5" customWidth="1"/>
    <col min="15" max="15" width="4.7109375" style="5" customWidth="1"/>
    <col min="16" max="16" width="2.28515625" style="5" customWidth="1"/>
    <col min="17" max="17" width="4.7109375" style="5" customWidth="1"/>
    <col min="18" max="18" width="17.28515625" style="5" customWidth="1"/>
    <col min="19" max="19" width="2.28515625" style="5" customWidth="1"/>
    <col min="20" max="20" width="4.7109375" style="5" customWidth="1"/>
    <col min="21" max="21" width="9.28515625" style="5" customWidth="1"/>
    <col min="22" max="22" width="8" style="5" customWidth="1"/>
    <col min="23" max="23" width="4.7109375" style="5" customWidth="1"/>
    <col min="24" max="24" width="11.5703125" style="5" customWidth="1"/>
    <col min="25" max="16384" width="8.85546875" style="5"/>
  </cols>
  <sheetData>
    <row r="1" spans="1:23" ht="65.45" customHeight="1" x14ac:dyDescent="0.25">
      <c r="A1" s="158" t="s">
        <v>1</v>
      </c>
      <c r="B1" s="158"/>
      <c r="C1" s="158"/>
      <c r="D1" s="158"/>
      <c r="E1" s="158"/>
      <c r="F1" s="158"/>
      <c r="G1" s="158"/>
      <c r="H1" s="158"/>
      <c r="I1" s="158"/>
      <c r="J1" s="158"/>
      <c r="K1" s="158"/>
      <c r="L1" s="158"/>
      <c r="M1" s="158"/>
      <c r="N1" s="158"/>
      <c r="O1" s="158"/>
      <c r="P1" s="158"/>
      <c r="Q1" s="158"/>
      <c r="R1" s="158"/>
      <c r="S1" s="158"/>
      <c r="T1" s="159"/>
      <c r="U1" s="159"/>
      <c r="V1" s="159"/>
      <c r="W1" s="159"/>
    </row>
    <row r="2" spans="1:23" ht="43.9" customHeight="1" x14ac:dyDescent="0.25">
      <c r="A2" s="160" t="s">
        <v>2</v>
      </c>
      <c r="B2" s="160"/>
      <c r="C2" s="160"/>
      <c r="D2" s="160"/>
      <c r="E2" s="160"/>
      <c r="F2" s="160"/>
      <c r="G2" s="160"/>
      <c r="H2" s="160"/>
      <c r="I2" s="160"/>
      <c r="J2" s="160"/>
      <c r="K2" s="160"/>
      <c r="L2" s="160"/>
      <c r="M2" s="160"/>
      <c r="N2" s="160"/>
      <c r="O2" s="160"/>
      <c r="P2" s="160"/>
      <c r="Q2" s="160"/>
      <c r="R2" s="160"/>
      <c r="S2" s="160"/>
      <c r="T2" s="159"/>
      <c r="U2" s="159"/>
      <c r="V2" s="159"/>
      <c r="W2" s="159"/>
    </row>
    <row r="3" spans="1:23" ht="11.25" customHeight="1" x14ac:dyDescent="0.2">
      <c r="A3" s="4"/>
      <c r="B3" s="161" t="s">
        <v>3</v>
      </c>
      <c r="C3" s="161"/>
      <c r="D3" s="161"/>
      <c r="E3" s="161"/>
      <c r="F3" s="161"/>
      <c r="G3" s="161"/>
      <c r="H3" s="161"/>
      <c r="I3" s="161"/>
      <c r="J3" s="162" t="s">
        <v>4</v>
      </c>
      <c r="K3" s="162"/>
      <c r="L3" s="163">
        <v>178684.17</v>
      </c>
      <c r="M3" s="163"/>
      <c r="N3" s="163"/>
      <c r="O3" s="163"/>
      <c r="P3" s="163"/>
      <c r="Q3" s="163"/>
      <c r="R3" s="163"/>
      <c r="S3" s="163"/>
      <c r="T3" s="163"/>
      <c r="U3" s="163"/>
      <c r="V3" s="163"/>
      <c r="W3" s="163"/>
    </row>
    <row r="4" spans="1:23" ht="15" customHeight="1" x14ac:dyDescent="0.2">
      <c r="A4" s="4"/>
      <c r="B4" s="161" t="s">
        <v>5</v>
      </c>
      <c r="C4" s="161"/>
      <c r="D4" s="161"/>
      <c r="E4" s="161"/>
      <c r="F4" s="161"/>
      <c r="G4" s="161"/>
      <c r="H4" s="161"/>
      <c r="I4" s="161"/>
      <c r="J4" s="135"/>
      <c r="K4" s="135"/>
      <c r="L4" s="163">
        <v>187239.33</v>
      </c>
      <c r="M4" s="163"/>
      <c r="N4" s="163"/>
      <c r="O4" s="163"/>
      <c r="P4" s="163"/>
      <c r="Q4" s="163"/>
      <c r="R4" s="163"/>
      <c r="S4" s="163"/>
      <c r="T4" s="163"/>
      <c r="U4" s="163"/>
      <c r="V4" s="163"/>
      <c r="W4" s="163"/>
    </row>
    <row r="5" spans="1:23" ht="25.9" customHeight="1" x14ac:dyDescent="0.25">
      <c r="A5" s="7"/>
      <c r="B5" s="164" t="s">
        <v>6</v>
      </c>
      <c r="C5" s="164"/>
      <c r="D5" s="164"/>
      <c r="E5" s="164"/>
      <c r="F5" s="164"/>
      <c r="G5" s="164"/>
      <c r="H5" s="164"/>
      <c r="I5" s="164"/>
      <c r="J5" s="165"/>
      <c r="K5" s="165"/>
      <c r="L5" s="166">
        <v>7993.43</v>
      </c>
      <c r="M5" s="166"/>
      <c r="N5" s="166"/>
      <c r="O5" s="166"/>
      <c r="P5" s="166"/>
      <c r="Q5" s="166"/>
      <c r="R5" s="166"/>
      <c r="S5" s="166"/>
      <c r="T5" s="166"/>
      <c r="U5" s="166"/>
      <c r="V5" s="166"/>
      <c r="W5" s="166"/>
    </row>
    <row r="6" spans="1:23" ht="16.899999999999999" customHeight="1" x14ac:dyDescent="0.25">
      <c r="A6" s="7"/>
      <c r="B6" s="161" t="s">
        <v>7</v>
      </c>
      <c r="C6" s="161"/>
      <c r="D6" s="161"/>
      <c r="E6" s="161"/>
      <c r="F6" s="161"/>
      <c r="G6" s="161"/>
      <c r="H6" s="161"/>
      <c r="I6" s="161"/>
      <c r="J6" s="165"/>
      <c r="K6" s="165"/>
      <c r="L6" s="167">
        <v>6912.99</v>
      </c>
      <c r="M6" s="167"/>
      <c r="N6" s="167"/>
      <c r="O6" s="167"/>
      <c r="P6" s="167"/>
      <c r="Q6" s="167"/>
      <c r="R6" s="167"/>
      <c r="S6" s="167"/>
      <c r="T6" s="167"/>
      <c r="U6" s="167"/>
      <c r="V6" s="167"/>
      <c r="W6" s="167"/>
    </row>
    <row r="7" spans="1:23" ht="13.9" customHeight="1" x14ac:dyDescent="0.2">
      <c r="A7" s="4"/>
      <c r="B7" s="161" t="s">
        <v>8</v>
      </c>
      <c r="C7" s="161"/>
      <c r="D7" s="161"/>
      <c r="E7" s="161"/>
      <c r="F7" s="161"/>
      <c r="G7" s="161"/>
      <c r="H7" s="161"/>
      <c r="I7" s="161"/>
      <c r="J7" s="135"/>
      <c r="K7" s="135"/>
      <c r="L7" s="168">
        <v>478833.89</v>
      </c>
      <c r="M7" s="168"/>
      <c r="N7" s="168"/>
      <c r="O7" s="168"/>
      <c r="P7" s="168"/>
      <c r="Q7" s="168"/>
      <c r="R7" s="168"/>
      <c r="S7" s="168"/>
      <c r="T7" s="168"/>
      <c r="U7" s="168"/>
      <c r="V7" s="168"/>
      <c r="W7" s="168"/>
    </row>
    <row r="8" spans="1:23" ht="13.9" customHeight="1" x14ac:dyDescent="0.2">
      <c r="A8" s="4"/>
      <c r="B8" s="161" t="s">
        <v>9</v>
      </c>
      <c r="C8" s="161"/>
      <c r="D8" s="161"/>
      <c r="E8" s="161"/>
      <c r="F8" s="161"/>
      <c r="G8" s="161"/>
      <c r="H8" s="161"/>
      <c r="I8" s="161"/>
      <c r="J8" s="135"/>
      <c r="K8" s="135"/>
      <c r="L8" s="167">
        <v>79595.360000000001</v>
      </c>
      <c r="M8" s="167"/>
      <c r="N8" s="167"/>
      <c r="O8" s="167"/>
      <c r="P8" s="167"/>
      <c r="Q8" s="167"/>
      <c r="R8" s="167"/>
      <c r="S8" s="167"/>
      <c r="T8" s="167"/>
      <c r="U8" s="167"/>
      <c r="V8" s="167"/>
      <c r="W8" s="167"/>
    </row>
    <row r="9" spans="1:23" ht="15" customHeight="1" x14ac:dyDescent="0.2">
      <c r="A9" s="4"/>
      <c r="B9" s="161" t="s">
        <v>10</v>
      </c>
      <c r="C9" s="161"/>
      <c r="D9" s="161"/>
      <c r="E9" s="161"/>
      <c r="F9" s="161"/>
      <c r="G9" s="161"/>
      <c r="H9" s="161"/>
      <c r="I9" s="161"/>
      <c r="J9" s="169"/>
      <c r="K9" s="169"/>
      <c r="L9" s="170">
        <v>-54138.720000000001</v>
      </c>
      <c r="M9" s="170"/>
      <c r="N9" s="170"/>
      <c r="O9" s="170"/>
      <c r="P9" s="170"/>
      <c r="Q9" s="170"/>
      <c r="R9" s="170"/>
      <c r="S9" s="170"/>
      <c r="T9" s="170"/>
      <c r="U9" s="170"/>
      <c r="V9" s="170"/>
      <c r="W9" s="170"/>
    </row>
    <row r="10" spans="1:23" ht="13.9" customHeight="1" x14ac:dyDescent="0.2">
      <c r="A10" s="4"/>
      <c r="B10" s="171" t="s">
        <v>11</v>
      </c>
      <c r="C10" s="171"/>
      <c r="D10" s="171"/>
      <c r="E10" s="171"/>
      <c r="F10" s="171"/>
      <c r="G10" s="171"/>
      <c r="H10" s="171"/>
      <c r="I10" s="171"/>
      <c r="J10" s="172" t="s">
        <v>4</v>
      </c>
      <c r="K10" s="172"/>
      <c r="L10" s="173">
        <v>511203.52</v>
      </c>
      <c r="M10" s="173"/>
      <c r="N10" s="173"/>
      <c r="O10" s="173"/>
      <c r="P10" s="173"/>
      <c r="Q10" s="173"/>
      <c r="R10" s="173"/>
      <c r="S10" s="173"/>
      <c r="T10" s="173"/>
      <c r="U10" s="173"/>
      <c r="V10" s="173"/>
      <c r="W10" s="173"/>
    </row>
    <row r="11" spans="1:23" ht="13.9" customHeight="1" x14ac:dyDescent="0.2">
      <c r="A11" s="4"/>
      <c r="B11" s="171" t="s">
        <v>12</v>
      </c>
      <c r="C11" s="171"/>
      <c r="D11" s="171"/>
      <c r="E11" s="171"/>
      <c r="F11" s="171"/>
      <c r="G11" s="171"/>
      <c r="H11" s="171"/>
      <c r="I11" s="171"/>
      <c r="J11" s="135"/>
      <c r="K11" s="135"/>
      <c r="L11" s="166">
        <v>11166.67</v>
      </c>
      <c r="M11" s="166"/>
      <c r="N11" s="166"/>
      <c r="O11" s="166"/>
      <c r="P11" s="166"/>
      <c r="Q11" s="166"/>
      <c r="R11" s="166"/>
      <c r="S11" s="166"/>
      <c r="T11" s="166"/>
      <c r="U11" s="166"/>
      <c r="V11" s="166"/>
      <c r="W11" s="166"/>
    </row>
    <row r="12" spans="1:23" ht="15" customHeight="1" x14ac:dyDescent="0.2">
      <c r="A12" s="4"/>
      <c r="B12" s="171" t="s">
        <v>13</v>
      </c>
      <c r="C12" s="171"/>
      <c r="D12" s="171"/>
      <c r="E12" s="171"/>
      <c r="F12" s="171"/>
      <c r="G12" s="171"/>
      <c r="H12" s="171"/>
      <c r="I12" s="171"/>
      <c r="J12" s="169"/>
      <c r="K12" s="169"/>
      <c r="L12" s="174">
        <v>59483.33</v>
      </c>
      <c r="M12" s="174"/>
      <c r="N12" s="174"/>
      <c r="O12" s="174"/>
      <c r="P12" s="174"/>
      <c r="Q12" s="174"/>
      <c r="R12" s="174"/>
      <c r="S12" s="174"/>
      <c r="T12" s="174"/>
      <c r="U12" s="174"/>
      <c r="V12" s="174"/>
      <c r="W12" s="174"/>
    </row>
    <row r="13" spans="1:23" ht="15" customHeight="1" x14ac:dyDescent="0.2">
      <c r="A13" s="4"/>
      <c r="B13" s="175" t="s">
        <v>14</v>
      </c>
      <c r="C13" s="175"/>
      <c r="D13" s="175"/>
      <c r="E13" s="175"/>
      <c r="F13" s="175"/>
      <c r="G13" s="175"/>
      <c r="H13" s="175"/>
      <c r="I13" s="175"/>
      <c r="J13" s="176" t="s">
        <v>4</v>
      </c>
      <c r="K13" s="176"/>
      <c r="L13" s="177">
        <v>955770.45</v>
      </c>
      <c r="M13" s="177"/>
      <c r="N13" s="177"/>
      <c r="O13" s="177"/>
      <c r="P13" s="177"/>
      <c r="Q13" s="177"/>
      <c r="R13" s="177"/>
      <c r="S13" s="177"/>
      <c r="T13" s="177"/>
      <c r="U13" s="177"/>
      <c r="V13" s="177"/>
      <c r="W13" s="177"/>
    </row>
    <row r="14" spans="1:23" ht="18" customHeight="1" x14ac:dyDescent="0.25">
      <c r="A14" s="7"/>
      <c r="B14" s="175" t="s">
        <v>15</v>
      </c>
      <c r="C14" s="175"/>
      <c r="D14" s="175"/>
      <c r="E14" s="175"/>
      <c r="F14" s="175"/>
      <c r="G14" s="175"/>
      <c r="H14" s="175"/>
      <c r="I14" s="175"/>
      <c r="J14" s="181"/>
      <c r="K14" s="181"/>
      <c r="L14" s="181"/>
      <c r="M14" s="181"/>
      <c r="N14" s="181"/>
      <c r="O14" s="181"/>
      <c r="P14" s="181"/>
      <c r="Q14" s="181"/>
      <c r="R14" s="181"/>
      <c r="S14" s="181"/>
      <c r="T14" s="181"/>
      <c r="U14" s="181"/>
      <c r="V14" s="181"/>
      <c r="W14" s="181"/>
    </row>
    <row r="15" spans="1:23" ht="43.15" customHeight="1" x14ac:dyDescent="0.25">
      <c r="A15" s="182" t="s">
        <v>16</v>
      </c>
      <c r="B15" s="182"/>
      <c r="C15" s="182"/>
      <c r="D15" s="182"/>
      <c r="E15" s="182"/>
      <c r="F15" s="182"/>
      <c r="G15" s="182"/>
      <c r="H15" s="182"/>
      <c r="I15" s="182"/>
      <c r="J15" s="182"/>
      <c r="K15" s="182"/>
      <c r="L15" s="182"/>
      <c r="M15" s="182"/>
      <c r="N15" s="182"/>
      <c r="O15" s="182"/>
      <c r="P15" s="182"/>
      <c r="Q15" s="182"/>
      <c r="R15" s="182"/>
      <c r="S15" s="182"/>
      <c r="T15" s="159"/>
      <c r="U15" s="159"/>
      <c r="V15" s="159"/>
      <c r="W15" s="159"/>
    </row>
    <row r="16" spans="1:23" ht="11.25" customHeight="1" x14ac:dyDescent="0.2">
      <c r="A16" s="4"/>
      <c r="B16" s="178" t="s">
        <v>17</v>
      </c>
      <c r="C16" s="178"/>
      <c r="D16" s="178"/>
      <c r="E16" s="178"/>
      <c r="F16" s="178"/>
      <c r="G16" s="178"/>
      <c r="H16" s="178"/>
      <c r="I16" s="178"/>
      <c r="J16" s="179" t="s">
        <v>18</v>
      </c>
      <c r="K16" s="179"/>
      <c r="L16" s="180">
        <v>178736.87</v>
      </c>
      <c r="M16" s="180"/>
      <c r="N16" s="180"/>
      <c r="O16" s="135"/>
      <c r="P16" s="135"/>
      <c r="Q16" s="135"/>
      <c r="R16" s="135"/>
      <c r="S16" s="135"/>
      <c r="T16" s="135"/>
      <c r="U16" s="135"/>
      <c r="V16" s="135"/>
      <c r="W16" s="135"/>
    </row>
    <row r="17" spans="1:23" ht="15" customHeight="1" x14ac:dyDescent="0.2">
      <c r="A17" s="4"/>
      <c r="B17" s="178" t="s">
        <v>19</v>
      </c>
      <c r="C17" s="178"/>
      <c r="D17" s="178"/>
      <c r="E17" s="178"/>
      <c r="F17" s="178"/>
      <c r="G17" s="178"/>
      <c r="H17" s="178"/>
      <c r="I17" s="178"/>
      <c r="J17" s="135"/>
      <c r="K17" s="135"/>
      <c r="L17" s="180">
        <v>203955.41</v>
      </c>
      <c r="M17" s="180"/>
      <c r="N17" s="180"/>
      <c r="O17" s="135"/>
      <c r="P17" s="135"/>
      <c r="Q17" s="135"/>
      <c r="R17" s="135"/>
      <c r="S17" s="135"/>
      <c r="T17" s="135"/>
      <c r="U17" s="135"/>
      <c r="V17" s="135"/>
      <c r="W17" s="135"/>
    </row>
    <row r="18" spans="1:23" ht="13.9" customHeight="1" x14ac:dyDescent="0.2">
      <c r="A18" s="4"/>
      <c r="B18" s="183" t="s">
        <v>20</v>
      </c>
      <c r="C18" s="183"/>
      <c r="D18" s="183"/>
      <c r="E18" s="183"/>
      <c r="F18" s="183"/>
      <c r="G18" s="183"/>
      <c r="H18" s="183"/>
      <c r="I18" s="183"/>
      <c r="J18" s="135"/>
      <c r="K18" s="135"/>
      <c r="L18" s="180">
        <v>3867.84</v>
      </c>
      <c r="M18" s="180"/>
      <c r="N18" s="180"/>
      <c r="O18" s="135"/>
      <c r="P18" s="135"/>
      <c r="Q18" s="135"/>
      <c r="R18" s="135"/>
      <c r="S18" s="135"/>
      <c r="T18" s="135"/>
      <c r="U18" s="135"/>
      <c r="V18" s="135"/>
      <c r="W18" s="135"/>
    </row>
    <row r="19" spans="1:23" ht="13.9" customHeight="1" x14ac:dyDescent="0.2">
      <c r="A19" s="4"/>
      <c r="B19" s="178" t="s">
        <v>21</v>
      </c>
      <c r="C19" s="178"/>
      <c r="D19" s="178"/>
      <c r="E19" s="178"/>
      <c r="F19" s="178"/>
      <c r="G19" s="178"/>
      <c r="H19" s="178"/>
      <c r="I19" s="178"/>
      <c r="J19" s="135"/>
      <c r="K19" s="135"/>
      <c r="L19" s="180">
        <v>54163.37</v>
      </c>
      <c r="M19" s="180"/>
      <c r="N19" s="180"/>
      <c r="O19" s="135"/>
      <c r="P19" s="135"/>
      <c r="Q19" s="135"/>
      <c r="R19" s="135"/>
      <c r="S19" s="135"/>
      <c r="T19" s="135"/>
      <c r="U19" s="135"/>
      <c r="V19" s="135"/>
      <c r="W19" s="135"/>
    </row>
    <row r="20" spans="1:23" ht="15" customHeight="1" x14ac:dyDescent="0.2">
      <c r="A20" s="4"/>
      <c r="B20" s="178" t="s">
        <v>22</v>
      </c>
      <c r="C20" s="178"/>
      <c r="D20" s="178"/>
      <c r="E20" s="178"/>
      <c r="F20" s="178"/>
      <c r="G20" s="178"/>
      <c r="H20" s="178"/>
      <c r="I20" s="178"/>
      <c r="J20" s="169"/>
      <c r="K20" s="169"/>
      <c r="L20" s="184">
        <v>250001</v>
      </c>
      <c r="M20" s="184"/>
      <c r="N20" s="184"/>
      <c r="O20" s="135"/>
      <c r="P20" s="135"/>
      <c r="Q20" s="135"/>
      <c r="R20" s="135"/>
      <c r="S20" s="135"/>
      <c r="T20" s="135"/>
      <c r="U20" s="135"/>
      <c r="V20" s="135"/>
      <c r="W20" s="135"/>
    </row>
    <row r="21" spans="1:23" ht="45" customHeight="1" x14ac:dyDescent="0.25">
      <c r="A21" s="6"/>
      <c r="B21" s="186" t="s">
        <v>23</v>
      </c>
      <c r="C21" s="186"/>
      <c r="D21" s="186"/>
      <c r="E21" s="186"/>
      <c r="F21" s="186"/>
      <c r="G21" s="186"/>
      <c r="H21" s="186"/>
      <c r="I21" s="186"/>
      <c r="J21" s="176" t="s">
        <v>4</v>
      </c>
      <c r="K21" s="176"/>
      <c r="L21" s="187" t="s">
        <v>24</v>
      </c>
      <c r="M21" s="187"/>
      <c r="N21" s="187"/>
      <c r="O21" s="159"/>
      <c r="P21" s="159"/>
      <c r="Q21" s="159"/>
      <c r="R21" s="159"/>
      <c r="S21" s="159"/>
      <c r="T21" s="159"/>
      <c r="U21" s="159"/>
      <c r="V21" s="159"/>
      <c r="W21" s="159"/>
    </row>
    <row r="22" spans="1:23" ht="13.9" customHeight="1" x14ac:dyDescent="0.2">
      <c r="A22" s="4"/>
      <c r="B22" s="161" t="s">
        <v>25</v>
      </c>
      <c r="C22" s="161"/>
      <c r="D22" s="161"/>
      <c r="E22" s="161"/>
      <c r="F22" s="161"/>
      <c r="G22" s="161"/>
      <c r="H22" s="161"/>
      <c r="I22" s="161"/>
      <c r="J22" s="176" t="s">
        <v>4</v>
      </c>
      <c r="K22" s="176"/>
      <c r="L22" s="185">
        <v>989686.46</v>
      </c>
      <c r="M22" s="185"/>
      <c r="N22" s="185"/>
      <c r="O22" s="135"/>
      <c r="P22" s="135"/>
      <c r="Q22" s="135"/>
      <c r="R22" s="135"/>
      <c r="S22" s="135"/>
      <c r="T22" s="135"/>
      <c r="U22" s="135"/>
      <c r="V22" s="135"/>
      <c r="W22" s="135"/>
    </row>
    <row r="23" spans="1:23" ht="13.9" customHeight="1" x14ac:dyDescent="0.2">
      <c r="A23" s="4"/>
      <c r="B23" s="171" t="s">
        <v>26</v>
      </c>
      <c r="C23" s="171"/>
      <c r="D23" s="171"/>
      <c r="E23" s="171"/>
      <c r="F23" s="171"/>
      <c r="G23" s="171"/>
      <c r="H23" s="171"/>
      <c r="I23" s="171"/>
      <c r="J23" s="172" t="s">
        <v>4</v>
      </c>
      <c r="K23" s="172"/>
      <c r="L23" s="189">
        <v>1680410.95</v>
      </c>
      <c r="M23" s="189"/>
      <c r="N23" s="189"/>
      <c r="O23" s="135"/>
      <c r="P23" s="135"/>
      <c r="Q23" s="135"/>
      <c r="R23" s="135"/>
      <c r="S23" s="135"/>
      <c r="T23" s="135"/>
      <c r="U23" s="135"/>
      <c r="V23" s="135"/>
      <c r="W23" s="135"/>
    </row>
    <row r="24" spans="1:23" ht="15" customHeight="1" x14ac:dyDescent="0.2">
      <c r="A24" s="4"/>
      <c r="B24" s="171" t="s">
        <v>27</v>
      </c>
      <c r="C24" s="171"/>
      <c r="D24" s="171"/>
      <c r="E24" s="171"/>
      <c r="F24" s="171"/>
      <c r="G24" s="171"/>
      <c r="H24" s="171"/>
      <c r="I24" s="171"/>
      <c r="J24" s="169"/>
      <c r="K24" s="169"/>
      <c r="L24" s="190">
        <v>-724640.5</v>
      </c>
      <c r="M24" s="190"/>
      <c r="N24" s="190"/>
      <c r="O24" s="135"/>
      <c r="P24" s="135"/>
      <c r="Q24" s="135"/>
      <c r="R24" s="135"/>
      <c r="S24" s="135"/>
      <c r="T24" s="135"/>
      <c r="U24" s="135"/>
      <c r="V24" s="135"/>
      <c r="W24" s="135"/>
    </row>
    <row r="25" spans="1:23" ht="15.4" customHeight="1" x14ac:dyDescent="0.2">
      <c r="A25" s="4"/>
      <c r="B25" s="175" t="s">
        <v>28</v>
      </c>
      <c r="C25" s="175"/>
      <c r="D25" s="175"/>
      <c r="E25" s="175"/>
      <c r="F25" s="175"/>
      <c r="G25" s="175"/>
      <c r="H25" s="175"/>
      <c r="I25" s="175"/>
      <c r="J25" s="176" t="s">
        <v>4</v>
      </c>
      <c r="K25" s="176"/>
      <c r="L25" s="185">
        <v>955770.45</v>
      </c>
      <c r="M25" s="185"/>
      <c r="N25" s="185"/>
      <c r="O25" s="135"/>
      <c r="P25" s="135"/>
      <c r="Q25" s="135"/>
      <c r="R25" s="135"/>
      <c r="S25" s="135"/>
      <c r="T25" s="135"/>
      <c r="U25" s="135"/>
      <c r="V25" s="135"/>
      <c r="W25" s="135"/>
    </row>
    <row r="26" spans="1:23" ht="125.65" customHeight="1" x14ac:dyDescent="0.25">
      <c r="A26" s="188" t="s">
        <v>29</v>
      </c>
      <c r="B26" s="188"/>
      <c r="C26" s="188"/>
      <c r="D26" s="188"/>
      <c r="E26" s="188"/>
      <c r="F26" s="188"/>
      <c r="G26" s="188"/>
      <c r="H26" s="188"/>
      <c r="I26" s="188"/>
      <c r="J26" s="188"/>
      <c r="K26" s="188"/>
      <c r="L26" s="188"/>
      <c r="M26" s="188"/>
      <c r="N26" s="188"/>
      <c r="O26" s="188"/>
      <c r="P26" s="188"/>
      <c r="Q26" s="188"/>
      <c r="R26" s="188"/>
      <c r="S26" s="188"/>
      <c r="T26" s="159"/>
      <c r="U26" s="159"/>
      <c r="V26" s="159"/>
      <c r="W26" s="159"/>
    </row>
    <row r="27" spans="1:23" ht="26.25" customHeight="1" x14ac:dyDescent="0.25"/>
    <row r="28" spans="1:23" ht="85.15" customHeight="1" x14ac:dyDescent="0.25"/>
    <row r="29" spans="1:23" ht="37.5" customHeight="1" x14ac:dyDescent="0.25"/>
    <row r="30" spans="1:23" ht="9" customHeight="1" x14ac:dyDescent="0.25"/>
    <row r="31" spans="1:23" ht="10.9" customHeight="1" x14ac:dyDescent="0.25"/>
    <row r="32" spans="1:23" ht="10.9" customHeight="1" x14ac:dyDescent="0.25"/>
    <row r="33" ht="10.9" customHeight="1" x14ac:dyDescent="0.25"/>
    <row r="34" ht="10.9" customHeight="1" x14ac:dyDescent="0.25"/>
    <row r="35" ht="10.9" customHeight="1" x14ac:dyDescent="0.25"/>
    <row r="36" ht="10.9" customHeight="1" x14ac:dyDescent="0.25"/>
    <row r="37" ht="10.9" customHeight="1" x14ac:dyDescent="0.25"/>
    <row r="38" ht="10.15" customHeight="1" x14ac:dyDescent="0.25"/>
    <row r="39" ht="10.9" customHeight="1" x14ac:dyDescent="0.25"/>
    <row r="40" ht="10.9" customHeight="1" x14ac:dyDescent="0.25"/>
    <row r="41" ht="10.9" customHeight="1" x14ac:dyDescent="0.25"/>
    <row r="42" ht="10.9" customHeight="1" x14ac:dyDescent="0.25"/>
    <row r="43" ht="10.9" customHeight="1" x14ac:dyDescent="0.25"/>
    <row r="44" ht="10.9" customHeight="1" x14ac:dyDescent="0.25"/>
    <row r="45" ht="10.9" customHeight="1" x14ac:dyDescent="0.25"/>
    <row r="46" ht="10.9" customHeight="1" x14ac:dyDescent="0.25"/>
    <row r="47" ht="10.9" customHeight="1" x14ac:dyDescent="0.25"/>
    <row r="48" ht="10.9" customHeight="1" x14ac:dyDescent="0.25"/>
    <row r="49" ht="10.9" customHeight="1" x14ac:dyDescent="0.25"/>
    <row r="50" ht="10.9" customHeight="1" x14ac:dyDescent="0.25"/>
    <row r="51" ht="10.9" customHeight="1" x14ac:dyDescent="0.25"/>
    <row r="52" ht="10.15" customHeight="1" x14ac:dyDescent="0.25"/>
    <row r="53" ht="10.9" customHeight="1" x14ac:dyDescent="0.25"/>
    <row r="54" ht="10.9" customHeight="1" x14ac:dyDescent="0.25"/>
    <row r="55" ht="10.9" customHeight="1" x14ac:dyDescent="0.25"/>
    <row r="56" ht="10.9" customHeight="1" x14ac:dyDescent="0.25"/>
    <row r="57" ht="10.9" customHeight="1" x14ac:dyDescent="0.25"/>
    <row r="58" ht="10.9" customHeight="1" x14ac:dyDescent="0.25"/>
    <row r="59" ht="10.9" customHeight="1" x14ac:dyDescent="0.25"/>
    <row r="60" ht="10.9" customHeight="1" x14ac:dyDescent="0.25"/>
    <row r="61" ht="10.9" customHeight="1" x14ac:dyDescent="0.25"/>
    <row r="62" ht="10.9" customHeight="1" x14ac:dyDescent="0.25"/>
    <row r="63" ht="10.9" customHeight="1" x14ac:dyDescent="0.25"/>
    <row r="64" ht="10.9" customHeight="1" x14ac:dyDescent="0.25"/>
    <row r="65" ht="42.4" customHeight="1" x14ac:dyDescent="0.25"/>
    <row r="66" ht="12" customHeight="1" x14ac:dyDescent="0.25"/>
    <row r="67" ht="16.5" customHeight="1" x14ac:dyDescent="0.25"/>
  </sheetData>
  <mergeCells count="94">
    <mergeCell ref="T25:W25"/>
    <mergeCell ref="A26:S26"/>
    <mergeCell ref="T26:W26"/>
    <mergeCell ref="B23:I23"/>
    <mergeCell ref="J23:K23"/>
    <mergeCell ref="L23:N23"/>
    <mergeCell ref="O23:S23"/>
    <mergeCell ref="T23:W23"/>
    <mergeCell ref="B24:I24"/>
    <mergeCell ref="J24:K24"/>
    <mergeCell ref="L24:N24"/>
    <mergeCell ref="O24:S24"/>
    <mergeCell ref="T24:W24"/>
    <mergeCell ref="B25:I25"/>
    <mergeCell ref="J25:K25"/>
    <mergeCell ref="L25:N25"/>
    <mergeCell ref="O25:S25"/>
    <mergeCell ref="B21:I21"/>
    <mergeCell ref="J21:K21"/>
    <mergeCell ref="L21:N21"/>
    <mergeCell ref="O21:S21"/>
    <mergeCell ref="T21:W21"/>
    <mergeCell ref="B22:I22"/>
    <mergeCell ref="J22:K22"/>
    <mergeCell ref="L22:N22"/>
    <mergeCell ref="O22:S22"/>
    <mergeCell ref="T22:W22"/>
    <mergeCell ref="B19:I19"/>
    <mergeCell ref="J19:K19"/>
    <mergeCell ref="L19:N19"/>
    <mergeCell ref="O19:S19"/>
    <mergeCell ref="T19:W19"/>
    <mergeCell ref="B20:I20"/>
    <mergeCell ref="J20:K20"/>
    <mergeCell ref="L20:N20"/>
    <mergeCell ref="O20:S20"/>
    <mergeCell ref="T20:W20"/>
    <mergeCell ref="B17:I17"/>
    <mergeCell ref="J17:K17"/>
    <mergeCell ref="L17:N17"/>
    <mergeCell ref="O17:S17"/>
    <mergeCell ref="T17:W17"/>
    <mergeCell ref="B18:I18"/>
    <mergeCell ref="J18:K18"/>
    <mergeCell ref="L18:N18"/>
    <mergeCell ref="O18:S18"/>
    <mergeCell ref="T18:W18"/>
    <mergeCell ref="B14:I14"/>
    <mergeCell ref="J14:K14"/>
    <mergeCell ref="L14:W14"/>
    <mergeCell ref="A15:S15"/>
    <mergeCell ref="T15:W15"/>
    <mergeCell ref="B16:I16"/>
    <mergeCell ref="J16:K16"/>
    <mergeCell ref="L16:N16"/>
    <mergeCell ref="O16:S16"/>
    <mergeCell ref="T16:W16"/>
    <mergeCell ref="B12:I12"/>
    <mergeCell ref="J12:K12"/>
    <mergeCell ref="L12:W12"/>
    <mergeCell ref="B13:I13"/>
    <mergeCell ref="J13:K13"/>
    <mergeCell ref="L13:W13"/>
    <mergeCell ref="B10:I10"/>
    <mergeCell ref="J10:K10"/>
    <mergeCell ref="L10:W10"/>
    <mergeCell ref="B11:I11"/>
    <mergeCell ref="J11:K11"/>
    <mergeCell ref="L11:W11"/>
    <mergeCell ref="B8:I8"/>
    <mergeCell ref="J8:K8"/>
    <mergeCell ref="L8:W8"/>
    <mergeCell ref="B9:I9"/>
    <mergeCell ref="J9:K9"/>
    <mergeCell ref="L9:W9"/>
    <mergeCell ref="B6:I6"/>
    <mergeCell ref="J6:K6"/>
    <mergeCell ref="L6:W6"/>
    <mergeCell ref="B7:I7"/>
    <mergeCell ref="J7:K7"/>
    <mergeCell ref="L7:W7"/>
    <mergeCell ref="B4:I4"/>
    <mergeCell ref="J4:K4"/>
    <mergeCell ref="L4:W4"/>
    <mergeCell ref="B5:I5"/>
    <mergeCell ref="J5:K5"/>
    <mergeCell ref="L5:W5"/>
    <mergeCell ref="A1:S1"/>
    <mergeCell ref="T1:W1"/>
    <mergeCell ref="A2:S2"/>
    <mergeCell ref="T2:W2"/>
    <mergeCell ref="B3:I3"/>
    <mergeCell ref="J3:K3"/>
    <mergeCell ref="L3:W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62FB9-819B-4765-AEF0-E468EDE2469F}">
  <sheetPr>
    <pageSetUpPr fitToPage="1"/>
  </sheetPr>
  <dimension ref="A1:L843"/>
  <sheetViews>
    <sheetView showGridLines="0" topLeftCell="A7" zoomScale="145" zoomScaleNormal="145" workbookViewId="0">
      <selection activeCell="D24" sqref="D24"/>
    </sheetView>
  </sheetViews>
  <sheetFormatPr defaultColWidth="9.140625" defaultRowHeight="12.75" x14ac:dyDescent="0.2"/>
  <cols>
    <col min="1" max="1" width="6.42578125" style="68" customWidth="1"/>
    <col min="2" max="2" width="9.42578125" style="68" customWidth="1"/>
    <col min="3" max="3" width="12.140625" style="68" customWidth="1"/>
    <col min="4" max="4" width="14.85546875" style="68" bestFit="1" customWidth="1"/>
    <col min="5" max="5" width="5.28515625" style="68" customWidth="1"/>
    <col min="6" max="6" width="10.7109375" style="68" customWidth="1"/>
    <col min="7" max="7" width="11.85546875" style="68" customWidth="1"/>
    <col min="8" max="8" width="15.7109375" style="68" customWidth="1"/>
    <col min="9" max="9" width="6.42578125" style="68" customWidth="1"/>
    <col min="10" max="10" width="37.42578125" style="68" customWidth="1"/>
    <col min="11" max="11" width="6.140625" style="68" customWidth="1"/>
    <col min="12" max="12" width="16.42578125" style="68" hidden="1" customWidth="1"/>
    <col min="13" max="13" width="11.85546875" style="68" customWidth="1"/>
    <col min="14" max="16384" width="9.140625" style="68"/>
  </cols>
  <sheetData>
    <row r="1" spans="1:12" ht="30" customHeight="1" x14ac:dyDescent="0.35">
      <c r="A1" s="65" t="s">
        <v>75</v>
      </c>
      <c r="B1" s="66"/>
      <c r="C1" s="66"/>
      <c r="D1" s="66"/>
      <c r="E1" s="66"/>
      <c r="F1" s="66"/>
      <c r="G1" s="67"/>
      <c r="H1" s="67"/>
    </row>
    <row r="2" spans="1:12" ht="12.75" customHeight="1" x14ac:dyDescent="0.2">
      <c r="A2" s="46" t="s">
        <v>76</v>
      </c>
      <c r="B2" s="69"/>
      <c r="C2" s="69"/>
      <c r="D2" s="69"/>
      <c r="E2" s="69"/>
      <c r="F2" s="69"/>
      <c r="G2" s="69"/>
      <c r="H2" s="70" t="str">
        <f ca="1">"© 2008-" &amp; YEAR(TODAY()) &amp; " Vertex42 LLC"</f>
        <v>© 2008-2025 Vertex42 LLC</v>
      </c>
    </row>
    <row r="4" spans="1:12" hidden="1" x14ac:dyDescent="0.2"/>
    <row r="5" spans="1:12" hidden="1" x14ac:dyDescent="0.2"/>
    <row r="7" spans="1:12" ht="14.25" x14ac:dyDescent="0.2">
      <c r="A7" s="71" t="s">
        <v>77</v>
      </c>
      <c r="B7" s="72"/>
      <c r="C7" s="72"/>
      <c r="D7" s="72"/>
      <c r="F7" s="71" t="s">
        <v>78</v>
      </c>
      <c r="G7" s="73"/>
      <c r="H7" s="73"/>
      <c r="J7" s="74" t="s">
        <v>79</v>
      </c>
      <c r="L7" s="75" t="s">
        <v>80</v>
      </c>
    </row>
    <row r="8" spans="1:12" ht="15" customHeight="1" x14ac:dyDescent="0.2">
      <c r="A8" s="69"/>
      <c r="B8" s="69"/>
      <c r="C8" s="76" t="s">
        <v>81</v>
      </c>
      <c r="D8" s="47">
        <v>1300000</v>
      </c>
      <c r="G8" s="77" t="s">
        <v>82</v>
      </c>
      <c r="H8" s="48">
        <f>((1+D9/D17)^(D17/D16))-1</f>
        <v>7.5000000000000622E-3</v>
      </c>
      <c r="J8" s="191" t="s">
        <v>83</v>
      </c>
      <c r="L8" s="68" t="s">
        <v>84</v>
      </c>
    </row>
    <row r="9" spans="1:12" ht="15" customHeight="1" x14ac:dyDescent="0.2">
      <c r="A9" s="69"/>
      <c r="B9" s="69"/>
      <c r="C9" s="76" t="s">
        <v>85</v>
      </c>
      <c r="D9" s="49">
        <v>0.09</v>
      </c>
      <c r="G9" s="77" t="s">
        <v>86</v>
      </c>
      <c r="H9" s="50">
        <f>SUM(F63:F842)+SUM(G63:G842)</f>
        <v>1488227.5100000002</v>
      </c>
      <c r="J9" s="192"/>
      <c r="L9" s="68" t="s">
        <v>87</v>
      </c>
    </row>
    <row r="10" spans="1:12" ht="15" customHeight="1" x14ac:dyDescent="0.2">
      <c r="A10" s="69"/>
      <c r="B10" s="69"/>
      <c r="C10" s="76" t="s">
        <v>88</v>
      </c>
      <c r="D10" s="78">
        <v>3</v>
      </c>
      <c r="G10" s="77" t="s">
        <v>89</v>
      </c>
      <c r="H10" s="50">
        <f>SUM(F62:F842)</f>
        <v>188227.50999999998</v>
      </c>
      <c r="J10" s="192"/>
      <c r="L10" s="68" t="s">
        <v>90</v>
      </c>
    </row>
    <row r="11" spans="1:12" ht="15" customHeight="1" x14ac:dyDescent="0.2">
      <c r="A11" s="69"/>
      <c r="B11" s="69"/>
      <c r="C11" s="76" t="s">
        <v>91</v>
      </c>
      <c r="D11" s="79">
        <v>46143</v>
      </c>
      <c r="G11" s="77" t="s">
        <v>92</v>
      </c>
      <c r="H11" s="51">
        <f>IF(AND(SUM(D63:D842)=0,roundOpt)," - ",(nper*(-PMT(rate,nper,loan_amount,,pmtType))-loan_amount)-H10)</f>
        <v>-2.151477403822355E-2</v>
      </c>
      <c r="J11" s="192"/>
      <c r="L11" s="68" t="s">
        <v>93</v>
      </c>
    </row>
    <row r="12" spans="1:12" ht="15" customHeight="1" x14ac:dyDescent="0.25">
      <c r="A12" s="69"/>
      <c r="B12" s="69"/>
      <c r="C12" s="76" t="s">
        <v>94</v>
      </c>
      <c r="D12" s="79" t="s">
        <v>95</v>
      </c>
      <c r="H12" s="80" t="str">
        <f ca="1">IF(AND(NOT(H842=""),H842&gt;0.004),"ERROR: Limit is "&amp;OFFSET(A843,-1,0,1,1)&amp;" payments",".")</f>
        <v>.</v>
      </c>
      <c r="J12" s="81"/>
      <c r="L12" s="68" t="s">
        <v>95</v>
      </c>
    </row>
    <row r="13" spans="1:12" ht="15" customHeight="1" x14ac:dyDescent="0.2">
      <c r="A13" s="69"/>
      <c r="B13" s="69"/>
      <c r="C13" s="76" t="s">
        <v>96</v>
      </c>
      <c r="D13" s="82" t="s">
        <v>95</v>
      </c>
      <c r="H13" s="83" t="str">
        <f>IF(D17&gt;D16,"Warning: negative amortization",".")</f>
        <v>.</v>
      </c>
      <c r="J13" s="193" t="s">
        <v>97</v>
      </c>
      <c r="L13" s="68" t="s">
        <v>98</v>
      </c>
    </row>
    <row r="14" spans="1:12" ht="15" customHeight="1" x14ac:dyDescent="0.2">
      <c r="A14" s="69"/>
      <c r="B14" s="69"/>
      <c r="C14" s="76" t="s">
        <v>99</v>
      </c>
      <c r="D14" s="82" t="s">
        <v>140</v>
      </c>
      <c r="J14" s="193"/>
      <c r="L14" s="68" t="s">
        <v>100</v>
      </c>
    </row>
    <row r="15" spans="1:12" ht="15" customHeight="1" x14ac:dyDescent="0.2">
      <c r="A15" s="69"/>
      <c r="B15" s="69"/>
      <c r="C15" s="76" t="s">
        <v>101</v>
      </c>
      <c r="D15" s="82" t="s">
        <v>102</v>
      </c>
      <c r="H15" s="83"/>
      <c r="J15" s="52" t="s">
        <v>103</v>
      </c>
      <c r="L15" s="68" t="s">
        <v>104</v>
      </c>
    </row>
    <row r="16" spans="1:12" ht="15" hidden="1" customHeight="1" x14ac:dyDescent="0.2">
      <c r="A16" s="69"/>
      <c r="B16" s="69"/>
      <c r="C16" s="84" t="s">
        <v>105</v>
      </c>
      <c r="D16" s="69">
        <f>INDEX({1;2;4;6;12;24;26;52},MATCH(Seller_Note_Schedule!$D$12,$L$8:$L$15,0))</f>
        <v>12</v>
      </c>
      <c r="J16" s="81"/>
    </row>
    <row r="17" spans="1:10" ht="15" hidden="1" customHeight="1" x14ac:dyDescent="0.2">
      <c r="A17" s="69"/>
      <c r="B17" s="69"/>
      <c r="C17" s="84" t="s">
        <v>96</v>
      </c>
      <c r="D17" s="69">
        <f>INDEX({1;2;4;6;12;24;26;52},MATCH(Seller_Note_Schedule!$D$13,$L$8:$L$15,0))</f>
        <v>12</v>
      </c>
      <c r="J17" s="85"/>
    </row>
    <row r="18" spans="1:10" ht="15" hidden="1" customHeight="1" x14ac:dyDescent="0.2">
      <c r="A18" s="69"/>
      <c r="B18" s="69"/>
      <c r="C18" s="84" t="s">
        <v>99</v>
      </c>
      <c r="D18" s="69">
        <f>IF(Seller_Note_Schedule!$D$14="End of Period",0,1)</f>
        <v>0</v>
      </c>
      <c r="J18" s="85"/>
    </row>
    <row r="19" spans="1:10" ht="15" hidden="1" customHeight="1" x14ac:dyDescent="0.2">
      <c r="A19" s="69"/>
      <c r="B19" s="69"/>
      <c r="C19" s="84" t="s">
        <v>106</v>
      </c>
      <c r="D19" s="69">
        <f>12/$D$16</f>
        <v>1</v>
      </c>
      <c r="J19" s="85"/>
    </row>
    <row r="20" spans="1:10" ht="15" hidden="1" customHeight="1" x14ac:dyDescent="0.2">
      <c r="A20" s="69"/>
      <c r="B20" s="69"/>
      <c r="C20" s="84" t="s">
        <v>107</v>
      </c>
      <c r="D20" s="69">
        <f>$D$10*$D$16</f>
        <v>36</v>
      </c>
      <c r="J20" s="85"/>
    </row>
    <row r="21" spans="1:10" ht="15" hidden="1" customHeight="1" x14ac:dyDescent="0.2">
      <c r="A21" s="69"/>
      <c r="B21" s="69"/>
      <c r="C21" s="84" t="s">
        <v>108</v>
      </c>
      <c r="D21" s="70" t="b">
        <f>(D15="On")</f>
        <v>1</v>
      </c>
      <c r="J21" s="85"/>
    </row>
    <row r="22" spans="1:10" x14ac:dyDescent="0.2">
      <c r="H22" s="86" t="s">
        <v>109</v>
      </c>
    </row>
    <row r="23" spans="1:10" ht="15.75" x14ac:dyDescent="0.25">
      <c r="C23" s="87" t="str">
        <f>D12&amp;" Payment"</f>
        <v>Monthly Payment</v>
      </c>
      <c r="D23" s="53">
        <f>IF(roundOpt,ROUND(-PMT(rate,nper,$D$8,,pmtType),2),-PMT(rate,nper,$D$8,,pmtType))</f>
        <v>41339.65</v>
      </c>
      <c r="H23" s="86"/>
    </row>
    <row r="24" spans="1:10" x14ac:dyDescent="0.2">
      <c r="H24" s="86"/>
    </row>
    <row r="25" spans="1:10" ht="15" hidden="1" x14ac:dyDescent="0.2">
      <c r="A25" s="88" t="s">
        <v>110</v>
      </c>
      <c r="B25" s="88"/>
      <c r="C25" s="88"/>
      <c r="D25" s="88"/>
      <c r="E25" s="88"/>
      <c r="F25" s="88"/>
      <c r="G25" s="88"/>
      <c r="H25" s="88"/>
    </row>
    <row r="26" spans="1:10" ht="26.25" hidden="1" thickBot="1" x14ac:dyDescent="0.25">
      <c r="A26" s="89"/>
      <c r="B26" s="90" t="s">
        <v>111</v>
      </c>
      <c r="C26" s="91" t="s">
        <v>112</v>
      </c>
      <c r="D26" s="91" t="s">
        <v>113</v>
      </c>
      <c r="E26" s="91"/>
      <c r="F26" s="91" t="s">
        <v>114</v>
      </c>
      <c r="G26" s="91" t="s">
        <v>115</v>
      </c>
      <c r="H26" s="91" t="s">
        <v>116</v>
      </c>
      <c r="J26" s="81" t="s">
        <v>117</v>
      </c>
    </row>
    <row r="27" spans="1:10" hidden="1" x14ac:dyDescent="0.2">
      <c r="A27" s="92"/>
      <c r="B27" s="93"/>
      <c r="C27" s="92"/>
      <c r="D27" s="92"/>
      <c r="E27" s="92"/>
      <c r="F27" s="92"/>
      <c r="G27" s="94"/>
      <c r="H27" s="95">
        <f>loan_amount</f>
        <v>1300000</v>
      </c>
    </row>
    <row r="28" spans="1:10" hidden="1" x14ac:dyDescent="0.2">
      <c r="A28" s="96"/>
      <c r="B28" s="96">
        <f>YEAR(fpdate)</f>
        <v>2026</v>
      </c>
      <c r="C28" s="97">
        <f>SUMIF($B$62:$B$843,"&lt;="&amp;DATE($B28,12,31),$C$62:$C$843)-SUM(C$27:C27)</f>
        <v>330717.2</v>
      </c>
      <c r="D28" s="97">
        <f>SUMIF($B$62:$B$843,"&lt;="&amp;DATE($B28,12,31),$D$62:$D$843)-SUM(D$27:D27)</f>
        <v>0</v>
      </c>
      <c r="E28" s="98"/>
      <c r="F28" s="97">
        <f>SUMIF($B$62:$B$843,"&lt;="&amp;DATE($B28,12,31),$F$62:$F$843)-SUM(F$27:F27)</f>
        <v>71265.739999999991</v>
      </c>
      <c r="G28" s="97">
        <f>SUMIF($B$62:$B$843,"&lt;="&amp;DATE($B28,12,31),$G$62:$G$843)-SUM(G$27:G27)</f>
        <v>259451.46000000002</v>
      </c>
      <c r="H28" s="97">
        <f>H27-G28</f>
        <v>1040548.54</v>
      </c>
    </row>
    <row r="29" spans="1:10" hidden="1" x14ac:dyDescent="0.2">
      <c r="A29" s="99"/>
      <c r="B29" s="96">
        <f>B28+1</f>
        <v>2027</v>
      </c>
      <c r="C29" s="97">
        <f>SUMIF($B$62:$B$843,"&lt;="&amp;DATE($B29,12,31),$C$62:$C$843)-SUM(C$27:C28)</f>
        <v>496075.80000000022</v>
      </c>
      <c r="D29" s="97">
        <f>SUMIF($B$62:$B$843,"&lt;="&amp;DATE($B29,12,31),$D$62:$D$843)-SUM(D$27:D28)</f>
        <v>0</v>
      </c>
      <c r="E29" s="98"/>
      <c r="F29" s="97">
        <f>SUMIF($B$62:$B$843,"&lt;="&amp;DATE($B29,12,31),$F$62:$F$843)-SUM(F$27:F28)</f>
        <v>76627.170000000013</v>
      </c>
      <c r="G29" s="97">
        <f>SUMIF($B$62:$B$843,"&lt;="&amp;DATE($B29,12,31),$G$62:$G$843)-SUM(G$27:G28)</f>
        <v>419448.62999999995</v>
      </c>
      <c r="H29" s="97">
        <f>H28-G29</f>
        <v>621099.91000000015</v>
      </c>
    </row>
    <row r="30" spans="1:10" hidden="1" x14ac:dyDescent="0.2">
      <c r="A30" s="99"/>
      <c r="B30" s="96">
        <f>B29+1</f>
        <v>2028</v>
      </c>
      <c r="C30" s="97">
        <f>SUMIF($B$62:$B$843,"&lt;="&amp;DATE($B30,12,31),$C$62:$C$843)-SUM(C$27:C29)</f>
        <v>496075.79999999958</v>
      </c>
      <c r="D30" s="97">
        <f>SUMIF($B$62:$B$843,"&lt;="&amp;DATE($B30,12,31),$D$62:$D$843)-SUM(D$27:D29)</f>
        <v>0</v>
      </c>
      <c r="E30" s="98"/>
      <c r="F30" s="97">
        <f>SUMIF($B$62:$B$843,"&lt;="&amp;DATE($B30,12,31),$F$62:$F$843)-SUM(F$27:F29)</f>
        <v>37280.03</v>
      </c>
      <c r="G30" s="97">
        <f>SUMIF($B$62:$B$843,"&lt;="&amp;DATE($B30,12,31),$G$62:$G$843)-SUM(G$27:G29)</f>
        <v>458795.77000000014</v>
      </c>
      <c r="H30" s="97">
        <f>H29-G30</f>
        <v>162304.14000000001</v>
      </c>
    </row>
    <row r="31" spans="1:10" hidden="1" x14ac:dyDescent="0.2">
      <c r="A31" s="99"/>
      <c r="B31" s="96">
        <f>B30+1</f>
        <v>2029</v>
      </c>
      <c r="C31" s="97">
        <f>SUMIF($B$62:$B$843,"&lt;="&amp;DATE($B31,12,31),$C$62:$C$843)-SUM(C$27:C30)</f>
        <v>165358.70999999973</v>
      </c>
      <c r="D31" s="97">
        <f>SUMIF($B$62:$B$843,"&lt;="&amp;DATE($B31,12,31),$D$62:$D$843)-SUM(D$27:D30)</f>
        <v>0</v>
      </c>
      <c r="E31" s="98"/>
      <c r="F31" s="97">
        <f>SUMIF($B$62:$B$843,"&lt;="&amp;DATE($B31,12,31),$F$62:$F$843)-SUM(F$27:F30)</f>
        <v>3054.5699999999779</v>
      </c>
      <c r="G31" s="97">
        <f>SUMIF($B$62:$B$843,"&lt;="&amp;DATE($B31,12,31),$G$62:$G$843)-SUM(G$27:G30)</f>
        <v>162304.14000000013</v>
      </c>
      <c r="H31" s="97">
        <f>H30-G31</f>
        <v>0</v>
      </c>
    </row>
    <row r="32" spans="1:10" hidden="1" x14ac:dyDescent="0.2">
      <c r="A32" s="99"/>
      <c r="B32" s="96">
        <f t="shared" ref="B32:B58" si="0">B31+1</f>
        <v>2030</v>
      </c>
      <c r="C32" s="97">
        <f>SUMIF($B$62:$B$843,"&lt;="&amp;DATE($B32,12,31),$C$62:$C$843)-SUM(C$27:C31)</f>
        <v>0</v>
      </c>
      <c r="D32" s="97">
        <f>SUMIF($B$62:$B$843,"&lt;="&amp;DATE($B32,12,31),$D$62:$D$843)-SUM(D$27:D31)</f>
        <v>0</v>
      </c>
      <c r="E32" s="98"/>
      <c r="F32" s="97">
        <f>SUMIF($B$62:$B$843,"&lt;="&amp;DATE($B32,12,31),$F$62:$F$843)-SUM(F$27:F31)</f>
        <v>0</v>
      </c>
      <c r="G32" s="97">
        <f>SUMIF($B$62:$B$843,"&lt;="&amp;DATE($B32,12,31),$G$62:$G$843)-SUM(G$27:G31)</f>
        <v>0</v>
      </c>
      <c r="H32" s="97">
        <f t="shared" ref="H32:H58" si="1">H31-G32</f>
        <v>0</v>
      </c>
    </row>
    <row r="33" spans="1:8" hidden="1" x14ac:dyDescent="0.2">
      <c r="A33" s="99"/>
      <c r="B33" s="96">
        <f t="shared" si="0"/>
        <v>2031</v>
      </c>
      <c r="C33" s="97">
        <f>SUMIF($B$62:$B$843,"&lt;="&amp;DATE($B33,12,31),$C$62:$C$843)-SUM(C$27:C32)</f>
        <v>0</v>
      </c>
      <c r="D33" s="97">
        <f>SUMIF($B$62:$B$843,"&lt;="&amp;DATE($B33,12,31),$D$62:$D$843)-SUM(D$27:D32)</f>
        <v>0</v>
      </c>
      <c r="E33" s="98"/>
      <c r="F33" s="97">
        <f>SUMIF($B$62:$B$843,"&lt;="&amp;DATE($B33,12,31),$F$62:$F$843)-SUM(F$27:F32)</f>
        <v>0</v>
      </c>
      <c r="G33" s="97">
        <f>SUMIF($B$62:$B$843,"&lt;="&amp;DATE($B33,12,31),$G$62:$G$843)-SUM(G$27:G32)</f>
        <v>0</v>
      </c>
      <c r="H33" s="97">
        <f t="shared" si="1"/>
        <v>0</v>
      </c>
    </row>
    <row r="34" spans="1:8" hidden="1" x14ac:dyDescent="0.2">
      <c r="A34" s="99"/>
      <c r="B34" s="96">
        <f t="shared" si="0"/>
        <v>2032</v>
      </c>
      <c r="C34" s="97">
        <f>SUMIF($B$62:$B$843,"&lt;="&amp;DATE($B34,12,31),$C$62:$C$843)-SUM(C$27:C33)</f>
        <v>0</v>
      </c>
      <c r="D34" s="97">
        <f>SUMIF($B$62:$B$843,"&lt;="&amp;DATE($B34,12,31),$D$62:$D$843)-SUM(D$27:D33)</f>
        <v>0</v>
      </c>
      <c r="E34" s="98"/>
      <c r="F34" s="97">
        <f>SUMIF($B$62:$B$843,"&lt;="&amp;DATE($B34,12,31),$F$62:$F$843)-SUM(F$27:F33)</f>
        <v>0</v>
      </c>
      <c r="G34" s="97">
        <f>SUMIF($B$62:$B$843,"&lt;="&amp;DATE($B34,12,31),$G$62:$G$843)-SUM(G$27:G33)</f>
        <v>0</v>
      </c>
      <c r="H34" s="97">
        <f t="shared" si="1"/>
        <v>0</v>
      </c>
    </row>
    <row r="35" spans="1:8" hidden="1" x14ac:dyDescent="0.2">
      <c r="A35" s="99"/>
      <c r="B35" s="96">
        <f t="shared" si="0"/>
        <v>2033</v>
      </c>
      <c r="C35" s="97">
        <f>SUMIF($B$62:$B$843,"&lt;="&amp;DATE($B35,12,31),$C$62:$C$843)-SUM(C$27:C34)</f>
        <v>0</v>
      </c>
      <c r="D35" s="97">
        <f>SUMIF($B$62:$B$843,"&lt;="&amp;DATE($B35,12,31),$D$62:$D$843)-SUM(D$27:D34)</f>
        <v>0</v>
      </c>
      <c r="E35" s="98"/>
      <c r="F35" s="97">
        <f>SUMIF($B$62:$B$843,"&lt;="&amp;DATE($B35,12,31),$F$62:$F$843)-SUM(F$27:F34)</f>
        <v>0</v>
      </c>
      <c r="G35" s="97">
        <f>SUMIF($B$62:$B$843,"&lt;="&amp;DATE($B35,12,31),$G$62:$G$843)-SUM(G$27:G34)</f>
        <v>0</v>
      </c>
      <c r="H35" s="97">
        <f t="shared" si="1"/>
        <v>0</v>
      </c>
    </row>
    <row r="36" spans="1:8" hidden="1" x14ac:dyDescent="0.2">
      <c r="A36" s="99"/>
      <c r="B36" s="96">
        <f t="shared" si="0"/>
        <v>2034</v>
      </c>
      <c r="C36" s="97">
        <f>SUMIF($B$62:$B$843,"&lt;="&amp;DATE($B36,12,31),$C$62:$C$843)-SUM(C$27:C35)</f>
        <v>0</v>
      </c>
      <c r="D36" s="97">
        <f>SUMIF($B$62:$B$843,"&lt;="&amp;DATE($B36,12,31),$D$62:$D$843)-SUM(D$27:D35)</f>
        <v>0</v>
      </c>
      <c r="E36" s="98"/>
      <c r="F36" s="97">
        <f>SUMIF($B$62:$B$843,"&lt;="&amp;DATE($B36,12,31),$F$62:$F$843)-SUM(F$27:F35)</f>
        <v>0</v>
      </c>
      <c r="G36" s="97">
        <f>SUMIF($B$62:$B$843,"&lt;="&amp;DATE($B36,12,31),$G$62:$G$843)-SUM(G$27:G35)</f>
        <v>0</v>
      </c>
      <c r="H36" s="97">
        <f t="shared" si="1"/>
        <v>0</v>
      </c>
    </row>
    <row r="37" spans="1:8" hidden="1" x14ac:dyDescent="0.2">
      <c r="A37" s="99"/>
      <c r="B37" s="96">
        <f t="shared" si="0"/>
        <v>2035</v>
      </c>
      <c r="C37" s="97">
        <f>SUMIF($B$62:$B$843,"&lt;="&amp;DATE($B37,12,31),$C$62:$C$843)-SUM(C$27:C36)</f>
        <v>0</v>
      </c>
      <c r="D37" s="97">
        <f>SUMIF($B$62:$B$843,"&lt;="&amp;DATE($B37,12,31),$D$62:$D$843)-SUM(D$27:D36)</f>
        <v>0</v>
      </c>
      <c r="E37" s="98"/>
      <c r="F37" s="97">
        <f>SUMIF($B$62:$B$843,"&lt;="&amp;DATE($B37,12,31),$F$62:$F$843)-SUM(F$27:F36)</f>
        <v>0</v>
      </c>
      <c r="G37" s="97">
        <f>SUMIF($B$62:$B$843,"&lt;="&amp;DATE($B37,12,31),$G$62:$G$843)-SUM(G$27:G36)</f>
        <v>0</v>
      </c>
      <c r="H37" s="97">
        <f t="shared" si="1"/>
        <v>0</v>
      </c>
    </row>
    <row r="38" spans="1:8" hidden="1" x14ac:dyDescent="0.2">
      <c r="A38" s="99"/>
      <c r="B38" s="96">
        <f t="shared" si="0"/>
        <v>2036</v>
      </c>
      <c r="C38" s="97">
        <f>SUMIF($B$62:$B$843,"&lt;="&amp;DATE($B38,12,31),$C$62:$C$843)-SUM(C$27:C37)</f>
        <v>0</v>
      </c>
      <c r="D38" s="97">
        <f>SUMIF($B$62:$B$843,"&lt;="&amp;DATE($B38,12,31),$D$62:$D$843)-SUM(D$27:D37)</f>
        <v>0</v>
      </c>
      <c r="E38" s="98"/>
      <c r="F38" s="97">
        <f>SUMIF($B$62:$B$843,"&lt;="&amp;DATE($B38,12,31),$F$62:$F$843)-SUM(F$27:F37)</f>
        <v>0</v>
      </c>
      <c r="G38" s="97">
        <f>SUMIF($B$62:$B$843,"&lt;="&amp;DATE($B38,12,31),$G$62:$G$843)-SUM(G$27:G37)</f>
        <v>0</v>
      </c>
      <c r="H38" s="97">
        <f t="shared" si="1"/>
        <v>0</v>
      </c>
    </row>
    <row r="39" spans="1:8" hidden="1" x14ac:dyDescent="0.2">
      <c r="A39" s="99"/>
      <c r="B39" s="96">
        <f t="shared" si="0"/>
        <v>2037</v>
      </c>
      <c r="C39" s="97">
        <f>SUMIF($B$62:$B$843,"&lt;="&amp;DATE($B39,12,31),$C$62:$C$843)-SUM(C$27:C38)</f>
        <v>0</v>
      </c>
      <c r="D39" s="97">
        <f>SUMIF($B$62:$B$843,"&lt;="&amp;DATE($B39,12,31),$D$62:$D$843)-SUM(D$27:D38)</f>
        <v>0</v>
      </c>
      <c r="E39" s="98"/>
      <c r="F39" s="97">
        <f>SUMIF($B$62:$B$843,"&lt;="&amp;DATE($B39,12,31),$F$62:$F$843)-SUM(F$27:F38)</f>
        <v>0</v>
      </c>
      <c r="G39" s="97">
        <f>SUMIF($B$62:$B$843,"&lt;="&amp;DATE($B39,12,31),$G$62:$G$843)-SUM(G$27:G38)</f>
        <v>0</v>
      </c>
      <c r="H39" s="97">
        <f t="shared" si="1"/>
        <v>0</v>
      </c>
    </row>
    <row r="40" spans="1:8" hidden="1" x14ac:dyDescent="0.2">
      <c r="A40" s="99"/>
      <c r="B40" s="96">
        <f t="shared" si="0"/>
        <v>2038</v>
      </c>
      <c r="C40" s="97">
        <f>SUMIF($B$62:$B$843,"&lt;="&amp;DATE($B40,12,31),$C$62:$C$843)-SUM(C$27:C39)</f>
        <v>0</v>
      </c>
      <c r="D40" s="97">
        <f>SUMIF($B$62:$B$843,"&lt;="&amp;DATE($B40,12,31),$D$62:$D$843)-SUM(D$27:D39)</f>
        <v>0</v>
      </c>
      <c r="E40" s="98"/>
      <c r="F40" s="97">
        <f>SUMIF($B$62:$B$843,"&lt;="&amp;DATE($B40,12,31),$F$62:$F$843)-SUM(F$27:F39)</f>
        <v>0</v>
      </c>
      <c r="G40" s="97">
        <f>SUMIF($B$62:$B$843,"&lt;="&amp;DATE($B40,12,31),$G$62:$G$843)-SUM(G$27:G39)</f>
        <v>0</v>
      </c>
      <c r="H40" s="97">
        <f t="shared" si="1"/>
        <v>0</v>
      </c>
    </row>
    <row r="41" spans="1:8" hidden="1" x14ac:dyDescent="0.2">
      <c r="A41" s="99"/>
      <c r="B41" s="96">
        <f t="shared" si="0"/>
        <v>2039</v>
      </c>
      <c r="C41" s="97">
        <f>SUMIF($B$62:$B$843,"&lt;="&amp;DATE($B41,12,31),$C$62:$C$843)-SUM(C$27:C40)</f>
        <v>0</v>
      </c>
      <c r="D41" s="97">
        <f>SUMIF($B$62:$B$843,"&lt;="&amp;DATE($B41,12,31),$D$62:$D$843)-SUM(D$27:D40)</f>
        <v>0</v>
      </c>
      <c r="E41" s="98"/>
      <c r="F41" s="97">
        <f>SUMIF($B$62:$B$843,"&lt;="&amp;DATE($B41,12,31),$F$62:$F$843)-SUM(F$27:F40)</f>
        <v>0</v>
      </c>
      <c r="G41" s="97">
        <f>SUMIF($B$62:$B$843,"&lt;="&amp;DATE($B41,12,31),$G$62:$G$843)-SUM(G$27:G40)</f>
        <v>0</v>
      </c>
      <c r="H41" s="97">
        <f t="shared" si="1"/>
        <v>0</v>
      </c>
    </row>
    <row r="42" spans="1:8" hidden="1" x14ac:dyDescent="0.2">
      <c r="A42" s="99"/>
      <c r="B42" s="96">
        <f t="shared" si="0"/>
        <v>2040</v>
      </c>
      <c r="C42" s="97">
        <f>SUMIF($B$62:$B$843,"&lt;="&amp;DATE($B42,12,31),$C$62:$C$843)-SUM(C$27:C41)</f>
        <v>0</v>
      </c>
      <c r="D42" s="97">
        <f>SUMIF($B$62:$B$843,"&lt;="&amp;DATE($B42,12,31),$D$62:$D$843)-SUM(D$27:D41)</f>
        <v>0</v>
      </c>
      <c r="E42" s="98"/>
      <c r="F42" s="97">
        <f>SUMIF($B$62:$B$843,"&lt;="&amp;DATE($B42,12,31),$F$62:$F$843)-SUM(F$27:F41)</f>
        <v>0</v>
      </c>
      <c r="G42" s="97">
        <f>SUMIF($B$62:$B$843,"&lt;="&amp;DATE($B42,12,31),$G$62:$G$843)-SUM(G$27:G41)</f>
        <v>0</v>
      </c>
      <c r="H42" s="97">
        <f t="shared" si="1"/>
        <v>0</v>
      </c>
    </row>
    <row r="43" spans="1:8" hidden="1" x14ac:dyDescent="0.2">
      <c r="A43" s="99"/>
      <c r="B43" s="96">
        <f t="shared" si="0"/>
        <v>2041</v>
      </c>
      <c r="C43" s="97">
        <f>SUMIF($B$62:$B$843,"&lt;="&amp;DATE($B43,12,31),$C$62:$C$843)-SUM(C$27:C42)</f>
        <v>0</v>
      </c>
      <c r="D43" s="97">
        <f>SUMIF($B$62:$B$843,"&lt;="&amp;DATE($B43,12,31),$D$62:$D$843)-SUM(D$27:D42)</f>
        <v>0</v>
      </c>
      <c r="E43" s="98"/>
      <c r="F43" s="97">
        <f>SUMIF($B$62:$B$843,"&lt;="&amp;DATE($B43,12,31),$F$62:$F$843)-SUM(F$27:F42)</f>
        <v>0</v>
      </c>
      <c r="G43" s="97">
        <f>SUMIF($B$62:$B$843,"&lt;="&amp;DATE($B43,12,31),$G$62:$G$843)-SUM(G$27:G42)</f>
        <v>0</v>
      </c>
      <c r="H43" s="97">
        <f t="shared" si="1"/>
        <v>0</v>
      </c>
    </row>
    <row r="44" spans="1:8" hidden="1" x14ac:dyDescent="0.2">
      <c r="A44" s="99"/>
      <c r="B44" s="96">
        <f t="shared" si="0"/>
        <v>2042</v>
      </c>
      <c r="C44" s="97">
        <f>SUMIF($B$62:$B$843,"&lt;="&amp;DATE($B44,12,31),$C$62:$C$843)-SUM(C$27:C43)</f>
        <v>0</v>
      </c>
      <c r="D44" s="97">
        <f>SUMIF($B$62:$B$843,"&lt;="&amp;DATE($B44,12,31),$D$62:$D$843)-SUM(D$27:D43)</f>
        <v>0</v>
      </c>
      <c r="E44" s="98"/>
      <c r="F44" s="97">
        <f>SUMIF($B$62:$B$843,"&lt;="&amp;DATE($B44,12,31),$F$62:$F$843)-SUM(F$27:F43)</f>
        <v>0</v>
      </c>
      <c r="G44" s="97">
        <f>SUMIF($B$62:$B$843,"&lt;="&amp;DATE($B44,12,31),$G$62:$G$843)-SUM(G$27:G43)</f>
        <v>0</v>
      </c>
      <c r="H44" s="97">
        <f t="shared" si="1"/>
        <v>0</v>
      </c>
    </row>
    <row r="45" spans="1:8" hidden="1" x14ac:dyDescent="0.2">
      <c r="A45" s="99"/>
      <c r="B45" s="96">
        <f t="shared" si="0"/>
        <v>2043</v>
      </c>
      <c r="C45" s="97">
        <f>SUMIF($B$62:$B$843,"&lt;="&amp;DATE($B45,12,31),$C$62:$C$843)-SUM(C$27:C44)</f>
        <v>0</v>
      </c>
      <c r="D45" s="97">
        <f>SUMIF($B$62:$B$843,"&lt;="&amp;DATE($B45,12,31),$D$62:$D$843)-SUM(D$27:D44)</f>
        <v>0</v>
      </c>
      <c r="E45" s="98"/>
      <c r="F45" s="97">
        <f>SUMIF($B$62:$B$843,"&lt;="&amp;DATE($B45,12,31),$F$62:$F$843)-SUM(F$27:F44)</f>
        <v>0</v>
      </c>
      <c r="G45" s="97">
        <f>SUMIF($B$62:$B$843,"&lt;="&amp;DATE($B45,12,31),$G$62:$G$843)-SUM(G$27:G44)</f>
        <v>0</v>
      </c>
      <c r="H45" s="97">
        <f t="shared" si="1"/>
        <v>0</v>
      </c>
    </row>
    <row r="46" spans="1:8" hidden="1" x14ac:dyDescent="0.2">
      <c r="A46" s="99"/>
      <c r="B46" s="96">
        <f t="shared" si="0"/>
        <v>2044</v>
      </c>
      <c r="C46" s="97">
        <f>SUMIF($B$62:$B$843,"&lt;="&amp;DATE($B46,12,31),$C$62:$C$843)-SUM(C$27:C45)</f>
        <v>0</v>
      </c>
      <c r="D46" s="97">
        <f>SUMIF($B$62:$B$843,"&lt;="&amp;DATE($B46,12,31),$D$62:$D$843)-SUM(D$27:D45)</f>
        <v>0</v>
      </c>
      <c r="E46" s="98"/>
      <c r="F46" s="97">
        <f>SUMIF($B$62:$B$843,"&lt;="&amp;DATE($B46,12,31),$F$62:$F$843)-SUM(F$27:F45)</f>
        <v>0</v>
      </c>
      <c r="G46" s="97">
        <f>SUMIF($B$62:$B$843,"&lt;="&amp;DATE($B46,12,31),$G$62:$G$843)-SUM(G$27:G45)</f>
        <v>0</v>
      </c>
      <c r="H46" s="97">
        <f t="shared" si="1"/>
        <v>0</v>
      </c>
    </row>
    <row r="47" spans="1:8" hidden="1" x14ac:dyDescent="0.2">
      <c r="A47" s="99"/>
      <c r="B47" s="96">
        <f t="shared" si="0"/>
        <v>2045</v>
      </c>
      <c r="C47" s="97">
        <f>SUMIF($B$62:$B$843,"&lt;="&amp;DATE($B47,12,31),$C$62:$C$843)-SUM(C$27:C46)</f>
        <v>0</v>
      </c>
      <c r="D47" s="97">
        <f>SUMIF($B$62:$B$843,"&lt;="&amp;DATE($B47,12,31),$D$62:$D$843)-SUM(D$27:D46)</f>
        <v>0</v>
      </c>
      <c r="E47" s="98"/>
      <c r="F47" s="97">
        <f>SUMIF($B$62:$B$843,"&lt;="&amp;DATE($B47,12,31),$F$62:$F$843)-SUM(F$27:F46)</f>
        <v>0</v>
      </c>
      <c r="G47" s="97">
        <f>SUMIF($B$62:$B$843,"&lt;="&amp;DATE($B47,12,31),$G$62:$G$843)-SUM(G$27:G46)</f>
        <v>0</v>
      </c>
      <c r="H47" s="97">
        <f t="shared" si="1"/>
        <v>0</v>
      </c>
    </row>
    <row r="48" spans="1:8" hidden="1" x14ac:dyDescent="0.2">
      <c r="A48" s="99"/>
      <c r="B48" s="96">
        <f t="shared" si="0"/>
        <v>2046</v>
      </c>
      <c r="C48" s="97">
        <f>SUMIF($B$62:$B$843,"&lt;="&amp;DATE($B48,12,31),$C$62:$C$843)-SUM(C$27:C47)</f>
        <v>0</v>
      </c>
      <c r="D48" s="97">
        <f>SUMIF($B$62:$B$843,"&lt;="&amp;DATE($B48,12,31),$D$62:$D$843)-SUM(D$27:D47)</f>
        <v>0</v>
      </c>
      <c r="E48" s="98"/>
      <c r="F48" s="97">
        <f>SUMIF($B$62:$B$843,"&lt;="&amp;DATE($B48,12,31),$F$62:$F$843)-SUM(F$27:F47)</f>
        <v>0</v>
      </c>
      <c r="G48" s="97">
        <f>SUMIF($B$62:$B$843,"&lt;="&amp;DATE($B48,12,31),$G$62:$G$843)-SUM(G$27:G47)</f>
        <v>0</v>
      </c>
      <c r="H48" s="97">
        <f t="shared" si="1"/>
        <v>0</v>
      </c>
    </row>
    <row r="49" spans="1:10" hidden="1" x14ac:dyDescent="0.2">
      <c r="A49" s="99"/>
      <c r="B49" s="96">
        <f t="shared" si="0"/>
        <v>2047</v>
      </c>
      <c r="C49" s="97">
        <f>SUMIF($B$62:$B$843,"&lt;="&amp;DATE($B49,12,31),$C$62:$C$843)-SUM(C$27:C48)</f>
        <v>0</v>
      </c>
      <c r="D49" s="97">
        <f>SUMIF($B$62:$B$843,"&lt;="&amp;DATE($B49,12,31),$D$62:$D$843)-SUM(D$27:D48)</f>
        <v>0</v>
      </c>
      <c r="E49" s="98"/>
      <c r="F49" s="97">
        <f>SUMIF($B$62:$B$843,"&lt;="&amp;DATE($B49,12,31),$F$62:$F$843)-SUM(F$27:F48)</f>
        <v>0</v>
      </c>
      <c r="G49" s="97">
        <f>SUMIF($B$62:$B$843,"&lt;="&amp;DATE($B49,12,31),$G$62:$G$843)-SUM(G$27:G48)</f>
        <v>0</v>
      </c>
      <c r="H49" s="97">
        <f t="shared" si="1"/>
        <v>0</v>
      </c>
    </row>
    <row r="50" spans="1:10" hidden="1" x14ac:dyDescent="0.2">
      <c r="A50" s="99"/>
      <c r="B50" s="96">
        <f t="shared" si="0"/>
        <v>2048</v>
      </c>
      <c r="C50" s="97">
        <f>SUMIF($B$62:$B$843,"&lt;="&amp;DATE($B50,12,31),$C$62:$C$843)-SUM(C$27:C49)</f>
        <v>0</v>
      </c>
      <c r="D50" s="97">
        <f>SUMIF($B$62:$B$843,"&lt;="&amp;DATE($B50,12,31),$D$62:$D$843)-SUM(D$27:D49)</f>
        <v>0</v>
      </c>
      <c r="E50" s="98"/>
      <c r="F50" s="97">
        <f>SUMIF($B$62:$B$843,"&lt;="&amp;DATE($B50,12,31),$F$62:$F$843)-SUM(F$27:F49)</f>
        <v>0</v>
      </c>
      <c r="G50" s="97">
        <f>SUMIF($B$62:$B$843,"&lt;="&amp;DATE($B50,12,31),$G$62:$G$843)-SUM(G$27:G49)</f>
        <v>0</v>
      </c>
      <c r="H50" s="97">
        <f t="shared" si="1"/>
        <v>0</v>
      </c>
    </row>
    <row r="51" spans="1:10" hidden="1" x14ac:dyDescent="0.2">
      <c r="A51" s="99"/>
      <c r="B51" s="96">
        <f t="shared" si="0"/>
        <v>2049</v>
      </c>
      <c r="C51" s="97">
        <f>SUMIF($B$62:$B$843,"&lt;="&amp;DATE($B51,12,31),$C$62:$C$843)-SUM(C$27:C50)</f>
        <v>0</v>
      </c>
      <c r="D51" s="97">
        <f>SUMIF($B$62:$B$843,"&lt;="&amp;DATE($B51,12,31),$D$62:$D$843)-SUM(D$27:D50)</f>
        <v>0</v>
      </c>
      <c r="E51" s="98"/>
      <c r="F51" s="97">
        <f>SUMIF($B$62:$B$843,"&lt;="&amp;DATE($B51,12,31),$F$62:$F$843)-SUM(F$27:F50)</f>
        <v>0</v>
      </c>
      <c r="G51" s="97">
        <f>SUMIF($B$62:$B$843,"&lt;="&amp;DATE($B51,12,31),$G$62:$G$843)-SUM(G$27:G50)</f>
        <v>0</v>
      </c>
      <c r="H51" s="97">
        <f t="shared" si="1"/>
        <v>0</v>
      </c>
    </row>
    <row r="52" spans="1:10" hidden="1" x14ac:dyDescent="0.2">
      <c r="A52" s="99"/>
      <c r="B52" s="96">
        <f t="shared" si="0"/>
        <v>2050</v>
      </c>
      <c r="C52" s="97">
        <f>SUMIF($B$62:$B$843,"&lt;="&amp;DATE($B52,12,31),$C$62:$C$843)-SUM(C$27:C51)</f>
        <v>0</v>
      </c>
      <c r="D52" s="97">
        <f>SUMIF($B$62:$B$843,"&lt;="&amp;DATE($B52,12,31),$D$62:$D$843)-SUM(D$27:D51)</f>
        <v>0</v>
      </c>
      <c r="E52" s="98"/>
      <c r="F52" s="97">
        <f>SUMIF($B$62:$B$843,"&lt;="&amp;DATE($B52,12,31),$F$62:$F$843)-SUM(F$27:F51)</f>
        <v>0</v>
      </c>
      <c r="G52" s="97">
        <f>SUMIF($B$62:$B$843,"&lt;="&amp;DATE($B52,12,31),$G$62:$G$843)-SUM(G$27:G51)</f>
        <v>0</v>
      </c>
      <c r="H52" s="97">
        <f t="shared" si="1"/>
        <v>0</v>
      </c>
    </row>
    <row r="53" spans="1:10" hidden="1" x14ac:dyDescent="0.2">
      <c r="A53" s="99"/>
      <c r="B53" s="96">
        <f t="shared" si="0"/>
        <v>2051</v>
      </c>
      <c r="C53" s="97">
        <f>SUMIF($B$62:$B$843,"&lt;="&amp;DATE($B53,12,31),$C$62:$C$843)-SUM(C$27:C52)</f>
        <v>0</v>
      </c>
      <c r="D53" s="97">
        <f>SUMIF($B$62:$B$843,"&lt;="&amp;DATE($B53,12,31),$D$62:$D$843)-SUM(D$27:D52)</f>
        <v>0</v>
      </c>
      <c r="E53" s="98"/>
      <c r="F53" s="97">
        <f>SUMIF($B$62:$B$843,"&lt;="&amp;DATE($B53,12,31),$F$62:$F$843)-SUM(F$27:F52)</f>
        <v>0</v>
      </c>
      <c r="G53" s="97">
        <f>SUMIF($B$62:$B$843,"&lt;="&amp;DATE($B53,12,31),$G$62:$G$843)-SUM(G$27:G52)</f>
        <v>0</v>
      </c>
      <c r="H53" s="97">
        <f t="shared" si="1"/>
        <v>0</v>
      </c>
    </row>
    <row r="54" spans="1:10" hidden="1" x14ac:dyDescent="0.2">
      <c r="A54" s="99"/>
      <c r="B54" s="96">
        <f t="shared" si="0"/>
        <v>2052</v>
      </c>
      <c r="C54" s="97">
        <f>SUMIF($B$62:$B$843,"&lt;="&amp;DATE($B54,12,31),$C$62:$C$843)-SUM(C$27:C53)</f>
        <v>0</v>
      </c>
      <c r="D54" s="97">
        <f>SUMIF($B$62:$B$843,"&lt;="&amp;DATE($B54,12,31),$D$62:$D$843)-SUM(D$27:D53)</f>
        <v>0</v>
      </c>
      <c r="E54" s="98"/>
      <c r="F54" s="97">
        <f>SUMIF($B$62:$B$843,"&lt;="&amp;DATE($B54,12,31),$F$62:$F$843)-SUM(F$27:F53)</f>
        <v>0</v>
      </c>
      <c r="G54" s="97">
        <f>SUMIF($B$62:$B$843,"&lt;="&amp;DATE($B54,12,31),$G$62:$G$843)-SUM(G$27:G53)</f>
        <v>0</v>
      </c>
      <c r="H54" s="97">
        <f t="shared" si="1"/>
        <v>0</v>
      </c>
    </row>
    <row r="55" spans="1:10" hidden="1" x14ac:dyDescent="0.2">
      <c r="A55" s="99"/>
      <c r="B55" s="96">
        <f t="shared" si="0"/>
        <v>2053</v>
      </c>
      <c r="C55" s="97">
        <f>SUMIF($B$62:$B$843,"&lt;="&amp;DATE($B55,12,31),$C$62:$C$843)-SUM(C$27:C54)</f>
        <v>0</v>
      </c>
      <c r="D55" s="97">
        <f>SUMIF($B$62:$B$843,"&lt;="&amp;DATE($B55,12,31),$D$62:$D$843)-SUM(D$27:D54)</f>
        <v>0</v>
      </c>
      <c r="E55" s="98"/>
      <c r="F55" s="97">
        <f>SUMIF($B$62:$B$843,"&lt;="&amp;DATE($B55,12,31),$F$62:$F$843)-SUM(F$27:F54)</f>
        <v>0</v>
      </c>
      <c r="G55" s="97">
        <f>SUMIF($B$62:$B$843,"&lt;="&amp;DATE($B55,12,31),$G$62:$G$843)-SUM(G$27:G54)</f>
        <v>0</v>
      </c>
      <c r="H55" s="97">
        <f t="shared" si="1"/>
        <v>0</v>
      </c>
    </row>
    <row r="56" spans="1:10" hidden="1" x14ac:dyDescent="0.2">
      <c r="A56" s="99"/>
      <c r="B56" s="96">
        <f t="shared" si="0"/>
        <v>2054</v>
      </c>
      <c r="C56" s="97">
        <f>SUMIF($B$62:$B$843,"&lt;="&amp;DATE($B56,12,31),$C$62:$C$843)-SUM(C$27:C55)</f>
        <v>0</v>
      </c>
      <c r="D56" s="97">
        <f>SUMIF($B$62:$B$843,"&lt;="&amp;DATE($B56,12,31),$D$62:$D$843)-SUM(D$27:D55)</f>
        <v>0</v>
      </c>
      <c r="E56" s="98"/>
      <c r="F56" s="97">
        <f>SUMIF($B$62:$B$843,"&lt;="&amp;DATE($B56,12,31),$F$62:$F$843)-SUM(F$27:F55)</f>
        <v>0</v>
      </c>
      <c r="G56" s="97">
        <f>SUMIF($B$62:$B$843,"&lt;="&amp;DATE($B56,12,31),$G$62:$G$843)-SUM(G$27:G55)</f>
        <v>0</v>
      </c>
      <c r="H56" s="97">
        <f t="shared" si="1"/>
        <v>0</v>
      </c>
    </row>
    <row r="57" spans="1:10" hidden="1" x14ac:dyDescent="0.2">
      <c r="A57" s="99"/>
      <c r="B57" s="96">
        <f t="shared" si="0"/>
        <v>2055</v>
      </c>
      <c r="C57" s="97">
        <f>SUMIF($B$62:$B$843,"&lt;="&amp;DATE($B57,12,31),$C$62:$C$843)-SUM(C$27:C56)</f>
        <v>0</v>
      </c>
      <c r="D57" s="97">
        <f>SUMIF($B$62:$B$843,"&lt;="&amp;DATE($B57,12,31),$D$62:$D$843)-SUM(D$27:D56)</f>
        <v>0</v>
      </c>
      <c r="E57" s="98"/>
      <c r="F57" s="97">
        <f>SUMIF($B$62:$B$843,"&lt;="&amp;DATE($B57,12,31),$F$62:$F$843)-SUM(F$27:F56)</f>
        <v>0</v>
      </c>
      <c r="G57" s="97">
        <f>SUMIF($B$62:$B$843,"&lt;="&amp;DATE($B57,12,31),$G$62:$G$843)-SUM(G$27:G56)</f>
        <v>0</v>
      </c>
      <c r="H57" s="97">
        <f t="shared" si="1"/>
        <v>0</v>
      </c>
    </row>
    <row r="58" spans="1:10" hidden="1" x14ac:dyDescent="0.2">
      <c r="A58" s="99"/>
      <c r="B58" s="96">
        <f t="shared" si="0"/>
        <v>2056</v>
      </c>
      <c r="C58" s="97">
        <f>SUMIF($B$62:$B$843,"&lt;="&amp;DATE($B58,12,31),$C$62:$C$843)-SUM(C$27:C57)</f>
        <v>0</v>
      </c>
      <c r="D58" s="97">
        <f>SUMIF($B$62:$B$843,"&lt;="&amp;DATE($B58,12,31),$D$62:$D$843)-SUM(D$27:D57)</f>
        <v>0</v>
      </c>
      <c r="E58" s="98"/>
      <c r="F58" s="97">
        <f>SUMIF($B$62:$B$843,"&lt;="&amp;DATE($B58,12,31),$F$62:$F$843)-SUM(F$27:F57)</f>
        <v>0</v>
      </c>
      <c r="G58" s="97">
        <f>SUMIF($B$62:$B$843,"&lt;="&amp;DATE($B58,12,31),$G$62:$G$843)-SUM(G$27:G57)</f>
        <v>0</v>
      </c>
      <c r="H58" s="97">
        <f t="shared" si="1"/>
        <v>0</v>
      </c>
    </row>
    <row r="59" spans="1:10" x14ac:dyDescent="0.2">
      <c r="H59" s="86"/>
    </row>
    <row r="60" spans="1:10" ht="15" x14ac:dyDescent="0.2">
      <c r="A60" s="88" t="s">
        <v>118</v>
      </c>
      <c r="B60" s="88"/>
      <c r="C60" s="88"/>
      <c r="D60" s="88"/>
      <c r="E60" s="88"/>
      <c r="F60" s="88"/>
      <c r="G60" s="88"/>
      <c r="J60" s="100"/>
    </row>
    <row r="61" spans="1:10" ht="26.25" thickBot="1" x14ac:dyDescent="0.25">
      <c r="A61" s="101" t="s">
        <v>119</v>
      </c>
      <c r="B61" s="102" t="s">
        <v>120</v>
      </c>
      <c r="C61" s="102" t="s">
        <v>121</v>
      </c>
      <c r="D61" s="102" t="s">
        <v>122</v>
      </c>
      <c r="E61" s="91"/>
      <c r="F61" s="103" t="s">
        <v>0</v>
      </c>
      <c r="G61" s="103" t="s">
        <v>123</v>
      </c>
      <c r="H61" s="103" t="s">
        <v>124</v>
      </c>
    </row>
    <row r="62" spans="1:10" x14ac:dyDescent="0.2">
      <c r="A62" s="104"/>
      <c r="B62" s="105"/>
      <c r="C62" s="104"/>
      <c r="D62" s="104"/>
      <c r="E62" s="104"/>
      <c r="F62" s="106"/>
      <c r="G62" s="106"/>
      <c r="H62" s="106">
        <f>$D$8</f>
        <v>1300000</v>
      </c>
      <c r="J62" s="107"/>
    </row>
    <row r="63" spans="1:10" x14ac:dyDescent="0.2">
      <c r="A63" s="104">
        <f t="shared" ref="A63:A126" si="2">IF(H62="","",IF(roundOpt,IF(OR(A62&gt;=nper,ROUND(H62,2)&lt;=0),"",A62+1),IF(OR(A62&gt;=nper,H62&lt;=0),"",A62+1)))</f>
        <v>1</v>
      </c>
      <c r="B63" s="108">
        <f t="shared" ref="B63:B126" si="3">IF(A63="","",IF(periods_per_year=26,IF(A63=1,fpdate,B62+14),IF(periods_per_year=52,IF(A63=1,fpdate,B62+7),IF(periods_per_year=24,IF(A63=1,fpdate,IF(fpdate=EOMONTH(fpdate,0),IF(ISODD(A63),EOMONTH(EDATE(fpdate,(A63-1)/2),0),EDATE(DATE(YEAR(fpdate),MONTH(fpdate)+1,15),(A63-1)/2)),IF(DAY(fpdate)=15,IF(ISODD(A63),EDATE(fpdate,(A63-1)/2),EOMONTH(EDATE(fpdate,(A63-1)/2),0)),IF(DAY(fpdate)&lt;=14,IF(ISODD(A63),EDATE(fpdate,(A63-1)/2),EDATE(MIN(fpdate+15,EOMONTH(fpdate,0)),(A63-1)/2)),EDATE(IF(ISODD(A63),fpdate,fpdate-15),A63/2))))),IF(A63=1,fpdate,EDATE(fpdate,months_per_period*(A63-1)))))))</f>
        <v>46143</v>
      </c>
      <c r="C63" s="109">
        <f t="shared" ref="C63:C126" si="4">IF(A63="","",IF(roundOpt,IF(OR(A63=nper,payment&gt;ROUND((1+rate)*H62,2)),ROUND((1+rate)*H62,2),payment),IF(OR(A63=nper,payment&gt;(1+rate)*H62),(1+rate)*H62,payment)))</f>
        <v>41339.65</v>
      </c>
      <c r="D63" s="110"/>
      <c r="E63" s="106"/>
      <c r="F63" s="106">
        <f t="shared" ref="F63:F126" si="5">IF(A63="","",IF(AND(A63=1,pmtType=1),0,IF(roundOpt,ROUND(rate*H62,2),rate*H62)))</f>
        <v>9750</v>
      </c>
      <c r="G63" s="106">
        <f t="shared" ref="G63:G126" si="6">IF(A63="","",C63-F63+D63)</f>
        <v>31589.65</v>
      </c>
      <c r="H63" s="106">
        <f t="shared" ref="H63:H126" si="7">IF(A63="","",H62-G63)</f>
        <v>1268410.3500000001</v>
      </c>
    </row>
    <row r="64" spans="1:10" x14ac:dyDescent="0.2">
      <c r="A64" s="104">
        <f t="shared" si="2"/>
        <v>2</v>
      </c>
      <c r="B64" s="108">
        <f t="shared" si="3"/>
        <v>46174</v>
      </c>
      <c r="C64" s="109">
        <f t="shared" si="4"/>
        <v>41339.65</v>
      </c>
      <c r="D64" s="111"/>
      <c r="E64" s="106"/>
      <c r="F64" s="106">
        <f t="shared" si="5"/>
        <v>9513.08</v>
      </c>
      <c r="G64" s="106">
        <f t="shared" si="6"/>
        <v>31826.57</v>
      </c>
      <c r="H64" s="106">
        <f t="shared" si="7"/>
        <v>1236583.78</v>
      </c>
    </row>
    <row r="65" spans="1:12" x14ac:dyDescent="0.2">
      <c r="A65" s="104">
        <f t="shared" si="2"/>
        <v>3</v>
      </c>
      <c r="B65" s="108">
        <f t="shared" si="3"/>
        <v>46204</v>
      </c>
      <c r="C65" s="109">
        <f t="shared" si="4"/>
        <v>41339.65</v>
      </c>
      <c r="D65" s="111"/>
      <c r="E65" s="106"/>
      <c r="F65" s="106">
        <f t="shared" si="5"/>
        <v>9274.3799999999992</v>
      </c>
      <c r="G65" s="106">
        <f t="shared" si="6"/>
        <v>32065.270000000004</v>
      </c>
      <c r="H65" s="106">
        <f t="shared" si="7"/>
        <v>1204518.51</v>
      </c>
    </row>
    <row r="66" spans="1:12" x14ac:dyDescent="0.2">
      <c r="A66" s="104">
        <f t="shared" si="2"/>
        <v>4</v>
      </c>
      <c r="B66" s="108">
        <f t="shared" si="3"/>
        <v>46235</v>
      </c>
      <c r="C66" s="109">
        <f t="shared" si="4"/>
        <v>41339.65</v>
      </c>
      <c r="D66" s="111"/>
      <c r="E66" s="106"/>
      <c r="F66" s="106">
        <f t="shared" si="5"/>
        <v>9033.89</v>
      </c>
      <c r="G66" s="106">
        <f t="shared" si="6"/>
        <v>32305.760000000002</v>
      </c>
      <c r="H66" s="106">
        <f t="shared" si="7"/>
        <v>1172212.75</v>
      </c>
    </row>
    <row r="67" spans="1:12" ht="15" x14ac:dyDescent="0.25">
      <c r="A67" s="104">
        <f t="shared" si="2"/>
        <v>5</v>
      </c>
      <c r="B67" s="108">
        <f t="shared" si="3"/>
        <v>46266</v>
      </c>
      <c r="C67" s="109">
        <f t="shared" si="4"/>
        <v>41339.65</v>
      </c>
      <c r="D67" s="111"/>
      <c r="E67" s="106"/>
      <c r="F67" s="106">
        <f t="shared" si="5"/>
        <v>8791.6</v>
      </c>
      <c r="G67" s="106">
        <f t="shared" si="6"/>
        <v>32548.050000000003</v>
      </c>
      <c r="H67" s="106">
        <f t="shared" si="7"/>
        <v>1139664.7</v>
      </c>
      <c r="L67" s="54"/>
    </row>
    <row r="68" spans="1:12" ht="15" x14ac:dyDescent="0.25">
      <c r="A68" s="104">
        <f t="shared" si="2"/>
        <v>6</v>
      </c>
      <c r="B68" s="108">
        <f t="shared" si="3"/>
        <v>46296</v>
      </c>
      <c r="C68" s="109">
        <f t="shared" si="4"/>
        <v>41339.65</v>
      </c>
      <c r="D68" s="111"/>
      <c r="E68" s="106"/>
      <c r="F68" s="106">
        <f t="shared" si="5"/>
        <v>8547.49</v>
      </c>
      <c r="G68" s="106">
        <f t="shared" si="6"/>
        <v>32792.160000000003</v>
      </c>
      <c r="H68" s="106">
        <f t="shared" si="7"/>
        <v>1106872.54</v>
      </c>
      <c r="L68" s="54"/>
    </row>
    <row r="69" spans="1:12" ht="15" x14ac:dyDescent="0.25">
      <c r="A69" s="104">
        <f t="shared" si="2"/>
        <v>7</v>
      </c>
      <c r="B69" s="108">
        <f t="shared" si="3"/>
        <v>46327</v>
      </c>
      <c r="C69" s="109">
        <f t="shared" si="4"/>
        <v>41339.65</v>
      </c>
      <c r="D69" s="111"/>
      <c r="E69" s="106"/>
      <c r="F69" s="106">
        <f t="shared" si="5"/>
        <v>8301.5400000000009</v>
      </c>
      <c r="G69" s="106">
        <f t="shared" si="6"/>
        <v>33038.11</v>
      </c>
      <c r="H69" s="106">
        <f t="shared" si="7"/>
        <v>1073834.43</v>
      </c>
      <c r="L69" s="55"/>
    </row>
    <row r="70" spans="1:12" x14ac:dyDescent="0.2">
      <c r="A70" s="104">
        <f t="shared" si="2"/>
        <v>8</v>
      </c>
      <c r="B70" s="108">
        <f t="shared" si="3"/>
        <v>46357</v>
      </c>
      <c r="C70" s="109">
        <f t="shared" si="4"/>
        <v>41339.65</v>
      </c>
      <c r="D70" s="111"/>
      <c r="E70" s="106"/>
      <c r="F70" s="106">
        <f t="shared" si="5"/>
        <v>8053.76</v>
      </c>
      <c r="G70" s="106">
        <f t="shared" si="6"/>
        <v>33285.89</v>
      </c>
      <c r="H70" s="106">
        <f t="shared" si="7"/>
        <v>1040548.5399999999</v>
      </c>
    </row>
    <row r="71" spans="1:12" x14ac:dyDescent="0.2">
      <c r="A71" s="104">
        <f t="shared" si="2"/>
        <v>9</v>
      </c>
      <c r="B71" s="108">
        <f t="shared" si="3"/>
        <v>46388</v>
      </c>
      <c r="C71" s="109">
        <f t="shared" si="4"/>
        <v>41339.65</v>
      </c>
      <c r="D71" s="111"/>
      <c r="E71" s="106"/>
      <c r="F71" s="106">
        <f t="shared" si="5"/>
        <v>7804.11</v>
      </c>
      <c r="G71" s="106">
        <f t="shared" si="6"/>
        <v>33535.54</v>
      </c>
      <c r="H71" s="106">
        <f t="shared" si="7"/>
        <v>1007012.9999999999</v>
      </c>
    </row>
    <row r="72" spans="1:12" x14ac:dyDescent="0.2">
      <c r="A72" s="104">
        <f t="shared" si="2"/>
        <v>10</v>
      </c>
      <c r="B72" s="108">
        <f t="shared" si="3"/>
        <v>46419</v>
      </c>
      <c r="C72" s="109">
        <f t="shared" si="4"/>
        <v>41339.65</v>
      </c>
      <c r="D72" s="111"/>
      <c r="E72" s="106"/>
      <c r="F72" s="106">
        <f t="shared" si="5"/>
        <v>7552.6</v>
      </c>
      <c r="G72" s="106">
        <f t="shared" si="6"/>
        <v>33787.050000000003</v>
      </c>
      <c r="H72" s="106">
        <f t="shared" si="7"/>
        <v>973225.94999999984</v>
      </c>
    </row>
    <row r="73" spans="1:12" x14ac:dyDescent="0.2">
      <c r="A73" s="104">
        <f t="shared" si="2"/>
        <v>11</v>
      </c>
      <c r="B73" s="108">
        <f t="shared" si="3"/>
        <v>46447</v>
      </c>
      <c r="C73" s="109">
        <f t="shared" si="4"/>
        <v>41339.65</v>
      </c>
      <c r="D73" s="111"/>
      <c r="E73" s="106"/>
      <c r="F73" s="106">
        <f t="shared" si="5"/>
        <v>7299.19</v>
      </c>
      <c r="G73" s="106">
        <f t="shared" si="6"/>
        <v>34040.46</v>
      </c>
      <c r="H73" s="106">
        <f t="shared" si="7"/>
        <v>939185.48999999987</v>
      </c>
    </row>
    <row r="74" spans="1:12" x14ac:dyDescent="0.2">
      <c r="A74" s="104">
        <f t="shared" si="2"/>
        <v>12</v>
      </c>
      <c r="B74" s="108">
        <f t="shared" si="3"/>
        <v>46478</v>
      </c>
      <c r="C74" s="109">
        <f t="shared" si="4"/>
        <v>41339.65</v>
      </c>
      <c r="D74" s="111"/>
      <c r="E74" s="106"/>
      <c r="F74" s="106">
        <f t="shared" si="5"/>
        <v>7043.89</v>
      </c>
      <c r="G74" s="106">
        <f t="shared" si="6"/>
        <v>34295.760000000002</v>
      </c>
      <c r="H74" s="106">
        <f t="shared" si="7"/>
        <v>904889.72999999986</v>
      </c>
    </row>
    <row r="75" spans="1:12" x14ac:dyDescent="0.2">
      <c r="A75" s="104">
        <f t="shared" si="2"/>
        <v>13</v>
      </c>
      <c r="B75" s="108">
        <f t="shared" si="3"/>
        <v>46508</v>
      </c>
      <c r="C75" s="109">
        <f t="shared" si="4"/>
        <v>41339.65</v>
      </c>
      <c r="D75" s="111"/>
      <c r="E75" s="106"/>
      <c r="F75" s="106">
        <f t="shared" si="5"/>
        <v>6786.67</v>
      </c>
      <c r="G75" s="106">
        <f t="shared" si="6"/>
        <v>34552.980000000003</v>
      </c>
      <c r="H75" s="106">
        <f t="shared" si="7"/>
        <v>870336.74999999988</v>
      </c>
    </row>
    <row r="76" spans="1:12" x14ac:dyDescent="0.2">
      <c r="A76" s="104">
        <f t="shared" si="2"/>
        <v>14</v>
      </c>
      <c r="B76" s="108">
        <f t="shared" si="3"/>
        <v>46539</v>
      </c>
      <c r="C76" s="109">
        <f t="shared" si="4"/>
        <v>41339.65</v>
      </c>
      <c r="D76" s="111"/>
      <c r="E76" s="106"/>
      <c r="F76" s="106">
        <f t="shared" si="5"/>
        <v>6527.53</v>
      </c>
      <c r="G76" s="106">
        <f t="shared" si="6"/>
        <v>34812.120000000003</v>
      </c>
      <c r="H76" s="106">
        <f t="shared" si="7"/>
        <v>835524.62999999989</v>
      </c>
    </row>
    <row r="77" spans="1:12" x14ac:dyDescent="0.2">
      <c r="A77" s="104">
        <f t="shared" si="2"/>
        <v>15</v>
      </c>
      <c r="B77" s="108">
        <f t="shared" si="3"/>
        <v>46569</v>
      </c>
      <c r="C77" s="109">
        <f t="shared" si="4"/>
        <v>41339.65</v>
      </c>
      <c r="D77" s="111"/>
      <c r="E77" s="106"/>
      <c r="F77" s="106">
        <f t="shared" si="5"/>
        <v>6266.43</v>
      </c>
      <c r="G77" s="106">
        <f t="shared" si="6"/>
        <v>35073.22</v>
      </c>
      <c r="H77" s="106">
        <f t="shared" si="7"/>
        <v>800451.40999999992</v>
      </c>
    </row>
    <row r="78" spans="1:12" x14ac:dyDescent="0.2">
      <c r="A78" s="104">
        <f t="shared" si="2"/>
        <v>16</v>
      </c>
      <c r="B78" s="108">
        <f t="shared" si="3"/>
        <v>46600</v>
      </c>
      <c r="C78" s="109">
        <f t="shared" si="4"/>
        <v>41339.65</v>
      </c>
      <c r="D78" s="111"/>
      <c r="E78" s="106"/>
      <c r="F78" s="106">
        <f t="shared" si="5"/>
        <v>6003.39</v>
      </c>
      <c r="G78" s="106">
        <f t="shared" si="6"/>
        <v>35336.26</v>
      </c>
      <c r="H78" s="106">
        <f t="shared" si="7"/>
        <v>765115.14999999991</v>
      </c>
    </row>
    <row r="79" spans="1:12" x14ac:dyDescent="0.2">
      <c r="A79" s="104">
        <f t="shared" si="2"/>
        <v>17</v>
      </c>
      <c r="B79" s="108">
        <f t="shared" si="3"/>
        <v>46631</v>
      </c>
      <c r="C79" s="109">
        <f t="shared" si="4"/>
        <v>41339.65</v>
      </c>
      <c r="D79" s="111"/>
      <c r="E79" s="106"/>
      <c r="F79" s="106">
        <f t="shared" si="5"/>
        <v>5738.36</v>
      </c>
      <c r="G79" s="106">
        <f t="shared" si="6"/>
        <v>35601.29</v>
      </c>
      <c r="H79" s="106">
        <f t="shared" si="7"/>
        <v>729513.85999999987</v>
      </c>
    </row>
    <row r="80" spans="1:12" x14ac:dyDescent="0.2">
      <c r="A80" s="104">
        <f t="shared" si="2"/>
        <v>18</v>
      </c>
      <c r="B80" s="108">
        <f t="shared" si="3"/>
        <v>46661</v>
      </c>
      <c r="C80" s="109">
        <f t="shared" si="4"/>
        <v>41339.65</v>
      </c>
      <c r="D80" s="111"/>
      <c r="E80" s="106"/>
      <c r="F80" s="106">
        <f t="shared" si="5"/>
        <v>5471.35</v>
      </c>
      <c r="G80" s="106">
        <f t="shared" si="6"/>
        <v>35868.300000000003</v>
      </c>
      <c r="H80" s="106">
        <f t="shared" si="7"/>
        <v>693645.55999999982</v>
      </c>
    </row>
    <row r="81" spans="1:8" x14ac:dyDescent="0.2">
      <c r="A81" s="104">
        <f t="shared" si="2"/>
        <v>19</v>
      </c>
      <c r="B81" s="108">
        <f t="shared" si="3"/>
        <v>46692</v>
      </c>
      <c r="C81" s="109">
        <f t="shared" si="4"/>
        <v>41339.65</v>
      </c>
      <c r="D81" s="111"/>
      <c r="E81" s="106"/>
      <c r="F81" s="106">
        <f t="shared" si="5"/>
        <v>5202.34</v>
      </c>
      <c r="G81" s="106">
        <f t="shared" si="6"/>
        <v>36137.31</v>
      </c>
      <c r="H81" s="106">
        <f t="shared" si="7"/>
        <v>657508.24999999977</v>
      </c>
    </row>
    <row r="82" spans="1:8" x14ac:dyDescent="0.2">
      <c r="A82" s="104">
        <f t="shared" si="2"/>
        <v>20</v>
      </c>
      <c r="B82" s="108">
        <f t="shared" si="3"/>
        <v>46722</v>
      </c>
      <c r="C82" s="109">
        <f t="shared" si="4"/>
        <v>41339.65</v>
      </c>
      <c r="D82" s="111"/>
      <c r="E82" s="106"/>
      <c r="F82" s="106">
        <f t="shared" si="5"/>
        <v>4931.3100000000004</v>
      </c>
      <c r="G82" s="106">
        <f t="shared" si="6"/>
        <v>36408.340000000004</v>
      </c>
      <c r="H82" s="106">
        <f t="shared" si="7"/>
        <v>621099.9099999998</v>
      </c>
    </row>
    <row r="83" spans="1:8" x14ac:dyDescent="0.2">
      <c r="A83" s="104">
        <f t="shared" si="2"/>
        <v>21</v>
      </c>
      <c r="B83" s="108">
        <f t="shared" si="3"/>
        <v>46753</v>
      </c>
      <c r="C83" s="109">
        <f t="shared" si="4"/>
        <v>41339.65</v>
      </c>
      <c r="D83" s="111"/>
      <c r="E83" s="106"/>
      <c r="F83" s="106">
        <f t="shared" si="5"/>
        <v>4658.25</v>
      </c>
      <c r="G83" s="106">
        <f t="shared" si="6"/>
        <v>36681.4</v>
      </c>
      <c r="H83" s="106">
        <f t="shared" si="7"/>
        <v>584418.50999999978</v>
      </c>
    </row>
    <row r="84" spans="1:8" x14ac:dyDescent="0.2">
      <c r="A84" s="104">
        <f t="shared" si="2"/>
        <v>22</v>
      </c>
      <c r="B84" s="108">
        <f t="shared" si="3"/>
        <v>46784</v>
      </c>
      <c r="C84" s="109">
        <f t="shared" si="4"/>
        <v>41339.65</v>
      </c>
      <c r="D84" s="111"/>
      <c r="E84" s="106"/>
      <c r="F84" s="106">
        <f t="shared" si="5"/>
        <v>4383.1400000000003</v>
      </c>
      <c r="G84" s="106">
        <f t="shared" si="6"/>
        <v>36956.51</v>
      </c>
      <c r="H84" s="106">
        <f t="shared" si="7"/>
        <v>547461.99999999977</v>
      </c>
    </row>
    <row r="85" spans="1:8" x14ac:dyDescent="0.2">
      <c r="A85" s="104">
        <f t="shared" si="2"/>
        <v>23</v>
      </c>
      <c r="B85" s="108">
        <f t="shared" si="3"/>
        <v>46813</v>
      </c>
      <c r="C85" s="109">
        <f t="shared" si="4"/>
        <v>41339.65</v>
      </c>
      <c r="D85" s="111"/>
      <c r="E85" s="106"/>
      <c r="F85" s="106">
        <f t="shared" si="5"/>
        <v>4105.97</v>
      </c>
      <c r="G85" s="106">
        <f t="shared" si="6"/>
        <v>37233.68</v>
      </c>
      <c r="H85" s="106">
        <f t="shared" si="7"/>
        <v>510228.31999999977</v>
      </c>
    </row>
    <row r="86" spans="1:8" x14ac:dyDescent="0.2">
      <c r="A86" s="104">
        <f t="shared" si="2"/>
        <v>24</v>
      </c>
      <c r="B86" s="108">
        <f t="shared" si="3"/>
        <v>46844</v>
      </c>
      <c r="C86" s="109">
        <f t="shared" si="4"/>
        <v>41339.65</v>
      </c>
      <c r="D86" s="111"/>
      <c r="E86" s="106"/>
      <c r="F86" s="106">
        <f t="shared" si="5"/>
        <v>3826.71</v>
      </c>
      <c r="G86" s="106">
        <f t="shared" si="6"/>
        <v>37512.94</v>
      </c>
      <c r="H86" s="106">
        <f t="shared" si="7"/>
        <v>472715.37999999977</v>
      </c>
    </row>
    <row r="87" spans="1:8" x14ac:dyDescent="0.2">
      <c r="A87" s="104">
        <f t="shared" si="2"/>
        <v>25</v>
      </c>
      <c r="B87" s="108">
        <f t="shared" si="3"/>
        <v>46874</v>
      </c>
      <c r="C87" s="109">
        <f t="shared" si="4"/>
        <v>41339.65</v>
      </c>
      <c r="D87" s="111"/>
      <c r="E87" s="106"/>
      <c r="F87" s="106">
        <f t="shared" si="5"/>
        <v>3545.37</v>
      </c>
      <c r="G87" s="106">
        <f t="shared" si="6"/>
        <v>37794.28</v>
      </c>
      <c r="H87" s="106">
        <f t="shared" si="7"/>
        <v>434921.09999999974</v>
      </c>
    </row>
    <row r="88" spans="1:8" x14ac:dyDescent="0.2">
      <c r="A88" s="104">
        <f t="shared" si="2"/>
        <v>26</v>
      </c>
      <c r="B88" s="108">
        <f t="shared" si="3"/>
        <v>46905</v>
      </c>
      <c r="C88" s="109">
        <f t="shared" si="4"/>
        <v>41339.65</v>
      </c>
      <c r="D88" s="111"/>
      <c r="E88" s="106"/>
      <c r="F88" s="106">
        <f t="shared" si="5"/>
        <v>3261.91</v>
      </c>
      <c r="G88" s="106">
        <f t="shared" si="6"/>
        <v>38077.740000000005</v>
      </c>
      <c r="H88" s="106">
        <f t="shared" si="7"/>
        <v>396843.35999999975</v>
      </c>
    </row>
    <row r="89" spans="1:8" x14ac:dyDescent="0.2">
      <c r="A89" s="104">
        <f t="shared" si="2"/>
        <v>27</v>
      </c>
      <c r="B89" s="108">
        <f t="shared" si="3"/>
        <v>46935</v>
      </c>
      <c r="C89" s="109">
        <f t="shared" si="4"/>
        <v>41339.65</v>
      </c>
      <c r="D89" s="111"/>
      <c r="E89" s="106"/>
      <c r="F89" s="106">
        <f t="shared" si="5"/>
        <v>2976.33</v>
      </c>
      <c r="G89" s="106">
        <f t="shared" si="6"/>
        <v>38363.32</v>
      </c>
      <c r="H89" s="106">
        <f t="shared" si="7"/>
        <v>358480.03999999975</v>
      </c>
    </row>
    <row r="90" spans="1:8" x14ac:dyDescent="0.2">
      <c r="A90" s="104">
        <f t="shared" si="2"/>
        <v>28</v>
      </c>
      <c r="B90" s="108">
        <f t="shared" si="3"/>
        <v>46966</v>
      </c>
      <c r="C90" s="109">
        <f t="shared" si="4"/>
        <v>41339.65</v>
      </c>
      <c r="D90" s="111"/>
      <c r="E90" s="106"/>
      <c r="F90" s="106">
        <f t="shared" si="5"/>
        <v>2688.6</v>
      </c>
      <c r="G90" s="106">
        <f t="shared" si="6"/>
        <v>38651.050000000003</v>
      </c>
      <c r="H90" s="106">
        <f t="shared" si="7"/>
        <v>319828.98999999976</v>
      </c>
    </row>
    <row r="91" spans="1:8" x14ac:dyDescent="0.2">
      <c r="A91" s="104">
        <f t="shared" si="2"/>
        <v>29</v>
      </c>
      <c r="B91" s="108">
        <f t="shared" si="3"/>
        <v>46997</v>
      </c>
      <c r="C91" s="109">
        <f t="shared" si="4"/>
        <v>41339.65</v>
      </c>
      <c r="D91" s="111"/>
      <c r="E91" s="106"/>
      <c r="F91" s="106">
        <f t="shared" si="5"/>
        <v>2398.7199999999998</v>
      </c>
      <c r="G91" s="106">
        <f t="shared" si="6"/>
        <v>38940.93</v>
      </c>
      <c r="H91" s="106">
        <f t="shared" si="7"/>
        <v>280888.05999999976</v>
      </c>
    </row>
    <row r="92" spans="1:8" x14ac:dyDescent="0.2">
      <c r="A92" s="104">
        <f t="shared" si="2"/>
        <v>30</v>
      </c>
      <c r="B92" s="108">
        <f t="shared" si="3"/>
        <v>47027</v>
      </c>
      <c r="C92" s="109">
        <f t="shared" si="4"/>
        <v>41339.65</v>
      </c>
      <c r="D92" s="111"/>
      <c r="E92" s="106"/>
      <c r="F92" s="106">
        <f t="shared" si="5"/>
        <v>2106.66</v>
      </c>
      <c r="G92" s="106">
        <f t="shared" si="6"/>
        <v>39232.990000000005</v>
      </c>
      <c r="H92" s="106">
        <f t="shared" si="7"/>
        <v>241655.06999999977</v>
      </c>
    </row>
    <row r="93" spans="1:8" x14ac:dyDescent="0.2">
      <c r="A93" s="104">
        <f t="shared" si="2"/>
        <v>31</v>
      </c>
      <c r="B93" s="108">
        <f t="shared" si="3"/>
        <v>47058</v>
      </c>
      <c r="C93" s="109">
        <f t="shared" si="4"/>
        <v>41339.65</v>
      </c>
      <c r="D93" s="111"/>
      <c r="E93" s="106"/>
      <c r="F93" s="106">
        <f t="shared" si="5"/>
        <v>1812.41</v>
      </c>
      <c r="G93" s="106">
        <f t="shared" si="6"/>
        <v>39527.24</v>
      </c>
      <c r="H93" s="106">
        <f t="shared" si="7"/>
        <v>202127.82999999978</v>
      </c>
    </row>
    <row r="94" spans="1:8" x14ac:dyDescent="0.2">
      <c r="A94" s="104">
        <f t="shared" si="2"/>
        <v>32</v>
      </c>
      <c r="B94" s="108">
        <f t="shared" si="3"/>
        <v>47088</v>
      </c>
      <c r="C94" s="109">
        <f t="shared" si="4"/>
        <v>41339.65</v>
      </c>
      <c r="D94" s="111"/>
      <c r="E94" s="106"/>
      <c r="F94" s="106">
        <f t="shared" si="5"/>
        <v>1515.96</v>
      </c>
      <c r="G94" s="106">
        <f t="shared" si="6"/>
        <v>39823.69</v>
      </c>
      <c r="H94" s="106">
        <f t="shared" si="7"/>
        <v>162304.13999999978</v>
      </c>
    </row>
    <row r="95" spans="1:8" x14ac:dyDescent="0.2">
      <c r="A95" s="104">
        <f t="shared" si="2"/>
        <v>33</v>
      </c>
      <c r="B95" s="108">
        <f t="shared" si="3"/>
        <v>47119</v>
      </c>
      <c r="C95" s="109">
        <f t="shared" si="4"/>
        <v>41339.65</v>
      </c>
      <c r="D95" s="111"/>
      <c r="E95" s="106"/>
      <c r="F95" s="106">
        <f t="shared" si="5"/>
        <v>1217.28</v>
      </c>
      <c r="G95" s="106">
        <f t="shared" si="6"/>
        <v>40122.370000000003</v>
      </c>
      <c r="H95" s="106">
        <f t="shared" si="7"/>
        <v>122181.76999999979</v>
      </c>
    </row>
    <row r="96" spans="1:8" x14ac:dyDescent="0.2">
      <c r="A96" s="104">
        <f t="shared" si="2"/>
        <v>34</v>
      </c>
      <c r="B96" s="108">
        <f t="shared" si="3"/>
        <v>47150</v>
      </c>
      <c r="C96" s="109">
        <f t="shared" si="4"/>
        <v>41339.65</v>
      </c>
      <c r="D96" s="111"/>
      <c r="E96" s="106"/>
      <c r="F96" s="106">
        <f t="shared" si="5"/>
        <v>916.36</v>
      </c>
      <c r="G96" s="106">
        <f t="shared" si="6"/>
        <v>40423.29</v>
      </c>
      <c r="H96" s="106">
        <f t="shared" si="7"/>
        <v>81758.479999999778</v>
      </c>
    </row>
    <row r="97" spans="1:8" x14ac:dyDescent="0.2">
      <c r="A97" s="104">
        <f t="shared" si="2"/>
        <v>35</v>
      </c>
      <c r="B97" s="108">
        <f t="shared" si="3"/>
        <v>47178</v>
      </c>
      <c r="C97" s="109">
        <f t="shared" si="4"/>
        <v>41339.65</v>
      </c>
      <c r="D97" s="111"/>
      <c r="E97" s="106"/>
      <c r="F97" s="106">
        <f t="shared" si="5"/>
        <v>613.19000000000005</v>
      </c>
      <c r="G97" s="106">
        <f t="shared" si="6"/>
        <v>40726.46</v>
      </c>
      <c r="H97" s="106">
        <f t="shared" si="7"/>
        <v>41032.019999999779</v>
      </c>
    </row>
    <row r="98" spans="1:8" x14ac:dyDescent="0.2">
      <c r="A98" s="104">
        <f t="shared" si="2"/>
        <v>36</v>
      </c>
      <c r="B98" s="108">
        <f t="shared" si="3"/>
        <v>47209</v>
      </c>
      <c r="C98" s="109">
        <f t="shared" si="4"/>
        <v>41339.760000000002</v>
      </c>
      <c r="D98" s="111"/>
      <c r="E98" s="106"/>
      <c r="F98" s="106">
        <f t="shared" si="5"/>
        <v>307.74</v>
      </c>
      <c r="G98" s="106">
        <f t="shared" si="6"/>
        <v>41032.020000000004</v>
      </c>
      <c r="H98" s="106">
        <f t="shared" si="7"/>
        <v>-2.255546860396862E-10</v>
      </c>
    </row>
    <row r="99" spans="1:8" x14ac:dyDescent="0.2">
      <c r="A99" s="104" t="str">
        <f t="shared" si="2"/>
        <v/>
      </c>
      <c r="B99" s="108" t="str">
        <f t="shared" si="3"/>
        <v/>
      </c>
      <c r="C99" s="109" t="str">
        <f t="shared" si="4"/>
        <v/>
      </c>
      <c r="D99" s="111"/>
      <c r="E99" s="106"/>
      <c r="F99" s="106" t="str">
        <f t="shared" si="5"/>
        <v/>
      </c>
      <c r="G99" s="106" t="str">
        <f t="shared" si="6"/>
        <v/>
      </c>
      <c r="H99" s="106" t="str">
        <f t="shared" si="7"/>
        <v/>
      </c>
    </row>
    <row r="100" spans="1:8" x14ac:dyDescent="0.2">
      <c r="A100" s="104" t="str">
        <f t="shared" si="2"/>
        <v/>
      </c>
      <c r="B100" s="108" t="str">
        <f t="shared" si="3"/>
        <v/>
      </c>
      <c r="C100" s="109" t="str">
        <f t="shared" si="4"/>
        <v/>
      </c>
      <c r="D100" s="111"/>
      <c r="E100" s="106"/>
      <c r="F100" s="106" t="str">
        <f t="shared" si="5"/>
        <v/>
      </c>
      <c r="G100" s="106" t="str">
        <f t="shared" si="6"/>
        <v/>
      </c>
      <c r="H100" s="106" t="str">
        <f t="shared" si="7"/>
        <v/>
      </c>
    </row>
    <row r="101" spans="1:8" x14ac:dyDescent="0.2">
      <c r="A101" s="104" t="str">
        <f t="shared" si="2"/>
        <v/>
      </c>
      <c r="B101" s="108" t="str">
        <f t="shared" si="3"/>
        <v/>
      </c>
      <c r="C101" s="109" t="str">
        <f t="shared" si="4"/>
        <v/>
      </c>
      <c r="D101" s="111"/>
      <c r="E101" s="106"/>
      <c r="F101" s="106" t="str">
        <f t="shared" si="5"/>
        <v/>
      </c>
      <c r="G101" s="106" t="str">
        <f t="shared" si="6"/>
        <v/>
      </c>
      <c r="H101" s="106" t="str">
        <f t="shared" si="7"/>
        <v/>
      </c>
    </row>
    <row r="102" spans="1:8" x14ac:dyDescent="0.2">
      <c r="A102" s="104" t="str">
        <f t="shared" si="2"/>
        <v/>
      </c>
      <c r="B102" s="108" t="str">
        <f t="shared" si="3"/>
        <v/>
      </c>
      <c r="C102" s="109" t="str">
        <f t="shared" si="4"/>
        <v/>
      </c>
      <c r="D102" s="111"/>
      <c r="E102" s="106"/>
      <c r="F102" s="106" t="str">
        <f t="shared" si="5"/>
        <v/>
      </c>
      <c r="G102" s="106" t="str">
        <f t="shared" si="6"/>
        <v/>
      </c>
      <c r="H102" s="106" t="str">
        <f t="shared" si="7"/>
        <v/>
      </c>
    </row>
    <row r="103" spans="1:8" x14ac:dyDescent="0.2">
      <c r="A103" s="104" t="str">
        <f t="shared" si="2"/>
        <v/>
      </c>
      <c r="B103" s="108" t="str">
        <f t="shared" si="3"/>
        <v/>
      </c>
      <c r="C103" s="109" t="str">
        <f t="shared" si="4"/>
        <v/>
      </c>
      <c r="D103" s="111"/>
      <c r="E103" s="106"/>
      <c r="F103" s="106" t="str">
        <f t="shared" si="5"/>
        <v/>
      </c>
      <c r="G103" s="106" t="str">
        <f t="shared" si="6"/>
        <v/>
      </c>
      <c r="H103" s="106" t="str">
        <f t="shared" si="7"/>
        <v/>
      </c>
    </row>
    <row r="104" spans="1:8" x14ac:dyDescent="0.2">
      <c r="A104" s="104" t="str">
        <f t="shared" si="2"/>
        <v/>
      </c>
      <c r="B104" s="108" t="str">
        <f t="shared" si="3"/>
        <v/>
      </c>
      <c r="C104" s="109" t="str">
        <f t="shared" si="4"/>
        <v/>
      </c>
      <c r="D104" s="111"/>
      <c r="E104" s="106"/>
      <c r="F104" s="106" t="str">
        <f t="shared" si="5"/>
        <v/>
      </c>
      <c r="G104" s="106" t="str">
        <f t="shared" si="6"/>
        <v/>
      </c>
      <c r="H104" s="106" t="str">
        <f t="shared" si="7"/>
        <v/>
      </c>
    </row>
    <row r="105" spans="1:8" x14ac:dyDescent="0.2">
      <c r="A105" s="104" t="str">
        <f t="shared" si="2"/>
        <v/>
      </c>
      <c r="B105" s="108" t="str">
        <f t="shared" si="3"/>
        <v/>
      </c>
      <c r="C105" s="109" t="str">
        <f t="shared" si="4"/>
        <v/>
      </c>
      <c r="D105" s="111"/>
      <c r="E105" s="106"/>
      <c r="F105" s="106" t="str">
        <f t="shared" si="5"/>
        <v/>
      </c>
      <c r="G105" s="106" t="str">
        <f t="shared" si="6"/>
        <v/>
      </c>
      <c r="H105" s="106" t="str">
        <f t="shared" si="7"/>
        <v/>
      </c>
    </row>
    <row r="106" spans="1:8" x14ac:dyDescent="0.2">
      <c r="A106" s="104" t="str">
        <f t="shared" si="2"/>
        <v/>
      </c>
      <c r="B106" s="108" t="str">
        <f t="shared" si="3"/>
        <v/>
      </c>
      <c r="C106" s="109" t="str">
        <f t="shared" si="4"/>
        <v/>
      </c>
      <c r="D106" s="111"/>
      <c r="E106" s="106"/>
      <c r="F106" s="106" t="str">
        <f t="shared" si="5"/>
        <v/>
      </c>
      <c r="G106" s="106" t="str">
        <f t="shared" si="6"/>
        <v/>
      </c>
      <c r="H106" s="106" t="str">
        <f t="shared" si="7"/>
        <v/>
      </c>
    </row>
    <row r="107" spans="1:8" x14ac:dyDescent="0.2">
      <c r="A107" s="104" t="str">
        <f t="shared" si="2"/>
        <v/>
      </c>
      <c r="B107" s="108" t="str">
        <f t="shared" si="3"/>
        <v/>
      </c>
      <c r="C107" s="109" t="str">
        <f t="shared" si="4"/>
        <v/>
      </c>
      <c r="D107" s="111"/>
      <c r="E107" s="106"/>
      <c r="F107" s="106" t="str">
        <f t="shared" si="5"/>
        <v/>
      </c>
      <c r="G107" s="106" t="str">
        <f t="shared" si="6"/>
        <v/>
      </c>
      <c r="H107" s="106" t="str">
        <f t="shared" si="7"/>
        <v/>
      </c>
    </row>
    <row r="108" spans="1:8" x14ac:dyDescent="0.2">
      <c r="A108" s="104" t="str">
        <f t="shared" si="2"/>
        <v/>
      </c>
      <c r="B108" s="108" t="str">
        <f t="shared" si="3"/>
        <v/>
      </c>
      <c r="C108" s="109" t="str">
        <f t="shared" si="4"/>
        <v/>
      </c>
      <c r="D108" s="111"/>
      <c r="E108" s="106"/>
      <c r="F108" s="106" t="str">
        <f t="shared" si="5"/>
        <v/>
      </c>
      <c r="G108" s="106" t="str">
        <f t="shared" si="6"/>
        <v/>
      </c>
      <c r="H108" s="106" t="str">
        <f t="shared" si="7"/>
        <v/>
      </c>
    </row>
    <row r="109" spans="1:8" x14ac:dyDescent="0.2">
      <c r="A109" s="104" t="str">
        <f t="shared" si="2"/>
        <v/>
      </c>
      <c r="B109" s="108" t="str">
        <f t="shared" si="3"/>
        <v/>
      </c>
      <c r="C109" s="109" t="str">
        <f t="shared" si="4"/>
        <v/>
      </c>
      <c r="D109" s="111"/>
      <c r="E109" s="106"/>
      <c r="F109" s="106" t="str">
        <f t="shared" si="5"/>
        <v/>
      </c>
      <c r="G109" s="106" t="str">
        <f t="shared" si="6"/>
        <v/>
      </c>
      <c r="H109" s="106" t="str">
        <f t="shared" si="7"/>
        <v/>
      </c>
    </row>
    <row r="110" spans="1:8" x14ac:dyDescent="0.2">
      <c r="A110" s="104" t="str">
        <f t="shared" si="2"/>
        <v/>
      </c>
      <c r="B110" s="108" t="str">
        <f t="shared" si="3"/>
        <v/>
      </c>
      <c r="C110" s="109" t="str">
        <f t="shared" si="4"/>
        <v/>
      </c>
      <c r="D110" s="111"/>
      <c r="E110" s="106"/>
      <c r="F110" s="106" t="str">
        <f t="shared" si="5"/>
        <v/>
      </c>
      <c r="G110" s="106" t="str">
        <f t="shared" si="6"/>
        <v/>
      </c>
      <c r="H110" s="106" t="str">
        <f t="shared" si="7"/>
        <v/>
      </c>
    </row>
    <row r="111" spans="1:8" x14ac:dyDescent="0.2">
      <c r="A111" s="104" t="str">
        <f t="shared" si="2"/>
        <v/>
      </c>
      <c r="B111" s="108" t="str">
        <f t="shared" si="3"/>
        <v/>
      </c>
      <c r="C111" s="109" t="str">
        <f t="shared" si="4"/>
        <v/>
      </c>
      <c r="D111" s="111"/>
      <c r="E111" s="106"/>
      <c r="F111" s="106" t="str">
        <f t="shared" si="5"/>
        <v/>
      </c>
      <c r="G111" s="106" t="str">
        <f t="shared" si="6"/>
        <v/>
      </c>
      <c r="H111" s="106" t="str">
        <f t="shared" si="7"/>
        <v/>
      </c>
    </row>
    <row r="112" spans="1:8" x14ac:dyDescent="0.2">
      <c r="A112" s="104" t="str">
        <f t="shared" si="2"/>
        <v/>
      </c>
      <c r="B112" s="108" t="str">
        <f t="shared" si="3"/>
        <v/>
      </c>
      <c r="C112" s="109" t="str">
        <f t="shared" si="4"/>
        <v/>
      </c>
      <c r="D112" s="111"/>
      <c r="E112" s="106"/>
      <c r="F112" s="106" t="str">
        <f t="shared" si="5"/>
        <v/>
      </c>
      <c r="G112" s="106" t="str">
        <f t="shared" si="6"/>
        <v/>
      </c>
      <c r="H112" s="106" t="str">
        <f t="shared" si="7"/>
        <v/>
      </c>
    </row>
    <row r="113" spans="1:8" x14ac:dyDescent="0.2">
      <c r="A113" s="104" t="str">
        <f t="shared" si="2"/>
        <v/>
      </c>
      <c r="B113" s="108" t="str">
        <f t="shared" si="3"/>
        <v/>
      </c>
      <c r="C113" s="109" t="str">
        <f t="shared" si="4"/>
        <v/>
      </c>
      <c r="D113" s="111"/>
      <c r="E113" s="106"/>
      <c r="F113" s="106" t="str">
        <f t="shared" si="5"/>
        <v/>
      </c>
      <c r="G113" s="106" t="str">
        <f t="shared" si="6"/>
        <v/>
      </c>
      <c r="H113" s="106" t="str">
        <f t="shared" si="7"/>
        <v/>
      </c>
    </row>
    <row r="114" spans="1:8" x14ac:dyDescent="0.2">
      <c r="A114" s="104" t="str">
        <f t="shared" si="2"/>
        <v/>
      </c>
      <c r="B114" s="108" t="str">
        <f t="shared" si="3"/>
        <v/>
      </c>
      <c r="C114" s="109" t="str">
        <f t="shared" si="4"/>
        <v/>
      </c>
      <c r="D114" s="111"/>
      <c r="E114" s="106"/>
      <c r="F114" s="106" t="str">
        <f t="shared" si="5"/>
        <v/>
      </c>
      <c r="G114" s="106" t="str">
        <f t="shared" si="6"/>
        <v/>
      </c>
      <c r="H114" s="106" t="str">
        <f t="shared" si="7"/>
        <v/>
      </c>
    </row>
    <row r="115" spans="1:8" x14ac:dyDescent="0.2">
      <c r="A115" s="104" t="str">
        <f t="shared" si="2"/>
        <v/>
      </c>
      <c r="B115" s="108" t="str">
        <f t="shared" si="3"/>
        <v/>
      </c>
      <c r="C115" s="109" t="str">
        <f t="shared" si="4"/>
        <v/>
      </c>
      <c r="D115" s="111"/>
      <c r="E115" s="106"/>
      <c r="F115" s="106" t="str">
        <f t="shared" si="5"/>
        <v/>
      </c>
      <c r="G115" s="106" t="str">
        <f t="shared" si="6"/>
        <v/>
      </c>
      <c r="H115" s="106" t="str">
        <f t="shared" si="7"/>
        <v/>
      </c>
    </row>
    <row r="116" spans="1:8" x14ac:dyDescent="0.2">
      <c r="A116" s="104" t="str">
        <f t="shared" si="2"/>
        <v/>
      </c>
      <c r="B116" s="108" t="str">
        <f t="shared" si="3"/>
        <v/>
      </c>
      <c r="C116" s="109" t="str">
        <f t="shared" si="4"/>
        <v/>
      </c>
      <c r="D116" s="111"/>
      <c r="E116" s="106"/>
      <c r="F116" s="106" t="str">
        <f t="shared" si="5"/>
        <v/>
      </c>
      <c r="G116" s="106" t="str">
        <f t="shared" si="6"/>
        <v/>
      </c>
      <c r="H116" s="106" t="str">
        <f t="shared" si="7"/>
        <v/>
      </c>
    </row>
    <row r="117" spans="1:8" x14ac:dyDescent="0.2">
      <c r="A117" s="104" t="str">
        <f t="shared" si="2"/>
        <v/>
      </c>
      <c r="B117" s="108" t="str">
        <f t="shared" si="3"/>
        <v/>
      </c>
      <c r="C117" s="109" t="str">
        <f t="shared" si="4"/>
        <v/>
      </c>
      <c r="D117" s="111"/>
      <c r="E117" s="106"/>
      <c r="F117" s="106" t="str">
        <f t="shared" si="5"/>
        <v/>
      </c>
      <c r="G117" s="106" t="str">
        <f t="shared" si="6"/>
        <v/>
      </c>
      <c r="H117" s="106" t="str">
        <f t="shared" si="7"/>
        <v/>
      </c>
    </row>
    <row r="118" spans="1:8" x14ac:dyDescent="0.2">
      <c r="A118" s="104" t="str">
        <f t="shared" si="2"/>
        <v/>
      </c>
      <c r="B118" s="108" t="str">
        <f t="shared" si="3"/>
        <v/>
      </c>
      <c r="C118" s="109" t="str">
        <f t="shared" si="4"/>
        <v/>
      </c>
      <c r="D118" s="111"/>
      <c r="E118" s="106"/>
      <c r="F118" s="106" t="str">
        <f t="shared" si="5"/>
        <v/>
      </c>
      <c r="G118" s="106" t="str">
        <f t="shared" si="6"/>
        <v/>
      </c>
      <c r="H118" s="106" t="str">
        <f t="shared" si="7"/>
        <v/>
      </c>
    </row>
    <row r="119" spans="1:8" x14ac:dyDescent="0.2">
      <c r="A119" s="104" t="str">
        <f t="shared" si="2"/>
        <v/>
      </c>
      <c r="B119" s="108" t="str">
        <f t="shared" si="3"/>
        <v/>
      </c>
      <c r="C119" s="109" t="str">
        <f t="shared" si="4"/>
        <v/>
      </c>
      <c r="D119" s="111"/>
      <c r="E119" s="106"/>
      <c r="F119" s="106" t="str">
        <f t="shared" si="5"/>
        <v/>
      </c>
      <c r="G119" s="106" t="str">
        <f t="shared" si="6"/>
        <v/>
      </c>
      <c r="H119" s="106" t="str">
        <f t="shared" si="7"/>
        <v/>
      </c>
    </row>
    <row r="120" spans="1:8" x14ac:dyDescent="0.2">
      <c r="A120" s="104" t="str">
        <f t="shared" si="2"/>
        <v/>
      </c>
      <c r="B120" s="108" t="str">
        <f t="shared" si="3"/>
        <v/>
      </c>
      <c r="C120" s="109" t="str">
        <f t="shared" si="4"/>
        <v/>
      </c>
      <c r="D120" s="111"/>
      <c r="E120" s="106"/>
      <c r="F120" s="106" t="str">
        <f t="shared" si="5"/>
        <v/>
      </c>
      <c r="G120" s="106" t="str">
        <f t="shared" si="6"/>
        <v/>
      </c>
      <c r="H120" s="106" t="str">
        <f t="shared" si="7"/>
        <v/>
      </c>
    </row>
    <row r="121" spans="1:8" x14ac:dyDescent="0.2">
      <c r="A121" s="104" t="str">
        <f t="shared" si="2"/>
        <v/>
      </c>
      <c r="B121" s="108" t="str">
        <f t="shared" si="3"/>
        <v/>
      </c>
      <c r="C121" s="109" t="str">
        <f t="shared" si="4"/>
        <v/>
      </c>
      <c r="D121" s="111"/>
      <c r="E121" s="106"/>
      <c r="F121" s="106" t="str">
        <f t="shared" si="5"/>
        <v/>
      </c>
      <c r="G121" s="106" t="str">
        <f t="shared" si="6"/>
        <v/>
      </c>
      <c r="H121" s="106" t="str">
        <f t="shared" si="7"/>
        <v/>
      </c>
    </row>
    <row r="122" spans="1:8" x14ac:dyDescent="0.2">
      <c r="A122" s="104" t="str">
        <f t="shared" si="2"/>
        <v/>
      </c>
      <c r="B122" s="108" t="str">
        <f t="shared" si="3"/>
        <v/>
      </c>
      <c r="C122" s="109" t="str">
        <f t="shared" si="4"/>
        <v/>
      </c>
      <c r="D122" s="111"/>
      <c r="E122" s="106"/>
      <c r="F122" s="106" t="str">
        <f t="shared" si="5"/>
        <v/>
      </c>
      <c r="G122" s="106" t="str">
        <f t="shared" si="6"/>
        <v/>
      </c>
      <c r="H122" s="106" t="str">
        <f t="shared" si="7"/>
        <v/>
      </c>
    </row>
    <row r="123" spans="1:8" x14ac:dyDescent="0.2">
      <c r="A123" s="104" t="str">
        <f t="shared" si="2"/>
        <v/>
      </c>
      <c r="B123" s="108" t="str">
        <f t="shared" si="3"/>
        <v/>
      </c>
      <c r="C123" s="109" t="str">
        <f t="shared" si="4"/>
        <v/>
      </c>
      <c r="D123" s="111"/>
      <c r="E123" s="106"/>
      <c r="F123" s="106" t="str">
        <f t="shared" si="5"/>
        <v/>
      </c>
      <c r="G123" s="106" t="str">
        <f t="shared" si="6"/>
        <v/>
      </c>
      <c r="H123" s="106" t="str">
        <f t="shared" si="7"/>
        <v/>
      </c>
    </row>
    <row r="124" spans="1:8" x14ac:dyDescent="0.2">
      <c r="A124" s="104" t="str">
        <f t="shared" si="2"/>
        <v/>
      </c>
      <c r="B124" s="108" t="str">
        <f t="shared" si="3"/>
        <v/>
      </c>
      <c r="C124" s="109" t="str">
        <f t="shared" si="4"/>
        <v/>
      </c>
      <c r="D124" s="111"/>
      <c r="E124" s="106"/>
      <c r="F124" s="106" t="str">
        <f t="shared" si="5"/>
        <v/>
      </c>
      <c r="G124" s="106" t="str">
        <f t="shared" si="6"/>
        <v/>
      </c>
      <c r="H124" s="106" t="str">
        <f t="shared" si="7"/>
        <v/>
      </c>
    </row>
    <row r="125" spans="1:8" x14ac:dyDescent="0.2">
      <c r="A125" s="104" t="str">
        <f t="shared" si="2"/>
        <v/>
      </c>
      <c r="B125" s="108" t="str">
        <f t="shared" si="3"/>
        <v/>
      </c>
      <c r="C125" s="109" t="str">
        <f t="shared" si="4"/>
        <v/>
      </c>
      <c r="D125" s="111"/>
      <c r="E125" s="106"/>
      <c r="F125" s="106" t="str">
        <f t="shared" si="5"/>
        <v/>
      </c>
      <c r="G125" s="106" t="str">
        <f t="shared" si="6"/>
        <v/>
      </c>
      <c r="H125" s="106" t="str">
        <f t="shared" si="7"/>
        <v/>
      </c>
    </row>
    <row r="126" spans="1:8" x14ac:dyDescent="0.2">
      <c r="A126" s="104" t="str">
        <f t="shared" si="2"/>
        <v/>
      </c>
      <c r="B126" s="108" t="str">
        <f t="shared" si="3"/>
        <v/>
      </c>
      <c r="C126" s="109" t="str">
        <f t="shared" si="4"/>
        <v/>
      </c>
      <c r="D126" s="111"/>
      <c r="E126" s="106"/>
      <c r="F126" s="106" t="str">
        <f t="shared" si="5"/>
        <v/>
      </c>
      <c r="G126" s="106" t="str">
        <f t="shared" si="6"/>
        <v/>
      </c>
      <c r="H126" s="106" t="str">
        <f t="shared" si="7"/>
        <v/>
      </c>
    </row>
    <row r="127" spans="1:8" x14ac:dyDescent="0.2">
      <c r="A127" s="104" t="str">
        <f t="shared" ref="A127:A190" si="8">IF(H126="","",IF(roundOpt,IF(OR(A126&gt;=nper,ROUND(H126,2)&lt;=0),"",A126+1),IF(OR(A126&gt;=nper,H126&lt;=0),"",A126+1)))</f>
        <v/>
      </c>
      <c r="B127" s="108" t="str">
        <f t="shared" ref="B127:B190" si="9">IF(A127="","",IF(periods_per_year=26,IF(A127=1,fpdate,B126+14),IF(periods_per_year=52,IF(A127=1,fpdate,B126+7),IF(periods_per_year=24,IF(A127=1,fpdate,IF(fpdate=EOMONTH(fpdate,0),IF(ISODD(A127),EOMONTH(EDATE(fpdate,(A127-1)/2),0),EDATE(DATE(YEAR(fpdate),MONTH(fpdate)+1,15),(A127-1)/2)),IF(DAY(fpdate)=15,IF(ISODD(A127),EDATE(fpdate,(A127-1)/2),EOMONTH(EDATE(fpdate,(A127-1)/2),0)),IF(DAY(fpdate)&lt;=14,IF(ISODD(A127),EDATE(fpdate,(A127-1)/2),EDATE(MIN(fpdate+15,EOMONTH(fpdate,0)),(A127-1)/2)),EDATE(IF(ISODD(A127),fpdate,fpdate-15),A127/2))))),IF(A127=1,fpdate,EDATE(fpdate,months_per_period*(A127-1)))))))</f>
        <v/>
      </c>
      <c r="C127" s="109" t="str">
        <f t="shared" ref="C127:C190" si="10">IF(A127="","",IF(roundOpt,IF(OR(A127=nper,payment&gt;ROUND((1+rate)*H126,2)),ROUND((1+rate)*H126,2),payment),IF(OR(A127=nper,payment&gt;(1+rate)*H126),(1+rate)*H126,payment)))</f>
        <v/>
      </c>
      <c r="D127" s="111"/>
      <c r="E127" s="106"/>
      <c r="F127" s="106" t="str">
        <f t="shared" ref="F127:F190" si="11">IF(A127="","",IF(AND(A127=1,pmtType=1),0,IF(roundOpt,ROUND(rate*H126,2),rate*H126)))</f>
        <v/>
      </c>
      <c r="G127" s="106" t="str">
        <f t="shared" ref="G127:G190" si="12">IF(A127="","",C127-F127+D127)</f>
        <v/>
      </c>
      <c r="H127" s="106" t="str">
        <f t="shared" ref="H127:H190" si="13">IF(A127="","",H126-G127)</f>
        <v/>
      </c>
    </row>
    <row r="128" spans="1:8" x14ac:dyDescent="0.2">
      <c r="A128" s="104" t="str">
        <f t="shared" si="8"/>
        <v/>
      </c>
      <c r="B128" s="108" t="str">
        <f t="shared" si="9"/>
        <v/>
      </c>
      <c r="C128" s="109" t="str">
        <f t="shared" si="10"/>
        <v/>
      </c>
      <c r="D128" s="111"/>
      <c r="E128" s="106"/>
      <c r="F128" s="106" t="str">
        <f t="shared" si="11"/>
        <v/>
      </c>
      <c r="G128" s="106" t="str">
        <f t="shared" si="12"/>
        <v/>
      </c>
      <c r="H128" s="106" t="str">
        <f t="shared" si="13"/>
        <v/>
      </c>
    </row>
    <row r="129" spans="1:8" x14ac:dyDescent="0.2">
      <c r="A129" s="104" t="str">
        <f t="shared" si="8"/>
        <v/>
      </c>
      <c r="B129" s="108" t="str">
        <f t="shared" si="9"/>
        <v/>
      </c>
      <c r="C129" s="109" t="str">
        <f t="shared" si="10"/>
        <v/>
      </c>
      <c r="D129" s="111"/>
      <c r="E129" s="106"/>
      <c r="F129" s="106" t="str">
        <f t="shared" si="11"/>
        <v/>
      </c>
      <c r="G129" s="106" t="str">
        <f t="shared" si="12"/>
        <v/>
      </c>
      <c r="H129" s="106" t="str">
        <f t="shared" si="13"/>
        <v/>
      </c>
    </row>
    <row r="130" spans="1:8" x14ac:dyDescent="0.2">
      <c r="A130" s="104" t="str">
        <f t="shared" si="8"/>
        <v/>
      </c>
      <c r="B130" s="108" t="str">
        <f t="shared" si="9"/>
        <v/>
      </c>
      <c r="C130" s="109" t="str">
        <f t="shared" si="10"/>
        <v/>
      </c>
      <c r="D130" s="111"/>
      <c r="E130" s="106"/>
      <c r="F130" s="106" t="str">
        <f t="shared" si="11"/>
        <v/>
      </c>
      <c r="G130" s="106" t="str">
        <f t="shared" si="12"/>
        <v/>
      </c>
      <c r="H130" s="106" t="str">
        <f t="shared" si="13"/>
        <v/>
      </c>
    </row>
    <row r="131" spans="1:8" x14ac:dyDescent="0.2">
      <c r="A131" s="104" t="str">
        <f t="shared" si="8"/>
        <v/>
      </c>
      <c r="B131" s="108" t="str">
        <f t="shared" si="9"/>
        <v/>
      </c>
      <c r="C131" s="109" t="str">
        <f t="shared" si="10"/>
        <v/>
      </c>
      <c r="D131" s="111"/>
      <c r="E131" s="106"/>
      <c r="F131" s="106" t="str">
        <f t="shared" si="11"/>
        <v/>
      </c>
      <c r="G131" s="106" t="str">
        <f t="shared" si="12"/>
        <v/>
      </c>
      <c r="H131" s="106" t="str">
        <f t="shared" si="13"/>
        <v/>
      </c>
    </row>
    <row r="132" spans="1:8" x14ac:dyDescent="0.2">
      <c r="A132" s="104" t="str">
        <f t="shared" si="8"/>
        <v/>
      </c>
      <c r="B132" s="108" t="str">
        <f t="shared" si="9"/>
        <v/>
      </c>
      <c r="C132" s="109" t="str">
        <f t="shared" si="10"/>
        <v/>
      </c>
      <c r="D132" s="111"/>
      <c r="E132" s="106"/>
      <c r="F132" s="106" t="str">
        <f t="shared" si="11"/>
        <v/>
      </c>
      <c r="G132" s="106" t="str">
        <f t="shared" si="12"/>
        <v/>
      </c>
      <c r="H132" s="106" t="str">
        <f t="shared" si="13"/>
        <v/>
      </c>
    </row>
    <row r="133" spans="1:8" x14ac:dyDescent="0.2">
      <c r="A133" s="104" t="str">
        <f t="shared" si="8"/>
        <v/>
      </c>
      <c r="B133" s="108" t="str">
        <f t="shared" si="9"/>
        <v/>
      </c>
      <c r="C133" s="109" t="str">
        <f t="shared" si="10"/>
        <v/>
      </c>
      <c r="D133" s="111"/>
      <c r="E133" s="106"/>
      <c r="F133" s="106" t="str">
        <f t="shared" si="11"/>
        <v/>
      </c>
      <c r="G133" s="106" t="str">
        <f t="shared" si="12"/>
        <v/>
      </c>
      <c r="H133" s="106" t="str">
        <f t="shared" si="13"/>
        <v/>
      </c>
    </row>
    <row r="134" spans="1:8" x14ac:dyDescent="0.2">
      <c r="A134" s="104" t="str">
        <f t="shared" si="8"/>
        <v/>
      </c>
      <c r="B134" s="108" t="str">
        <f t="shared" si="9"/>
        <v/>
      </c>
      <c r="C134" s="109" t="str">
        <f t="shared" si="10"/>
        <v/>
      </c>
      <c r="D134" s="111"/>
      <c r="E134" s="106"/>
      <c r="F134" s="106" t="str">
        <f t="shared" si="11"/>
        <v/>
      </c>
      <c r="G134" s="106" t="str">
        <f t="shared" si="12"/>
        <v/>
      </c>
      <c r="H134" s="106" t="str">
        <f t="shared" si="13"/>
        <v/>
      </c>
    </row>
    <row r="135" spans="1:8" x14ac:dyDescent="0.2">
      <c r="A135" s="104" t="str">
        <f t="shared" si="8"/>
        <v/>
      </c>
      <c r="B135" s="108" t="str">
        <f t="shared" si="9"/>
        <v/>
      </c>
      <c r="C135" s="109" t="str">
        <f t="shared" si="10"/>
        <v/>
      </c>
      <c r="D135" s="111"/>
      <c r="E135" s="106"/>
      <c r="F135" s="106" t="str">
        <f t="shared" si="11"/>
        <v/>
      </c>
      <c r="G135" s="106" t="str">
        <f t="shared" si="12"/>
        <v/>
      </c>
      <c r="H135" s="106" t="str">
        <f t="shared" si="13"/>
        <v/>
      </c>
    </row>
    <row r="136" spans="1:8" x14ac:dyDescent="0.2">
      <c r="A136" s="104" t="str">
        <f t="shared" si="8"/>
        <v/>
      </c>
      <c r="B136" s="108" t="str">
        <f t="shared" si="9"/>
        <v/>
      </c>
      <c r="C136" s="109" t="str">
        <f t="shared" si="10"/>
        <v/>
      </c>
      <c r="D136" s="111"/>
      <c r="E136" s="106"/>
      <c r="F136" s="106" t="str">
        <f t="shared" si="11"/>
        <v/>
      </c>
      <c r="G136" s="106" t="str">
        <f t="shared" si="12"/>
        <v/>
      </c>
      <c r="H136" s="106" t="str">
        <f t="shared" si="13"/>
        <v/>
      </c>
    </row>
    <row r="137" spans="1:8" x14ac:dyDescent="0.2">
      <c r="A137" s="104" t="str">
        <f t="shared" si="8"/>
        <v/>
      </c>
      <c r="B137" s="108" t="str">
        <f t="shared" si="9"/>
        <v/>
      </c>
      <c r="C137" s="109" t="str">
        <f t="shared" si="10"/>
        <v/>
      </c>
      <c r="D137" s="111"/>
      <c r="E137" s="106"/>
      <c r="F137" s="106" t="str">
        <f t="shared" si="11"/>
        <v/>
      </c>
      <c r="G137" s="106" t="str">
        <f t="shared" si="12"/>
        <v/>
      </c>
      <c r="H137" s="106" t="str">
        <f t="shared" si="13"/>
        <v/>
      </c>
    </row>
    <row r="138" spans="1:8" x14ac:dyDescent="0.2">
      <c r="A138" s="104" t="str">
        <f t="shared" si="8"/>
        <v/>
      </c>
      <c r="B138" s="108" t="str">
        <f t="shared" si="9"/>
        <v/>
      </c>
      <c r="C138" s="109" t="str">
        <f t="shared" si="10"/>
        <v/>
      </c>
      <c r="D138" s="111"/>
      <c r="E138" s="106"/>
      <c r="F138" s="106" t="str">
        <f t="shared" si="11"/>
        <v/>
      </c>
      <c r="G138" s="106" t="str">
        <f t="shared" si="12"/>
        <v/>
      </c>
      <c r="H138" s="106" t="str">
        <f t="shared" si="13"/>
        <v/>
      </c>
    </row>
    <row r="139" spans="1:8" x14ac:dyDescent="0.2">
      <c r="A139" s="104" t="str">
        <f t="shared" si="8"/>
        <v/>
      </c>
      <c r="B139" s="108" t="str">
        <f t="shared" si="9"/>
        <v/>
      </c>
      <c r="C139" s="109" t="str">
        <f t="shared" si="10"/>
        <v/>
      </c>
      <c r="D139" s="111"/>
      <c r="E139" s="106"/>
      <c r="F139" s="106" t="str">
        <f t="shared" si="11"/>
        <v/>
      </c>
      <c r="G139" s="106" t="str">
        <f t="shared" si="12"/>
        <v/>
      </c>
      <c r="H139" s="106" t="str">
        <f t="shared" si="13"/>
        <v/>
      </c>
    </row>
    <row r="140" spans="1:8" x14ac:dyDescent="0.2">
      <c r="A140" s="104" t="str">
        <f t="shared" si="8"/>
        <v/>
      </c>
      <c r="B140" s="108" t="str">
        <f t="shared" si="9"/>
        <v/>
      </c>
      <c r="C140" s="109" t="str">
        <f t="shared" si="10"/>
        <v/>
      </c>
      <c r="D140" s="111"/>
      <c r="E140" s="106"/>
      <c r="F140" s="106" t="str">
        <f t="shared" si="11"/>
        <v/>
      </c>
      <c r="G140" s="106" t="str">
        <f t="shared" si="12"/>
        <v/>
      </c>
      <c r="H140" s="106" t="str">
        <f t="shared" si="13"/>
        <v/>
      </c>
    </row>
    <row r="141" spans="1:8" x14ac:dyDescent="0.2">
      <c r="A141" s="104" t="str">
        <f t="shared" si="8"/>
        <v/>
      </c>
      <c r="B141" s="108" t="str">
        <f t="shared" si="9"/>
        <v/>
      </c>
      <c r="C141" s="109" t="str">
        <f t="shared" si="10"/>
        <v/>
      </c>
      <c r="D141" s="111"/>
      <c r="E141" s="106"/>
      <c r="F141" s="106" t="str">
        <f t="shared" si="11"/>
        <v/>
      </c>
      <c r="G141" s="106" t="str">
        <f t="shared" si="12"/>
        <v/>
      </c>
      <c r="H141" s="106" t="str">
        <f t="shared" si="13"/>
        <v/>
      </c>
    </row>
    <row r="142" spans="1:8" x14ac:dyDescent="0.2">
      <c r="A142" s="104" t="str">
        <f t="shared" si="8"/>
        <v/>
      </c>
      <c r="B142" s="108" t="str">
        <f t="shared" si="9"/>
        <v/>
      </c>
      <c r="C142" s="109" t="str">
        <f t="shared" si="10"/>
        <v/>
      </c>
      <c r="D142" s="111"/>
      <c r="E142" s="106"/>
      <c r="F142" s="106" t="str">
        <f t="shared" si="11"/>
        <v/>
      </c>
      <c r="G142" s="106" t="str">
        <f t="shared" si="12"/>
        <v/>
      </c>
      <c r="H142" s="106" t="str">
        <f t="shared" si="13"/>
        <v/>
      </c>
    </row>
    <row r="143" spans="1:8" x14ac:dyDescent="0.2">
      <c r="A143" s="104" t="str">
        <f t="shared" si="8"/>
        <v/>
      </c>
      <c r="B143" s="108" t="str">
        <f t="shared" si="9"/>
        <v/>
      </c>
      <c r="C143" s="109" t="str">
        <f t="shared" si="10"/>
        <v/>
      </c>
      <c r="D143" s="111"/>
      <c r="E143" s="106"/>
      <c r="F143" s="106" t="str">
        <f t="shared" si="11"/>
        <v/>
      </c>
      <c r="G143" s="106" t="str">
        <f t="shared" si="12"/>
        <v/>
      </c>
      <c r="H143" s="106" t="str">
        <f t="shared" si="13"/>
        <v/>
      </c>
    </row>
    <row r="144" spans="1:8" x14ac:dyDescent="0.2">
      <c r="A144" s="104" t="str">
        <f t="shared" si="8"/>
        <v/>
      </c>
      <c r="B144" s="108" t="str">
        <f t="shared" si="9"/>
        <v/>
      </c>
      <c r="C144" s="109" t="str">
        <f t="shared" si="10"/>
        <v/>
      </c>
      <c r="D144" s="111"/>
      <c r="E144" s="106"/>
      <c r="F144" s="106" t="str">
        <f t="shared" si="11"/>
        <v/>
      </c>
      <c r="G144" s="106" t="str">
        <f t="shared" si="12"/>
        <v/>
      </c>
      <c r="H144" s="106" t="str">
        <f t="shared" si="13"/>
        <v/>
      </c>
    </row>
    <row r="145" spans="1:8" x14ac:dyDescent="0.2">
      <c r="A145" s="104" t="str">
        <f t="shared" si="8"/>
        <v/>
      </c>
      <c r="B145" s="108" t="str">
        <f t="shared" si="9"/>
        <v/>
      </c>
      <c r="C145" s="109" t="str">
        <f t="shared" si="10"/>
        <v/>
      </c>
      <c r="D145" s="111"/>
      <c r="E145" s="106"/>
      <c r="F145" s="106" t="str">
        <f t="shared" si="11"/>
        <v/>
      </c>
      <c r="G145" s="106" t="str">
        <f t="shared" si="12"/>
        <v/>
      </c>
      <c r="H145" s="106" t="str">
        <f t="shared" si="13"/>
        <v/>
      </c>
    </row>
    <row r="146" spans="1:8" x14ac:dyDescent="0.2">
      <c r="A146" s="104" t="str">
        <f t="shared" si="8"/>
        <v/>
      </c>
      <c r="B146" s="108" t="str">
        <f t="shared" si="9"/>
        <v/>
      </c>
      <c r="C146" s="109" t="str">
        <f t="shared" si="10"/>
        <v/>
      </c>
      <c r="D146" s="111"/>
      <c r="E146" s="106"/>
      <c r="F146" s="106" t="str">
        <f t="shared" si="11"/>
        <v/>
      </c>
      <c r="G146" s="106" t="str">
        <f t="shared" si="12"/>
        <v/>
      </c>
      <c r="H146" s="106" t="str">
        <f t="shared" si="13"/>
        <v/>
      </c>
    </row>
    <row r="147" spans="1:8" x14ac:dyDescent="0.2">
      <c r="A147" s="104" t="str">
        <f t="shared" si="8"/>
        <v/>
      </c>
      <c r="B147" s="108" t="str">
        <f t="shared" si="9"/>
        <v/>
      </c>
      <c r="C147" s="109" t="str">
        <f t="shared" si="10"/>
        <v/>
      </c>
      <c r="D147" s="111"/>
      <c r="E147" s="106"/>
      <c r="F147" s="106" t="str">
        <f t="shared" si="11"/>
        <v/>
      </c>
      <c r="G147" s="106" t="str">
        <f t="shared" si="12"/>
        <v/>
      </c>
      <c r="H147" s="106" t="str">
        <f t="shared" si="13"/>
        <v/>
      </c>
    </row>
    <row r="148" spans="1:8" x14ac:dyDescent="0.2">
      <c r="A148" s="104" t="str">
        <f t="shared" si="8"/>
        <v/>
      </c>
      <c r="B148" s="108" t="str">
        <f t="shared" si="9"/>
        <v/>
      </c>
      <c r="C148" s="109" t="str">
        <f t="shared" si="10"/>
        <v/>
      </c>
      <c r="D148" s="111"/>
      <c r="E148" s="106"/>
      <c r="F148" s="106" t="str">
        <f t="shared" si="11"/>
        <v/>
      </c>
      <c r="G148" s="106" t="str">
        <f t="shared" si="12"/>
        <v/>
      </c>
      <c r="H148" s="106" t="str">
        <f t="shared" si="13"/>
        <v/>
      </c>
    </row>
    <row r="149" spans="1:8" x14ac:dyDescent="0.2">
      <c r="A149" s="104" t="str">
        <f t="shared" si="8"/>
        <v/>
      </c>
      <c r="B149" s="108" t="str">
        <f t="shared" si="9"/>
        <v/>
      </c>
      <c r="C149" s="109" t="str">
        <f t="shared" si="10"/>
        <v/>
      </c>
      <c r="D149" s="111"/>
      <c r="E149" s="106"/>
      <c r="F149" s="106" t="str">
        <f t="shared" si="11"/>
        <v/>
      </c>
      <c r="G149" s="106" t="str">
        <f t="shared" si="12"/>
        <v/>
      </c>
      <c r="H149" s="106" t="str">
        <f t="shared" si="13"/>
        <v/>
      </c>
    </row>
    <row r="150" spans="1:8" x14ac:dyDescent="0.2">
      <c r="A150" s="104" t="str">
        <f t="shared" si="8"/>
        <v/>
      </c>
      <c r="B150" s="108" t="str">
        <f t="shared" si="9"/>
        <v/>
      </c>
      <c r="C150" s="109" t="str">
        <f t="shared" si="10"/>
        <v/>
      </c>
      <c r="D150" s="111"/>
      <c r="E150" s="106"/>
      <c r="F150" s="106" t="str">
        <f t="shared" si="11"/>
        <v/>
      </c>
      <c r="G150" s="106" t="str">
        <f t="shared" si="12"/>
        <v/>
      </c>
      <c r="H150" s="106" t="str">
        <f t="shared" si="13"/>
        <v/>
      </c>
    </row>
    <row r="151" spans="1:8" x14ac:dyDescent="0.2">
      <c r="A151" s="104" t="str">
        <f t="shared" si="8"/>
        <v/>
      </c>
      <c r="B151" s="108" t="str">
        <f t="shared" si="9"/>
        <v/>
      </c>
      <c r="C151" s="109" t="str">
        <f t="shared" si="10"/>
        <v/>
      </c>
      <c r="D151" s="111"/>
      <c r="E151" s="106"/>
      <c r="F151" s="106" t="str">
        <f t="shared" si="11"/>
        <v/>
      </c>
      <c r="G151" s="106" t="str">
        <f t="shared" si="12"/>
        <v/>
      </c>
      <c r="H151" s="106" t="str">
        <f t="shared" si="13"/>
        <v/>
      </c>
    </row>
    <row r="152" spans="1:8" x14ac:dyDescent="0.2">
      <c r="A152" s="104" t="str">
        <f t="shared" si="8"/>
        <v/>
      </c>
      <c r="B152" s="108" t="str">
        <f t="shared" si="9"/>
        <v/>
      </c>
      <c r="C152" s="109" t="str">
        <f t="shared" si="10"/>
        <v/>
      </c>
      <c r="D152" s="111"/>
      <c r="E152" s="106"/>
      <c r="F152" s="106" t="str">
        <f t="shared" si="11"/>
        <v/>
      </c>
      <c r="G152" s="106" t="str">
        <f t="shared" si="12"/>
        <v/>
      </c>
      <c r="H152" s="106" t="str">
        <f t="shared" si="13"/>
        <v/>
      </c>
    </row>
    <row r="153" spans="1:8" x14ac:dyDescent="0.2">
      <c r="A153" s="104" t="str">
        <f t="shared" si="8"/>
        <v/>
      </c>
      <c r="B153" s="108" t="str">
        <f t="shared" si="9"/>
        <v/>
      </c>
      <c r="C153" s="109" t="str">
        <f t="shared" si="10"/>
        <v/>
      </c>
      <c r="D153" s="111"/>
      <c r="E153" s="106"/>
      <c r="F153" s="106" t="str">
        <f t="shared" si="11"/>
        <v/>
      </c>
      <c r="G153" s="106" t="str">
        <f t="shared" si="12"/>
        <v/>
      </c>
      <c r="H153" s="106" t="str">
        <f t="shared" si="13"/>
        <v/>
      </c>
    </row>
    <row r="154" spans="1:8" x14ac:dyDescent="0.2">
      <c r="A154" s="104" t="str">
        <f t="shared" si="8"/>
        <v/>
      </c>
      <c r="B154" s="108" t="str">
        <f t="shared" si="9"/>
        <v/>
      </c>
      <c r="C154" s="109" t="str">
        <f t="shared" si="10"/>
        <v/>
      </c>
      <c r="D154" s="111"/>
      <c r="E154" s="106"/>
      <c r="F154" s="106" t="str">
        <f t="shared" si="11"/>
        <v/>
      </c>
      <c r="G154" s="106" t="str">
        <f t="shared" si="12"/>
        <v/>
      </c>
      <c r="H154" s="106" t="str">
        <f t="shared" si="13"/>
        <v/>
      </c>
    </row>
    <row r="155" spans="1:8" x14ac:dyDescent="0.2">
      <c r="A155" s="104" t="str">
        <f t="shared" si="8"/>
        <v/>
      </c>
      <c r="B155" s="108" t="str">
        <f t="shared" si="9"/>
        <v/>
      </c>
      <c r="C155" s="109" t="str">
        <f t="shared" si="10"/>
        <v/>
      </c>
      <c r="D155" s="111"/>
      <c r="E155" s="106"/>
      <c r="F155" s="106" t="str">
        <f t="shared" si="11"/>
        <v/>
      </c>
      <c r="G155" s="106" t="str">
        <f t="shared" si="12"/>
        <v/>
      </c>
      <c r="H155" s="106" t="str">
        <f t="shared" si="13"/>
        <v/>
      </c>
    </row>
    <row r="156" spans="1:8" x14ac:dyDescent="0.2">
      <c r="A156" s="104" t="str">
        <f t="shared" si="8"/>
        <v/>
      </c>
      <c r="B156" s="108" t="str">
        <f t="shared" si="9"/>
        <v/>
      </c>
      <c r="C156" s="109" t="str">
        <f t="shared" si="10"/>
        <v/>
      </c>
      <c r="D156" s="111"/>
      <c r="E156" s="106"/>
      <c r="F156" s="106" t="str">
        <f t="shared" si="11"/>
        <v/>
      </c>
      <c r="G156" s="106" t="str">
        <f t="shared" si="12"/>
        <v/>
      </c>
      <c r="H156" s="106" t="str">
        <f t="shared" si="13"/>
        <v/>
      </c>
    </row>
    <row r="157" spans="1:8" x14ac:dyDescent="0.2">
      <c r="A157" s="104" t="str">
        <f t="shared" si="8"/>
        <v/>
      </c>
      <c r="B157" s="108" t="str">
        <f t="shared" si="9"/>
        <v/>
      </c>
      <c r="C157" s="109" t="str">
        <f t="shared" si="10"/>
        <v/>
      </c>
      <c r="D157" s="111"/>
      <c r="E157" s="106"/>
      <c r="F157" s="106" t="str">
        <f t="shared" si="11"/>
        <v/>
      </c>
      <c r="G157" s="106" t="str">
        <f t="shared" si="12"/>
        <v/>
      </c>
      <c r="H157" s="106" t="str">
        <f t="shared" si="13"/>
        <v/>
      </c>
    </row>
    <row r="158" spans="1:8" x14ac:dyDescent="0.2">
      <c r="A158" s="104" t="str">
        <f t="shared" si="8"/>
        <v/>
      </c>
      <c r="B158" s="108" t="str">
        <f t="shared" si="9"/>
        <v/>
      </c>
      <c r="C158" s="109" t="str">
        <f t="shared" si="10"/>
        <v/>
      </c>
      <c r="D158" s="111"/>
      <c r="E158" s="106"/>
      <c r="F158" s="106" t="str">
        <f t="shared" si="11"/>
        <v/>
      </c>
      <c r="G158" s="106" t="str">
        <f t="shared" si="12"/>
        <v/>
      </c>
      <c r="H158" s="106" t="str">
        <f t="shared" si="13"/>
        <v/>
      </c>
    </row>
    <row r="159" spans="1:8" x14ac:dyDescent="0.2">
      <c r="A159" s="104" t="str">
        <f t="shared" si="8"/>
        <v/>
      </c>
      <c r="B159" s="108" t="str">
        <f t="shared" si="9"/>
        <v/>
      </c>
      <c r="C159" s="109" t="str">
        <f t="shared" si="10"/>
        <v/>
      </c>
      <c r="D159" s="111"/>
      <c r="E159" s="106"/>
      <c r="F159" s="106" t="str">
        <f t="shared" si="11"/>
        <v/>
      </c>
      <c r="G159" s="106" t="str">
        <f t="shared" si="12"/>
        <v/>
      </c>
      <c r="H159" s="106" t="str">
        <f t="shared" si="13"/>
        <v/>
      </c>
    </row>
    <row r="160" spans="1:8" x14ac:dyDescent="0.2">
      <c r="A160" s="104" t="str">
        <f t="shared" si="8"/>
        <v/>
      </c>
      <c r="B160" s="108" t="str">
        <f t="shared" si="9"/>
        <v/>
      </c>
      <c r="C160" s="109" t="str">
        <f t="shared" si="10"/>
        <v/>
      </c>
      <c r="D160" s="111"/>
      <c r="E160" s="106"/>
      <c r="F160" s="106" t="str">
        <f t="shared" si="11"/>
        <v/>
      </c>
      <c r="G160" s="106" t="str">
        <f t="shared" si="12"/>
        <v/>
      </c>
      <c r="H160" s="106" t="str">
        <f t="shared" si="13"/>
        <v/>
      </c>
    </row>
    <row r="161" spans="1:8" x14ac:dyDescent="0.2">
      <c r="A161" s="104" t="str">
        <f t="shared" si="8"/>
        <v/>
      </c>
      <c r="B161" s="108" t="str">
        <f t="shared" si="9"/>
        <v/>
      </c>
      <c r="C161" s="109" t="str">
        <f t="shared" si="10"/>
        <v/>
      </c>
      <c r="D161" s="111"/>
      <c r="E161" s="106"/>
      <c r="F161" s="106" t="str">
        <f t="shared" si="11"/>
        <v/>
      </c>
      <c r="G161" s="106" t="str">
        <f t="shared" si="12"/>
        <v/>
      </c>
      <c r="H161" s="106" t="str">
        <f t="shared" si="13"/>
        <v/>
      </c>
    </row>
    <row r="162" spans="1:8" x14ac:dyDescent="0.2">
      <c r="A162" s="104" t="str">
        <f t="shared" si="8"/>
        <v/>
      </c>
      <c r="B162" s="108" t="str">
        <f t="shared" si="9"/>
        <v/>
      </c>
      <c r="C162" s="109" t="str">
        <f t="shared" si="10"/>
        <v/>
      </c>
      <c r="D162" s="111"/>
      <c r="E162" s="106"/>
      <c r="F162" s="106" t="str">
        <f t="shared" si="11"/>
        <v/>
      </c>
      <c r="G162" s="106" t="str">
        <f t="shared" si="12"/>
        <v/>
      </c>
      <c r="H162" s="106" t="str">
        <f t="shared" si="13"/>
        <v/>
      </c>
    </row>
    <row r="163" spans="1:8" x14ac:dyDescent="0.2">
      <c r="A163" s="104" t="str">
        <f t="shared" si="8"/>
        <v/>
      </c>
      <c r="B163" s="108" t="str">
        <f t="shared" si="9"/>
        <v/>
      </c>
      <c r="C163" s="109" t="str">
        <f t="shared" si="10"/>
        <v/>
      </c>
      <c r="D163" s="111"/>
      <c r="E163" s="106"/>
      <c r="F163" s="106" t="str">
        <f t="shared" si="11"/>
        <v/>
      </c>
      <c r="G163" s="106" t="str">
        <f t="shared" si="12"/>
        <v/>
      </c>
      <c r="H163" s="106" t="str">
        <f t="shared" si="13"/>
        <v/>
      </c>
    </row>
    <row r="164" spans="1:8" x14ac:dyDescent="0.2">
      <c r="A164" s="104" t="str">
        <f t="shared" si="8"/>
        <v/>
      </c>
      <c r="B164" s="108" t="str">
        <f t="shared" si="9"/>
        <v/>
      </c>
      <c r="C164" s="109" t="str">
        <f t="shared" si="10"/>
        <v/>
      </c>
      <c r="D164" s="111"/>
      <c r="E164" s="106"/>
      <c r="F164" s="106" t="str">
        <f t="shared" si="11"/>
        <v/>
      </c>
      <c r="G164" s="106" t="str">
        <f t="shared" si="12"/>
        <v/>
      </c>
      <c r="H164" s="106" t="str">
        <f t="shared" si="13"/>
        <v/>
      </c>
    </row>
    <row r="165" spans="1:8" x14ac:dyDescent="0.2">
      <c r="A165" s="104" t="str">
        <f t="shared" si="8"/>
        <v/>
      </c>
      <c r="B165" s="108" t="str">
        <f t="shared" si="9"/>
        <v/>
      </c>
      <c r="C165" s="109" t="str">
        <f t="shared" si="10"/>
        <v/>
      </c>
      <c r="D165" s="111"/>
      <c r="E165" s="106"/>
      <c r="F165" s="106" t="str">
        <f t="shared" si="11"/>
        <v/>
      </c>
      <c r="G165" s="106" t="str">
        <f t="shared" si="12"/>
        <v/>
      </c>
      <c r="H165" s="106" t="str">
        <f t="shared" si="13"/>
        <v/>
      </c>
    </row>
    <row r="166" spans="1:8" x14ac:dyDescent="0.2">
      <c r="A166" s="104" t="str">
        <f t="shared" si="8"/>
        <v/>
      </c>
      <c r="B166" s="108" t="str">
        <f t="shared" si="9"/>
        <v/>
      </c>
      <c r="C166" s="109" t="str">
        <f t="shared" si="10"/>
        <v/>
      </c>
      <c r="D166" s="111"/>
      <c r="E166" s="106"/>
      <c r="F166" s="106" t="str">
        <f t="shared" si="11"/>
        <v/>
      </c>
      <c r="G166" s="106" t="str">
        <f t="shared" si="12"/>
        <v/>
      </c>
      <c r="H166" s="106" t="str">
        <f t="shared" si="13"/>
        <v/>
      </c>
    </row>
    <row r="167" spans="1:8" x14ac:dyDescent="0.2">
      <c r="A167" s="104" t="str">
        <f t="shared" si="8"/>
        <v/>
      </c>
      <c r="B167" s="108" t="str">
        <f t="shared" si="9"/>
        <v/>
      </c>
      <c r="C167" s="109" t="str">
        <f t="shared" si="10"/>
        <v/>
      </c>
      <c r="D167" s="111"/>
      <c r="E167" s="106"/>
      <c r="F167" s="106" t="str">
        <f t="shared" si="11"/>
        <v/>
      </c>
      <c r="G167" s="106" t="str">
        <f t="shared" si="12"/>
        <v/>
      </c>
      <c r="H167" s="106" t="str">
        <f t="shared" si="13"/>
        <v/>
      </c>
    </row>
    <row r="168" spans="1:8" x14ac:dyDescent="0.2">
      <c r="A168" s="104" t="str">
        <f t="shared" si="8"/>
        <v/>
      </c>
      <c r="B168" s="108" t="str">
        <f t="shared" si="9"/>
        <v/>
      </c>
      <c r="C168" s="109" t="str">
        <f t="shared" si="10"/>
        <v/>
      </c>
      <c r="D168" s="111"/>
      <c r="E168" s="106"/>
      <c r="F168" s="106" t="str">
        <f t="shared" si="11"/>
        <v/>
      </c>
      <c r="G168" s="106" t="str">
        <f t="shared" si="12"/>
        <v/>
      </c>
      <c r="H168" s="106" t="str">
        <f t="shared" si="13"/>
        <v/>
      </c>
    </row>
    <row r="169" spans="1:8" x14ac:dyDescent="0.2">
      <c r="A169" s="104" t="str">
        <f t="shared" si="8"/>
        <v/>
      </c>
      <c r="B169" s="108" t="str">
        <f t="shared" si="9"/>
        <v/>
      </c>
      <c r="C169" s="109" t="str">
        <f t="shared" si="10"/>
        <v/>
      </c>
      <c r="D169" s="111"/>
      <c r="E169" s="106"/>
      <c r="F169" s="106" t="str">
        <f t="shared" si="11"/>
        <v/>
      </c>
      <c r="G169" s="106" t="str">
        <f t="shared" si="12"/>
        <v/>
      </c>
      <c r="H169" s="106" t="str">
        <f t="shared" si="13"/>
        <v/>
      </c>
    </row>
    <row r="170" spans="1:8" x14ac:dyDescent="0.2">
      <c r="A170" s="104" t="str">
        <f t="shared" si="8"/>
        <v/>
      </c>
      <c r="B170" s="108" t="str">
        <f t="shared" si="9"/>
        <v/>
      </c>
      <c r="C170" s="109" t="str">
        <f t="shared" si="10"/>
        <v/>
      </c>
      <c r="D170" s="111"/>
      <c r="E170" s="106"/>
      <c r="F170" s="106" t="str">
        <f t="shared" si="11"/>
        <v/>
      </c>
      <c r="G170" s="106" t="str">
        <f t="shared" si="12"/>
        <v/>
      </c>
      <c r="H170" s="106" t="str">
        <f t="shared" si="13"/>
        <v/>
      </c>
    </row>
    <row r="171" spans="1:8" x14ac:dyDescent="0.2">
      <c r="A171" s="104" t="str">
        <f t="shared" si="8"/>
        <v/>
      </c>
      <c r="B171" s="108" t="str">
        <f t="shared" si="9"/>
        <v/>
      </c>
      <c r="C171" s="109" t="str">
        <f t="shared" si="10"/>
        <v/>
      </c>
      <c r="D171" s="111"/>
      <c r="E171" s="106"/>
      <c r="F171" s="106" t="str">
        <f t="shared" si="11"/>
        <v/>
      </c>
      <c r="G171" s="106" t="str">
        <f t="shared" si="12"/>
        <v/>
      </c>
      <c r="H171" s="106" t="str">
        <f t="shared" si="13"/>
        <v/>
      </c>
    </row>
    <row r="172" spans="1:8" x14ac:dyDescent="0.2">
      <c r="A172" s="104" t="str">
        <f t="shared" si="8"/>
        <v/>
      </c>
      <c r="B172" s="108" t="str">
        <f t="shared" si="9"/>
        <v/>
      </c>
      <c r="C172" s="109" t="str">
        <f t="shared" si="10"/>
        <v/>
      </c>
      <c r="D172" s="111"/>
      <c r="E172" s="106"/>
      <c r="F172" s="106" t="str">
        <f t="shared" si="11"/>
        <v/>
      </c>
      <c r="G172" s="106" t="str">
        <f t="shared" si="12"/>
        <v/>
      </c>
      <c r="H172" s="106" t="str">
        <f t="shared" si="13"/>
        <v/>
      </c>
    </row>
    <row r="173" spans="1:8" x14ac:dyDescent="0.2">
      <c r="A173" s="104" t="str">
        <f t="shared" si="8"/>
        <v/>
      </c>
      <c r="B173" s="108" t="str">
        <f t="shared" si="9"/>
        <v/>
      </c>
      <c r="C173" s="109" t="str">
        <f t="shared" si="10"/>
        <v/>
      </c>
      <c r="D173" s="111"/>
      <c r="E173" s="106"/>
      <c r="F173" s="106" t="str">
        <f t="shared" si="11"/>
        <v/>
      </c>
      <c r="G173" s="106" t="str">
        <f t="shared" si="12"/>
        <v/>
      </c>
      <c r="H173" s="106" t="str">
        <f t="shared" si="13"/>
        <v/>
      </c>
    </row>
    <row r="174" spans="1:8" x14ac:dyDescent="0.2">
      <c r="A174" s="104" t="str">
        <f t="shared" si="8"/>
        <v/>
      </c>
      <c r="B174" s="108" t="str">
        <f t="shared" si="9"/>
        <v/>
      </c>
      <c r="C174" s="109" t="str">
        <f t="shared" si="10"/>
        <v/>
      </c>
      <c r="D174" s="111"/>
      <c r="E174" s="106"/>
      <c r="F174" s="106" t="str">
        <f t="shared" si="11"/>
        <v/>
      </c>
      <c r="G174" s="106" t="str">
        <f t="shared" si="12"/>
        <v/>
      </c>
      <c r="H174" s="106" t="str">
        <f t="shared" si="13"/>
        <v/>
      </c>
    </row>
    <row r="175" spans="1:8" x14ac:dyDescent="0.2">
      <c r="A175" s="104" t="str">
        <f t="shared" si="8"/>
        <v/>
      </c>
      <c r="B175" s="108" t="str">
        <f t="shared" si="9"/>
        <v/>
      </c>
      <c r="C175" s="109" t="str">
        <f t="shared" si="10"/>
        <v/>
      </c>
      <c r="D175" s="111"/>
      <c r="E175" s="106"/>
      <c r="F175" s="106" t="str">
        <f t="shared" si="11"/>
        <v/>
      </c>
      <c r="G175" s="106" t="str">
        <f t="shared" si="12"/>
        <v/>
      </c>
      <c r="H175" s="106" t="str">
        <f t="shared" si="13"/>
        <v/>
      </c>
    </row>
    <row r="176" spans="1:8" x14ac:dyDescent="0.2">
      <c r="A176" s="104" t="str">
        <f t="shared" si="8"/>
        <v/>
      </c>
      <c r="B176" s="108" t="str">
        <f t="shared" si="9"/>
        <v/>
      </c>
      <c r="C176" s="109" t="str">
        <f t="shared" si="10"/>
        <v/>
      </c>
      <c r="D176" s="111"/>
      <c r="E176" s="106"/>
      <c r="F176" s="106" t="str">
        <f t="shared" si="11"/>
        <v/>
      </c>
      <c r="G176" s="106" t="str">
        <f t="shared" si="12"/>
        <v/>
      </c>
      <c r="H176" s="106" t="str">
        <f t="shared" si="13"/>
        <v/>
      </c>
    </row>
    <row r="177" spans="1:8" x14ac:dyDescent="0.2">
      <c r="A177" s="104" t="str">
        <f t="shared" si="8"/>
        <v/>
      </c>
      <c r="B177" s="108" t="str">
        <f t="shared" si="9"/>
        <v/>
      </c>
      <c r="C177" s="109" t="str">
        <f t="shared" si="10"/>
        <v/>
      </c>
      <c r="D177" s="111"/>
      <c r="E177" s="106"/>
      <c r="F177" s="106" t="str">
        <f t="shared" si="11"/>
        <v/>
      </c>
      <c r="G177" s="106" t="str">
        <f t="shared" si="12"/>
        <v/>
      </c>
      <c r="H177" s="106" t="str">
        <f t="shared" si="13"/>
        <v/>
      </c>
    </row>
    <row r="178" spans="1:8" x14ac:dyDescent="0.2">
      <c r="A178" s="104" t="str">
        <f t="shared" si="8"/>
        <v/>
      </c>
      <c r="B178" s="108" t="str">
        <f t="shared" si="9"/>
        <v/>
      </c>
      <c r="C178" s="109" t="str">
        <f t="shared" si="10"/>
        <v/>
      </c>
      <c r="D178" s="111"/>
      <c r="E178" s="106"/>
      <c r="F178" s="106" t="str">
        <f t="shared" si="11"/>
        <v/>
      </c>
      <c r="G178" s="106" t="str">
        <f t="shared" si="12"/>
        <v/>
      </c>
      <c r="H178" s="106" t="str">
        <f t="shared" si="13"/>
        <v/>
      </c>
    </row>
    <row r="179" spans="1:8" x14ac:dyDescent="0.2">
      <c r="A179" s="104" t="str">
        <f t="shared" si="8"/>
        <v/>
      </c>
      <c r="B179" s="108" t="str">
        <f t="shared" si="9"/>
        <v/>
      </c>
      <c r="C179" s="109" t="str">
        <f t="shared" si="10"/>
        <v/>
      </c>
      <c r="D179" s="111"/>
      <c r="E179" s="106"/>
      <c r="F179" s="106" t="str">
        <f t="shared" si="11"/>
        <v/>
      </c>
      <c r="G179" s="106" t="str">
        <f t="shared" si="12"/>
        <v/>
      </c>
      <c r="H179" s="106" t="str">
        <f t="shared" si="13"/>
        <v/>
      </c>
    </row>
    <row r="180" spans="1:8" x14ac:dyDescent="0.2">
      <c r="A180" s="104" t="str">
        <f t="shared" si="8"/>
        <v/>
      </c>
      <c r="B180" s="108" t="str">
        <f t="shared" si="9"/>
        <v/>
      </c>
      <c r="C180" s="109" t="str">
        <f t="shared" si="10"/>
        <v/>
      </c>
      <c r="D180" s="111"/>
      <c r="E180" s="106"/>
      <c r="F180" s="106" t="str">
        <f t="shared" si="11"/>
        <v/>
      </c>
      <c r="G180" s="106" t="str">
        <f t="shared" si="12"/>
        <v/>
      </c>
      <c r="H180" s="106" t="str">
        <f t="shared" si="13"/>
        <v/>
      </c>
    </row>
    <row r="181" spans="1:8" x14ac:dyDescent="0.2">
      <c r="A181" s="104" t="str">
        <f t="shared" si="8"/>
        <v/>
      </c>
      <c r="B181" s="108" t="str">
        <f t="shared" si="9"/>
        <v/>
      </c>
      <c r="C181" s="109" t="str">
        <f t="shared" si="10"/>
        <v/>
      </c>
      <c r="D181" s="111"/>
      <c r="E181" s="106"/>
      <c r="F181" s="106" t="str">
        <f t="shared" si="11"/>
        <v/>
      </c>
      <c r="G181" s="106" t="str">
        <f t="shared" si="12"/>
        <v/>
      </c>
      <c r="H181" s="106" t="str">
        <f t="shared" si="13"/>
        <v/>
      </c>
    </row>
    <row r="182" spans="1:8" x14ac:dyDescent="0.2">
      <c r="A182" s="104" t="str">
        <f t="shared" si="8"/>
        <v/>
      </c>
      <c r="B182" s="108" t="str">
        <f t="shared" si="9"/>
        <v/>
      </c>
      <c r="C182" s="109" t="str">
        <f t="shared" si="10"/>
        <v/>
      </c>
      <c r="D182" s="111"/>
      <c r="E182" s="106"/>
      <c r="F182" s="106" t="str">
        <f t="shared" si="11"/>
        <v/>
      </c>
      <c r="G182" s="106" t="str">
        <f t="shared" si="12"/>
        <v/>
      </c>
      <c r="H182" s="106" t="str">
        <f t="shared" si="13"/>
        <v/>
      </c>
    </row>
    <row r="183" spans="1:8" x14ac:dyDescent="0.2">
      <c r="A183" s="104" t="str">
        <f t="shared" si="8"/>
        <v/>
      </c>
      <c r="B183" s="108" t="str">
        <f t="shared" si="9"/>
        <v/>
      </c>
      <c r="C183" s="109" t="str">
        <f t="shared" si="10"/>
        <v/>
      </c>
      <c r="D183" s="111"/>
      <c r="E183" s="106"/>
      <c r="F183" s="106" t="str">
        <f t="shared" si="11"/>
        <v/>
      </c>
      <c r="G183" s="106" t="str">
        <f t="shared" si="12"/>
        <v/>
      </c>
      <c r="H183" s="106" t="str">
        <f t="shared" si="13"/>
        <v/>
      </c>
    </row>
    <row r="184" spans="1:8" x14ac:dyDescent="0.2">
      <c r="A184" s="104" t="str">
        <f t="shared" si="8"/>
        <v/>
      </c>
      <c r="B184" s="108" t="str">
        <f t="shared" si="9"/>
        <v/>
      </c>
      <c r="C184" s="109" t="str">
        <f t="shared" si="10"/>
        <v/>
      </c>
      <c r="D184" s="111"/>
      <c r="E184" s="106"/>
      <c r="F184" s="106" t="str">
        <f t="shared" si="11"/>
        <v/>
      </c>
      <c r="G184" s="106" t="str">
        <f t="shared" si="12"/>
        <v/>
      </c>
      <c r="H184" s="106" t="str">
        <f t="shared" si="13"/>
        <v/>
      </c>
    </row>
    <row r="185" spans="1:8" x14ac:dyDescent="0.2">
      <c r="A185" s="104" t="str">
        <f t="shared" si="8"/>
        <v/>
      </c>
      <c r="B185" s="108" t="str">
        <f t="shared" si="9"/>
        <v/>
      </c>
      <c r="C185" s="109" t="str">
        <f t="shared" si="10"/>
        <v/>
      </c>
      <c r="D185" s="111"/>
      <c r="E185" s="106"/>
      <c r="F185" s="106" t="str">
        <f t="shared" si="11"/>
        <v/>
      </c>
      <c r="G185" s="106" t="str">
        <f t="shared" si="12"/>
        <v/>
      </c>
      <c r="H185" s="106" t="str">
        <f t="shared" si="13"/>
        <v/>
      </c>
    </row>
    <row r="186" spans="1:8" x14ac:dyDescent="0.2">
      <c r="A186" s="104" t="str">
        <f t="shared" si="8"/>
        <v/>
      </c>
      <c r="B186" s="108" t="str">
        <f t="shared" si="9"/>
        <v/>
      </c>
      <c r="C186" s="109" t="str">
        <f t="shared" si="10"/>
        <v/>
      </c>
      <c r="D186" s="111"/>
      <c r="E186" s="106"/>
      <c r="F186" s="106" t="str">
        <f t="shared" si="11"/>
        <v/>
      </c>
      <c r="G186" s="106" t="str">
        <f t="shared" si="12"/>
        <v/>
      </c>
      <c r="H186" s="106" t="str">
        <f t="shared" si="13"/>
        <v/>
      </c>
    </row>
    <row r="187" spans="1:8" x14ac:dyDescent="0.2">
      <c r="A187" s="104" t="str">
        <f t="shared" si="8"/>
        <v/>
      </c>
      <c r="B187" s="108" t="str">
        <f t="shared" si="9"/>
        <v/>
      </c>
      <c r="C187" s="109" t="str">
        <f t="shared" si="10"/>
        <v/>
      </c>
      <c r="D187" s="111"/>
      <c r="E187" s="106"/>
      <c r="F187" s="106" t="str">
        <f t="shared" si="11"/>
        <v/>
      </c>
      <c r="G187" s="106" t="str">
        <f t="shared" si="12"/>
        <v/>
      </c>
      <c r="H187" s="106" t="str">
        <f t="shared" si="13"/>
        <v/>
      </c>
    </row>
    <row r="188" spans="1:8" x14ac:dyDescent="0.2">
      <c r="A188" s="104" t="str">
        <f t="shared" si="8"/>
        <v/>
      </c>
      <c r="B188" s="108" t="str">
        <f t="shared" si="9"/>
        <v/>
      </c>
      <c r="C188" s="109" t="str">
        <f t="shared" si="10"/>
        <v/>
      </c>
      <c r="D188" s="111"/>
      <c r="E188" s="106"/>
      <c r="F188" s="106" t="str">
        <f t="shared" si="11"/>
        <v/>
      </c>
      <c r="G188" s="106" t="str">
        <f t="shared" si="12"/>
        <v/>
      </c>
      <c r="H188" s="106" t="str">
        <f t="shared" si="13"/>
        <v/>
      </c>
    </row>
    <row r="189" spans="1:8" x14ac:dyDescent="0.2">
      <c r="A189" s="104" t="str">
        <f t="shared" si="8"/>
        <v/>
      </c>
      <c r="B189" s="108" t="str">
        <f t="shared" si="9"/>
        <v/>
      </c>
      <c r="C189" s="109" t="str">
        <f t="shared" si="10"/>
        <v/>
      </c>
      <c r="D189" s="111"/>
      <c r="E189" s="106"/>
      <c r="F189" s="106" t="str">
        <f t="shared" si="11"/>
        <v/>
      </c>
      <c r="G189" s="106" t="str">
        <f t="shared" si="12"/>
        <v/>
      </c>
      <c r="H189" s="106" t="str">
        <f t="shared" si="13"/>
        <v/>
      </c>
    </row>
    <row r="190" spans="1:8" x14ac:dyDescent="0.2">
      <c r="A190" s="104" t="str">
        <f t="shared" si="8"/>
        <v/>
      </c>
      <c r="B190" s="108" t="str">
        <f t="shared" si="9"/>
        <v/>
      </c>
      <c r="C190" s="109" t="str">
        <f t="shared" si="10"/>
        <v/>
      </c>
      <c r="D190" s="111"/>
      <c r="E190" s="106"/>
      <c r="F190" s="106" t="str">
        <f t="shared" si="11"/>
        <v/>
      </c>
      <c r="G190" s="106" t="str">
        <f t="shared" si="12"/>
        <v/>
      </c>
      <c r="H190" s="106" t="str">
        <f t="shared" si="13"/>
        <v/>
      </c>
    </row>
    <row r="191" spans="1:8" x14ac:dyDescent="0.2">
      <c r="A191" s="104" t="str">
        <f t="shared" ref="A191:A254" si="14">IF(H190="","",IF(roundOpt,IF(OR(A190&gt;=nper,ROUND(H190,2)&lt;=0),"",A190+1),IF(OR(A190&gt;=nper,H190&lt;=0),"",A190+1)))</f>
        <v/>
      </c>
      <c r="B191" s="108" t="str">
        <f t="shared" ref="B191:B254" si="15">IF(A191="","",IF(periods_per_year=26,IF(A191=1,fpdate,B190+14),IF(periods_per_year=52,IF(A191=1,fpdate,B190+7),IF(periods_per_year=24,IF(A191=1,fpdate,IF(fpdate=EOMONTH(fpdate,0),IF(ISODD(A191),EOMONTH(EDATE(fpdate,(A191-1)/2),0),EDATE(DATE(YEAR(fpdate),MONTH(fpdate)+1,15),(A191-1)/2)),IF(DAY(fpdate)=15,IF(ISODD(A191),EDATE(fpdate,(A191-1)/2),EOMONTH(EDATE(fpdate,(A191-1)/2),0)),IF(DAY(fpdate)&lt;=14,IF(ISODD(A191),EDATE(fpdate,(A191-1)/2),EDATE(MIN(fpdate+15,EOMONTH(fpdate,0)),(A191-1)/2)),EDATE(IF(ISODD(A191),fpdate,fpdate-15),A191/2))))),IF(A191=1,fpdate,EDATE(fpdate,months_per_period*(A191-1)))))))</f>
        <v/>
      </c>
      <c r="C191" s="109" t="str">
        <f t="shared" ref="C191:C254" si="16">IF(A191="","",IF(roundOpt,IF(OR(A191=nper,payment&gt;ROUND((1+rate)*H190,2)),ROUND((1+rate)*H190,2),payment),IF(OR(A191=nper,payment&gt;(1+rate)*H190),(1+rate)*H190,payment)))</f>
        <v/>
      </c>
      <c r="D191" s="111"/>
      <c r="E191" s="106"/>
      <c r="F191" s="106" t="str">
        <f t="shared" ref="F191:F254" si="17">IF(A191="","",IF(AND(A191=1,pmtType=1),0,IF(roundOpt,ROUND(rate*H190,2),rate*H190)))</f>
        <v/>
      </c>
      <c r="G191" s="106" t="str">
        <f t="shared" ref="G191:G254" si="18">IF(A191="","",C191-F191+D191)</f>
        <v/>
      </c>
      <c r="H191" s="106" t="str">
        <f t="shared" ref="H191:H254" si="19">IF(A191="","",H190-G191)</f>
        <v/>
      </c>
    </row>
    <row r="192" spans="1:8" x14ac:dyDescent="0.2">
      <c r="A192" s="104" t="str">
        <f t="shared" si="14"/>
        <v/>
      </c>
      <c r="B192" s="108" t="str">
        <f t="shared" si="15"/>
        <v/>
      </c>
      <c r="C192" s="109" t="str">
        <f t="shared" si="16"/>
        <v/>
      </c>
      <c r="D192" s="111"/>
      <c r="E192" s="106"/>
      <c r="F192" s="106" t="str">
        <f t="shared" si="17"/>
        <v/>
      </c>
      <c r="G192" s="106" t="str">
        <f t="shared" si="18"/>
        <v/>
      </c>
      <c r="H192" s="106" t="str">
        <f t="shared" si="19"/>
        <v/>
      </c>
    </row>
    <row r="193" spans="1:8" x14ac:dyDescent="0.2">
      <c r="A193" s="104" t="str">
        <f t="shared" si="14"/>
        <v/>
      </c>
      <c r="B193" s="108" t="str">
        <f t="shared" si="15"/>
        <v/>
      </c>
      <c r="C193" s="109" t="str">
        <f t="shared" si="16"/>
        <v/>
      </c>
      <c r="D193" s="111"/>
      <c r="E193" s="106"/>
      <c r="F193" s="106" t="str">
        <f t="shared" si="17"/>
        <v/>
      </c>
      <c r="G193" s="106" t="str">
        <f t="shared" si="18"/>
        <v/>
      </c>
      <c r="H193" s="106" t="str">
        <f t="shared" si="19"/>
        <v/>
      </c>
    </row>
    <row r="194" spans="1:8" x14ac:dyDescent="0.2">
      <c r="A194" s="104" t="str">
        <f t="shared" si="14"/>
        <v/>
      </c>
      <c r="B194" s="108" t="str">
        <f t="shared" si="15"/>
        <v/>
      </c>
      <c r="C194" s="109" t="str">
        <f t="shared" si="16"/>
        <v/>
      </c>
      <c r="D194" s="111">
        <v>0</v>
      </c>
      <c r="E194" s="106"/>
      <c r="F194" s="106" t="str">
        <f t="shared" si="17"/>
        <v/>
      </c>
      <c r="G194" s="106" t="str">
        <f t="shared" si="18"/>
        <v/>
      </c>
      <c r="H194" s="106" t="str">
        <f t="shared" si="19"/>
        <v/>
      </c>
    </row>
    <row r="195" spans="1:8" x14ac:dyDescent="0.2">
      <c r="A195" s="104" t="str">
        <f t="shared" si="14"/>
        <v/>
      </c>
      <c r="B195" s="108" t="str">
        <f t="shared" si="15"/>
        <v/>
      </c>
      <c r="C195" s="109" t="str">
        <f t="shared" si="16"/>
        <v/>
      </c>
      <c r="D195" s="111"/>
      <c r="E195" s="106"/>
      <c r="F195" s="106" t="str">
        <f t="shared" si="17"/>
        <v/>
      </c>
      <c r="G195" s="106" t="str">
        <f t="shared" si="18"/>
        <v/>
      </c>
      <c r="H195" s="106" t="str">
        <f t="shared" si="19"/>
        <v/>
      </c>
    </row>
    <row r="196" spans="1:8" x14ac:dyDescent="0.2">
      <c r="A196" s="104" t="str">
        <f t="shared" si="14"/>
        <v/>
      </c>
      <c r="B196" s="108" t="str">
        <f t="shared" si="15"/>
        <v/>
      </c>
      <c r="C196" s="109" t="str">
        <f t="shared" si="16"/>
        <v/>
      </c>
      <c r="D196" s="111"/>
      <c r="E196" s="106"/>
      <c r="F196" s="106" t="str">
        <f t="shared" si="17"/>
        <v/>
      </c>
      <c r="G196" s="106" t="str">
        <f t="shared" si="18"/>
        <v/>
      </c>
      <c r="H196" s="106" t="str">
        <f t="shared" si="19"/>
        <v/>
      </c>
    </row>
    <row r="197" spans="1:8" x14ac:dyDescent="0.2">
      <c r="A197" s="104" t="str">
        <f t="shared" si="14"/>
        <v/>
      </c>
      <c r="B197" s="108" t="str">
        <f t="shared" si="15"/>
        <v/>
      </c>
      <c r="C197" s="109" t="str">
        <f t="shared" si="16"/>
        <v/>
      </c>
      <c r="D197" s="111"/>
      <c r="E197" s="106"/>
      <c r="F197" s="106" t="str">
        <f t="shared" si="17"/>
        <v/>
      </c>
      <c r="G197" s="106" t="str">
        <f t="shared" si="18"/>
        <v/>
      </c>
      <c r="H197" s="106" t="str">
        <f t="shared" si="19"/>
        <v/>
      </c>
    </row>
    <row r="198" spans="1:8" x14ac:dyDescent="0.2">
      <c r="A198" s="104" t="str">
        <f t="shared" si="14"/>
        <v/>
      </c>
      <c r="B198" s="108" t="str">
        <f t="shared" si="15"/>
        <v/>
      </c>
      <c r="C198" s="109" t="str">
        <f t="shared" si="16"/>
        <v/>
      </c>
      <c r="D198" s="111"/>
      <c r="E198" s="106"/>
      <c r="F198" s="106" t="str">
        <f t="shared" si="17"/>
        <v/>
      </c>
      <c r="G198" s="106" t="str">
        <f t="shared" si="18"/>
        <v/>
      </c>
      <c r="H198" s="106" t="str">
        <f t="shared" si="19"/>
        <v/>
      </c>
    </row>
    <row r="199" spans="1:8" x14ac:dyDescent="0.2">
      <c r="A199" s="104" t="str">
        <f t="shared" si="14"/>
        <v/>
      </c>
      <c r="B199" s="108" t="str">
        <f t="shared" si="15"/>
        <v/>
      </c>
      <c r="C199" s="109" t="str">
        <f t="shared" si="16"/>
        <v/>
      </c>
      <c r="D199" s="111"/>
      <c r="E199" s="106"/>
      <c r="F199" s="106" t="str">
        <f t="shared" si="17"/>
        <v/>
      </c>
      <c r="G199" s="106" t="str">
        <f t="shared" si="18"/>
        <v/>
      </c>
      <c r="H199" s="106" t="str">
        <f t="shared" si="19"/>
        <v/>
      </c>
    </row>
    <row r="200" spans="1:8" x14ac:dyDescent="0.2">
      <c r="A200" s="104" t="str">
        <f t="shared" si="14"/>
        <v/>
      </c>
      <c r="B200" s="108" t="str">
        <f t="shared" si="15"/>
        <v/>
      </c>
      <c r="C200" s="109" t="str">
        <f t="shared" si="16"/>
        <v/>
      </c>
      <c r="D200" s="111"/>
      <c r="E200" s="106"/>
      <c r="F200" s="106" t="str">
        <f t="shared" si="17"/>
        <v/>
      </c>
      <c r="G200" s="106" t="str">
        <f t="shared" si="18"/>
        <v/>
      </c>
      <c r="H200" s="106" t="str">
        <f t="shared" si="19"/>
        <v/>
      </c>
    </row>
    <row r="201" spans="1:8" x14ac:dyDescent="0.2">
      <c r="A201" s="104" t="str">
        <f t="shared" si="14"/>
        <v/>
      </c>
      <c r="B201" s="108" t="str">
        <f t="shared" si="15"/>
        <v/>
      </c>
      <c r="C201" s="109" t="str">
        <f t="shared" si="16"/>
        <v/>
      </c>
      <c r="D201" s="111"/>
      <c r="E201" s="106"/>
      <c r="F201" s="106" t="str">
        <f t="shared" si="17"/>
        <v/>
      </c>
      <c r="G201" s="106" t="str">
        <f t="shared" si="18"/>
        <v/>
      </c>
      <c r="H201" s="106" t="str">
        <f t="shared" si="19"/>
        <v/>
      </c>
    </row>
    <row r="202" spans="1:8" x14ac:dyDescent="0.2">
      <c r="A202" s="104" t="str">
        <f t="shared" si="14"/>
        <v/>
      </c>
      <c r="B202" s="108" t="str">
        <f t="shared" si="15"/>
        <v/>
      </c>
      <c r="C202" s="109" t="str">
        <f t="shared" si="16"/>
        <v/>
      </c>
      <c r="D202" s="111"/>
      <c r="E202" s="106"/>
      <c r="F202" s="106" t="str">
        <f t="shared" si="17"/>
        <v/>
      </c>
      <c r="G202" s="106" t="str">
        <f t="shared" si="18"/>
        <v/>
      </c>
      <c r="H202" s="106" t="str">
        <f t="shared" si="19"/>
        <v/>
      </c>
    </row>
    <row r="203" spans="1:8" x14ac:dyDescent="0.2">
      <c r="A203" s="104" t="str">
        <f t="shared" si="14"/>
        <v/>
      </c>
      <c r="B203" s="108" t="str">
        <f t="shared" si="15"/>
        <v/>
      </c>
      <c r="C203" s="109" t="str">
        <f t="shared" si="16"/>
        <v/>
      </c>
      <c r="D203" s="111"/>
      <c r="E203" s="106"/>
      <c r="F203" s="106" t="str">
        <f t="shared" si="17"/>
        <v/>
      </c>
      <c r="G203" s="106" t="str">
        <f t="shared" si="18"/>
        <v/>
      </c>
      <c r="H203" s="106" t="str">
        <f t="shared" si="19"/>
        <v/>
      </c>
    </row>
    <row r="204" spans="1:8" x14ac:dyDescent="0.2">
      <c r="A204" s="104" t="str">
        <f t="shared" si="14"/>
        <v/>
      </c>
      <c r="B204" s="108" t="str">
        <f t="shared" si="15"/>
        <v/>
      </c>
      <c r="C204" s="109" t="str">
        <f t="shared" si="16"/>
        <v/>
      </c>
      <c r="D204" s="111"/>
      <c r="E204" s="106"/>
      <c r="F204" s="106" t="str">
        <f t="shared" si="17"/>
        <v/>
      </c>
      <c r="G204" s="106" t="str">
        <f t="shared" si="18"/>
        <v/>
      </c>
      <c r="H204" s="106" t="str">
        <f t="shared" si="19"/>
        <v/>
      </c>
    </row>
    <row r="205" spans="1:8" x14ac:dyDescent="0.2">
      <c r="A205" s="104" t="str">
        <f t="shared" si="14"/>
        <v/>
      </c>
      <c r="B205" s="108" t="str">
        <f t="shared" si="15"/>
        <v/>
      </c>
      <c r="C205" s="109" t="str">
        <f t="shared" si="16"/>
        <v/>
      </c>
      <c r="D205" s="111"/>
      <c r="E205" s="106"/>
      <c r="F205" s="106" t="str">
        <f t="shared" si="17"/>
        <v/>
      </c>
      <c r="G205" s="106" t="str">
        <f t="shared" si="18"/>
        <v/>
      </c>
      <c r="H205" s="106" t="str">
        <f t="shared" si="19"/>
        <v/>
      </c>
    </row>
    <row r="206" spans="1:8" x14ac:dyDescent="0.2">
      <c r="A206" s="104" t="str">
        <f t="shared" si="14"/>
        <v/>
      </c>
      <c r="B206" s="108" t="str">
        <f t="shared" si="15"/>
        <v/>
      </c>
      <c r="C206" s="109" t="str">
        <f t="shared" si="16"/>
        <v/>
      </c>
      <c r="D206" s="111"/>
      <c r="E206" s="106"/>
      <c r="F206" s="106" t="str">
        <f t="shared" si="17"/>
        <v/>
      </c>
      <c r="G206" s="106" t="str">
        <f t="shared" si="18"/>
        <v/>
      </c>
      <c r="H206" s="106" t="str">
        <f t="shared" si="19"/>
        <v/>
      </c>
    </row>
    <row r="207" spans="1:8" x14ac:dyDescent="0.2">
      <c r="A207" s="104" t="str">
        <f t="shared" si="14"/>
        <v/>
      </c>
      <c r="B207" s="108" t="str">
        <f t="shared" si="15"/>
        <v/>
      </c>
      <c r="C207" s="109" t="str">
        <f t="shared" si="16"/>
        <v/>
      </c>
      <c r="D207" s="111"/>
      <c r="E207" s="106"/>
      <c r="F207" s="106" t="str">
        <f t="shared" si="17"/>
        <v/>
      </c>
      <c r="G207" s="106" t="str">
        <f t="shared" si="18"/>
        <v/>
      </c>
      <c r="H207" s="106" t="str">
        <f t="shared" si="19"/>
        <v/>
      </c>
    </row>
    <row r="208" spans="1:8" x14ac:dyDescent="0.2">
      <c r="A208" s="104" t="str">
        <f t="shared" si="14"/>
        <v/>
      </c>
      <c r="B208" s="108" t="str">
        <f t="shared" si="15"/>
        <v/>
      </c>
      <c r="C208" s="109" t="str">
        <f t="shared" si="16"/>
        <v/>
      </c>
      <c r="D208" s="111"/>
      <c r="E208" s="106"/>
      <c r="F208" s="106" t="str">
        <f t="shared" si="17"/>
        <v/>
      </c>
      <c r="G208" s="106" t="str">
        <f t="shared" si="18"/>
        <v/>
      </c>
      <c r="H208" s="106" t="str">
        <f t="shared" si="19"/>
        <v/>
      </c>
    </row>
    <row r="209" spans="1:8" x14ac:dyDescent="0.2">
      <c r="A209" s="104" t="str">
        <f t="shared" si="14"/>
        <v/>
      </c>
      <c r="B209" s="108" t="str">
        <f t="shared" si="15"/>
        <v/>
      </c>
      <c r="C209" s="109" t="str">
        <f t="shared" si="16"/>
        <v/>
      </c>
      <c r="D209" s="111"/>
      <c r="E209" s="106"/>
      <c r="F209" s="106" t="str">
        <f t="shared" si="17"/>
        <v/>
      </c>
      <c r="G209" s="106" t="str">
        <f t="shared" si="18"/>
        <v/>
      </c>
      <c r="H209" s="106" t="str">
        <f t="shared" si="19"/>
        <v/>
      </c>
    </row>
    <row r="210" spans="1:8" x14ac:dyDescent="0.2">
      <c r="A210" s="104" t="str">
        <f t="shared" si="14"/>
        <v/>
      </c>
      <c r="B210" s="108" t="str">
        <f t="shared" si="15"/>
        <v/>
      </c>
      <c r="C210" s="109" t="str">
        <f t="shared" si="16"/>
        <v/>
      </c>
      <c r="D210" s="111"/>
      <c r="E210" s="106"/>
      <c r="F210" s="106" t="str">
        <f t="shared" si="17"/>
        <v/>
      </c>
      <c r="G210" s="106" t="str">
        <f t="shared" si="18"/>
        <v/>
      </c>
      <c r="H210" s="106" t="str">
        <f t="shared" si="19"/>
        <v/>
      </c>
    </row>
    <row r="211" spans="1:8" x14ac:dyDescent="0.2">
      <c r="A211" s="104" t="str">
        <f t="shared" si="14"/>
        <v/>
      </c>
      <c r="B211" s="108" t="str">
        <f t="shared" si="15"/>
        <v/>
      </c>
      <c r="C211" s="109" t="str">
        <f t="shared" si="16"/>
        <v/>
      </c>
      <c r="D211" s="111"/>
      <c r="E211" s="106"/>
      <c r="F211" s="106" t="str">
        <f t="shared" si="17"/>
        <v/>
      </c>
      <c r="G211" s="106" t="str">
        <f t="shared" si="18"/>
        <v/>
      </c>
      <c r="H211" s="106" t="str">
        <f t="shared" si="19"/>
        <v/>
      </c>
    </row>
    <row r="212" spans="1:8" x14ac:dyDescent="0.2">
      <c r="A212" s="104" t="str">
        <f t="shared" si="14"/>
        <v/>
      </c>
      <c r="B212" s="108" t="str">
        <f t="shared" si="15"/>
        <v/>
      </c>
      <c r="C212" s="109" t="str">
        <f t="shared" si="16"/>
        <v/>
      </c>
      <c r="D212" s="111"/>
      <c r="E212" s="106"/>
      <c r="F212" s="106" t="str">
        <f t="shared" si="17"/>
        <v/>
      </c>
      <c r="G212" s="106" t="str">
        <f t="shared" si="18"/>
        <v/>
      </c>
      <c r="H212" s="106" t="str">
        <f t="shared" si="19"/>
        <v/>
      </c>
    </row>
    <row r="213" spans="1:8" x14ac:dyDescent="0.2">
      <c r="A213" s="104" t="str">
        <f t="shared" si="14"/>
        <v/>
      </c>
      <c r="B213" s="108" t="str">
        <f t="shared" si="15"/>
        <v/>
      </c>
      <c r="C213" s="109" t="str">
        <f t="shared" si="16"/>
        <v/>
      </c>
      <c r="D213" s="111"/>
      <c r="E213" s="106"/>
      <c r="F213" s="106" t="str">
        <f t="shared" si="17"/>
        <v/>
      </c>
      <c r="G213" s="106" t="str">
        <f t="shared" si="18"/>
        <v/>
      </c>
      <c r="H213" s="106" t="str">
        <f t="shared" si="19"/>
        <v/>
      </c>
    </row>
    <row r="214" spans="1:8" x14ac:dyDescent="0.2">
      <c r="A214" s="104" t="str">
        <f t="shared" si="14"/>
        <v/>
      </c>
      <c r="B214" s="108" t="str">
        <f t="shared" si="15"/>
        <v/>
      </c>
      <c r="C214" s="109" t="str">
        <f t="shared" si="16"/>
        <v/>
      </c>
      <c r="D214" s="111"/>
      <c r="E214" s="106"/>
      <c r="F214" s="106" t="str">
        <f t="shared" si="17"/>
        <v/>
      </c>
      <c r="G214" s="106" t="str">
        <f t="shared" si="18"/>
        <v/>
      </c>
      <c r="H214" s="106" t="str">
        <f t="shared" si="19"/>
        <v/>
      </c>
    </row>
    <row r="215" spans="1:8" x14ac:dyDescent="0.2">
      <c r="A215" s="104" t="str">
        <f t="shared" si="14"/>
        <v/>
      </c>
      <c r="B215" s="108" t="str">
        <f t="shared" si="15"/>
        <v/>
      </c>
      <c r="C215" s="109" t="str">
        <f t="shared" si="16"/>
        <v/>
      </c>
      <c r="D215" s="111"/>
      <c r="E215" s="106"/>
      <c r="F215" s="106" t="str">
        <f t="shared" si="17"/>
        <v/>
      </c>
      <c r="G215" s="106" t="str">
        <f t="shared" si="18"/>
        <v/>
      </c>
      <c r="H215" s="106" t="str">
        <f t="shared" si="19"/>
        <v/>
      </c>
    </row>
    <row r="216" spans="1:8" x14ac:dyDescent="0.2">
      <c r="A216" s="104" t="str">
        <f t="shared" si="14"/>
        <v/>
      </c>
      <c r="B216" s="108" t="str">
        <f t="shared" si="15"/>
        <v/>
      </c>
      <c r="C216" s="109" t="str">
        <f t="shared" si="16"/>
        <v/>
      </c>
      <c r="D216" s="111"/>
      <c r="E216" s="106"/>
      <c r="F216" s="106" t="str">
        <f t="shared" si="17"/>
        <v/>
      </c>
      <c r="G216" s="106" t="str">
        <f t="shared" si="18"/>
        <v/>
      </c>
      <c r="H216" s="106" t="str">
        <f t="shared" si="19"/>
        <v/>
      </c>
    </row>
    <row r="217" spans="1:8" x14ac:dyDescent="0.2">
      <c r="A217" s="104" t="str">
        <f t="shared" si="14"/>
        <v/>
      </c>
      <c r="B217" s="108" t="str">
        <f t="shared" si="15"/>
        <v/>
      </c>
      <c r="C217" s="109" t="str">
        <f t="shared" si="16"/>
        <v/>
      </c>
      <c r="D217" s="111"/>
      <c r="E217" s="106"/>
      <c r="F217" s="106" t="str">
        <f t="shared" si="17"/>
        <v/>
      </c>
      <c r="G217" s="106" t="str">
        <f t="shared" si="18"/>
        <v/>
      </c>
      <c r="H217" s="106" t="str">
        <f t="shared" si="19"/>
        <v/>
      </c>
    </row>
    <row r="218" spans="1:8" x14ac:dyDescent="0.2">
      <c r="A218" s="104" t="str">
        <f t="shared" si="14"/>
        <v/>
      </c>
      <c r="B218" s="108" t="str">
        <f t="shared" si="15"/>
        <v/>
      </c>
      <c r="C218" s="109" t="str">
        <f t="shared" si="16"/>
        <v/>
      </c>
      <c r="D218" s="111"/>
      <c r="E218" s="106"/>
      <c r="F218" s="106" t="str">
        <f t="shared" si="17"/>
        <v/>
      </c>
      <c r="G218" s="106" t="str">
        <f t="shared" si="18"/>
        <v/>
      </c>
      <c r="H218" s="106" t="str">
        <f t="shared" si="19"/>
        <v/>
      </c>
    </row>
    <row r="219" spans="1:8" x14ac:dyDescent="0.2">
      <c r="A219" s="104" t="str">
        <f t="shared" si="14"/>
        <v/>
      </c>
      <c r="B219" s="108" t="str">
        <f t="shared" si="15"/>
        <v/>
      </c>
      <c r="C219" s="109" t="str">
        <f t="shared" si="16"/>
        <v/>
      </c>
      <c r="D219" s="111"/>
      <c r="E219" s="106"/>
      <c r="F219" s="106" t="str">
        <f t="shared" si="17"/>
        <v/>
      </c>
      <c r="G219" s="106" t="str">
        <f t="shared" si="18"/>
        <v/>
      </c>
      <c r="H219" s="106" t="str">
        <f t="shared" si="19"/>
        <v/>
      </c>
    </row>
    <row r="220" spans="1:8" x14ac:dyDescent="0.2">
      <c r="A220" s="104" t="str">
        <f t="shared" si="14"/>
        <v/>
      </c>
      <c r="B220" s="108" t="str">
        <f t="shared" si="15"/>
        <v/>
      </c>
      <c r="C220" s="109" t="str">
        <f t="shared" si="16"/>
        <v/>
      </c>
      <c r="D220" s="111"/>
      <c r="E220" s="106"/>
      <c r="F220" s="106" t="str">
        <f t="shared" si="17"/>
        <v/>
      </c>
      <c r="G220" s="106" t="str">
        <f t="shared" si="18"/>
        <v/>
      </c>
      <c r="H220" s="106" t="str">
        <f t="shared" si="19"/>
        <v/>
      </c>
    </row>
    <row r="221" spans="1:8" x14ac:dyDescent="0.2">
      <c r="A221" s="104" t="str">
        <f t="shared" si="14"/>
        <v/>
      </c>
      <c r="B221" s="108" t="str">
        <f t="shared" si="15"/>
        <v/>
      </c>
      <c r="C221" s="109" t="str">
        <f t="shared" si="16"/>
        <v/>
      </c>
      <c r="D221" s="111"/>
      <c r="E221" s="106"/>
      <c r="F221" s="106" t="str">
        <f t="shared" si="17"/>
        <v/>
      </c>
      <c r="G221" s="106" t="str">
        <f t="shared" si="18"/>
        <v/>
      </c>
      <c r="H221" s="106" t="str">
        <f t="shared" si="19"/>
        <v/>
      </c>
    </row>
    <row r="222" spans="1:8" x14ac:dyDescent="0.2">
      <c r="A222" s="104" t="str">
        <f t="shared" si="14"/>
        <v/>
      </c>
      <c r="B222" s="108" t="str">
        <f t="shared" si="15"/>
        <v/>
      </c>
      <c r="C222" s="109" t="str">
        <f t="shared" si="16"/>
        <v/>
      </c>
      <c r="D222" s="111"/>
      <c r="E222" s="106"/>
      <c r="F222" s="106" t="str">
        <f t="shared" si="17"/>
        <v/>
      </c>
      <c r="G222" s="106" t="str">
        <f t="shared" si="18"/>
        <v/>
      </c>
      <c r="H222" s="106" t="str">
        <f t="shared" si="19"/>
        <v/>
      </c>
    </row>
    <row r="223" spans="1:8" x14ac:dyDescent="0.2">
      <c r="A223" s="104" t="str">
        <f t="shared" si="14"/>
        <v/>
      </c>
      <c r="B223" s="108" t="str">
        <f t="shared" si="15"/>
        <v/>
      </c>
      <c r="C223" s="109" t="str">
        <f t="shared" si="16"/>
        <v/>
      </c>
      <c r="D223" s="111"/>
      <c r="E223" s="106"/>
      <c r="F223" s="106" t="str">
        <f t="shared" si="17"/>
        <v/>
      </c>
      <c r="G223" s="106" t="str">
        <f t="shared" si="18"/>
        <v/>
      </c>
      <c r="H223" s="106" t="str">
        <f t="shared" si="19"/>
        <v/>
      </c>
    </row>
    <row r="224" spans="1:8" x14ac:dyDescent="0.2">
      <c r="A224" s="104" t="str">
        <f t="shared" si="14"/>
        <v/>
      </c>
      <c r="B224" s="108" t="str">
        <f t="shared" si="15"/>
        <v/>
      </c>
      <c r="C224" s="109" t="str">
        <f t="shared" si="16"/>
        <v/>
      </c>
      <c r="D224" s="111"/>
      <c r="E224" s="106"/>
      <c r="F224" s="106" t="str">
        <f t="shared" si="17"/>
        <v/>
      </c>
      <c r="G224" s="106" t="str">
        <f t="shared" si="18"/>
        <v/>
      </c>
      <c r="H224" s="106" t="str">
        <f t="shared" si="19"/>
        <v/>
      </c>
    </row>
    <row r="225" spans="1:8" x14ac:dyDescent="0.2">
      <c r="A225" s="104" t="str">
        <f t="shared" si="14"/>
        <v/>
      </c>
      <c r="B225" s="108" t="str">
        <f t="shared" si="15"/>
        <v/>
      </c>
      <c r="C225" s="109" t="str">
        <f t="shared" si="16"/>
        <v/>
      </c>
      <c r="D225" s="111"/>
      <c r="E225" s="106"/>
      <c r="F225" s="106" t="str">
        <f t="shared" si="17"/>
        <v/>
      </c>
      <c r="G225" s="106" t="str">
        <f t="shared" si="18"/>
        <v/>
      </c>
      <c r="H225" s="106" t="str">
        <f t="shared" si="19"/>
        <v/>
      </c>
    </row>
    <row r="226" spans="1:8" x14ac:dyDescent="0.2">
      <c r="A226" s="104" t="str">
        <f t="shared" si="14"/>
        <v/>
      </c>
      <c r="B226" s="108" t="str">
        <f t="shared" si="15"/>
        <v/>
      </c>
      <c r="C226" s="109" t="str">
        <f t="shared" si="16"/>
        <v/>
      </c>
      <c r="D226" s="111"/>
      <c r="E226" s="106"/>
      <c r="F226" s="106" t="str">
        <f t="shared" si="17"/>
        <v/>
      </c>
      <c r="G226" s="106" t="str">
        <f t="shared" si="18"/>
        <v/>
      </c>
      <c r="H226" s="106" t="str">
        <f t="shared" si="19"/>
        <v/>
      </c>
    </row>
    <row r="227" spans="1:8" x14ac:dyDescent="0.2">
      <c r="A227" s="104" t="str">
        <f t="shared" si="14"/>
        <v/>
      </c>
      <c r="B227" s="108" t="str">
        <f t="shared" si="15"/>
        <v/>
      </c>
      <c r="C227" s="109" t="str">
        <f t="shared" si="16"/>
        <v/>
      </c>
      <c r="D227" s="111"/>
      <c r="E227" s="106"/>
      <c r="F227" s="106" t="str">
        <f t="shared" si="17"/>
        <v/>
      </c>
      <c r="G227" s="106" t="str">
        <f t="shared" si="18"/>
        <v/>
      </c>
      <c r="H227" s="106" t="str">
        <f t="shared" si="19"/>
        <v/>
      </c>
    </row>
    <row r="228" spans="1:8" x14ac:dyDescent="0.2">
      <c r="A228" s="104" t="str">
        <f t="shared" si="14"/>
        <v/>
      </c>
      <c r="B228" s="108" t="str">
        <f t="shared" si="15"/>
        <v/>
      </c>
      <c r="C228" s="109" t="str">
        <f t="shared" si="16"/>
        <v/>
      </c>
      <c r="D228" s="111"/>
      <c r="E228" s="106"/>
      <c r="F228" s="106" t="str">
        <f t="shared" si="17"/>
        <v/>
      </c>
      <c r="G228" s="106" t="str">
        <f t="shared" si="18"/>
        <v/>
      </c>
      <c r="H228" s="106" t="str">
        <f t="shared" si="19"/>
        <v/>
      </c>
    </row>
    <row r="229" spans="1:8" x14ac:dyDescent="0.2">
      <c r="A229" s="104" t="str">
        <f t="shared" si="14"/>
        <v/>
      </c>
      <c r="B229" s="108" t="str">
        <f t="shared" si="15"/>
        <v/>
      </c>
      <c r="C229" s="109" t="str">
        <f t="shared" si="16"/>
        <v/>
      </c>
      <c r="D229" s="111"/>
      <c r="E229" s="106"/>
      <c r="F229" s="106" t="str">
        <f t="shared" si="17"/>
        <v/>
      </c>
      <c r="G229" s="106" t="str">
        <f t="shared" si="18"/>
        <v/>
      </c>
      <c r="H229" s="106" t="str">
        <f t="shared" si="19"/>
        <v/>
      </c>
    </row>
    <row r="230" spans="1:8" x14ac:dyDescent="0.2">
      <c r="A230" s="104" t="str">
        <f t="shared" si="14"/>
        <v/>
      </c>
      <c r="B230" s="108" t="str">
        <f t="shared" si="15"/>
        <v/>
      </c>
      <c r="C230" s="109" t="str">
        <f t="shared" si="16"/>
        <v/>
      </c>
      <c r="D230" s="111">
        <v>43685.65</v>
      </c>
      <c r="E230" s="106"/>
      <c r="F230" s="106" t="str">
        <f t="shared" si="17"/>
        <v/>
      </c>
      <c r="G230" s="106" t="str">
        <f t="shared" si="18"/>
        <v/>
      </c>
      <c r="H230" s="106" t="str">
        <f t="shared" si="19"/>
        <v/>
      </c>
    </row>
    <row r="231" spans="1:8" x14ac:dyDescent="0.2">
      <c r="A231" s="104" t="str">
        <f t="shared" si="14"/>
        <v/>
      </c>
      <c r="B231" s="108" t="str">
        <f t="shared" si="15"/>
        <v/>
      </c>
      <c r="C231" s="109" t="str">
        <f t="shared" si="16"/>
        <v/>
      </c>
      <c r="D231" s="111"/>
      <c r="E231" s="106"/>
      <c r="F231" s="106" t="str">
        <f t="shared" si="17"/>
        <v/>
      </c>
      <c r="G231" s="106" t="str">
        <f t="shared" si="18"/>
        <v/>
      </c>
      <c r="H231" s="106" t="str">
        <f t="shared" si="19"/>
        <v/>
      </c>
    </row>
    <row r="232" spans="1:8" x14ac:dyDescent="0.2">
      <c r="A232" s="104" t="str">
        <f t="shared" si="14"/>
        <v/>
      </c>
      <c r="B232" s="108" t="str">
        <f t="shared" si="15"/>
        <v/>
      </c>
      <c r="C232" s="109" t="str">
        <f t="shared" si="16"/>
        <v/>
      </c>
      <c r="D232" s="111"/>
      <c r="E232" s="106"/>
      <c r="F232" s="106" t="str">
        <f t="shared" si="17"/>
        <v/>
      </c>
      <c r="G232" s="106" t="str">
        <f t="shared" si="18"/>
        <v/>
      </c>
      <c r="H232" s="106" t="str">
        <f t="shared" si="19"/>
        <v/>
      </c>
    </row>
    <row r="233" spans="1:8" x14ac:dyDescent="0.2">
      <c r="A233" s="104" t="str">
        <f t="shared" si="14"/>
        <v/>
      </c>
      <c r="B233" s="108" t="str">
        <f t="shared" si="15"/>
        <v/>
      </c>
      <c r="C233" s="109" t="str">
        <f t="shared" si="16"/>
        <v/>
      </c>
      <c r="D233" s="111"/>
      <c r="E233" s="106"/>
      <c r="F233" s="106" t="str">
        <f t="shared" si="17"/>
        <v/>
      </c>
      <c r="G233" s="106" t="str">
        <f t="shared" si="18"/>
        <v/>
      </c>
      <c r="H233" s="106" t="str">
        <f t="shared" si="19"/>
        <v/>
      </c>
    </row>
    <row r="234" spans="1:8" x14ac:dyDescent="0.2">
      <c r="A234" s="104" t="str">
        <f t="shared" si="14"/>
        <v/>
      </c>
      <c r="B234" s="108" t="str">
        <f t="shared" si="15"/>
        <v/>
      </c>
      <c r="C234" s="109" t="str">
        <f t="shared" si="16"/>
        <v/>
      </c>
      <c r="D234" s="111"/>
      <c r="E234" s="106"/>
      <c r="F234" s="106" t="str">
        <f t="shared" si="17"/>
        <v/>
      </c>
      <c r="G234" s="106" t="str">
        <f t="shared" si="18"/>
        <v/>
      </c>
      <c r="H234" s="106" t="str">
        <f t="shared" si="19"/>
        <v/>
      </c>
    </row>
    <row r="235" spans="1:8" x14ac:dyDescent="0.2">
      <c r="A235" s="104" t="str">
        <f t="shared" si="14"/>
        <v/>
      </c>
      <c r="B235" s="108" t="str">
        <f t="shared" si="15"/>
        <v/>
      </c>
      <c r="C235" s="109" t="str">
        <f t="shared" si="16"/>
        <v/>
      </c>
      <c r="D235" s="111"/>
      <c r="E235" s="106"/>
      <c r="F235" s="106" t="str">
        <f t="shared" si="17"/>
        <v/>
      </c>
      <c r="G235" s="106" t="str">
        <f t="shared" si="18"/>
        <v/>
      </c>
      <c r="H235" s="106" t="str">
        <f t="shared" si="19"/>
        <v/>
      </c>
    </row>
    <row r="236" spans="1:8" x14ac:dyDescent="0.2">
      <c r="A236" s="104" t="str">
        <f t="shared" si="14"/>
        <v/>
      </c>
      <c r="B236" s="108" t="str">
        <f t="shared" si="15"/>
        <v/>
      </c>
      <c r="C236" s="109" t="str">
        <f t="shared" si="16"/>
        <v/>
      </c>
      <c r="D236" s="111"/>
      <c r="E236" s="106"/>
      <c r="F236" s="106" t="str">
        <f t="shared" si="17"/>
        <v/>
      </c>
      <c r="G236" s="106" t="str">
        <f t="shared" si="18"/>
        <v/>
      </c>
      <c r="H236" s="106" t="str">
        <f t="shared" si="19"/>
        <v/>
      </c>
    </row>
    <row r="237" spans="1:8" x14ac:dyDescent="0.2">
      <c r="A237" s="104" t="str">
        <f t="shared" si="14"/>
        <v/>
      </c>
      <c r="B237" s="108" t="str">
        <f t="shared" si="15"/>
        <v/>
      </c>
      <c r="C237" s="109" t="str">
        <f t="shared" si="16"/>
        <v/>
      </c>
      <c r="D237" s="111"/>
      <c r="E237" s="106"/>
      <c r="F237" s="106" t="str">
        <f t="shared" si="17"/>
        <v/>
      </c>
      <c r="G237" s="106" t="str">
        <f t="shared" si="18"/>
        <v/>
      </c>
      <c r="H237" s="106" t="str">
        <f t="shared" si="19"/>
        <v/>
      </c>
    </row>
    <row r="238" spans="1:8" x14ac:dyDescent="0.2">
      <c r="A238" s="104" t="str">
        <f t="shared" si="14"/>
        <v/>
      </c>
      <c r="B238" s="108" t="str">
        <f t="shared" si="15"/>
        <v/>
      </c>
      <c r="C238" s="109" t="str">
        <f t="shared" si="16"/>
        <v/>
      </c>
      <c r="D238" s="111"/>
      <c r="E238" s="106"/>
      <c r="F238" s="106" t="str">
        <f t="shared" si="17"/>
        <v/>
      </c>
      <c r="G238" s="106" t="str">
        <f t="shared" si="18"/>
        <v/>
      </c>
      <c r="H238" s="106" t="str">
        <f t="shared" si="19"/>
        <v/>
      </c>
    </row>
    <row r="239" spans="1:8" x14ac:dyDescent="0.2">
      <c r="A239" s="104" t="str">
        <f t="shared" si="14"/>
        <v/>
      </c>
      <c r="B239" s="108" t="str">
        <f t="shared" si="15"/>
        <v/>
      </c>
      <c r="C239" s="109" t="str">
        <f t="shared" si="16"/>
        <v/>
      </c>
      <c r="D239" s="111"/>
      <c r="E239" s="106"/>
      <c r="F239" s="106" t="str">
        <f t="shared" si="17"/>
        <v/>
      </c>
      <c r="G239" s="106" t="str">
        <f t="shared" si="18"/>
        <v/>
      </c>
      <c r="H239" s="106" t="str">
        <f t="shared" si="19"/>
        <v/>
      </c>
    </row>
    <row r="240" spans="1:8" x14ac:dyDescent="0.2">
      <c r="A240" s="104" t="str">
        <f t="shared" si="14"/>
        <v/>
      </c>
      <c r="B240" s="108" t="str">
        <f t="shared" si="15"/>
        <v/>
      </c>
      <c r="C240" s="109" t="str">
        <f t="shared" si="16"/>
        <v/>
      </c>
      <c r="D240" s="111"/>
      <c r="E240" s="106"/>
      <c r="F240" s="106" t="str">
        <f t="shared" si="17"/>
        <v/>
      </c>
      <c r="G240" s="106" t="str">
        <f t="shared" si="18"/>
        <v/>
      </c>
      <c r="H240" s="106" t="str">
        <f t="shared" si="19"/>
        <v/>
      </c>
    </row>
    <row r="241" spans="1:8" x14ac:dyDescent="0.2">
      <c r="A241" s="104" t="str">
        <f t="shared" si="14"/>
        <v/>
      </c>
      <c r="B241" s="108" t="str">
        <f t="shared" si="15"/>
        <v/>
      </c>
      <c r="C241" s="109" t="str">
        <f t="shared" si="16"/>
        <v/>
      </c>
      <c r="D241" s="111"/>
      <c r="E241" s="106"/>
      <c r="F241" s="106" t="str">
        <f t="shared" si="17"/>
        <v/>
      </c>
      <c r="G241" s="106" t="str">
        <f t="shared" si="18"/>
        <v/>
      </c>
      <c r="H241" s="106" t="str">
        <f t="shared" si="19"/>
        <v/>
      </c>
    </row>
    <row r="242" spans="1:8" x14ac:dyDescent="0.2">
      <c r="A242" s="104" t="str">
        <f t="shared" si="14"/>
        <v/>
      </c>
      <c r="B242" s="108" t="str">
        <f t="shared" si="15"/>
        <v/>
      </c>
      <c r="C242" s="109" t="str">
        <f t="shared" si="16"/>
        <v/>
      </c>
      <c r="D242" s="111"/>
      <c r="E242" s="106"/>
      <c r="F242" s="106" t="str">
        <f t="shared" si="17"/>
        <v/>
      </c>
      <c r="G242" s="106" t="str">
        <f t="shared" si="18"/>
        <v/>
      </c>
      <c r="H242" s="106" t="str">
        <f t="shared" si="19"/>
        <v/>
      </c>
    </row>
    <row r="243" spans="1:8" x14ac:dyDescent="0.2">
      <c r="A243" s="104" t="str">
        <f t="shared" si="14"/>
        <v/>
      </c>
      <c r="B243" s="108" t="str">
        <f t="shared" si="15"/>
        <v/>
      </c>
      <c r="C243" s="109" t="str">
        <f t="shared" si="16"/>
        <v/>
      </c>
      <c r="D243" s="111"/>
      <c r="E243" s="106"/>
      <c r="F243" s="106" t="str">
        <f t="shared" si="17"/>
        <v/>
      </c>
      <c r="G243" s="106" t="str">
        <f t="shared" si="18"/>
        <v/>
      </c>
      <c r="H243" s="106" t="str">
        <f t="shared" si="19"/>
        <v/>
      </c>
    </row>
    <row r="244" spans="1:8" x14ac:dyDescent="0.2">
      <c r="A244" s="104" t="str">
        <f t="shared" si="14"/>
        <v/>
      </c>
      <c r="B244" s="108" t="str">
        <f t="shared" si="15"/>
        <v/>
      </c>
      <c r="C244" s="109" t="str">
        <f t="shared" si="16"/>
        <v/>
      </c>
      <c r="D244" s="111"/>
      <c r="E244" s="106"/>
      <c r="F244" s="106" t="str">
        <f t="shared" si="17"/>
        <v/>
      </c>
      <c r="G244" s="106" t="str">
        <f t="shared" si="18"/>
        <v/>
      </c>
      <c r="H244" s="106" t="str">
        <f t="shared" si="19"/>
        <v/>
      </c>
    </row>
    <row r="245" spans="1:8" x14ac:dyDescent="0.2">
      <c r="A245" s="104" t="str">
        <f t="shared" si="14"/>
        <v/>
      </c>
      <c r="B245" s="108" t="str">
        <f t="shared" si="15"/>
        <v/>
      </c>
      <c r="C245" s="109" t="str">
        <f t="shared" si="16"/>
        <v/>
      </c>
      <c r="D245" s="111"/>
      <c r="E245" s="106"/>
      <c r="F245" s="106" t="str">
        <f t="shared" si="17"/>
        <v/>
      </c>
      <c r="G245" s="106" t="str">
        <f t="shared" si="18"/>
        <v/>
      </c>
      <c r="H245" s="106" t="str">
        <f t="shared" si="19"/>
        <v/>
      </c>
    </row>
    <row r="246" spans="1:8" x14ac:dyDescent="0.2">
      <c r="A246" s="104" t="str">
        <f t="shared" si="14"/>
        <v/>
      </c>
      <c r="B246" s="108" t="str">
        <f t="shared" si="15"/>
        <v/>
      </c>
      <c r="C246" s="109" t="str">
        <f t="shared" si="16"/>
        <v/>
      </c>
      <c r="D246" s="111"/>
      <c r="E246" s="106"/>
      <c r="F246" s="106" t="str">
        <f t="shared" si="17"/>
        <v/>
      </c>
      <c r="G246" s="106" t="str">
        <f t="shared" si="18"/>
        <v/>
      </c>
      <c r="H246" s="106" t="str">
        <f t="shared" si="19"/>
        <v/>
      </c>
    </row>
    <row r="247" spans="1:8" x14ac:dyDescent="0.2">
      <c r="A247" s="104" t="str">
        <f t="shared" si="14"/>
        <v/>
      </c>
      <c r="B247" s="108" t="str">
        <f t="shared" si="15"/>
        <v/>
      </c>
      <c r="C247" s="109" t="str">
        <f t="shared" si="16"/>
        <v/>
      </c>
      <c r="D247" s="111"/>
      <c r="E247" s="106"/>
      <c r="F247" s="106" t="str">
        <f t="shared" si="17"/>
        <v/>
      </c>
      <c r="G247" s="106" t="str">
        <f t="shared" si="18"/>
        <v/>
      </c>
      <c r="H247" s="106" t="str">
        <f t="shared" si="19"/>
        <v/>
      </c>
    </row>
    <row r="248" spans="1:8" x14ac:dyDescent="0.2">
      <c r="A248" s="104" t="str">
        <f t="shared" si="14"/>
        <v/>
      </c>
      <c r="B248" s="108" t="str">
        <f t="shared" si="15"/>
        <v/>
      </c>
      <c r="C248" s="109" t="str">
        <f t="shared" si="16"/>
        <v/>
      </c>
      <c r="D248" s="111"/>
      <c r="E248" s="106"/>
      <c r="F248" s="106" t="str">
        <f t="shared" si="17"/>
        <v/>
      </c>
      <c r="G248" s="106" t="str">
        <f t="shared" si="18"/>
        <v/>
      </c>
      <c r="H248" s="106" t="str">
        <f t="shared" si="19"/>
        <v/>
      </c>
    </row>
    <row r="249" spans="1:8" x14ac:dyDescent="0.2">
      <c r="A249" s="104" t="str">
        <f t="shared" si="14"/>
        <v/>
      </c>
      <c r="B249" s="108" t="str">
        <f t="shared" si="15"/>
        <v/>
      </c>
      <c r="C249" s="109" t="str">
        <f t="shared" si="16"/>
        <v/>
      </c>
      <c r="D249" s="111"/>
      <c r="E249" s="106"/>
      <c r="F249" s="106" t="str">
        <f t="shared" si="17"/>
        <v/>
      </c>
      <c r="G249" s="106" t="str">
        <f t="shared" si="18"/>
        <v/>
      </c>
      <c r="H249" s="106" t="str">
        <f t="shared" si="19"/>
        <v/>
      </c>
    </row>
    <row r="250" spans="1:8" x14ac:dyDescent="0.2">
      <c r="A250" s="104" t="str">
        <f t="shared" si="14"/>
        <v/>
      </c>
      <c r="B250" s="108" t="str">
        <f t="shared" si="15"/>
        <v/>
      </c>
      <c r="C250" s="109" t="str">
        <f t="shared" si="16"/>
        <v/>
      </c>
      <c r="D250" s="111"/>
      <c r="E250" s="106"/>
      <c r="F250" s="106" t="str">
        <f t="shared" si="17"/>
        <v/>
      </c>
      <c r="G250" s="106" t="str">
        <f t="shared" si="18"/>
        <v/>
      </c>
      <c r="H250" s="106" t="str">
        <f t="shared" si="19"/>
        <v/>
      </c>
    </row>
    <row r="251" spans="1:8" x14ac:dyDescent="0.2">
      <c r="A251" s="104" t="str">
        <f t="shared" si="14"/>
        <v/>
      </c>
      <c r="B251" s="108" t="str">
        <f t="shared" si="15"/>
        <v/>
      </c>
      <c r="C251" s="109" t="str">
        <f t="shared" si="16"/>
        <v/>
      </c>
      <c r="D251" s="111"/>
      <c r="E251" s="106"/>
      <c r="F251" s="106" t="str">
        <f t="shared" si="17"/>
        <v/>
      </c>
      <c r="G251" s="106" t="str">
        <f t="shared" si="18"/>
        <v/>
      </c>
      <c r="H251" s="106" t="str">
        <f t="shared" si="19"/>
        <v/>
      </c>
    </row>
    <row r="252" spans="1:8" x14ac:dyDescent="0.2">
      <c r="A252" s="104" t="str">
        <f t="shared" si="14"/>
        <v/>
      </c>
      <c r="B252" s="108" t="str">
        <f t="shared" si="15"/>
        <v/>
      </c>
      <c r="C252" s="109" t="str">
        <f t="shared" si="16"/>
        <v/>
      </c>
      <c r="D252" s="111"/>
      <c r="E252" s="106"/>
      <c r="F252" s="106" t="str">
        <f t="shared" si="17"/>
        <v/>
      </c>
      <c r="G252" s="106" t="str">
        <f t="shared" si="18"/>
        <v/>
      </c>
      <c r="H252" s="106" t="str">
        <f t="shared" si="19"/>
        <v/>
      </c>
    </row>
    <row r="253" spans="1:8" x14ac:dyDescent="0.2">
      <c r="A253" s="104" t="str">
        <f t="shared" si="14"/>
        <v/>
      </c>
      <c r="B253" s="108" t="str">
        <f t="shared" si="15"/>
        <v/>
      </c>
      <c r="C253" s="109" t="str">
        <f t="shared" si="16"/>
        <v/>
      </c>
      <c r="D253" s="111"/>
      <c r="E253" s="106"/>
      <c r="F253" s="106" t="str">
        <f t="shared" si="17"/>
        <v/>
      </c>
      <c r="G253" s="106" t="str">
        <f t="shared" si="18"/>
        <v/>
      </c>
      <c r="H253" s="106" t="str">
        <f t="shared" si="19"/>
        <v/>
      </c>
    </row>
    <row r="254" spans="1:8" x14ac:dyDescent="0.2">
      <c r="A254" s="104" t="str">
        <f t="shared" si="14"/>
        <v/>
      </c>
      <c r="B254" s="108" t="str">
        <f t="shared" si="15"/>
        <v/>
      </c>
      <c r="C254" s="109" t="str">
        <f t="shared" si="16"/>
        <v/>
      </c>
      <c r="D254" s="111"/>
      <c r="E254" s="106"/>
      <c r="F254" s="106" t="str">
        <f t="shared" si="17"/>
        <v/>
      </c>
      <c r="G254" s="106" t="str">
        <f t="shared" si="18"/>
        <v/>
      </c>
      <c r="H254" s="106" t="str">
        <f t="shared" si="19"/>
        <v/>
      </c>
    </row>
    <row r="255" spans="1:8" x14ac:dyDescent="0.2">
      <c r="A255" s="104" t="str">
        <f t="shared" ref="A255:A318" si="20">IF(H254="","",IF(roundOpt,IF(OR(A254&gt;=nper,ROUND(H254,2)&lt;=0),"",A254+1),IF(OR(A254&gt;=nper,H254&lt;=0),"",A254+1)))</f>
        <v/>
      </c>
      <c r="B255" s="108" t="str">
        <f t="shared" ref="B255:B318" si="21">IF(A255="","",IF(periods_per_year=26,IF(A255=1,fpdate,B254+14),IF(periods_per_year=52,IF(A255=1,fpdate,B254+7),IF(periods_per_year=24,IF(A255=1,fpdate,IF(fpdate=EOMONTH(fpdate,0),IF(ISODD(A255),EOMONTH(EDATE(fpdate,(A255-1)/2),0),EDATE(DATE(YEAR(fpdate),MONTH(fpdate)+1,15),(A255-1)/2)),IF(DAY(fpdate)=15,IF(ISODD(A255),EDATE(fpdate,(A255-1)/2),EOMONTH(EDATE(fpdate,(A255-1)/2),0)),IF(DAY(fpdate)&lt;=14,IF(ISODD(A255),EDATE(fpdate,(A255-1)/2),EDATE(MIN(fpdate+15,EOMONTH(fpdate,0)),(A255-1)/2)),EDATE(IF(ISODD(A255),fpdate,fpdate-15),A255/2))))),IF(A255=1,fpdate,EDATE(fpdate,months_per_period*(A255-1)))))))</f>
        <v/>
      </c>
      <c r="C255" s="109" t="str">
        <f t="shared" ref="C255:C318" si="22">IF(A255="","",IF(roundOpt,IF(OR(A255=nper,payment&gt;ROUND((1+rate)*H254,2)),ROUND((1+rate)*H254,2),payment),IF(OR(A255=nper,payment&gt;(1+rate)*H254),(1+rate)*H254,payment)))</f>
        <v/>
      </c>
      <c r="D255" s="111"/>
      <c r="E255" s="106"/>
      <c r="F255" s="106" t="str">
        <f t="shared" ref="F255:F318" si="23">IF(A255="","",IF(AND(A255=1,pmtType=1),0,IF(roundOpt,ROUND(rate*H254,2),rate*H254)))</f>
        <v/>
      </c>
      <c r="G255" s="106" t="str">
        <f t="shared" ref="G255:G318" si="24">IF(A255="","",C255-F255+D255)</f>
        <v/>
      </c>
      <c r="H255" s="106" t="str">
        <f t="shared" ref="H255:H318" si="25">IF(A255="","",H254-G255)</f>
        <v/>
      </c>
    </row>
    <row r="256" spans="1:8" x14ac:dyDescent="0.2">
      <c r="A256" s="104" t="str">
        <f t="shared" si="20"/>
        <v/>
      </c>
      <c r="B256" s="108" t="str">
        <f t="shared" si="21"/>
        <v/>
      </c>
      <c r="C256" s="109" t="str">
        <f t="shared" si="22"/>
        <v/>
      </c>
      <c r="D256" s="111"/>
      <c r="E256" s="106"/>
      <c r="F256" s="106" t="str">
        <f t="shared" si="23"/>
        <v/>
      </c>
      <c r="G256" s="106" t="str">
        <f t="shared" si="24"/>
        <v/>
      </c>
      <c r="H256" s="106" t="str">
        <f t="shared" si="25"/>
        <v/>
      </c>
    </row>
    <row r="257" spans="1:8" x14ac:dyDescent="0.2">
      <c r="A257" s="104" t="str">
        <f t="shared" si="20"/>
        <v/>
      </c>
      <c r="B257" s="108" t="str">
        <f t="shared" si="21"/>
        <v/>
      </c>
      <c r="C257" s="109" t="str">
        <f t="shared" si="22"/>
        <v/>
      </c>
      <c r="D257" s="111"/>
      <c r="E257" s="106"/>
      <c r="F257" s="106" t="str">
        <f t="shared" si="23"/>
        <v/>
      </c>
      <c r="G257" s="106" t="str">
        <f t="shared" si="24"/>
        <v/>
      </c>
      <c r="H257" s="106" t="str">
        <f t="shared" si="25"/>
        <v/>
      </c>
    </row>
    <row r="258" spans="1:8" x14ac:dyDescent="0.2">
      <c r="A258" s="104" t="str">
        <f t="shared" si="20"/>
        <v/>
      </c>
      <c r="B258" s="108" t="str">
        <f t="shared" si="21"/>
        <v/>
      </c>
      <c r="C258" s="109" t="str">
        <f t="shared" si="22"/>
        <v/>
      </c>
      <c r="D258" s="111"/>
      <c r="E258" s="106"/>
      <c r="F258" s="106" t="str">
        <f t="shared" si="23"/>
        <v/>
      </c>
      <c r="G258" s="106" t="str">
        <f t="shared" si="24"/>
        <v/>
      </c>
      <c r="H258" s="106" t="str">
        <f t="shared" si="25"/>
        <v/>
      </c>
    </row>
    <row r="259" spans="1:8" x14ac:dyDescent="0.2">
      <c r="A259" s="104" t="str">
        <f t="shared" si="20"/>
        <v/>
      </c>
      <c r="B259" s="108" t="str">
        <f t="shared" si="21"/>
        <v/>
      </c>
      <c r="C259" s="109" t="str">
        <f t="shared" si="22"/>
        <v/>
      </c>
      <c r="D259" s="111"/>
      <c r="E259" s="106"/>
      <c r="F259" s="106" t="str">
        <f t="shared" si="23"/>
        <v/>
      </c>
      <c r="G259" s="106" t="str">
        <f t="shared" si="24"/>
        <v/>
      </c>
      <c r="H259" s="106" t="str">
        <f t="shared" si="25"/>
        <v/>
      </c>
    </row>
    <row r="260" spans="1:8" x14ac:dyDescent="0.2">
      <c r="A260" s="104" t="str">
        <f t="shared" si="20"/>
        <v/>
      </c>
      <c r="B260" s="108" t="str">
        <f t="shared" si="21"/>
        <v/>
      </c>
      <c r="C260" s="109" t="str">
        <f t="shared" si="22"/>
        <v/>
      </c>
      <c r="D260" s="111"/>
      <c r="E260" s="106"/>
      <c r="F260" s="106" t="str">
        <f t="shared" si="23"/>
        <v/>
      </c>
      <c r="G260" s="106" t="str">
        <f t="shared" si="24"/>
        <v/>
      </c>
      <c r="H260" s="106" t="str">
        <f t="shared" si="25"/>
        <v/>
      </c>
    </row>
    <row r="261" spans="1:8" x14ac:dyDescent="0.2">
      <c r="A261" s="104" t="str">
        <f t="shared" si="20"/>
        <v/>
      </c>
      <c r="B261" s="108" t="str">
        <f t="shared" si="21"/>
        <v/>
      </c>
      <c r="C261" s="109" t="str">
        <f t="shared" si="22"/>
        <v/>
      </c>
      <c r="D261" s="111"/>
      <c r="E261" s="106"/>
      <c r="F261" s="106" t="str">
        <f t="shared" si="23"/>
        <v/>
      </c>
      <c r="G261" s="106" t="str">
        <f t="shared" si="24"/>
        <v/>
      </c>
      <c r="H261" s="106" t="str">
        <f t="shared" si="25"/>
        <v/>
      </c>
    </row>
    <row r="262" spans="1:8" x14ac:dyDescent="0.2">
      <c r="A262" s="104" t="str">
        <f t="shared" si="20"/>
        <v/>
      </c>
      <c r="B262" s="108" t="str">
        <f t="shared" si="21"/>
        <v/>
      </c>
      <c r="C262" s="109" t="str">
        <f t="shared" si="22"/>
        <v/>
      </c>
      <c r="D262" s="111"/>
      <c r="E262" s="106"/>
      <c r="F262" s="106" t="str">
        <f t="shared" si="23"/>
        <v/>
      </c>
      <c r="G262" s="106" t="str">
        <f t="shared" si="24"/>
        <v/>
      </c>
      <c r="H262" s="106" t="str">
        <f t="shared" si="25"/>
        <v/>
      </c>
    </row>
    <row r="263" spans="1:8" x14ac:dyDescent="0.2">
      <c r="A263" s="104" t="str">
        <f t="shared" si="20"/>
        <v/>
      </c>
      <c r="B263" s="108" t="str">
        <f t="shared" si="21"/>
        <v/>
      </c>
      <c r="C263" s="109" t="str">
        <f t="shared" si="22"/>
        <v/>
      </c>
      <c r="D263" s="111"/>
      <c r="E263" s="106"/>
      <c r="F263" s="106" t="str">
        <f t="shared" si="23"/>
        <v/>
      </c>
      <c r="G263" s="106" t="str">
        <f t="shared" si="24"/>
        <v/>
      </c>
      <c r="H263" s="106" t="str">
        <f t="shared" si="25"/>
        <v/>
      </c>
    </row>
    <row r="264" spans="1:8" x14ac:dyDescent="0.2">
      <c r="A264" s="104" t="str">
        <f t="shared" si="20"/>
        <v/>
      </c>
      <c r="B264" s="108" t="str">
        <f t="shared" si="21"/>
        <v/>
      </c>
      <c r="C264" s="109" t="str">
        <f t="shared" si="22"/>
        <v/>
      </c>
      <c r="D264" s="111"/>
      <c r="E264" s="106"/>
      <c r="F264" s="106" t="str">
        <f t="shared" si="23"/>
        <v/>
      </c>
      <c r="G264" s="106" t="str">
        <f t="shared" si="24"/>
        <v/>
      </c>
      <c r="H264" s="106" t="str">
        <f t="shared" si="25"/>
        <v/>
      </c>
    </row>
    <row r="265" spans="1:8" x14ac:dyDescent="0.2">
      <c r="A265" s="104" t="str">
        <f t="shared" si="20"/>
        <v/>
      </c>
      <c r="B265" s="108" t="str">
        <f t="shared" si="21"/>
        <v/>
      </c>
      <c r="C265" s="109" t="str">
        <f t="shared" si="22"/>
        <v/>
      </c>
      <c r="D265" s="111"/>
      <c r="E265" s="106"/>
      <c r="F265" s="106" t="str">
        <f t="shared" si="23"/>
        <v/>
      </c>
      <c r="G265" s="106" t="str">
        <f t="shared" si="24"/>
        <v/>
      </c>
      <c r="H265" s="106" t="str">
        <f t="shared" si="25"/>
        <v/>
      </c>
    </row>
    <row r="266" spans="1:8" x14ac:dyDescent="0.2">
      <c r="A266" s="104" t="str">
        <f t="shared" si="20"/>
        <v/>
      </c>
      <c r="B266" s="108" t="str">
        <f t="shared" si="21"/>
        <v/>
      </c>
      <c r="C266" s="109" t="str">
        <f t="shared" si="22"/>
        <v/>
      </c>
      <c r="D266" s="111"/>
      <c r="E266" s="106"/>
      <c r="F266" s="106" t="str">
        <f t="shared" si="23"/>
        <v/>
      </c>
      <c r="G266" s="106" t="str">
        <f t="shared" si="24"/>
        <v/>
      </c>
      <c r="H266" s="106" t="str">
        <f t="shared" si="25"/>
        <v/>
      </c>
    </row>
    <row r="267" spans="1:8" x14ac:dyDescent="0.2">
      <c r="A267" s="104" t="str">
        <f t="shared" si="20"/>
        <v/>
      </c>
      <c r="B267" s="108" t="str">
        <f t="shared" si="21"/>
        <v/>
      </c>
      <c r="C267" s="109" t="str">
        <f t="shared" si="22"/>
        <v/>
      </c>
      <c r="D267" s="111"/>
      <c r="E267" s="106"/>
      <c r="F267" s="106" t="str">
        <f t="shared" si="23"/>
        <v/>
      </c>
      <c r="G267" s="106" t="str">
        <f t="shared" si="24"/>
        <v/>
      </c>
      <c r="H267" s="106" t="str">
        <f t="shared" si="25"/>
        <v/>
      </c>
    </row>
    <row r="268" spans="1:8" x14ac:dyDescent="0.2">
      <c r="A268" s="104" t="str">
        <f t="shared" si="20"/>
        <v/>
      </c>
      <c r="B268" s="108" t="str">
        <f t="shared" si="21"/>
        <v/>
      </c>
      <c r="C268" s="109" t="str">
        <f t="shared" si="22"/>
        <v/>
      </c>
      <c r="D268" s="111"/>
      <c r="E268" s="106"/>
      <c r="F268" s="106" t="str">
        <f t="shared" si="23"/>
        <v/>
      </c>
      <c r="G268" s="106" t="str">
        <f t="shared" si="24"/>
        <v/>
      </c>
      <c r="H268" s="106" t="str">
        <f t="shared" si="25"/>
        <v/>
      </c>
    </row>
    <row r="269" spans="1:8" x14ac:dyDescent="0.2">
      <c r="A269" s="104" t="str">
        <f t="shared" si="20"/>
        <v/>
      </c>
      <c r="B269" s="108" t="str">
        <f t="shared" si="21"/>
        <v/>
      </c>
      <c r="C269" s="109" t="str">
        <f t="shared" si="22"/>
        <v/>
      </c>
      <c r="D269" s="111"/>
      <c r="E269" s="106"/>
      <c r="F269" s="106" t="str">
        <f t="shared" si="23"/>
        <v/>
      </c>
      <c r="G269" s="106" t="str">
        <f t="shared" si="24"/>
        <v/>
      </c>
      <c r="H269" s="106" t="str">
        <f t="shared" si="25"/>
        <v/>
      </c>
    </row>
    <row r="270" spans="1:8" x14ac:dyDescent="0.2">
      <c r="A270" s="104" t="str">
        <f t="shared" si="20"/>
        <v/>
      </c>
      <c r="B270" s="108" t="str">
        <f t="shared" si="21"/>
        <v/>
      </c>
      <c r="C270" s="109" t="str">
        <f t="shared" si="22"/>
        <v/>
      </c>
      <c r="D270" s="111"/>
      <c r="E270" s="106"/>
      <c r="F270" s="106" t="str">
        <f t="shared" si="23"/>
        <v/>
      </c>
      <c r="G270" s="106" t="str">
        <f t="shared" si="24"/>
        <v/>
      </c>
      <c r="H270" s="106" t="str">
        <f t="shared" si="25"/>
        <v/>
      </c>
    </row>
    <row r="271" spans="1:8" x14ac:dyDescent="0.2">
      <c r="A271" s="104" t="str">
        <f t="shared" si="20"/>
        <v/>
      </c>
      <c r="B271" s="108" t="str">
        <f t="shared" si="21"/>
        <v/>
      </c>
      <c r="C271" s="109" t="str">
        <f t="shared" si="22"/>
        <v/>
      </c>
      <c r="D271" s="111"/>
      <c r="E271" s="106"/>
      <c r="F271" s="106" t="str">
        <f t="shared" si="23"/>
        <v/>
      </c>
      <c r="G271" s="106" t="str">
        <f t="shared" si="24"/>
        <v/>
      </c>
      <c r="H271" s="106" t="str">
        <f t="shared" si="25"/>
        <v/>
      </c>
    </row>
    <row r="272" spans="1:8" x14ac:dyDescent="0.2">
      <c r="A272" s="104" t="str">
        <f t="shared" si="20"/>
        <v/>
      </c>
      <c r="B272" s="108" t="str">
        <f t="shared" si="21"/>
        <v/>
      </c>
      <c r="C272" s="109" t="str">
        <f t="shared" si="22"/>
        <v/>
      </c>
      <c r="D272" s="111"/>
      <c r="E272" s="106"/>
      <c r="F272" s="106" t="str">
        <f t="shared" si="23"/>
        <v/>
      </c>
      <c r="G272" s="106" t="str">
        <f t="shared" si="24"/>
        <v/>
      </c>
      <c r="H272" s="106" t="str">
        <f t="shared" si="25"/>
        <v/>
      </c>
    </row>
    <row r="273" spans="1:8" x14ac:dyDescent="0.2">
      <c r="A273" s="104" t="str">
        <f t="shared" si="20"/>
        <v/>
      </c>
      <c r="B273" s="108" t="str">
        <f t="shared" si="21"/>
        <v/>
      </c>
      <c r="C273" s="109" t="str">
        <f t="shared" si="22"/>
        <v/>
      </c>
      <c r="D273" s="111"/>
      <c r="E273" s="106"/>
      <c r="F273" s="106" t="str">
        <f t="shared" si="23"/>
        <v/>
      </c>
      <c r="G273" s="106" t="str">
        <f t="shared" si="24"/>
        <v/>
      </c>
      <c r="H273" s="106" t="str">
        <f t="shared" si="25"/>
        <v/>
      </c>
    </row>
    <row r="274" spans="1:8" x14ac:dyDescent="0.2">
      <c r="A274" s="104" t="str">
        <f t="shared" si="20"/>
        <v/>
      </c>
      <c r="B274" s="108" t="str">
        <f t="shared" si="21"/>
        <v/>
      </c>
      <c r="C274" s="109" t="str">
        <f t="shared" si="22"/>
        <v/>
      </c>
      <c r="D274" s="111"/>
      <c r="E274" s="106"/>
      <c r="F274" s="106" t="str">
        <f t="shared" si="23"/>
        <v/>
      </c>
      <c r="G274" s="106" t="str">
        <f t="shared" si="24"/>
        <v/>
      </c>
      <c r="H274" s="106" t="str">
        <f t="shared" si="25"/>
        <v/>
      </c>
    </row>
    <row r="275" spans="1:8" x14ac:dyDescent="0.2">
      <c r="A275" s="104" t="str">
        <f t="shared" si="20"/>
        <v/>
      </c>
      <c r="B275" s="108" t="str">
        <f t="shared" si="21"/>
        <v/>
      </c>
      <c r="C275" s="109" t="str">
        <f t="shared" si="22"/>
        <v/>
      </c>
      <c r="D275" s="111"/>
      <c r="E275" s="106"/>
      <c r="F275" s="106" t="str">
        <f t="shared" si="23"/>
        <v/>
      </c>
      <c r="G275" s="106" t="str">
        <f t="shared" si="24"/>
        <v/>
      </c>
      <c r="H275" s="106" t="str">
        <f t="shared" si="25"/>
        <v/>
      </c>
    </row>
    <row r="276" spans="1:8" x14ac:dyDescent="0.2">
      <c r="A276" s="104" t="str">
        <f t="shared" si="20"/>
        <v/>
      </c>
      <c r="B276" s="108" t="str">
        <f t="shared" si="21"/>
        <v/>
      </c>
      <c r="C276" s="109" t="str">
        <f t="shared" si="22"/>
        <v/>
      </c>
      <c r="D276" s="111"/>
      <c r="E276" s="106"/>
      <c r="F276" s="106" t="str">
        <f t="shared" si="23"/>
        <v/>
      </c>
      <c r="G276" s="106" t="str">
        <f t="shared" si="24"/>
        <v/>
      </c>
      <c r="H276" s="106" t="str">
        <f t="shared" si="25"/>
        <v/>
      </c>
    </row>
    <row r="277" spans="1:8" x14ac:dyDescent="0.2">
      <c r="A277" s="104" t="str">
        <f t="shared" si="20"/>
        <v/>
      </c>
      <c r="B277" s="108" t="str">
        <f t="shared" si="21"/>
        <v/>
      </c>
      <c r="C277" s="109" t="str">
        <f t="shared" si="22"/>
        <v/>
      </c>
      <c r="D277" s="111"/>
      <c r="E277" s="106"/>
      <c r="F277" s="106" t="str">
        <f t="shared" si="23"/>
        <v/>
      </c>
      <c r="G277" s="106" t="str">
        <f t="shared" si="24"/>
        <v/>
      </c>
      <c r="H277" s="106" t="str">
        <f t="shared" si="25"/>
        <v/>
      </c>
    </row>
    <row r="278" spans="1:8" x14ac:dyDescent="0.2">
      <c r="A278" s="104" t="str">
        <f t="shared" si="20"/>
        <v/>
      </c>
      <c r="B278" s="108" t="str">
        <f t="shared" si="21"/>
        <v/>
      </c>
      <c r="C278" s="109" t="str">
        <f t="shared" si="22"/>
        <v/>
      </c>
      <c r="D278" s="111"/>
      <c r="E278" s="106"/>
      <c r="F278" s="106" t="str">
        <f t="shared" si="23"/>
        <v/>
      </c>
      <c r="G278" s="106" t="str">
        <f t="shared" si="24"/>
        <v/>
      </c>
      <c r="H278" s="106" t="str">
        <f t="shared" si="25"/>
        <v/>
      </c>
    </row>
    <row r="279" spans="1:8" x14ac:dyDescent="0.2">
      <c r="A279" s="104" t="str">
        <f t="shared" si="20"/>
        <v/>
      </c>
      <c r="B279" s="108" t="str">
        <f t="shared" si="21"/>
        <v/>
      </c>
      <c r="C279" s="109" t="str">
        <f t="shared" si="22"/>
        <v/>
      </c>
      <c r="D279" s="111"/>
      <c r="E279" s="106"/>
      <c r="F279" s="106" t="str">
        <f t="shared" si="23"/>
        <v/>
      </c>
      <c r="G279" s="106" t="str">
        <f t="shared" si="24"/>
        <v/>
      </c>
      <c r="H279" s="106" t="str">
        <f t="shared" si="25"/>
        <v/>
      </c>
    </row>
    <row r="280" spans="1:8" x14ac:dyDescent="0.2">
      <c r="A280" s="104" t="str">
        <f t="shared" si="20"/>
        <v/>
      </c>
      <c r="B280" s="108" t="str">
        <f t="shared" si="21"/>
        <v/>
      </c>
      <c r="C280" s="109" t="str">
        <f t="shared" si="22"/>
        <v/>
      </c>
      <c r="D280" s="111"/>
      <c r="E280" s="106"/>
      <c r="F280" s="106" t="str">
        <f t="shared" si="23"/>
        <v/>
      </c>
      <c r="G280" s="106" t="str">
        <f t="shared" si="24"/>
        <v/>
      </c>
      <c r="H280" s="106" t="str">
        <f t="shared" si="25"/>
        <v/>
      </c>
    </row>
    <row r="281" spans="1:8" x14ac:dyDescent="0.2">
      <c r="A281" s="104" t="str">
        <f t="shared" si="20"/>
        <v/>
      </c>
      <c r="B281" s="108" t="str">
        <f t="shared" si="21"/>
        <v/>
      </c>
      <c r="C281" s="109" t="str">
        <f t="shared" si="22"/>
        <v/>
      </c>
      <c r="D281" s="111"/>
      <c r="E281" s="106"/>
      <c r="F281" s="106" t="str">
        <f t="shared" si="23"/>
        <v/>
      </c>
      <c r="G281" s="106" t="str">
        <f t="shared" si="24"/>
        <v/>
      </c>
      <c r="H281" s="106" t="str">
        <f t="shared" si="25"/>
        <v/>
      </c>
    </row>
    <row r="282" spans="1:8" x14ac:dyDescent="0.2">
      <c r="A282" s="104" t="str">
        <f t="shared" si="20"/>
        <v/>
      </c>
      <c r="B282" s="108" t="str">
        <f t="shared" si="21"/>
        <v/>
      </c>
      <c r="C282" s="109" t="str">
        <f t="shared" si="22"/>
        <v/>
      </c>
      <c r="D282" s="111"/>
      <c r="E282" s="106"/>
      <c r="F282" s="106" t="str">
        <f t="shared" si="23"/>
        <v/>
      </c>
      <c r="G282" s="106" t="str">
        <f t="shared" si="24"/>
        <v/>
      </c>
      <c r="H282" s="106" t="str">
        <f t="shared" si="25"/>
        <v/>
      </c>
    </row>
    <row r="283" spans="1:8" x14ac:dyDescent="0.2">
      <c r="A283" s="104" t="str">
        <f t="shared" si="20"/>
        <v/>
      </c>
      <c r="B283" s="108" t="str">
        <f t="shared" si="21"/>
        <v/>
      </c>
      <c r="C283" s="109" t="str">
        <f t="shared" si="22"/>
        <v/>
      </c>
      <c r="D283" s="111"/>
      <c r="E283" s="106"/>
      <c r="F283" s="106" t="str">
        <f t="shared" si="23"/>
        <v/>
      </c>
      <c r="G283" s="106" t="str">
        <f t="shared" si="24"/>
        <v/>
      </c>
      <c r="H283" s="106" t="str">
        <f t="shared" si="25"/>
        <v/>
      </c>
    </row>
    <row r="284" spans="1:8" x14ac:dyDescent="0.2">
      <c r="A284" s="104" t="str">
        <f t="shared" si="20"/>
        <v/>
      </c>
      <c r="B284" s="108" t="str">
        <f t="shared" si="21"/>
        <v/>
      </c>
      <c r="C284" s="109" t="str">
        <f t="shared" si="22"/>
        <v/>
      </c>
      <c r="D284" s="111"/>
      <c r="E284" s="106"/>
      <c r="F284" s="106" t="str">
        <f t="shared" si="23"/>
        <v/>
      </c>
      <c r="G284" s="106" t="str">
        <f t="shared" si="24"/>
        <v/>
      </c>
      <c r="H284" s="106" t="str">
        <f t="shared" si="25"/>
        <v/>
      </c>
    </row>
    <row r="285" spans="1:8" x14ac:dyDescent="0.2">
      <c r="A285" s="104" t="str">
        <f t="shared" si="20"/>
        <v/>
      </c>
      <c r="B285" s="108" t="str">
        <f t="shared" si="21"/>
        <v/>
      </c>
      <c r="C285" s="109" t="str">
        <f t="shared" si="22"/>
        <v/>
      </c>
      <c r="D285" s="111"/>
      <c r="E285" s="106"/>
      <c r="F285" s="106" t="str">
        <f t="shared" si="23"/>
        <v/>
      </c>
      <c r="G285" s="106" t="str">
        <f t="shared" si="24"/>
        <v/>
      </c>
      <c r="H285" s="106" t="str">
        <f t="shared" si="25"/>
        <v/>
      </c>
    </row>
    <row r="286" spans="1:8" x14ac:dyDescent="0.2">
      <c r="A286" s="104" t="str">
        <f t="shared" si="20"/>
        <v/>
      </c>
      <c r="B286" s="108" t="str">
        <f t="shared" si="21"/>
        <v/>
      </c>
      <c r="C286" s="109" t="str">
        <f t="shared" si="22"/>
        <v/>
      </c>
      <c r="D286" s="111"/>
      <c r="E286" s="106"/>
      <c r="F286" s="106" t="str">
        <f t="shared" si="23"/>
        <v/>
      </c>
      <c r="G286" s="106" t="str">
        <f t="shared" si="24"/>
        <v/>
      </c>
      <c r="H286" s="106" t="str">
        <f t="shared" si="25"/>
        <v/>
      </c>
    </row>
    <row r="287" spans="1:8" x14ac:dyDescent="0.2">
      <c r="A287" s="104" t="str">
        <f t="shared" si="20"/>
        <v/>
      </c>
      <c r="B287" s="108" t="str">
        <f t="shared" si="21"/>
        <v/>
      </c>
      <c r="C287" s="109" t="str">
        <f t="shared" si="22"/>
        <v/>
      </c>
      <c r="D287" s="111"/>
      <c r="E287" s="106"/>
      <c r="F287" s="106" t="str">
        <f t="shared" si="23"/>
        <v/>
      </c>
      <c r="G287" s="106" t="str">
        <f t="shared" si="24"/>
        <v/>
      </c>
      <c r="H287" s="106" t="str">
        <f t="shared" si="25"/>
        <v/>
      </c>
    </row>
    <row r="288" spans="1:8" x14ac:dyDescent="0.2">
      <c r="A288" s="104" t="str">
        <f t="shared" si="20"/>
        <v/>
      </c>
      <c r="B288" s="108" t="str">
        <f t="shared" si="21"/>
        <v/>
      </c>
      <c r="C288" s="109" t="str">
        <f t="shared" si="22"/>
        <v/>
      </c>
      <c r="D288" s="111"/>
      <c r="E288" s="106"/>
      <c r="F288" s="106" t="str">
        <f t="shared" si="23"/>
        <v/>
      </c>
      <c r="G288" s="106" t="str">
        <f t="shared" si="24"/>
        <v/>
      </c>
      <c r="H288" s="106" t="str">
        <f t="shared" si="25"/>
        <v/>
      </c>
    </row>
    <row r="289" spans="1:8" x14ac:dyDescent="0.2">
      <c r="A289" s="104" t="str">
        <f t="shared" si="20"/>
        <v/>
      </c>
      <c r="B289" s="108" t="str">
        <f t="shared" si="21"/>
        <v/>
      </c>
      <c r="C289" s="109" t="str">
        <f t="shared" si="22"/>
        <v/>
      </c>
      <c r="D289" s="111"/>
      <c r="E289" s="106"/>
      <c r="F289" s="106" t="str">
        <f t="shared" si="23"/>
        <v/>
      </c>
      <c r="G289" s="106" t="str">
        <f t="shared" si="24"/>
        <v/>
      </c>
      <c r="H289" s="106" t="str">
        <f t="shared" si="25"/>
        <v/>
      </c>
    </row>
    <row r="290" spans="1:8" x14ac:dyDescent="0.2">
      <c r="A290" s="104" t="str">
        <f t="shared" si="20"/>
        <v/>
      </c>
      <c r="B290" s="108" t="str">
        <f t="shared" si="21"/>
        <v/>
      </c>
      <c r="C290" s="109" t="str">
        <f t="shared" si="22"/>
        <v/>
      </c>
      <c r="D290" s="111"/>
      <c r="E290" s="106"/>
      <c r="F290" s="106" t="str">
        <f t="shared" si="23"/>
        <v/>
      </c>
      <c r="G290" s="106" t="str">
        <f t="shared" si="24"/>
        <v/>
      </c>
      <c r="H290" s="106" t="str">
        <f t="shared" si="25"/>
        <v/>
      </c>
    </row>
    <row r="291" spans="1:8" x14ac:dyDescent="0.2">
      <c r="A291" s="104" t="str">
        <f t="shared" si="20"/>
        <v/>
      </c>
      <c r="B291" s="108" t="str">
        <f t="shared" si="21"/>
        <v/>
      </c>
      <c r="C291" s="109" t="str">
        <f t="shared" si="22"/>
        <v/>
      </c>
      <c r="D291" s="111"/>
      <c r="E291" s="106"/>
      <c r="F291" s="106" t="str">
        <f t="shared" si="23"/>
        <v/>
      </c>
      <c r="G291" s="106" t="str">
        <f t="shared" si="24"/>
        <v/>
      </c>
      <c r="H291" s="106" t="str">
        <f t="shared" si="25"/>
        <v/>
      </c>
    </row>
    <row r="292" spans="1:8" x14ac:dyDescent="0.2">
      <c r="A292" s="104" t="str">
        <f t="shared" si="20"/>
        <v/>
      </c>
      <c r="B292" s="108" t="str">
        <f t="shared" si="21"/>
        <v/>
      </c>
      <c r="C292" s="109" t="str">
        <f t="shared" si="22"/>
        <v/>
      </c>
      <c r="D292" s="111"/>
      <c r="E292" s="106"/>
      <c r="F292" s="106" t="str">
        <f t="shared" si="23"/>
        <v/>
      </c>
      <c r="G292" s="106" t="str">
        <f t="shared" si="24"/>
        <v/>
      </c>
      <c r="H292" s="106" t="str">
        <f t="shared" si="25"/>
        <v/>
      </c>
    </row>
    <row r="293" spans="1:8" x14ac:dyDescent="0.2">
      <c r="A293" s="104" t="str">
        <f t="shared" si="20"/>
        <v/>
      </c>
      <c r="B293" s="108" t="str">
        <f t="shared" si="21"/>
        <v/>
      </c>
      <c r="C293" s="109" t="str">
        <f t="shared" si="22"/>
        <v/>
      </c>
      <c r="D293" s="111"/>
      <c r="E293" s="106"/>
      <c r="F293" s="106" t="str">
        <f t="shared" si="23"/>
        <v/>
      </c>
      <c r="G293" s="106" t="str">
        <f t="shared" si="24"/>
        <v/>
      </c>
      <c r="H293" s="106" t="str">
        <f t="shared" si="25"/>
        <v/>
      </c>
    </row>
    <row r="294" spans="1:8" x14ac:dyDescent="0.2">
      <c r="A294" s="104" t="str">
        <f t="shared" si="20"/>
        <v/>
      </c>
      <c r="B294" s="108" t="str">
        <f t="shared" si="21"/>
        <v/>
      </c>
      <c r="C294" s="109" t="str">
        <f t="shared" si="22"/>
        <v/>
      </c>
      <c r="D294" s="111"/>
      <c r="E294" s="106"/>
      <c r="F294" s="106" t="str">
        <f t="shared" si="23"/>
        <v/>
      </c>
      <c r="G294" s="106" t="str">
        <f t="shared" si="24"/>
        <v/>
      </c>
      <c r="H294" s="106" t="str">
        <f t="shared" si="25"/>
        <v/>
      </c>
    </row>
    <row r="295" spans="1:8" x14ac:dyDescent="0.2">
      <c r="A295" s="104" t="str">
        <f t="shared" si="20"/>
        <v/>
      </c>
      <c r="B295" s="108" t="str">
        <f t="shared" si="21"/>
        <v/>
      </c>
      <c r="C295" s="109" t="str">
        <f t="shared" si="22"/>
        <v/>
      </c>
      <c r="D295" s="111"/>
      <c r="E295" s="106"/>
      <c r="F295" s="106" t="str">
        <f t="shared" si="23"/>
        <v/>
      </c>
      <c r="G295" s="106" t="str">
        <f t="shared" si="24"/>
        <v/>
      </c>
      <c r="H295" s="106" t="str">
        <f t="shared" si="25"/>
        <v/>
      </c>
    </row>
    <row r="296" spans="1:8" x14ac:dyDescent="0.2">
      <c r="A296" s="104" t="str">
        <f t="shared" si="20"/>
        <v/>
      </c>
      <c r="B296" s="108" t="str">
        <f t="shared" si="21"/>
        <v/>
      </c>
      <c r="C296" s="109" t="str">
        <f t="shared" si="22"/>
        <v/>
      </c>
      <c r="D296" s="111"/>
      <c r="E296" s="106"/>
      <c r="F296" s="106" t="str">
        <f t="shared" si="23"/>
        <v/>
      </c>
      <c r="G296" s="106" t="str">
        <f t="shared" si="24"/>
        <v/>
      </c>
      <c r="H296" s="106" t="str">
        <f t="shared" si="25"/>
        <v/>
      </c>
    </row>
    <row r="297" spans="1:8" x14ac:dyDescent="0.2">
      <c r="A297" s="104" t="str">
        <f t="shared" si="20"/>
        <v/>
      </c>
      <c r="B297" s="108" t="str">
        <f t="shared" si="21"/>
        <v/>
      </c>
      <c r="C297" s="109" t="str">
        <f t="shared" si="22"/>
        <v/>
      </c>
      <c r="D297" s="111"/>
      <c r="E297" s="106"/>
      <c r="F297" s="106" t="str">
        <f t="shared" si="23"/>
        <v/>
      </c>
      <c r="G297" s="106" t="str">
        <f t="shared" si="24"/>
        <v/>
      </c>
      <c r="H297" s="106" t="str">
        <f t="shared" si="25"/>
        <v/>
      </c>
    </row>
    <row r="298" spans="1:8" x14ac:dyDescent="0.2">
      <c r="A298" s="104" t="str">
        <f t="shared" si="20"/>
        <v/>
      </c>
      <c r="B298" s="108" t="str">
        <f t="shared" si="21"/>
        <v/>
      </c>
      <c r="C298" s="109" t="str">
        <f t="shared" si="22"/>
        <v/>
      </c>
      <c r="D298" s="111"/>
      <c r="E298" s="106"/>
      <c r="F298" s="106" t="str">
        <f t="shared" si="23"/>
        <v/>
      </c>
      <c r="G298" s="106" t="str">
        <f t="shared" si="24"/>
        <v/>
      </c>
      <c r="H298" s="106" t="str">
        <f t="shared" si="25"/>
        <v/>
      </c>
    </row>
    <row r="299" spans="1:8" x14ac:dyDescent="0.2">
      <c r="A299" s="104" t="str">
        <f t="shared" si="20"/>
        <v/>
      </c>
      <c r="B299" s="108" t="str">
        <f t="shared" si="21"/>
        <v/>
      </c>
      <c r="C299" s="109" t="str">
        <f t="shared" si="22"/>
        <v/>
      </c>
      <c r="D299" s="111"/>
      <c r="E299" s="106"/>
      <c r="F299" s="106" t="str">
        <f t="shared" si="23"/>
        <v/>
      </c>
      <c r="G299" s="106" t="str">
        <f t="shared" si="24"/>
        <v/>
      </c>
      <c r="H299" s="106" t="str">
        <f t="shared" si="25"/>
        <v/>
      </c>
    </row>
    <row r="300" spans="1:8" x14ac:dyDescent="0.2">
      <c r="A300" s="104" t="str">
        <f t="shared" si="20"/>
        <v/>
      </c>
      <c r="B300" s="108" t="str">
        <f t="shared" si="21"/>
        <v/>
      </c>
      <c r="C300" s="109" t="str">
        <f t="shared" si="22"/>
        <v/>
      </c>
      <c r="D300" s="111"/>
      <c r="E300" s="106"/>
      <c r="F300" s="106" t="str">
        <f t="shared" si="23"/>
        <v/>
      </c>
      <c r="G300" s="106" t="str">
        <f t="shared" si="24"/>
        <v/>
      </c>
      <c r="H300" s="106" t="str">
        <f t="shared" si="25"/>
        <v/>
      </c>
    </row>
    <row r="301" spans="1:8" x14ac:dyDescent="0.2">
      <c r="A301" s="104" t="str">
        <f t="shared" si="20"/>
        <v/>
      </c>
      <c r="B301" s="108" t="str">
        <f t="shared" si="21"/>
        <v/>
      </c>
      <c r="C301" s="109" t="str">
        <f t="shared" si="22"/>
        <v/>
      </c>
      <c r="D301" s="111"/>
      <c r="E301" s="106"/>
      <c r="F301" s="106" t="str">
        <f t="shared" si="23"/>
        <v/>
      </c>
      <c r="G301" s="106" t="str">
        <f t="shared" si="24"/>
        <v/>
      </c>
      <c r="H301" s="106" t="str">
        <f t="shared" si="25"/>
        <v/>
      </c>
    </row>
    <row r="302" spans="1:8" x14ac:dyDescent="0.2">
      <c r="A302" s="104" t="str">
        <f t="shared" si="20"/>
        <v/>
      </c>
      <c r="B302" s="108" t="str">
        <f t="shared" si="21"/>
        <v/>
      </c>
      <c r="C302" s="109" t="str">
        <f t="shared" si="22"/>
        <v/>
      </c>
      <c r="D302" s="111"/>
      <c r="E302" s="106"/>
      <c r="F302" s="106" t="str">
        <f t="shared" si="23"/>
        <v/>
      </c>
      <c r="G302" s="106" t="str">
        <f t="shared" si="24"/>
        <v/>
      </c>
      <c r="H302" s="106" t="str">
        <f t="shared" si="25"/>
        <v/>
      </c>
    </row>
    <row r="303" spans="1:8" x14ac:dyDescent="0.2">
      <c r="A303" s="104" t="str">
        <f t="shared" si="20"/>
        <v/>
      </c>
      <c r="B303" s="108" t="str">
        <f t="shared" si="21"/>
        <v/>
      </c>
      <c r="C303" s="109" t="str">
        <f t="shared" si="22"/>
        <v/>
      </c>
      <c r="D303" s="111"/>
      <c r="E303" s="106"/>
      <c r="F303" s="106" t="str">
        <f t="shared" si="23"/>
        <v/>
      </c>
      <c r="G303" s="106" t="str">
        <f t="shared" si="24"/>
        <v/>
      </c>
      <c r="H303" s="106" t="str">
        <f t="shared" si="25"/>
        <v/>
      </c>
    </row>
    <row r="304" spans="1:8" x14ac:dyDescent="0.2">
      <c r="A304" s="104" t="str">
        <f t="shared" si="20"/>
        <v/>
      </c>
      <c r="B304" s="108" t="str">
        <f t="shared" si="21"/>
        <v/>
      </c>
      <c r="C304" s="109" t="str">
        <f t="shared" si="22"/>
        <v/>
      </c>
      <c r="D304" s="111"/>
      <c r="E304" s="106"/>
      <c r="F304" s="106" t="str">
        <f t="shared" si="23"/>
        <v/>
      </c>
      <c r="G304" s="106" t="str">
        <f t="shared" si="24"/>
        <v/>
      </c>
      <c r="H304" s="106" t="str">
        <f t="shared" si="25"/>
        <v/>
      </c>
    </row>
    <row r="305" spans="1:8" x14ac:dyDescent="0.2">
      <c r="A305" s="104" t="str">
        <f t="shared" si="20"/>
        <v/>
      </c>
      <c r="B305" s="108" t="str">
        <f t="shared" si="21"/>
        <v/>
      </c>
      <c r="C305" s="109" t="str">
        <f t="shared" si="22"/>
        <v/>
      </c>
      <c r="D305" s="111"/>
      <c r="E305" s="106"/>
      <c r="F305" s="106" t="str">
        <f t="shared" si="23"/>
        <v/>
      </c>
      <c r="G305" s="106" t="str">
        <f t="shared" si="24"/>
        <v/>
      </c>
      <c r="H305" s="106" t="str">
        <f t="shared" si="25"/>
        <v/>
      </c>
    </row>
    <row r="306" spans="1:8" x14ac:dyDescent="0.2">
      <c r="A306" s="104" t="str">
        <f t="shared" si="20"/>
        <v/>
      </c>
      <c r="B306" s="108" t="str">
        <f t="shared" si="21"/>
        <v/>
      </c>
      <c r="C306" s="109" t="str">
        <f t="shared" si="22"/>
        <v/>
      </c>
      <c r="D306" s="111"/>
      <c r="E306" s="106"/>
      <c r="F306" s="106" t="str">
        <f t="shared" si="23"/>
        <v/>
      </c>
      <c r="G306" s="106" t="str">
        <f t="shared" si="24"/>
        <v/>
      </c>
      <c r="H306" s="106" t="str">
        <f t="shared" si="25"/>
        <v/>
      </c>
    </row>
    <row r="307" spans="1:8" x14ac:dyDescent="0.2">
      <c r="A307" s="104" t="str">
        <f t="shared" si="20"/>
        <v/>
      </c>
      <c r="B307" s="108" t="str">
        <f t="shared" si="21"/>
        <v/>
      </c>
      <c r="C307" s="109" t="str">
        <f t="shared" si="22"/>
        <v/>
      </c>
      <c r="D307" s="111"/>
      <c r="E307" s="106"/>
      <c r="F307" s="106" t="str">
        <f t="shared" si="23"/>
        <v/>
      </c>
      <c r="G307" s="106" t="str">
        <f t="shared" si="24"/>
        <v/>
      </c>
      <c r="H307" s="106" t="str">
        <f t="shared" si="25"/>
        <v/>
      </c>
    </row>
    <row r="308" spans="1:8" x14ac:dyDescent="0.2">
      <c r="A308" s="104" t="str">
        <f t="shared" si="20"/>
        <v/>
      </c>
      <c r="B308" s="108" t="str">
        <f t="shared" si="21"/>
        <v/>
      </c>
      <c r="C308" s="109" t="str">
        <f t="shared" si="22"/>
        <v/>
      </c>
      <c r="D308" s="111"/>
      <c r="E308" s="106"/>
      <c r="F308" s="106" t="str">
        <f t="shared" si="23"/>
        <v/>
      </c>
      <c r="G308" s="106" t="str">
        <f t="shared" si="24"/>
        <v/>
      </c>
      <c r="H308" s="106" t="str">
        <f t="shared" si="25"/>
        <v/>
      </c>
    </row>
    <row r="309" spans="1:8" x14ac:dyDescent="0.2">
      <c r="A309" s="104" t="str">
        <f t="shared" si="20"/>
        <v/>
      </c>
      <c r="B309" s="108" t="str">
        <f t="shared" si="21"/>
        <v/>
      </c>
      <c r="C309" s="109" t="str">
        <f t="shared" si="22"/>
        <v/>
      </c>
      <c r="D309" s="111"/>
      <c r="E309" s="106"/>
      <c r="F309" s="106" t="str">
        <f t="shared" si="23"/>
        <v/>
      </c>
      <c r="G309" s="106" t="str">
        <f t="shared" si="24"/>
        <v/>
      </c>
      <c r="H309" s="106" t="str">
        <f t="shared" si="25"/>
        <v/>
      </c>
    </row>
    <row r="310" spans="1:8" x14ac:dyDescent="0.2">
      <c r="A310" s="104" t="str">
        <f t="shared" si="20"/>
        <v/>
      </c>
      <c r="B310" s="108" t="str">
        <f t="shared" si="21"/>
        <v/>
      </c>
      <c r="C310" s="109" t="str">
        <f t="shared" si="22"/>
        <v/>
      </c>
      <c r="D310" s="111"/>
      <c r="E310" s="106"/>
      <c r="F310" s="106" t="str">
        <f t="shared" si="23"/>
        <v/>
      </c>
      <c r="G310" s="106" t="str">
        <f t="shared" si="24"/>
        <v/>
      </c>
      <c r="H310" s="106" t="str">
        <f t="shared" si="25"/>
        <v/>
      </c>
    </row>
    <row r="311" spans="1:8" x14ac:dyDescent="0.2">
      <c r="A311" s="104" t="str">
        <f t="shared" si="20"/>
        <v/>
      </c>
      <c r="B311" s="108" t="str">
        <f t="shared" si="21"/>
        <v/>
      </c>
      <c r="C311" s="109" t="str">
        <f t="shared" si="22"/>
        <v/>
      </c>
      <c r="D311" s="111"/>
      <c r="E311" s="106"/>
      <c r="F311" s="106" t="str">
        <f t="shared" si="23"/>
        <v/>
      </c>
      <c r="G311" s="106" t="str">
        <f t="shared" si="24"/>
        <v/>
      </c>
      <c r="H311" s="106" t="str">
        <f t="shared" si="25"/>
        <v/>
      </c>
    </row>
    <row r="312" spans="1:8" x14ac:dyDescent="0.2">
      <c r="A312" s="104" t="str">
        <f t="shared" si="20"/>
        <v/>
      </c>
      <c r="B312" s="108" t="str">
        <f t="shared" si="21"/>
        <v/>
      </c>
      <c r="C312" s="109" t="str">
        <f t="shared" si="22"/>
        <v/>
      </c>
      <c r="D312" s="111"/>
      <c r="E312" s="106"/>
      <c r="F312" s="106" t="str">
        <f t="shared" si="23"/>
        <v/>
      </c>
      <c r="G312" s="106" t="str">
        <f t="shared" si="24"/>
        <v/>
      </c>
      <c r="H312" s="106" t="str">
        <f t="shared" si="25"/>
        <v/>
      </c>
    </row>
    <row r="313" spans="1:8" x14ac:dyDescent="0.2">
      <c r="A313" s="104" t="str">
        <f t="shared" si="20"/>
        <v/>
      </c>
      <c r="B313" s="108" t="str">
        <f t="shared" si="21"/>
        <v/>
      </c>
      <c r="C313" s="109" t="str">
        <f t="shared" si="22"/>
        <v/>
      </c>
      <c r="D313" s="111"/>
      <c r="E313" s="106"/>
      <c r="F313" s="106" t="str">
        <f t="shared" si="23"/>
        <v/>
      </c>
      <c r="G313" s="106" t="str">
        <f t="shared" si="24"/>
        <v/>
      </c>
      <c r="H313" s="106" t="str">
        <f t="shared" si="25"/>
        <v/>
      </c>
    </row>
    <row r="314" spans="1:8" x14ac:dyDescent="0.2">
      <c r="A314" s="104" t="str">
        <f t="shared" si="20"/>
        <v/>
      </c>
      <c r="B314" s="108" t="str">
        <f t="shared" si="21"/>
        <v/>
      </c>
      <c r="C314" s="109" t="str">
        <f t="shared" si="22"/>
        <v/>
      </c>
      <c r="D314" s="111"/>
      <c r="E314" s="106"/>
      <c r="F314" s="106" t="str">
        <f t="shared" si="23"/>
        <v/>
      </c>
      <c r="G314" s="106" t="str">
        <f t="shared" si="24"/>
        <v/>
      </c>
      <c r="H314" s="106" t="str">
        <f t="shared" si="25"/>
        <v/>
      </c>
    </row>
    <row r="315" spans="1:8" x14ac:dyDescent="0.2">
      <c r="A315" s="104" t="str">
        <f t="shared" si="20"/>
        <v/>
      </c>
      <c r="B315" s="108" t="str">
        <f t="shared" si="21"/>
        <v/>
      </c>
      <c r="C315" s="109" t="str">
        <f t="shared" si="22"/>
        <v/>
      </c>
      <c r="D315" s="111"/>
      <c r="E315" s="106"/>
      <c r="F315" s="106" t="str">
        <f t="shared" si="23"/>
        <v/>
      </c>
      <c r="G315" s="106" t="str">
        <f t="shared" si="24"/>
        <v/>
      </c>
      <c r="H315" s="106" t="str">
        <f t="shared" si="25"/>
        <v/>
      </c>
    </row>
    <row r="316" spans="1:8" x14ac:dyDescent="0.2">
      <c r="A316" s="104" t="str">
        <f t="shared" si="20"/>
        <v/>
      </c>
      <c r="B316" s="108" t="str">
        <f t="shared" si="21"/>
        <v/>
      </c>
      <c r="C316" s="109" t="str">
        <f t="shared" si="22"/>
        <v/>
      </c>
      <c r="D316" s="111"/>
      <c r="E316" s="106"/>
      <c r="F316" s="106" t="str">
        <f t="shared" si="23"/>
        <v/>
      </c>
      <c r="G316" s="106" t="str">
        <f t="shared" si="24"/>
        <v/>
      </c>
      <c r="H316" s="106" t="str">
        <f t="shared" si="25"/>
        <v/>
      </c>
    </row>
    <row r="317" spans="1:8" x14ac:dyDescent="0.2">
      <c r="A317" s="104" t="str">
        <f t="shared" si="20"/>
        <v/>
      </c>
      <c r="B317" s="108" t="str">
        <f t="shared" si="21"/>
        <v/>
      </c>
      <c r="C317" s="109" t="str">
        <f t="shared" si="22"/>
        <v/>
      </c>
      <c r="D317" s="111"/>
      <c r="E317" s="106"/>
      <c r="F317" s="106" t="str">
        <f t="shared" si="23"/>
        <v/>
      </c>
      <c r="G317" s="106" t="str">
        <f t="shared" si="24"/>
        <v/>
      </c>
      <c r="H317" s="106" t="str">
        <f t="shared" si="25"/>
        <v/>
      </c>
    </row>
    <row r="318" spans="1:8" x14ac:dyDescent="0.2">
      <c r="A318" s="104" t="str">
        <f t="shared" si="20"/>
        <v/>
      </c>
      <c r="B318" s="108" t="str">
        <f t="shared" si="21"/>
        <v/>
      </c>
      <c r="C318" s="109" t="str">
        <f t="shared" si="22"/>
        <v/>
      </c>
      <c r="D318" s="111"/>
      <c r="E318" s="106"/>
      <c r="F318" s="106" t="str">
        <f t="shared" si="23"/>
        <v/>
      </c>
      <c r="G318" s="106" t="str">
        <f t="shared" si="24"/>
        <v/>
      </c>
      <c r="H318" s="106" t="str">
        <f t="shared" si="25"/>
        <v/>
      </c>
    </row>
    <row r="319" spans="1:8" x14ac:dyDescent="0.2">
      <c r="A319" s="104" t="str">
        <f t="shared" ref="A319:A382" si="26">IF(H318="","",IF(roundOpt,IF(OR(A318&gt;=nper,ROUND(H318,2)&lt;=0),"",A318+1),IF(OR(A318&gt;=nper,H318&lt;=0),"",A318+1)))</f>
        <v/>
      </c>
      <c r="B319" s="108" t="str">
        <f t="shared" ref="B319:B382" si="27">IF(A319="","",IF(periods_per_year=26,IF(A319=1,fpdate,B318+14),IF(periods_per_year=52,IF(A319=1,fpdate,B318+7),IF(periods_per_year=24,IF(A319=1,fpdate,IF(fpdate=EOMONTH(fpdate,0),IF(ISODD(A319),EOMONTH(EDATE(fpdate,(A319-1)/2),0),EDATE(DATE(YEAR(fpdate),MONTH(fpdate)+1,15),(A319-1)/2)),IF(DAY(fpdate)=15,IF(ISODD(A319),EDATE(fpdate,(A319-1)/2),EOMONTH(EDATE(fpdate,(A319-1)/2),0)),IF(DAY(fpdate)&lt;=14,IF(ISODD(A319),EDATE(fpdate,(A319-1)/2),EDATE(MIN(fpdate+15,EOMONTH(fpdate,0)),(A319-1)/2)),EDATE(IF(ISODD(A319),fpdate,fpdate-15),A319/2))))),IF(A319=1,fpdate,EDATE(fpdate,months_per_period*(A319-1)))))))</f>
        <v/>
      </c>
      <c r="C319" s="109" t="str">
        <f t="shared" ref="C319:C382" si="28">IF(A319="","",IF(roundOpt,IF(OR(A319=nper,payment&gt;ROUND((1+rate)*H318,2)),ROUND((1+rate)*H318,2),payment),IF(OR(A319=nper,payment&gt;(1+rate)*H318),(1+rate)*H318,payment)))</f>
        <v/>
      </c>
      <c r="D319" s="111"/>
      <c r="E319" s="106"/>
      <c r="F319" s="106" t="str">
        <f t="shared" ref="F319:F382" si="29">IF(A319="","",IF(AND(A319=1,pmtType=1),0,IF(roundOpt,ROUND(rate*H318,2),rate*H318)))</f>
        <v/>
      </c>
      <c r="G319" s="106" t="str">
        <f t="shared" ref="G319:G382" si="30">IF(A319="","",C319-F319+D319)</f>
        <v/>
      </c>
      <c r="H319" s="106" t="str">
        <f t="shared" ref="H319:H382" si="31">IF(A319="","",H318-G319)</f>
        <v/>
      </c>
    </row>
    <row r="320" spans="1:8" x14ac:dyDescent="0.2">
      <c r="A320" s="104" t="str">
        <f t="shared" si="26"/>
        <v/>
      </c>
      <c r="B320" s="108" t="str">
        <f t="shared" si="27"/>
        <v/>
      </c>
      <c r="C320" s="109" t="str">
        <f t="shared" si="28"/>
        <v/>
      </c>
      <c r="D320" s="111"/>
      <c r="E320" s="106"/>
      <c r="F320" s="106" t="str">
        <f t="shared" si="29"/>
        <v/>
      </c>
      <c r="G320" s="106" t="str">
        <f t="shared" si="30"/>
        <v/>
      </c>
      <c r="H320" s="106" t="str">
        <f t="shared" si="31"/>
        <v/>
      </c>
    </row>
    <row r="321" spans="1:8" x14ac:dyDescent="0.2">
      <c r="A321" s="104" t="str">
        <f t="shared" si="26"/>
        <v/>
      </c>
      <c r="B321" s="108" t="str">
        <f t="shared" si="27"/>
        <v/>
      </c>
      <c r="C321" s="109" t="str">
        <f t="shared" si="28"/>
        <v/>
      </c>
      <c r="D321" s="111"/>
      <c r="E321" s="106"/>
      <c r="F321" s="106" t="str">
        <f t="shared" si="29"/>
        <v/>
      </c>
      <c r="G321" s="106" t="str">
        <f t="shared" si="30"/>
        <v/>
      </c>
      <c r="H321" s="106" t="str">
        <f t="shared" si="31"/>
        <v/>
      </c>
    </row>
    <row r="322" spans="1:8" x14ac:dyDescent="0.2">
      <c r="A322" s="104" t="str">
        <f t="shared" si="26"/>
        <v/>
      </c>
      <c r="B322" s="108" t="str">
        <f t="shared" si="27"/>
        <v/>
      </c>
      <c r="C322" s="109" t="str">
        <f t="shared" si="28"/>
        <v/>
      </c>
      <c r="D322" s="111"/>
      <c r="E322" s="106"/>
      <c r="F322" s="106" t="str">
        <f t="shared" si="29"/>
        <v/>
      </c>
      <c r="G322" s="106" t="str">
        <f t="shared" si="30"/>
        <v/>
      </c>
      <c r="H322" s="106" t="str">
        <f t="shared" si="31"/>
        <v/>
      </c>
    </row>
    <row r="323" spans="1:8" x14ac:dyDescent="0.2">
      <c r="A323" s="104" t="str">
        <f t="shared" si="26"/>
        <v/>
      </c>
      <c r="B323" s="108" t="str">
        <f t="shared" si="27"/>
        <v/>
      </c>
      <c r="C323" s="109" t="str">
        <f t="shared" si="28"/>
        <v/>
      </c>
      <c r="D323" s="111"/>
      <c r="E323" s="106"/>
      <c r="F323" s="106" t="str">
        <f t="shared" si="29"/>
        <v/>
      </c>
      <c r="G323" s="106" t="str">
        <f t="shared" si="30"/>
        <v/>
      </c>
      <c r="H323" s="106" t="str">
        <f t="shared" si="31"/>
        <v/>
      </c>
    </row>
    <row r="324" spans="1:8" x14ac:dyDescent="0.2">
      <c r="A324" s="104" t="str">
        <f t="shared" si="26"/>
        <v/>
      </c>
      <c r="B324" s="108" t="str">
        <f t="shared" si="27"/>
        <v/>
      </c>
      <c r="C324" s="109" t="str">
        <f t="shared" si="28"/>
        <v/>
      </c>
      <c r="D324" s="111"/>
      <c r="E324" s="106"/>
      <c r="F324" s="106" t="str">
        <f t="shared" si="29"/>
        <v/>
      </c>
      <c r="G324" s="106" t="str">
        <f t="shared" si="30"/>
        <v/>
      </c>
      <c r="H324" s="106" t="str">
        <f t="shared" si="31"/>
        <v/>
      </c>
    </row>
    <row r="325" spans="1:8" x14ac:dyDescent="0.2">
      <c r="A325" s="104" t="str">
        <f t="shared" si="26"/>
        <v/>
      </c>
      <c r="B325" s="108" t="str">
        <f t="shared" si="27"/>
        <v/>
      </c>
      <c r="C325" s="109" t="str">
        <f t="shared" si="28"/>
        <v/>
      </c>
      <c r="D325" s="111"/>
      <c r="E325" s="106"/>
      <c r="F325" s="106" t="str">
        <f t="shared" si="29"/>
        <v/>
      </c>
      <c r="G325" s="106" t="str">
        <f t="shared" si="30"/>
        <v/>
      </c>
      <c r="H325" s="106" t="str">
        <f t="shared" si="31"/>
        <v/>
      </c>
    </row>
    <row r="326" spans="1:8" x14ac:dyDescent="0.2">
      <c r="A326" s="104" t="str">
        <f t="shared" si="26"/>
        <v/>
      </c>
      <c r="B326" s="108" t="str">
        <f t="shared" si="27"/>
        <v/>
      </c>
      <c r="C326" s="109" t="str">
        <f t="shared" si="28"/>
        <v/>
      </c>
      <c r="D326" s="111"/>
      <c r="E326" s="106"/>
      <c r="F326" s="106" t="str">
        <f t="shared" si="29"/>
        <v/>
      </c>
      <c r="G326" s="106" t="str">
        <f t="shared" si="30"/>
        <v/>
      </c>
      <c r="H326" s="106" t="str">
        <f t="shared" si="31"/>
        <v/>
      </c>
    </row>
    <row r="327" spans="1:8" x14ac:dyDescent="0.2">
      <c r="A327" s="104" t="str">
        <f t="shared" si="26"/>
        <v/>
      </c>
      <c r="B327" s="108" t="str">
        <f t="shared" si="27"/>
        <v/>
      </c>
      <c r="C327" s="109" t="str">
        <f t="shared" si="28"/>
        <v/>
      </c>
      <c r="D327" s="111"/>
      <c r="E327" s="106"/>
      <c r="F327" s="106" t="str">
        <f t="shared" si="29"/>
        <v/>
      </c>
      <c r="G327" s="106" t="str">
        <f t="shared" si="30"/>
        <v/>
      </c>
      <c r="H327" s="106" t="str">
        <f t="shared" si="31"/>
        <v/>
      </c>
    </row>
    <row r="328" spans="1:8" x14ac:dyDescent="0.2">
      <c r="A328" s="104" t="str">
        <f t="shared" si="26"/>
        <v/>
      </c>
      <c r="B328" s="108" t="str">
        <f t="shared" si="27"/>
        <v/>
      </c>
      <c r="C328" s="109" t="str">
        <f t="shared" si="28"/>
        <v/>
      </c>
      <c r="D328" s="111"/>
      <c r="E328" s="106"/>
      <c r="F328" s="106" t="str">
        <f t="shared" si="29"/>
        <v/>
      </c>
      <c r="G328" s="106" t="str">
        <f t="shared" si="30"/>
        <v/>
      </c>
      <c r="H328" s="106" t="str">
        <f t="shared" si="31"/>
        <v/>
      </c>
    </row>
    <row r="329" spans="1:8" x14ac:dyDescent="0.2">
      <c r="A329" s="104" t="str">
        <f t="shared" si="26"/>
        <v/>
      </c>
      <c r="B329" s="108" t="str">
        <f t="shared" si="27"/>
        <v/>
      </c>
      <c r="C329" s="109" t="str">
        <f t="shared" si="28"/>
        <v/>
      </c>
      <c r="D329" s="111"/>
      <c r="E329" s="106"/>
      <c r="F329" s="106" t="str">
        <f t="shared" si="29"/>
        <v/>
      </c>
      <c r="G329" s="106" t="str">
        <f t="shared" si="30"/>
        <v/>
      </c>
      <c r="H329" s="106" t="str">
        <f t="shared" si="31"/>
        <v/>
      </c>
    </row>
    <row r="330" spans="1:8" x14ac:dyDescent="0.2">
      <c r="A330" s="104" t="str">
        <f t="shared" si="26"/>
        <v/>
      </c>
      <c r="B330" s="108" t="str">
        <f t="shared" si="27"/>
        <v/>
      </c>
      <c r="C330" s="109" t="str">
        <f t="shared" si="28"/>
        <v/>
      </c>
      <c r="D330" s="111"/>
      <c r="E330" s="106"/>
      <c r="F330" s="106" t="str">
        <f t="shared" si="29"/>
        <v/>
      </c>
      <c r="G330" s="106" t="str">
        <f t="shared" si="30"/>
        <v/>
      </c>
      <c r="H330" s="106" t="str">
        <f t="shared" si="31"/>
        <v/>
      </c>
    </row>
    <row r="331" spans="1:8" x14ac:dyDescent="0.2">
      <c r="A331" s="104" t="str">
        <f t="shared" si="26"/>
        <v/>
      </c>
      <c r="B331" s="108" t="str">
        <f t="shared" si="27"/>
        <v/>
      </c>
      <c r="C331" s="109" t="str">
        <f t="shared" si="28"/>
        <v/>
      </c>
      <c r="D331" s="111"/>
      <c r="E331" s="106"/>
      <c r="F331" s="106" t="str">
        <f t="shared" si="29"/>
        <v/>
      </c>
      <c r="G331" s="106" t="str">
        <f t="shared" si="30"/>
        <v/>
      </c>
      <c r="H331" s="106" t="str">
        <f t="shared" si="31"/>
        <v/>
      </c>
    </row>
    <row r="332" spans="1:8" x14ac:dyDescent="0.2">
      <c r="A332" s="104" t="str">
        <f t="shared" si="26"/>
        <v/>
      </c>
      <c r="B332" s="108" t="str">
        <f t="shared" si="27"/>
        <v/>
      </c>
      <c r="C332" s="109" t="str">
        <f t="shared" si="28"/>
        <v/>
      </c>
      <c r="D332" s="111"/>
      <c r="E332" s="106"/>
      <c r="F332" s="106" t="str">
        <f t="shared" si="29"/>
        <v/>
      </c>
      <c r="G332" s="106" t="str">
        <f t="shared" si="30"/>
        <v/>
      </c>
      <c r="H332" s="106" t="str">
        <f t="shared" si="31"/>
        <v/>
      </c>
    </row>
    <row r="333" spans="1:8" x14ac:dyDescent="0.2">
      <c r="A333" s="104" t="str">
        <f t="shared" si="26"/>
        <v/>
      </c>
      <c r="B333" s="108" t="str">
        <f t="shared" si="27"/>
        <v/>
      </c>
      <c r="C333" s="109" t="str">
        <f t="shared" si="28"/>
        <v/>
      </c>
      <c r="D333" s="111"/>
      <c r="E333" s="106"/>
      <c r="F333" s="106" t="str">
        <f t="shared" si="29"/>
        <v/>
      </c>
      <c r="G333" s="106" t="str">
        <f t="shared" si="30"/>
        <v/>
      </c>
      <c r="H333" s="106" t="str">
        <f t="shared" si="31"/>
        <v/>
      </c>
    </row>
    <row r="334" spans="1:8" x14ac:dyDescent="0.2">
      <c r="A334" s="104" t="str">
        <f t="shared" si="26"/>
        <v/>
      </c>
      <c r="B334" s="108" t="str">
        <f t="shared" si="27"/>
        <v/>
      </c>
      <c r="C334" s="109" t="str">
        <f t="shared" si="28"/>
        <v/>
      </c>
      <c r="D334" s="111"/>
      <c r="E334" s="106"/>
      <c r="F334" s="106" t="str">
        <f t="shared" si="29"/>
        <v/>
      </c>
      <c r="G334" s="106" t="str">
        <f t="shared" si="30"/>
        <v/>
      </c>
      <c r="H334" s="106" t="str">
        <f t="shared" si="31"/>
        <v/>
      </c>
    </row>
    <row r="335" spans="1:8" x14ac:dyDescent="0.2">
      <c r="A335" s="104" t="str">
        <f t="shared" si="26"/>
        <v/>
      </c>
      <c r="B335" s="108" t="str">
        <f t="shared" si="27"/>
        <v/>
      </c>
      <c r="C335" s="109" t="str">
        <f t="shared" si="28"/>
        <v/>
      </c>
      <c r="D335" s="111"/>
      <c r="E335" s="106"/>
      <c r="F335" s="106" t="str">
        <f t="shared" si="29"/>
        <v/>
      </c>
      <c r="G335" s="106" t="str">
        <f t="shared" si="30"/>
        <v/>
      </c>
      <c r="H335" s="106" t="str">
        <f t="shared" si="31"/>
        <v/>
      </c>
    </row>
    <row r="336" spans="1:8" x14ac:dyDescent="0.2">
      <c r="A336" s="104" t="str">
        <f t="shared" si="26"/>
        <v/>
      </c>
      <c r="B336" s="108" t="str">
        <f t="shared" si="27"/>
        <v/>
      </c>
      <c r="C336" s="109" t="str">
        <f t="shared" si="28"/>
        <v/>
      </c>
      <c r="D336" s="111"/>
      <c r="E336" s="106"/>
      <c r="F336" s="106" t="str">
        <f t="shared" si="29"/>
        <v/>
      </c>
      <c r="G336" s="106" t="str">
        <f t="shared" si="30"/>
        <v/>
      </c>
      <c r="H336" s="106" t="str">
        <f t="shared" si="31"/>
        <v/>
      </c>
    </row>
    <row r="337" spans="1:8" x14ac:dyDescent="0.2">
      <c r="A337" s="104" t="str">
        <f t="shared" si="26"/>
        <v/>
      </c>
      <c r="B337" s="108" t="str">
        <f t="shared" si="27"/>
        <v/>
      </c>
      <c r="C337" s="109" t="str">
        <f t="shared" si="28"/>
        <v/>
      </c>
      <c r="D337" s="111"/>
      <c r="E337" s="106"/>
      <c r="F337" s="106" t="str">
        <f t="shared" si="29"/>
        <v/>
      </c>
      <c r="G337" s="106" t="str">
        <f t="shared" si="30"/>
        <v/>
      </c>
      <c r="H337" s="106" t="str">
        <f t="shared" si="31"/>
        <v/>
      </c>
    </row>
    <row r="338" spans="1:8" x14ac:dyDescent="0.2">
      <c r="A338" s="104" t="str">
        <f t="shared" si="26"/>
        <v/>
      </c>
      <c r="B338" s="108" t="str">
        <f t="shared" si="27"/>
        <v/>
      </c>
      <c r="C338" s="109" t="str">
        <f t="shared" si="28"/>
        <v/>
      </c>
      <c r="D338" s="111"/>
      <c r="E338" s="106"/>
      <c r="F338" s="106" t="str">
        <f t="shared" si="29"/>
        <v/>
      </c>
      <c r="G338" s="106" t="str">
        <f t="shared" si="30"/>
        <v/>
      </c>
      <c r="H338" s="106" t="str">
        <f t="shared" si="31"/>
        <v/>
      </c>
    </row>
    <row r="339" spans="1:8" x14ac:dyDescent="0.2">
      <c r="A339" s="104" t="str">
        <f t="shared" si="26"/>
        <v/>
      </c>
      <c r="B339" s="108" t="str">
        <f t="shared" si="27"/>
        <v/>
      </c>
      <c r="C339" s="109" t="str">
        <f t="shared" si="28"/>
        <v/>
      </c>
      <c r="D339" s="111"/>
      <c r="E339" s="106"/>
      <c r="F339" s="106" t="str">
        <f t="shared" si="29"/>
        <v/>
      </c>
      <c r="G339" s="106" t="str">
        <f t="shared" si="30"/>
        <v/>
      </c>
      <c r="H339" s="106" t="str">
        <f t="shared" si="31"/>
        <v/>
      </c>
    </row>
    <row r="340" spans="1:8" x14ac:dyDescent="0.2">
      <c r="A340" s="104" t="str">
        <f t="shared" si="26"/>
        <v/>
      </c>
      <c r="B340" s="108" t="str">
        <f t="shared" si="27"/>
        <v/>
      </c>
      <c r="C340" s="109" t="str">
        <f t="shared" si="28"/>
        <v/>
      </c>
      <c r="D340" s="111"/>
      <c r="E340" s="106"/>
      <c r="F340" s="106" t="str">
        <f t="shared" si="29"/>
        <v/>
      </c>
      <c r="G340" s="106" t="str">
        <f t="shared" si="30"/>
        <v/>
      </c>
      <c r="H340" s="106" t="str">
        <f t="shared" si="31"/>
        <v/>
      </c>
    </row>
    <row r="341" spans="1:8" x14ac:dyDescent="0.2">
      <c r="A341" s="104" t="str">
        <f t="shared" si="26"/>
        <v/>
      </c>
      <c r="B341" s="108" t="str">
        <f t="shared" si="27"/>
        <v/>
      </c>
      <c r="C341" s="109" t="str">
        <f t="shared" si="28"/>
        <v/>
      </c>
      <c r="D341" s="111"/>
      <c r="E341" s="106"/>
      <c r="F341" s="106" t="str">
        <f t="shared" si="29"/>
        <v/>
      </c>
      <c r="G341" s="106" t="str">
        <f t="shared" si="30"/>
        <v/>
      </c>
      <c r="H341" s="106" t="str">
        <f t="shared" si="31"/>
        <v/>
      </c>
    </row>
    <row r="342" spans="1:8" x14ac:dyDescent="0.2">
      <c r="A342" s="104" t="str">
        <f t="shared" si="26"/>
        <v/>
      </c>
      <c r="B342" s="108" t="str">
        <f t="shared" si="27"/>
        <v/>
      </c>
      <c r="C342" s="109" t="str">
        <f t="shared" si="28"/>
        <v/>
      </c>
      <c r="D342" s="111"/>
      <c r="E342" s="106"/>
      <c r="F342" s="106" t="str">
        <f t="shared" si="29"/>
        <v/>
      </c>
      <c r="G342" s="106" t="str">
        <f t="shared" si="30"/>
        <v/>
      </c>
      <c r="H342" s="106" t="str">
        <f t="shared" si="31"/>
        <v/>
      </c>
    </row>
    <row r="343" spans="1:8" x14ac:dyDescent="0.2">
      <c r="A343" s="104" t="str">
        <f t="shared" si="26"/>
        <v/>
      </c>
      <c r="B343" s="108" t="str">
        <f t="shared" si="27"/>
        <v/>
      </c>
      <c r="C343" s="109" t="str">
        <f t="shared" si="28"/>
        <v/>
      </c>
      <c r="D343" s="111"/>
      <c r="E343" s="106"/>
      <c r="F343" s="106" t="str">
        <f t="shared" si="29"/>
        <v/>
      </c>
      <c r="G343" s="106" t="str">
        <f t="shared" si="30"/>
        <v/>
      </c>
      <c r="H343" s="106" t="str">
        <f t="shared" si="31"/>
        <v/>
      </c>
    </row>
    <row r="344" spans="1:8" x14ac:dyDescent="0.2">
      <c r="A344" s="104" t="str">
        <f t="shared" si="26"/>
        <v/>
      </c>
      <c r="B344" s="108" t="str">
        <f t="shared" si="27"/>
        <v/>
      </c>
      <c r="C344" s="109" t="str">
        <f t="shared" si="28"/>
        <v/>
      </c>
      <c r="D344" s="111"/>
      <c r="E344" s="106"/>
      <c r="F344" s="106" t="str">
        <f t="shared" si="29"/>
        <v/>
      </c>
      <c r="G344" s="106" t="str">
        <f t="shared" si="30"/>
        <v/>
      </c>
      <c r="H344" s="106" t="str">
        <f t="shared" si="31"/>
        <v/>
      </c>
    </row>
    <row r="345" spans="1:8" x14ac:dyDescent="0.2">
      <c r="A345" s="104" t="str">
        <f t="shared" si="26"/>
        <v/>
      </c>
      <c r="B345" s="108" t="str">
        <f t="shared" si="27"/>
        <v/>
      </c>
      <c r="C345" s="109" t="str">
        <f t="shared" si="28"/>
        <v/>
      </c>
      <c r="D345" s="111"/>
      <c r="E345" s="106"/>
      <c r="F345" s="106" t="str">
        <f t="shared" si="29"/>
        <v/>
      </c>
      <c r="G345" s="106" t="str">
        <f t="shared" si="30"/>
        <v/>
      </c>
      <c r="H345" s="106" t="str">
        <f t="shared" si="31"/>
        <v/>
      </c>
    </row>
    <row r="346" spans="1:8" x14ac:dyDescent="0.2">
      <c r="A346" s="104" t="str">
        <f t="shared" si="26"/>
        <v/>
      </c>
      <c r="B346" s="108" t="str">
        <f t="shared" si="27"/>
        <v/>
      </c>
      <c r="C346" s="109" t="str">
        <f t="shared" si="28"/>
        <v/>
      </c>
      <c r="D346" s="111"/>
      <c r="E346" s="106"/>
      <c r="F346" s="106" t="str">
        <f t="shared" si="29"/>
        <v/>
      </c>
      <c r="G346" s="106" t="str">
        <f t="shared" si="30"/>
        <v/>
      </c>
      <c r="H346" s="106" t="str">
        <f t="shared" si="31"/>
        <v/>
      </c>
    </row>
    <row r="347" spans="1:8" x14ac:dyDescent="0.2">
      <c r="A347" s="104" t="str">
        <f t="shared" si="26"/>
        <v/>
      </c>
      <c r="B347" s="108" t="str">
        <f t="shared" si="27"/>
        <v/>
      </c>
      <c r="C347" s="109" t="str">
        <f t="shared" si="28"/>
        <v/>
      </c>
      <c r="D347" s="111"/>
      <c r="E347" s="106"/>
      <c r="F347" s="106" t="str">
        <f t="shared" si="29"/>
        <v/>
      </c>
      <c r="G347" s="106" t="str">
        <f t="shared" si="30"/>
        <v/>
      </c>
      <c r="H347" s="106" t="str">
        <f t="shared" si="31"/>
        <v/>
      </c>
    </row>
    <row r="348" spans="1:8" x14ac:dyDescent="0.2">
      <c r="A348" s="104" t="str">
        <f t="shared" si="26"/>
        <v/>
      </c>
      <c r="B348" s="108" t="str">
        <f t="shared" si="27"/>
        <v/>
      </c>
      <c r="C348" s="109" t="str">
        <f t="shared" si="28"/>
        <v/>
      </c>
      <c r="D348" s="111"/>
      <c r="E348" s="106"/>
      <c r="F348" s="106" t="str">
        <f t="shared" si="29"/>
        <v/>
      </c>
      <c r="G348" s="106" t="str">
        <f t="shared" si="30"/>
        <v/>
      </c>
      <c r="H348" s="106" t="str">
        <f t="shared" si="31"/>
        <v/>
      </c>
    </row>
    <row r="349" spans="1:8" x14ac:dyDescent="0.2">
      <c r="A349" s="104" t="str">
        <f t="shared" si="26"/>
        <v/>
      </c>
      <c r="B349" s="108" t="str">
        <f t="shared" si="27"/>
        <v/>
      </c>
      <c r="C349" s="109" t="str">
        <f t="shared" si="28"/>
        <v/>
      </c>
      <c r="D349" s="111"/>
      <c r="E349" s="106"/>
      <c r="F349" s="106" t="str">
        <f t="shared" si="29"/>
        <v/>
      </c>
      <c r="G349" s="106" t="str">
        <f t="shared" si="30"/>
        <v/>
      </c>
      <c r="H349" s="106" t="str">
        <f t="shared" si="31"/>
        <v/>
      </c>
    </row>
    <row r="350" spans="1:8" x14ac:dyDescent="0.2">
      <c r="A350" s="104" t="str">
        <f t="shared" si="26"/>
        <v/>
      </c>
      <c r="B350" s="108" t="str">
        <f t="shared" si="27"/>
        <v/>
      </c>
      <c r="C350" s="109" t="str">
        <f t="shared" si="28"/>
        <v/>
      </c>
      <c r="D350" s="111"/>
      <c r="E350" s="106"/>
      <c r="F350" s="106" t="str">
        <f t="shared" si="29"/>
        <v/>
      </c>
      <c r="G350" s="106" t="str">
        <f t="shared" si="30"/>
        <v/>
      </c>
      <c r="H350" s="106" t="str">
        <f t="shared" si="31"/>
        <v/>
      </c>
    </row>
    <row r="351" spans="1:8" x14ac:dyDescent="0.2">
      <c r="A351" s="104" t="str">
        <f t="shared" si="26"/>
        <v/>
      </c>
      <c r="B351" s="108" t="str">
        <f t="shared" si="27"/>
        <v/>
      </c>
      <c r="C351" s="109" t="str">
        <f t="shared" si="28"/>
        <v/>
      </c>
      <c r="D351" s="111"/>
      <c r="E351" s="106"/>
      <c r="F351" s="106" t="str">
        <f t="shared" si="29"/>
        <v/>
      </c>
      <c r="G351" s="106" t="str">
        <f t="shared" si="30"/>
        <v/>
      </c>
      <c r="H351" s="106" t="str">
        <f t="shared" si="31"/>
        <v/>
      </c>
    </row>
    <row r="352" spans="1:8" x14ac:dyDescent="0.2">
      <c r="A352" s="104" t="str">
        <f t="shared" si="26"/>
        <v/>
      </c>
      <c r="B352" s="108" t="str">
        <f t="shared" si="27"/>
        <v/>
      </c>
      <c r="C352" s="109" t="str">
        <f t="shared" si="28"/>
        <v/>
      </c>
      <c r="D352" s="111"/>
      <c r="E352" s="106"/>
      <c r="F352" s="106" t="str">
        <f t="shared" si="29"/>
        <v/>
      </c>
      <c r="G352" s="106" t="str">
        <f t="shared" si="30"/>
        <v/>
      </c>
      <c r="H352" s="106" t="str">
        <f t="shared" si="31"/>
        <v/>
      </c>
    </row>
    <row r="353" spans="1:8" x14ac:dyDescent="0.2">
      <c r="A353" s="104" t="str">
        <f t="shared" si="26"/>
        <v/>
      </c>
      <c r="B353" s="108" t="str">
        <f t="shared" si="27"/>
        <v/>
      </c>
      <c r="C353" s="109" t="str">
        <f t="shared" si="28"/>
        <v/>
      </c>
      <c r="D353" s="111"/>
      <c r="E353" s="106"/>
      <c r="F353" s="106" t="str">
        <f t="shared" si="29"/>
        <v/>
      </c>
      <c r="G353" s="106" t="str">
        <f t="shared" si="30"/>
        <v/>
      </c>
      <c r="H353" s="106" t="str">
        <f t="shared" si="31"/>
        <v/>
      </c>
    </row>
    <row r="354" spans="1:8" x14ac:dyDescent="0.2">
      <c r="A354" s="104" t="str">
        <f t="shared" si="26"/>
        <v/>
      </c>
      <c r="B354" s="108" t="str">
        <f t="shared" si="27"/>
        <v/>
      </c>
      <c r="C354" s="109" t="str">
        <f t="shared" si="28"/>
        <v/>
      </c>
      <c r="D354" s="111"/>
      <c r="E354" s="106"/>
      <c r="F354" s="106" t="str">
        <f t="shared" si="29"/>
        <v/>
      </c>
      <c r="G354" s="106" t="str">
        <f t="shared" si="30"/>
        <v/>
      </c>
      <c r="H354" s="106" t="str">
        <f t="shared" si="31"/>
        <v/>
      </c>
    </row>
    <row r="355" spans="1:8" x14ac:dyDescent="0.2">
      <c r="A355" s="104" t="str">
        <f t="shared" si="26"/>
        <v/>
      </c>
      <c r="B355" s="108" t="str">
        <f t="shared" si="27"/>
        <v/>
      </c>
      <c r="C355" s="109" t="str">
        <f t="shared" si="28"/>
        <v/>
      </c>
      <c r="D355" s="111"/>
      <c r="E355" s="106"/>
      <c r="F355" s="106" t="str">
        <f t="shared" si="29"/>
        <v/>
      </c>
      <c r="G355" s="106" t="str">
        <f t="shared" si="30"/>
        <v/>
      </c>
      <c r="H355" s="106" t="str">
        <f t="shared" si="31"/>
        <v/>
      </c>
    </row>
    <row r="356" spans="1:8" x14ac:dyDescent="0.2">
      <c r="A356" s="104" t="str">
        <f t="shared" si="26"/>
        <v/>
      </c>
      <c r="B356" s="108" t="str">
        <f t="shared" si="27"/>
        <v/>
      </c>
      <c r="C356" s="109" t="str">
        <f t="shared" si="28"/>
        <v/>
      </c>
      <c r="D356" s="111"/>
      <c r="E356" s="106"/>
      <c r="F356" s="106" t="str">
        <f t="shared" si="29"/>
        <v/>
      </c>
      <c r="G356" s="106" t="str">
        <f t="shared" si="30"/>
        <v/>
      </c>
      <c r="H356" s="106" t="str">
        <f t="shared" si="31"/>
        <v/>
      </c>
    </row>
    <row r="357" spans="1:8" x14ac:dyDescent="0.2">
      <c r="A357" s="104" t="str">
        <f t="shared" si="26"/>
        <v/>
      </c>
      <c r="B357" s="108" t="str">
        <f t="shared" si="27"/>
        <v/>
      </c>
      <c r="C357" s="109" t="str">
        <f t="shared" si="28"/>
        <v/>
      </c>
      <c r="D357" s="111"/>
      <c r="E357" s="106"/>
      <c r="F357" s="106" t="str">
        <f t="shared" si="29"/>
        <v/>
      </c>
      <c r="G357" s="106" t="str">
        <f t="shared" si="30"/>
        <v/>
      </c>
      <c r="H357" s="106" t="str">
        <f t="shared" si="31"/>
        <v/>
      </c>
    </row>
    <row r="358" spans="1:8" x14ac:dyDescent="0.2">
      <c r="A358" s="104" t="str">
        <f t="shared" si="26"/>
        <v/>
      </c>
      <c r="B358" s="108" t="str">
        <f t="shared" si="27"/>
        <v/>
      </c>
      <c r="C358" s="109" t="str">
        <f t="shared" si="28"/>
        <v/>
      </c>
      <c r="D358" s="111"/>
      <c r="E358" s="106"/>
      <c r="F358" s="106" t="str">
        <f t="shared" si="29"/>
        <v/>
      </c>
      <c r="G358" s="106" t="str">
        <f t="shared" si="30"/>
        <v/>
      </c>
      <c r="H358" s="106" t="str">
        <f t="shared" si="31"/>
        <v/>
      </c>
    </row>
    <row r="359" spans="1:8" x14ac:dyDescent="0.2">
      <c r="A359" s="104" t="str">
        <f t="shared" si="26"/>
        <v/>
      </c>
      <c r="B359" s="108" t="str">
        <f t="shared" si="27"/>
        <v/>
      </c>
      <c r="C359" s="109" t="str">
        <f t="shared" si="28"/>
        <v/>
      </c>
      <c r="D359" s="111"/>
      <c r="E359" s="106"/>
      <c r="F359" s="106" t="str">
        <f t="shared" si="29"/>
        <v/>
      </c>
      <c r="G359" s="106" t="str">
        <f t="shared" si="30"/>
        <v/>
      </c>
      <c r="H359" s="106" t="str">
        <f t="shared" si="31"/>
        <v/>
      </c>
    </row>
    <row r="360" spans="1:8" x14ac:dyDescent="0.2">
      <c r="A360" s="104" t="str">
        <f t="shared" si="26"/>
        <v/>
      </c>
      <c r="B360" s="108" t="str">
        <f t="shared" si="27"/>
        <v/>
      </c>
      <c r="C360" s="109" t="str">
        <f t="shared" si="28"/>
        <v/>
      </c>
      <c r="D360" s="111"/>
      <c r="E360" s="106"/>
      <c r="F360" s="106" t="str">
        <f t="shared" si="29"/>
        <v/>
      </c>
      <c r="G360" s="106" t="str">
        <f t="shared" si="30"/>
        <v/>
      </c>
      <c r="H360" s="106" t="str">
        <f t="shared" si="31"/>
        <v/>
      </c>
    </row>
    <row r="361" spans="1:8" x14ac:dyDescent="0.2">
      <c r="A361" s="104" t="str">
        <f t="shared" si="26"/>
        <v/>
      </c>
      <c r="B361" s="108" t="str">
        <f t="shared" si="27"/>
        <v/>
      </c>
      <c r="C361" s="109" t="str">
        <f t="shared" si="28"/>
        <v/>
      </c>
      <c r="D361" s="111"/>
      <c r="E361" s="106"/>
      <c r="F361" s="106" t="str">
        <f t="shared" si="29"/>
        <v/>
      </c>
      <c r="G361" s="106" t="str">
        <f t="shared" si="30"/>
        <v/>
      </c>
      <c r="H361" s="106" t="str">
        <f t="shared" si="31"/>
        <v/>
      </c>
    </row>
    <row r="362" spans="1:8" x14ac:dyDescent="0.2">
      <c r="A362" s="104" t="str">
        <f t="shared" si="26"/>
        <v/>
      </c>
      <c r="B362" s="108" t="str">
        <f t="shared" si="27"/>
        <v/>
      </c>
      <c r="C362" s="109" t="str">
        <f t="shared" si="28"/>
        <v/>
      </c>
      <c r="D362" s="111"/>
      <c r="E362" s="106"/>
      <c r="F362" s="106" t="str">
        <f t="shared" si="29"/>
        <v/>
      </c>
      <c r="G362" s="106" t="str">
        <f t="shared" si="30"/>
        <v/>
      </c>
      <c r="H362" s="106" t="str">
        <f t="shared" si="31"/>
        <v/>
      </c>
    </row>
    <row r="363" spans="1:8" x14ac:dyDescent="0.2">
      <c r="A363" s="104" t="str">
        <f t="shared" si="26"/>
        <v/>
      </c>
      <c r="B363" s="108" t="str">
        <f t="shared" si="27"/>
        <v/>
      </c>
      <c r="C363" s="109" t="str">
        <f t="shared" si="28"/>
        <v/>
      </c>
      <c r="D363" s="111"/>
      <c r="E363" s="106"/>
      <c r="F363" s="106" t="str">
        <f t="shared" si="29"/>
        <v/>
      </c>
      <c r="G363" s="106" t="str">
        <f t="shared" si="30"/>
        <v/>
      </c>
      <c r="H363" s="106" t="str">
        <f t="shared" si="31"/>
        <v/>
      </c>
    </row>
    <row r="364" spans="1:8" x14ac:dyDescent="0.2">
      <c r="A364" s="104" t="str">
        <f t="shared" si="26"/>
        <v/>
      </c>
      <c r="B364" s="108" t="str">
        <f t="shared" si="27"/>
        <v/>
      </c>
      <c r="C364" s="109" t="str">
        <f t="shared" si="28"/>
        <v/>
      </c>
      <c r="D364" s="111"/>
      <c r="E364" s="106"/>
      <c r="F364" s="106" t="str">
        <f t="shared" si="29"/>
        <v/>
      </c>
      <c r="G364" s="106" t="str">
        <f t="shared" si="30"/>
        <v/>
      </c>
      <c r="H364" s="106" t="str">
        <f t="shared" si="31"/>
        <v/>
      </c>
    </row>
    <row r="365" spans="1:8" x14ac:dyDescent="0.2">
      <c r="A365" s="104" t="str">
        <f t="shared" si="26"/>
        <v/>
      </c>
      <c r="B365" s="108" t="str">
        <f t="shared" si="27"/>
        <v/>
      </c>
      <c r="C365" s="109" t="str">
        <f t="shared" si="28"/>
        <v/>
      </c>
      <c r="D365" s="111"/>
      <c r="E365" s="106"/>
      <c r="F365" s="106" t="str">
        <f t="shared" si="29"/>
        <v/>
      </c>
      <c r="G365" s="106" t="str">
        <f t="shared" si="30"/>
        <v/>
      </c>
      <c r="H365" s="106" t="str">
        <f t="shared" si="31"/>
        <v/>
      </c>
    </row>
    <row r="366" spans="1:8" x14ac:dyDescent="0.2">
      <c r="A366" s="104" t="str">
        <f t="shared" si="26"/>
        <v/>
      </c>
      <c r="B366" s="108" t="str">
        <f t="shared" si="27"/>
        <v/>
      </c>
      <c r="C366" s="109" t="str">
        <f t="shared" si="28"/>
        <v/>
      </c>
      <c r="D366" s="111"/>
      <c r="E366" s="106"/>
      <c r="F366" s="106" t="str">
        <f t="shared" si="29"/>
        <v/>
      </c>
      <c r="G366" s="106" t="str">
        <f t="shared" si="30"/>
        <v/>
      </c>
      <c r="H366" s="106" t="str">
        <f t="shared" si="31"/>
        <v/>
      </c>
    </row>
    <row r="367" spans="1:8" x14ac:dyDescent="0.2">
      <c r="A367" s="104" t="str">
        <f t="shared" si="26"/>
        <v/>
      </c>
      <c r="B367" s="108" t="str">
        <f t="shared" si="27"/>
        <v/>
      </c>
      <c r="C367" s="109" t="str">
        <f t="shared" si="28"/>
        <v/>
      </c>
      <c r="D367" s="111"/>
      <c r="E367" s="106"/>
      <c r="F367" s="106" t="str">
        <f t="shared" si="29"/>
        <v/>
      </c>
      <c r="G367" s="106" t="str">
        <f t="shared" si="30"/>
        <v/>
      </c>
      <c r="H367" s="106" t="str">
        <f t="shared" si="31"/>
        <v/>
      </c>
    </row>
    <row r="368" spans="1:8" x14ac:dyDescent="0.2">
      <c r="A368" s="104" t="str">
        <f t="shared" si="26"/>
        <v/>
      </c>
      <c r="B368" s="108" t="str">
        <f t="shared" si="27"/>
        <v/>
      </c>
      <c r="C368" s="109" t="str">
        <f t="shared" si="28"/>
        <v/>
      </c>
      <c r="D368" s="111"/>
      <c r="E368" s="106"/>
      <c r="F368" s="106" t="str">
        <f t="shared" si="29"/>
        <v/>
      </c>
      <c r="G368" s="106" t="str">
        <f t="shared" si="30"/>
        <v/>
      </c>
      <c r="H368" s="106" t="str">
        <f t="shared" si="31"/>
        <v/>
      </c>
    </row>
    <row r="369" spans="1:8" x14ac:dyDescent="0.2">
      <c r="A369" s="104" t="str">
        <f t="shared" si="26"/>
        <v/>
      </c>
      <c r="B369" s="108" t="str">
        <f t="shared" si="27"/>
        <v/>
      </c>
      <c r="C369" s="109" t="str">
        <f t="shared" si="28"/>
        <v/>
      </c>
      <c r="D369" s="111"/>
      <c r="E369" s="106"/>
      <c r="F369" s="106" t="str">
        <f t="shared" si="29"/>
        <v/>
      </c>
      <c r="G369" s="106" t="str">
        <f t="shared" si="30"/>
        <v/>
      </c>
      <c r="H369" s="106" t="str">
        <f t="shared" si="31"/>
        <v/>
      </c>
    </row>
    <row r="370" spans="1:8" x14ac:dyDescent="0.2">
      <c r="A370" s="104" t="str">
        <f t="shared" si="26"/>
        <v/>
      </c>
      <c r="B370" s="108" t="str">
        <f t="shared" si="27"/>
        <v/>
      </c>
      <c r="C370" s="109" t="str">
        <f t="shared" si="28"/>
        <v/>
      </c>
      <c r="D370" s="111"/>
      <c r="E370" s="106"/>
      <c r="F370" s="106" t="str">
        <f t="shared" si="29"/>
        <v/>
      </c>
      <c r="G370" s="106" t="str">
        <f t="shared" si="30"/>
        <v/>
      </c>
      <c r="H370" s="106" t="str">
        <f t="shared" si="31"/>
        <v/>
      </c>
    </row>
    <row r="371" spans="1:8" x14ac:dyDescent="0.2">
      <c r="A371" s="104" t="str">
        <f t="shared" si="26"/>
        <v/>
      </c>
      <c r="B371" s="108" t="str">
        <f t="shared" si="27"/>
        <v/>
      </c>
      <c r="C371" s="109" t="str">
        <f t="shared" si="28"/>
        <v/>
      </c>
      <c r="D371" s="111"/>
      <c r="E371" s="106"/>
      <c r="F371" s="106" t="str">
        <f t="shared" si="29"/>
        <v/>
      </c>
      <c r="G371" s="106" t="str">
        <f t="shared" si="30"/>
        <v/>
      </c>
      <c r="H371" s="106" t="str">
        <f t="shared" si="31"/>
        <v/>
      </c>
    </row>
    <row r="372" spans="1:8" x14ac:dyDescent="0.2">
      <c r="A372" s="104" t="str">
        <f t="shared" si="26"/>
        <v/>
      </c>
      <c r="B372" s="108" t="str">
        <f t="shared" si="27"/>
        <v/>
      </c>
      <c r="C372" s="109" t="str">
        <f t="shared" si="28"/>
        <v/>
      </c>
      <c r="D372" s="111"/>
      <c r="E372" s="106"/>
      <c r="F372" s="106" t="str">
        <f t="shared" si="29"/>
        <v/>
      </c>
      <c r="G372" s="106" t="str">
        <f t="shared" si="30"/>
        <v/>
      </c>
      <c r="H372" s="106" t="str">
        <f t="shared" si="31"/>
        <v/>
      </c>
    </row>
    <row r="373" spans="1:8" x14ac:dyDescent="0.2">
      <c r="A373" s="104" t="str">
        <f t="shared" si="26"/>
        <v/>
      </c>
      <c r="B373" s="108" t="str">
        <f t="shared" si="27"/>
        <v/>
      </c>
      <c r="C373" s="109" t="str">
        <f t="shared" si="28"/>
        <v/>
      </c>
      <c r="D373" s="111"/>
      <c r="E373" s="106"/>
      <c r="F373" s="106" t="str">
        <f t="shared" si="29"/>
        <v/>
      </c>
      <c r="G373" s="106" t="str">
        <f t="shared" si="30"/>
        <v/>
      </c>
      <c r="H373" s="106" t="str">
        <f t="shared" si="31"/>
        <v/>
      </c>
    </row>
    <row r="374" spans="1:8" x14ac:dyDescent="0.2">
      <c r="A374" s="104" t="str">
        <f t="shared" si="26"/>
        <v/>
      </c>
      <c r="B374" s="108" t="str">
        <f t="shared" si="27"/>
        <v/>
      </c>
      <c r="C374" s="109" t="str">
        <f t="shared" si="28"/>
        <v/>
      </c>
      <c r="D374" s="111"/>
      <c r="E374" s="106"/>
      <c r="F374" s="106" t="str">
        <f t="shared" si="29"/>
        <v/>
      </c>
      <c r="G374" s="106" t="str">
        <f t="shared" si="30"/>
        <v/>
      </c>
      <c r="H374" s="106" t="str">
        <f t="shared" si="31"/>
        <v/>
      </c>
    </row>
    <row r="375" spans="1:8" x14ac:dyDescent="0.2">
      <c r="A375" s="104" t="str">
        <f t="shared" si="26"/>
        <v/>
      </c>
      <c r="B375" s="108" t="str">
        <f t="shared" si="27"/>
        <v/>
      </c>
      <c r="C375" s="109" t="str">
        <f t="shared" si="28"/>
        <v/>
      </c>
      <c r="D375" s="111"/>
      <c r="E375" s="106"/>
      <c r="F375" s="106" t="str">
        <f t="shared" si="29"/>
        <v/>
      </c>
      <c r="G375" s="106" t="str">
        <f t="shared" si="30"/>
        <v/>
      </c>
      <c r="H375" s="106" t="str">
        <f t="shared" si="31"/>
        <v/>
      </c>
    </row>
    <row r="376" spans="1:8" x14ac:dyDescent="0.2">
      <c r="A376" s="104" t="str">
        <f t="shared" si="26"/>
        <v/>
      </c>
      <c r="B376" s="108" t="str">
        <f t="shared" si="27"/>
        <v/>
      </c>
      <c r="C376" s="109" t="str">
        <f t="shared" si="28"/>
        <v/>
      </c>
      <c r="D376" s="111"/>
      <c r="E376" s="106"/>
      <c r="F376" s="106" t="str">
        <f t="shared" si="29"/>
        <v/>
      </c>
      <c r="G376" s="106" t="str">
        <f t="shared" si="30"/>
        <v/>
      </c>
      <c r="H376" s="106" t="str">
        <f t="shared" si="31"/>
        <v/>
      </c>
    </row>
    <row r="377" spans="1:8" x14ac:dyDescent="0.2">
      <c r="A377" s="104" t="str">
        <f t="shared" si="26"/>
        <v/>
      </c>
      <c r="B377" s="108" t="str">
        <f t="shared" si="27"/>
        <v/>
      </c>
      <c r="C377" s="109" t="str">
        <f t="shared" si="28"/>
        <v/>
      </c>
      <c r="D377" s="111"/>
      <c r="E377" s="106"/>
      <c r="F377" s="106" t="str">
        <f t="shared" si="29"/>
        <v/>
      </c>
      <c r="G377" s="106" t="str">
        <f t="shared" si="30"/>
        <v/>
      </c>
      <c r="H377" s="106" t="str">
        <f t="shared" si="31"/>
        <v/>
      </c>
    </row>
    <row r="378" spans="1:8" x14ac:dyDescent="0.2">
      <c r="A378" s="104" t="str">
        <f t="shared" si="26"/>
        <v/>
      </c>
      <c r="B378" s="108" t="str">
        <f t="shared" si="27"/>
        <v/>
      </c>
      <c r="C378" s="109" t="str">
        <f t="shared" si="28"/>
        <v/>
      </c>
      <c r="D378" s="111"/>
      <c r="E378" s="106"/>
      <c r="F378" s="106" t="str">
        <f t="shared" si="29"/>
        <v/>
      </c>
      <c r="G378" s="106" t="str">
        <f t="shared" si="30"/>
        <v/>
      </c>
      <c r="H378" s="106" t="str">
        <f t="shared" si="31"/>
        <v/>
      </c>
    </row>
    <row r="379" spans="1:8" x14ac:dyDescent="0.2">
      <c r="A379" s="104" t="str">
        <f t="shared" si="26"/>
        <v/>
      </c>
      <c r="B379" s="108" t="str">
        <f t="shared" si="27"/>
        <v/>
      </c>
      <c r="C379" s="109" t="str">
        <f t="shared" si="28"/>
        <v/>
      </c>
      <c r="D379" s="111"/>
      <c r="E379" s="106"/>
      <c r="F379" s="106" t="str">
        <f t="shared" si="29"/>
        <v/>
      </c>
      <c r="G379" s="106" t="str">
        <f t="shared" si="30"/>
        <v/>
      </c>
      <c r="H379" s="106" t="str">
        <f t="shared" si="31"/>
        <v/>
      </c>
    </row>
    <row r="380" spans="1:8" x14ac:dyDescent="0.2">
      <c r="A380" s="104" t="str">
        <f t="shared" si="26"/>
        <v/>
      </c>
      <c r="B380" s="108" t="str">
        <f t="shared" si="27"/>
        <v/>
      </c>
      <c r="C380" s="109" t="str">
        <f t="shared" si="28"/>
        <v/>
      </c>
      <c r="D380" s="111"/>
      <c r="E380" s="106"/>
      <c r="F380" s="106" t="str">
        <f t="shared" si="29"/>
        <v/>
      </c>
      <c r="G380" s="106" t="str">
        <f t="shared" si="30"/>
        <v/>
      </c>
      <c r="H380" s="106" t="str">
        <f t="shared" si="31"/>
        <v/>
      </c>
    </row>
    <row r="381" spans="1:8" x14ac:dyDescent="0.2">
      <c r="A381" s="104" t="str">
        <f t="shared" si="26"/>
        <v/>
      </c>
      <c r="B381" s="108" t="str">
        <f t="shared" si="27"/>
        <v/>
      </c>
      <c r="C381" s="109" t="str">
        <f t="shared" si="28"/>
        <v/>
      </c>
      <c r="D381" s="111"/>
      <c r="E381" s="106"/>
      <c r="F381" s="106" t="str">
        <f t="shared" si="29"/>
        <v/>
      </c>
      <c r="G381" s="106" t="str">
        <f t="shared" si="30"/>
        <v/>
      </c>
      <c r="H381" s="106" t="str">
        <f t="shared" si="31"/>
        <v/>
      </c>
    </row>
    <row r="382" spans="1:8" x14ac:dyDescent="0.2">
      <c r="A382" s="104" t="str">
        <f t="shared" si="26"/>
        <v/>
      </c>
      <c r="B382" s="108" t="str">
        <f t="shared" si="27"/>
        <v/>
      </c>
      <c r="C382" s="109" t="str">
        <f t="shared" si="28"/>
        <v/>
      </c>
      <c r="D382" s="111"/>
      <c r="E382" s="106"/>
      <c r="F382" s="106" t="str">
        <f t="shared" si="29"/>
        <v/>
      </c>
      <c r="G382" s="106" t="str">
        <f t="shared" si="30"/>
        <v/>
      </c>
      <c r="H382" s="106" t="str">
        <f t="shared" si="31"/>
        <v/>
      </c>
    </row>
    <row r="383" spans="1:8" x14ac:dyDescent="0.2">
      <c r="A383" s="104" t="str">
        <f t="shared" ref="A383:A446" si="32">IF(H382="","",IF(roundOpt,IF(OR(A382&gt;=nper,ROUND(H382,2)&lt;=0),"",A382+1),IF(OR(A382&gt;=nper,H382&lt;=0),"",A382+1)))</f>
        <v/>
      </c>
      <c r="B383" s="108" t="str">
        <f t="shared" ref="B383:B446" si="33">IF(A383="","",IF(periods_per_year=26,IF(A383=1,fpdate,B382+14),IF(periods_per_year=52,IF(A383=1,fpdate,B382+7),IF(periods_per_year=24,IF(A383=1,fpdate,IF(fpdate=EOMONTH(fpdate,0),IF(ISODD(A383),EOMONTH(EDATE(fpdate,(A383-1)/2),0),EDATE(DATE(YEAR(fpdate),MONTH(fpdate)+1,15),(A383-1)/2)),IF(DAY(fpdate)=15,IF(ISODD(A383),EDATE(fpdate,(A383-1)/2),EOMONTH(EDATE(fpdate,(A383-1)/2),0)),IF(DAY(fpdate)&lt;=14,IF(ISODD(A383),EDATE(fpdate,(A383-1)/2),EDATE(MIN(fpdate+15,EOMONTH(fpdate,0)),(A383-1)/2)),EDATE(IF(ISODD(A383),fpdate,fpdate-15),A383/2))))),IF(A383=1,fpdate,EDATE(fpdate,months_per_period*(A383-1)))))))</f>
        <v/>
      </c>
      <c r="C383" s="109" t="str">
        <f t="shared" ref="C383:C446" si="34">IF(A383="","",IF(roundOpt,IF(OR(A383=nper,payment&gt;ROUND((1+rate)*H382,2)),ROUND((1+rate)*H382,2),payment),IF(OR(A383=nper,payment&gt;(1+rate)*H382),(1+rate)*H382,payment)))</f>
        <v/>
      </c>
      <c r="D383" s="111"/>
      <c r="E383" s="106"/>
      <c r="F383" s="106" t="str">
        <f t="shared" ref="F383:F446" si="35">IF(A383="","",IF(AND(A383=1,pmtType=1),0,IF(roundOpt,ROUND(rate*H382,2),rate*H382)))</f>
        <v/>
      </c>
      <c r="G383" s="106" t="str">
        <f t="shared" ref="G383:G446" si="36">IF(A383="","",C383-F383+D383)</f>
        <v/>
      </c>
      <c r="H383" s="106" t="str">
        <f t="shared" ref="H383:H446" si="37">IF(A383="","",H382-G383)</f>
        <v/>
      </c>
    </row>
    <row r="384" spans="1:8" x14ac:dyDescent="0.2">
      <c r="A384" s="104" t="str">
        <f t="shared" si="32"/>
        <v/>
      </c>
      <c r="B384" s="108" t="str">
        <f t="shared" si="33"/>
        <v/>
      </c>
      <c r="C384" s="109" t="str">
        <f t="shared" si="34"/>
        <v/>
      </c>
      <c r="D384" s="111"/>
      <c r="E384" s="106"/>
      <c r="F384" s="106" t="str">
        <f t="shared" si="35"/>
        <v/>
      </c>
      <c r="G384" s="106" t="str">
        <f t="shared" si="36"/>
        <v/>
      </c>
      <c r="H384" s="106" t="str">
        <f t="shared" si="37"/>
        <v/>
      </c>
    </row>
    <row r="385" spans="1:8" x14ac:dyDescent="0.2">
      <c r="A385" s="104" t="str">
        <f t="shared" si="32"/>
        <v/>
      </c>
      <c r="B385" s="108" t="str">
        <f t="shared" si="33"/>
        <v/>
      </c>
      <c r="C385" s="109" t="str">
        <f t="shared" si="34"/>
        <v/>
      </c>
      <c r="D385" s="111"/>
      <c r="E385" s="106"/>
      <c r="F385" s="106" t="str">
        <f t="shared" si="35"/>
        <v/>
      </c>
      <c r="G385" s="106" t="str">
        <f t="shared" si="36"/>
        <v/>
      </c>
      <c r="H385" s="106" t="str">
        <f t="shared" si="37"/>
        <v/>
      </c>
    </row>
    <row r="386" spans="1:8" x14ac:dyDescent="0.2">
      <c r="A386" s="104" t="str">
        <f t="shared" si="32"/>
        <v/>
      </c>
      <c r="B386" s="108" t="str">
        <f t="shared" si="33"/>
        <v/>
      </c>
      <c r="C386" s="109" t="str">
        <f t="shared" si="34"/>
        <v/>
      </c>
      <c r="D386" s="111"/>
      <c r="E386" s="106"/>
      <c r="F386" s="106" t="str">
        <f t="shared" si="35"/>
        <v/>
      </c>
      <c r="G386" s="106" t="str">
        <f t="shared" si="36"/>
        <v/>
      </c>
      <c r="H386" s="106" t="str">
        <f t="shared" si="37"/>
        <v/>
      </c>
    </row>
    <row r="387" spans="1:8" x14ac:dyDescent="0.2">
      <c r="A387" s="104" t="str">
        <f t="shared" si="32"/>
        <v/>
      </c>
      <c r="B387" s="108" t="str">
        <f t="shared" si="33"/>
        <v/>
      </c>
      <c r="C387" s="109" t="str">
        <f t="shared" si="34"/>
        <v/>
      </c>
      <c r="D387" s="111"/>
      <c r="E387" s="106"/>
      <c r="F387" s="106" t="str">
        <f t="shared" si="35"/>
        <v/>
      </c>
      <c r="G387" s="106" t="str">
        <f t="shared" si="36"/>
        <v/>
      </c>
      <c r="H387" s="106" t="str">
        <f t="shared" si="37"/>
        <v/>
      </c>
    </row>
    <row r="388" spans="1:8" x14ac:dyDescent="0.2">
      <c r="A388" s="104" t="str">
        <f t="shared" si="32"/>
        <v/>
      </c>
      <c r="B388" s="108" t="str">
        <f t="shared" si="33"/>
        <v/>
      </c>
      <c r="C388" s="109" t="str">
        <f t="shared" si="34"/>
        <v/>
      </c>
      <c r="D388" s="111"/>
      <c r="E388" s="106"/>
      <c r="F388" s="106" t="str">
        <f t="shared" si="35"/>
        <v/>
      </c>
      <c r="G388" s="106" t="str">
        <f t="shared" si="36"/>
        <v/>
      </c>
      <c r="H388" s="106" t="str">
        <f t="shared" si="37"/>
        <v/>
      </c>
    </row>
    <row r="389" spans="1:8" x14ac:dyDescent="0.2">
      <c r="A389" s="104" t="str">
        <f t="shared" si="32"/>
        <v/>
      </c>
      <c r="B389" s="108" t="str">
        <f t="shared" si="33"/>
        <v/>
      </c>
      <c r="C389" s="109" t="str">
        <f t="shared" si="34"/>
        <v/>
      </c>
      <c r="D389" s="111"/>
      <c r="E389" s="106"/>
      <c r="F389" s="106" t="str">
        <f t="shared" si="35"/>
        <v/>
      </c>
      <c r="G389" s="106" t="str">
        <f t="shared" si="36"/>
        <v/>
      </c>
      <c r="H389" s="106" t="str">
        <f t="shared" si="37"/>
        <v/>
      </c>
    </row>
    <row r="390" spans="1:8" x14ac:dyDescent="0.2">
      <c r="A390" s="104" t="str">
        <f t="shared" si="32"/>
        <v/>
      </c>
      <c r="B390" s="108" t="str">
        <f t="shared" si="33"/>
        <v/>
      </c>
      <c r="C390" s="109" t="str">
        <f t="shared" si="34"/>
        <v/>
      </c>
      <c r="D390" s="111"/>
      <c r="E390" s="106"/>
      <c r="F390" s="106" t="str">
        <f t="shared" si="35"/>
        <v/>
      </c>
      <c r="G390" s="106" t="str">
        <f t="shared" si="36"/>
        <v/>
      </c>
      <c r="H390" s="106" t="str">
        <f t="shared" si="37"/>
        <v/>
      </c>
    </row>
    <row r="391" spans="1:8" x14ac:dyDescent="0.2">
      <c r="A391" s="104" t="str">
        <f t="shared" si="32"/>
        <v/>
      </c>
      <c r="B391" s="108" t="str">
        <f t="shared" si="33"/>
        <v/>
      </c>
      <c r="C391" s="109" t="str">
        <f t="shared" si="34"/>
        <v/>
      </c>
      <c r="D391" s="111"/>
      <c r="E391" s="106"/>
      <c r="F391" s="106" t="str">
        <f t="shared" si="35"/>
        <v/>
      </c>
      <c r="G391" s="106" t="str">
        <f t="shared" si="36"/>
        <v/>
      </c>
      <c r="H391" s="106" t="str">
        <f t="shared" si="37"/>
        <v/>
      </c>
    </row>
    <row r="392" spans="1:8" x14ac:dyDescent="0.2">
      <c r="A392" s="104" t="str">
        <f t="shared" si="32"/>
        <v/>
      </c>
      <c r="B392" s="108" t="str">
        <f t="shared" si="33"/>
        <v/>
      </c>
      <c r="C392" s="109" t="str">
        <f t="shared" si="34"/>
        <v/>
      </c>
      <c r="D392" s="111"/>
      <c r="E392" s="106"/>
      <c r="F392" s="106" t="str">
        <f t="shared" si="35"/>
        <v/>
      </c>
      <c r="G392" s="106" t="str">
        <f t="shared" si="36"/>
        <v/>
      </c>
      <c r="H392" s="106" t="str">
        <f t="shared" si="37"/>
        <v/>
      </c>
    </row>
    <row r="393" spans="1:8" x14ac:dyDescent="0.2">
      <c r="A393" s="104" t="str">
        <f t="shared" si="32"/>
        <v/>
      </c>
      <c r="B393" s="108" t="str">
        <f t="shared" si="33"/>
        <v/>
      </c>
      <c r="C393" s="109" t="str">
        <f t="shared" si="34"/>
        <v/>
      </c>
      <c r="D393" s="111"/>
      <c r="E393" s="106"/>
      <c r="F393" s="106" t="str">
        <f t="shared" si="35"/>
        <v/>
      </c>
      <c r="G393" s="106" t="str">
        <f t="shared" si="36"/>
        <v/>
      </c>
      <c r="H393" s="106" t="str">
        <f t="shared" si="37"/>
        <v/>
      </c>
    </row>
    <row r="394" spans="1:8" x14ac:dyDescent="0.2">
      <c r="A394" s="104" t="str">
        <f t="shared" si="32"/>
        <v/>
      </c>
      <c r="B394" s="108" t="str">
        <f t="shared" si="33"/>
        <v/>
      </c>
      <c r="C394" s="109" t="str">
        <f t="shared" si="34"/>
        <v/>
      </c>
      <c r="D394" s="111"/>
      <c r="E394" s="106"/>
      <c r="F394" s="106" t="str">
        <f t="shared" si="35"/>
        <v/>
      </c>
      <c r="G394" s="106" t="str">
        <f t="shared" si="36"/>
        <v/>
      </c>
      <c r="H394" s="106" t="str">
        <f t="shared" si="37"/>
        <v/>
      </c>
    </row>
    <row r="395" spans="1:8" x14ac:dyDescent="0.2">
      <c r="A395" s="104" t="str">
        <f t="shared" si="32"/>
        <v/>
      </c>
      <c r="B395" s="108" t="str">
        <f t="shared" si="33"/>
        <v/>
      </c>
      <c r="C395" s="109" t="str">
        <f t="shared" si="34"/>
        <v/>
      </c>
      <c r="D395" s="111"/>
      <c r="E395" s="106"/>
      <c r="F395" s="106" t="str">
        <f t="shared" si="35"/>
        <v/>
      </c>
      <c r="G395" s="106" t="str">
        <f t="shared" si="36"/>
        <v/>
      </c>
      <c r="H395" s="106" t="str">
        <f t="shared" si="37"/>
        <v/>
      </c>
    </row>
    <row r="396" spans="1:8" x14ac:dyDescent="0.2">
      <c r="A396" s="104" t="str">
        <f t="shared" si="32"/>
        <v/>
      </c>
      <c r="B396" s="108" t="str">
        <f t="shared" si="33"/>
        <v/>
      </c>
      <c r="C396" s="109" t="str">
        <f t="shared" si="34"/>
        <v/>
      </c>
      <c r="D396" s="111"/>
      <c r="E396" s="106"/>
      <c r="F396" s="106" t="str">
        <f t="shared" si="35"/>
        <v/>
      </c>
      <c r="G396" s="106" t="str">
        <f t="shared" si="36"/>
        <v/>
      </c>
      <c r="H396" s="106" t="str">
        <f t="shared" si="37"/>
        <v/>
      </c>
    </row>
    <row r="397" spans="1:8" x14ac:dyDescent="0.2">
      <c r="A397" s="104" t="str">
        <f t="shared" si="32"/>
        <v/>
      </c>
      <c r="B397" s="108" t="str">
        <f t="shared" si="33"/>
        <v/>
      </c>
      <c r="C397" s="109" t="str">
        <f t="shared" si="34"/>
        <v/>
      </c>
      <c r="D397" s="111"/>
      <c r="E397" s="106"/>
      <c r="F397" s="106" t="str">
        <f t="shared" si="35"/>
        <v/>
      </c>
      <c r="G397" s="106" t="str">
        <f t="shared" si="36"/>
        <v/>
      </c>
      <c r="H397" s="106" t="str">
        <f t="shared" si="37"/>
        <v/>
      </c>
    </row>
    <row r="398" spans="1:8" x14ac:dyDescent="0.2">
      <c r="A398" s="104" t="str">
        <f t="shared" si="32"/>
        <v/>
      </c>
      <c r="B398" s="108" t="str">
        <f t="shared" si="33"/>
        <v/>
      </c>
      <c r="C398" s="109" t="str">
        <f t="shared" si="34"/>
        <v/>
      </c>
      <c r="D398" s="111"/>
      <c r="E398" s="106"/>
      <c r="F398" s="106" t="str">
        <f t="shared" si="35"/>
        <v/>
      </c>
      <c r="G398" s="106" t="str">
        <f t="shared" si="36"/>
        <v/>
      </c>
      <c r="H398" s="106" t="str">
        <f t="shared" si="37"/>
        <v/>
      </c>
    </row>
    <row r="399" spans="1:8" x14ac:dyDescent="0.2">
      <c r="A399" s="104" t="str">
        <f t="shared" si="32"/>
        <v/>
      </c>
      <c r="B399" s="108" t="str">
        <f t="shared" si="33"/>
        <v/>
      </c>
      <c r="C399" s="109" t="str">
        <f t="shared" si="34"/>
        <v/>
      </c>
      <c r="D399" s="111"/>
      <c r="E399" s="106"/>
      <c r="F399" s="106" t="str">
        <f t="shared" si="35"/>
        <v/>
      </c>
      <c r="G399" s="106" t="str">
        <f t="shared" si="36"/>
        <v/>
      </c>
      <c r="H399" s="106" t="str">
        <f t="shared" si="37"/>
        <v/>
      </c>
    </row>
    <row r="400" spans="1:8" x14ac:dyDescent="0.2">
      <c r="A400" s="104" t="str">
        <f t="shared" si="32"/>
        <v/>
      </c>
      <c r="B400" s="108" t="str">
        <f t="shared" si="33"/>
        <v/>
      </c>
      <c r="C400" s="109" t="str">
        <f t="shared" si="34"/>
        <v/>
      </c>
      <c r="D400" s="111"/>
      <c r="E400" s="106"/>
      <c r="F400" s="106" t="str">
        <f t="shared" si="35"/>
        <v/>
      </c>
      <c r="G400" s="106" t="str">
        <f t="shared" si="36"/>
        <v/>
      </c>
      <c r="H400" s="106" t="str">
        <f t="shared" si="37"/>
        <v/>
      </c>
    </row>
    <row r="401" spans="1:8" x14ac:dyDescent="0.2">
      <c r="A401" s="104" t="str">
        <f t="shared" si="32"/>
        <v/>
      </c>
      <c r="B401" s="108" t="str">
        <f t="shared" si="33"/>
        <v/>
      </c>
      <c r="C401" s="109" t="str">
        <f t="shared" si="34"/>
        <v/>
      </c>
      <c r="D401" s="111"/>
      <c r="E401" s="106"/>
      <c r="F401" s="106" t="str">
        <f t="shared" si="35"/>
        <v/>
      </c>
      <c r="G401" s="106" t="str">
        <f t="shared" si="36"/>
        <v/>
      </c>
      <c r="H401" s="106" t="str">
        <f t="shared" si="37"/>
        <v/>
      </c>
    </row>
    <row r="402" spans="1:8" x14ac:dyDescent="0.2">
      <c r="A402" s="104" t="str">
        <f t="shared" si="32"/>
        <v/>
      </c>
      <c r="B402" s="108" t="str">
        <f t="shared" si="33"/>
        <v/>
      </c>
      <c r="C402" s="109" t="str">
        <f t="shared" si="34"/>
        <v/>
      </c>
      <c r="D402" s="111"/>
      <c r="E402" s="106"/>
      <c r="F402" s="106" t="str">
        <f t="shared" si="35"/>
        <v/>
      </c>
      <c r="G402" s="106" t="str">
        <f t="shared" si="36"/>
        <v/>
      </c>
      <c r="H402" s="106" t="str">
        <f t="shared" si="37"/>
        <v/>
      </c>
    </row>
    <row r="403" spans="1:8" x14ac:dyDescent="0.2">
      <c r="A403" s="104" t="str">
        <f t="shared" si="32"/>
        <v/>
      </c>
      <c r="B403" s="108" t="str">
        <f t="shared" si="33"/>
        <v/>
      </c>
      <c r="C403" s="109" t="str">
        <f t="shared" si="34"/>
        <v/>
      </c>
      <c r="D403" s="111"/>
      <c r="E403" s="106"/>
      <c r="F403" s="106" t="str">
        <f t="shared" si="35"/>
        <v/>
      </c>
      <c r="G403" s="106" t="str">
        <f t="shared" si="36"/>
        <v/>
      </c>
      <c r="H403" s="106" t="str">
        <f t="shared" si="37"/>
        <v/>
      </c>
    </row>
    <row r="404" spans="1:8" x14ac:dyDescent="0.2">
      <c r="A404" s="104" t="str">
        <f t="shared" si="32"/>
        <v/>
      </c>
      <c r="B404" s="108" t="str">
        <f t="shared" si="33"/>
        <v/>
      </c>
      <c r="C404" s="109" t="str">
        <f t="shared" si="34"/>
        <v/>
      </c>
      <c r="D404" s="111"/>
      <c r="E404" s="106"/>
      <c r="F404" s="106" t="str">
        <f t="shared" si="35"/>
        <v/>
      </c>
      <c r="G404" s="106" t="str">
        <f t="shared" si="36"/>
        <v/>
      </c>
      <c r="H404" s="106" t="str">
        <f t="shared" si="37"/>
        <v/>
      </c>
    </row>
    <row r="405" spans="1:8" x14ac:dyDescent="0.2">
      <c r="A405" s="104" t="str">
        <f t="shared" si="32"/>
        <v/>
      </c>
      <c r="B405" s="108" t="str">
        <f t="shared" si="33"/>
        <v/>
      </c>
      <c r="C405" s="109" t="str">
        <f t="shared" si="34"/>
        <v/>
      </c>
      <c r="D405" s="111"/>
      <c r="E405" s="106"/>
      <c r="F405" s="106" t="str">
        <f t="shared" si="35"/>
        <v/>
      </c>
      <c r="G405" s="106" t="str">
        <f t="shared" si="36"/>
        <v/>
      </c>
      <c r="H405" s="106" t="str">
        <f t="shared" si="37"/>
        <v/>
      </c>
    </row>
    <row r="406" spans="1:8" x14ac:dyDescent="0.2">
      <c r="A406" s="104" t="str">
        <f t="shared" si="32"/>
        <v/>
      </c>
      <c r="B406" s="108" t="str">
        <f t="shared" si="33"/>
        <v/>
      </c>
      <c r="C406" s="109" t="str">
        <f t="shared" si="34"/>
        <v/>
      </c>
      <c r="D406" s="111"/>
      <c r="E406" s="106"/>
      <c r="F406" s="106" t="str">
        <f t="shared" si="35"/>
        <v/>
      </c>
      <c r="G406" s="106" t="str">
        <f t="shared" si="36"/>
        <v/>
      </c>
      <c r="H406" s="106" t="str">
        <f t="shared" si="37"/>
        <v/>
      </c>
    </row>
    <row r="407" spans="1:8" x14ac:dyDescent="0.2">
      <c r="A407" s="104" t="str">
        <f t="shared" si="32"/>
        <v/>
      </c>
      <c r="B407" s="108" t="str">
        <f t="shared" si="33"/>
        <v/>
      </c>
      <c r="C407" s="109" t="str">
        <f t="shared" si="34"/>
        <v/>
      </c>
      <c r="D407" s="111"/>
      <c r="E407" s="106"/>
      <c r="F407" s="106" t="str">
        <f t="shared" si="35"/>
        <v/>
      </c>
      <c r="G407" s="106" t="str">
        <f t="shared" si="36"/>
        <v/>
      </c>
      <c r="H407" s="106" t="str">
        <f t="shared" si="37"/>
        <v/>
      </c>
    </row>
    <row r="408" spans="1:8" x14ac:dyDescent="0.2">
      <c r="A408" s="104" t="str">
        <f t="shared" si="32"/>
        <v/>
      </c>
      <c r="B408" s="108" t="str">
        <f t="shared" si="33"/>
        <v/>
      </c>
      <c r="C408" s="109" t="str">
        <f t="shared" si="34"/>
        <v/>
      </c>
      <c r="D408" s="111"/>
      <c r="E408" s="106"/>
      <c r="F408" s="106" t="str">
        <f t="shared" si="35"/>
        <v/>
      </c>
      <c r="G408" s="106" t="str">
        <f t="shared" si="36"/>
        <v/>
      </c>
      <c r="H408" s="106" t="str">
        <f t="shared" si="37"/>
        <v/>
      </c>
    </row>
    <row r="409" spans="1:8" x14ac:dyDescent="0.2">
      <c r="A409" s="104" t="str">
        <f t="shared" si="32"/>
        <v/>
      </c>
      <c r="B409" s="108" t="str">
        <f t="shared" si="33"/>
        <v/>
      </c>
      <c r="C409" s="109" t="str">
        <f t="shared" si="34"/>
        <v/>
      </c>
      <c r="D409" s="111"/>
      <c r="E409" s="106"/>
      <c r="F409" s="106" t="str">
        <f t="shared" si="35"/>
        <v/>
      </c>
      <c r="G409" s="106" t="str">
        <f t="shared" si="36"/>
        <v/>
      </c>
      <c r="H409" s="106" t="str">
        <f t="shared" si="37"/>
        <v/>
      </c>
    </row>
    <row r="410" spans="1:8" x14ac:dyDescent="0.2">
      <c r="A410" s="104" t="str">
        <f t="shared" si="32"/>
        <v/>
      </c>
      <c r="B410" s="108" t="str">
        <f t="shared" si="33"/>
        <v/>
      </c>
      <c r="C410" s="109" t="str">
        <f t="shared" si="34"/>
        <v/>
      </c>
      <c r="D410" s="111"/>
      <c r="E410" s="106"/>
      <c r="F410" s="106" t="str">
        <f t="shared" si="35"/>
        <v/>
      </c>
      <c r="G410" s="106" t="str">
        <f t="shared" si="36"/>
        <v/>
      </c>
      <c r="H410" s="106" t="str">
        <f t="shared" si="37"/>
        <v/>
      </c>
    </row>
    <row r="411" spans="1:8" x14ac:dyDescent="0.2">
      <c r="A411" s="104" t="str">
        <f t="shared" si="32"/>
        <v/>
      </c>
      <c r="B411" s="108" t="str">
        <f t="shared" si="33"/>
        <v/>
      </c>
      <c r="C411" s="109" t="str">
        <f t="shared" si="34"/>
        <v/>
      </c>
      <c r="D411" s="111"/>
      <c r="E411" s="106"/>
      <c r="F411" s="106" t="str">
        <f t="shared" si="35"/>
        <v/>
      </c>
      <c r="G411" s="106" t="str">
        <f t="shared" si="36"/>
        <v/>
      </c>
      <c r="H411" s="106" t="str">
        <f t="shared" si="37"/>
        <v/>
      </c>
    </row>
    <row r="412" spans="1:8" x14ac:dyDescent="0.2">
      <c r="A412" s="104" t="str">
        <f t="shared" si="32"/>
        <v/>
      </c>
      <c r="B412" s="108" t="str">
        <f t="shared" si="33"/>
        <v/>
      </c>
      <c r="C412" s="109" t="str">
        <f t="shared" si="34"/>
        <v/>
      </c>
      <c r="D412" s="111"/>
      <c r="E412" s="106"/>
      <c r="F412" s="106" t="str">
        <f t="shared" si="35"/>
        <v/>
      </c>
      <c r="G412" s="106" t="str">
        <f t="shared" si="36"/>
        <v/>
      </c>
      <c r="H412" s="106" t="str">
        <f t="shared" si="37"/>
        <v/>
      </c>
    </row>
    <row r="413" spans="1:8" x14ac:dyDescent="0.2">
      <c r="A413" s="104" t="str">
        <f t="shared" si="32"/>
        <v/>
      </c>
      <c r="B413" s="108" t="str">
        <f t="shared" si="33"/>
        <v/>
      </c>
      <c r="C413" s="109" t="str">
        <f t="shared" si="34"/>
        <v/>
      </c>
      <c r="D413" s="111"/>
      <c r="E413" s="106"/>
      <c r="F413" s="106" t="str">
        <f t="shared" si="35"/>
        <v/>
      </c>
      <c r="G413" s="106" t="str">
        <f t="shared" si="36"/>
        <v/>
      </c>
      <c r="H413" s="106" t="str">
        <f t="shared" si="37"/>
        <v/>
      </c>
    </row>
    <row r="414" spans="1:8" x14ac:dyDescent="0.2">
      <c r="A414" s="104" t="str">
        <f t="shared" si="32"/>
        <v/>
      </c>
      <c r="B414" s="108" t="str">
        <f t="shared" si="33"/>
        <v/>
      </c>
      <c r="C414" s="109" t="str">
        <f t="shared" si="34"/>
        <v/>
      </c>
      <c r="D414" s="111"/>
      <c r="E414" s="106"/>
      <c r="F414" s="106" t="str">
        <f t="shared" si="35"/>
        <v/>
      </c>
      <c r="G414" s="106" t="str">
        <f t="shared" si="36"/>
        <v/>
      </c>
      <c r="H414" s="106" t="str">
        <f t="shared" si="37"/>
        <v/>
      </c>
    </row>
    <row r="415" spans="1:8" x14ac:dyDescent="0.2">
      <c r="A415" s="104" t="str">
        <f t="shared" si="32"/>
        <v/>
      </c>
      <c r="B415" s="108" t="str">
        <f t="shared" si="33"/>
        <v/>
      </c>
      <c r="C415" s="109" t="str">
        <f t="shared" si="34"/>
        <v/>
      </c>
      <c r="D415" s="111"/>
      <c r="E415" s="106"/>
      <c r="F415" s="106" t="str">
        <f t="shared" si="35"/>
        <v/>
      </c>
      <c r="G415" s="106" t="str">
        <f t="shared" si="36"/>
        <v/>
      </c>
      <c r="H415" s="106" t="str">
        <f t="shared" si="37"/>
        <v/>
      </c>
    </row>
    <row r="416" spans="1:8" x14ac:dyDescent="0.2">
      <c r="A416" s="104" t="str">
        <f t="shared" si="32"/>
        <v/>
      </c>
      <c r="B416" s="108" t="str">
        <f t="shared" si="33"/>
        <v/>
      </c>
      <c r="C416" s="109" t="str">
        <f t="shared" si="34"/>
        <v/>
      </c>
      <c r="D416" s="111"/>
      <c r="E416" s="106"/>
      <c r="F416" s="106" t="str">
        <f t="shared" si="35"/>
        <v/>
      </c>
      <c r="G416" s="106" t="str">
        <f t="shared" si="36"/>
        <v/>
      </c>
      <c r="H416" s="106" t="str">
        <f t="shared" si="37"/>
        <v/>
      </c>
    </row>
    <row r="417" spans="1:8" x14ac:dyDescent="0.2">
      <c r="A417" s="104" t="str">
        <f t="shared" si="32"/>
        <v/>
      </c>
      <c r="B417" s="108" t="str">
        <f t="shared" si="33"/>
        <v/>
      </c>
      <c r="C417" s="109" t="str">
        <f t="shared" si="34"/>
        <v/>
      </c>
      <c r="D417" s="111"/>
      <c r="E417" s="106"/>
      <c r="F417" s="106" t="str">
        <f t="shared" si="35"/>
        <v/>
      </c>
      <c r="G417" s="106" t="str">
        <f t="shared" si="36"/>
        <v/>
      </c>
      <c r="H417" s="106" t="str">
        <f t="shared" si="37"/>
        <v/>
      </c>
    </row>
    <row r="418" spans="1:8" x14ac:dyDescent="0.2">
      <c r="A418" s="104" t="str">
        <f t="shared" si="32"/>
        <v/>
      </c>
      <c r="B418" s="108" t="str">
        <f t="shared" si="33"/>
        <v/>
      </c>
      <c r="C418" s="109" t="str">
        <f t="shared" si="34"/>
        <v/>
      </c>
      <c r="D418" s="111"/>
      <c r="E418" s="106"/>
      <c r="F418" s="106" t="str">
        <f t="shared" si="35"/>
        <v/>
      </c>
      <c r="G418" s="106" t="str">
        <f t="shared" si="36"/>
        <v/>
      </c>
      <c r="H418" s="106" t="str">
        <f t="shared" si="37"/>
        <v/>
      </c>
    </row>
    <row r="419" spans="1:8" x14ac:dyDescent="0.2">
      <c r="A419" s="104" t="str">
        <f t="shared" si="32"/>
        <v/>
      </c>
      <c r="B419" s="108" t="str">
        <f t="shared" si="33"/>
        <v/>
      </c>
      <c r="C419" s="109" t="str">
        <f t="shared" si="34"/>
        <v/>
      </c>
      <c r="D419" s="111"/>
      <c r="E419" s="106"/>
      <c r="F419" s="106" t="str">
        <f t="shared" si="35"/>
        <v/>
      </c>
      <c r="G419" s="106" t="str">
        <f t="shared" si="36"/>
        <v/>
      </c>
      <c r="H419" s="106" t="str">
        <f t="shared" si="37"/>
        <v/>
      </c>
    </row>
    <row r="420" spans="1:8" x14ac:dyDescent="0.2">
      <c r="A420" s="104" t="str">
        <f t="shared" si="32"/>
        <v/>
      </c>
      <c r="B420" s="108" t="str">
        <f t="shared" si="33"/>
        <v/>
      </c>
      <c r="C420" s="109" t="str">
        <f t="shared" si="34"/>
        <v/>
      </c>
      <c r="D420" s="111"/>
      <c r="E420" s="106"/>
      <c r="F420" s="106" t="str">
        <f t="shared" si="35"/>
        <v/>
      </c>
      <c r="G420" s="106" t="str">
        <f t="shared" si="36"/>
        <v/>
      </c>
      <c r="H420" s="106" t="str">
        <f t="shared" si="37"/>
        <v/>
      </c>
    </row>
    <row r="421" spans="1:8" x14ac:dyDescent="0.2">
      <c r="A421" s="104" t="str">
        <f t="shared" si="32"/>
        <v/>
      </c>
      <c r="B421" s="108" t="str">
        <f t="shared" si="33"/>
        <v/>
      </c>
      <c r="C421" s="109" t="str">
        <f t="shared" si="34"/>
        <v/>
      </c>
      <c r="D421" s="111"/>
      <c r="E421" s="106"/>
      <c r="F421" s="106" t="str">
        <f t="shared" si="35"/>
        <v/>
      </c>
      <c r="G421" s="106" t="str">
        <f t="shared" si="36"/>
        <v/>
      </c>
      <c r="H421" s="106" t="str">
        <f t="shared" si="37"/>
        <v/>
      </c>
    </row>
    <row r="422" spans="1:8" x14ac:dyDescent="0.2">
      <c r="A422" s="104" t="str">
        <f t="shared" si="32"/>
        <v/>
      </c>
      <c r="B422" s="108" t="str">
        <f t="shared" si="33"/>
        <v/>
      </c>
      <c r="C422" s="109" t="str">
        <f t="shared" si="34"/>
        <v/>
      </c>
      <c r="D422" s="111"/>
      <c r="E422" s="106"/>
      <c r="F422" s="106" t="str">
        <f t="shared" si="35"/>
        <v/>
      </c>
      <c r="G422" s="106" t="str">
        <f t="shared" si="36"/>
        <v/>
      </c>
      <c r="H422" s="106" t="str">
        <f t="shared" si="37"/>
        <v/>
      </c>
    </row>
    <row r="423" spans="1:8" x14ac:dyDescent="0.2">
      <c r="A423" s="104" t="str">
        <f t="shared" si="32"/>
        <v/>
      </c>
      <c r="B423" s="108" t="str">
        <f t="shared" si="33"/>
        <v/>
      </c>
      <c r="C423" s="109" t="str">
        <f t="shared" si="34"/>
        <v/>
      </c>
      <c r="D423" s="111"/>
      <c r="E423" s="106"/>
      <c r="F423" s="106" t="str">
        <f t="shared" si="35"/>
        <v/>
      </c>
      <c r="G423" s="106" t="str">
        <f t="shared" si="36"/>
        <v/>
      </c>
      <c r="H423" s="106" t="str">
        <f t="shared" si="37"/>
        <v/>
      </c>
    </row>
    <row r="424" spans="1:8" x14ac:dyDescent="0.2">
      <c r="A424" s="104" t="str">
        <f t="shared" si="32"/>
        <v/>
      </c>
      <c r="B424" s="108" t="str">
        <f t="shared" si="33"/>
        <v/>
      </c>
      <c r="C424" s="109" t="str">
        <f t="shared" si="34"/>
        <v/>
      </c>
      <c r="D424" s="111"/>
      <c r="E424" s="106"/>
      <c r="F424" s="106" t="str">
        <f t="shared" si="35"/>
        <v/>
      </c>
      <c r="G424" s="106" t="str">
        <f t="shared" si="36"/>
        <v/>
      </c>
      <c r="H424" s="106" t="str">
        <f t="shared" si="37"/>
        <v/>
      </c>
    </row>
    <row r="425" spans="1:8" x14ac:dyDescent="0.2">
      <c r="A425" s="104" t="str">
        <f t="shared" si="32"/>
        <v/>
      </c>
      <c r="B425" s="108" t="str">
        <f t="shared" si="33"/>
        <v/>
      </c>
      <c r="C425" s="109" t="str">
        <f t="shared" si="34"/>
        <v/>
      </c>
      <c r="D425" s="111"/>
      <c r="E425" s="106"/>
      <c r="F425" s="106" t="str">
        <f t="shared" si="35"/>
        <v/>
      </c>
      <c r="G425" s="106" t="str">
        <f t="shared" si="36"/>
        <v/>
      </c>
      <c r="H425" s="106" t="str">
        <f t="shared" si="37"/>
        <v/>
      </c>
    </row>
    <row r="426" spans="1:8" x14ac:dyDescent="0.2">
      <c r="A426" s="104" t="str">
        <f t="shared" si="32"/>
        <v/>
      </c>
      <c r="B426" s="108" t="str">
        <f t="shared" si="33"/>
        <v/>
      </c>
      <c r="C426" s="109" t="str">
        <f t="shared" si="34"/>
        <v/>
      </c>
      <c r="D426" s="111"/>
      <c r="E426" s="106"/>
      <c r="F426" s="106" t="str">
        <f t="shared" si="35"/>
        <v/>
      </c>
      <c r="G426" s="106" t="str">
        <f t="shared" si="36"/>
        <v/>
      </c>
      <c r="H426" s="106" t="str">
        <f t="shared" si="37"/>
        <v/>
      </c>
    </row>
    <row r="427" spans="1:8" x14ac:dyDescent="0.2">
      <c r="A427" s="104" t="str">
        <f t="shared" si="32"/>
        <v/>
      </c>
      <c r="B427" s="108" t="str">
        <f t="shared" si="33"/>
        <v/>
      </c>
      <c r="C427" s="109" t="str">
        <f t="shared" si="34"/>
        <v/>
      </c>
      <c r="D427" s="111"/>
      <c r="E427" s="106"/>
      <c r="F427" s="106" t="str">
        <f t="shared" si="35"/>
        <v/>
      </c>
      <c r="G427" s="106" t="str">
        <f t="shared" si="36"/>
        <v/>
      </c>
      <c r="H427" s="106" t="str">
        <f t="shared" si="37"/>
        <v/>
      </c>
    </row>
    <row r="428" spans="1:8" x14ac:dyDescent="0.2">
      <c r="A428" s="104" t="str">
        <f t="shared" si="32"/>
        <v/>
      </c>
      <c r="B428" s="108" t="str">
        <f t="shared" si="33"/>
        <v/>
      </c>
      <c r="C428" s="109" t="str">
        <f t="shared" si="34"/>
        <v/>
      </c>
      <c r="D428" s="111"/>
      <c r="E428" s="106"/>
      <c r="F428" s="106" t="str">
        <f t="shared" si="35"/>
        <v/>
      </c>
      <c r="G428" s="106" t="str">
        <f t="shared" si="36"/>
        <v/>
      </c>
      <c r="H428" s="106" t="str">
        <f t="shared" si="37"/>
        <v/>
      </c>
    </row>
    <row r="429" spans="1:8" x14ac:dyDescent="0.2">
      <c r="A429" s="104" t="str">
        <f t="shared" si="32"/>
        <v/>
      </c>
      <c r="B429" s="108" t="str">
        <f t="shared" si="33"/>
        <v/>
      </c>
      <c r="C429" s="109" t="str">
        <f t="shared" si="34"/>
        <v/>
      </c>
      <c r="D429" s="111"/>
      <c r="E429" s="106"/>
      <c r="F429" s="106" t="str">
        <f t="shared" si="35"/>
        <v/>
      </c>
      <c r="G429" s="106" t="str">
        <f t="shared" si="36"/>
        <v/>
      </c>
      <c r="H429" s="106" t="str">
        <f t="shared" si="37"/>
        <v/>
      </c>
    </row>
    <row r="430" spans="1:8" x14ac:dyDescent="0.2">
      <c r="A430" s="104" t="str">
        <f t="shared" si="32"/>
        <v/>
      </c>
      <c r="B430" s="108" t="str">
        <f t="shared" si="33"/>
        <v/>
      </c>
      <c r="C430" s="109" t="str">
        <f t="shared" si="34"/>
        <v/>
      </c>
      <c r="D430" s="111"/>
      <c r="E430" s="106"/>
      <c r="F430" s="106" t="str">
        <f t="shared" si="35"/>
        <v/>
      </c>
      <c r="G430" s="106" t="str">
        <f t="shared" si="36"/>
        <v/>
      </c>
      <c r="H430" s="106" t="str">
        <f t="shared" si="37"/>
        <v/>
      </c>
    </row>
    <row r="431" spans="1:8" x14ac:dyDescent="0.2">
      <c r="A431" s="104" t="str">
        <f t="shared" si="32"/>
        <v/>
      </c>
      <c r="B431" s="108" t="str">
        <f t="shared" si="33"/>
        <v/>
      </c>
      <c r="C431" s="109" t="str">
        <f t="shared" si="34"/>
        <v/>
      </c>
      <c r="D431" s="111"/>
      <c r="E431" s="106"/>
      <c r="F431" s="106" t="str">
        <f t="shared" si="35"/>
        <v/>
      </c>
      <c r="G431" s="106" t="str">
        <f t="shared" si="36"/>
        <v/>
      </c>
      <c r="H431" s="106" t="str">
        <f t="shared" si="37"/>
        <v/>
      </c>
    </row>
    <row r="432" spans="1:8" x14ac:dyDescent="0.2">
      <c r="A432" s="104" t="str">
        <f t="shared" si="32"/>
        <v/>
      </c>
      <c r="B432" s="108" t="str">
        <f t="shared" si="33"/>
        <v/>
      </c>
      <c r="C432" s="109" t="str">
        <f t="shared" si="34"/>
        <v/>
      </c>
      <c r="D432" s="111"/>
      <c r="E432" s="106"/>
      <c r="F432" s="106" t="str">
        <f t="shared" si="35"/>
        <v/>
      </c>
      <c r="G432" s="106" t="str">
        <f t="shared" si="36"/>
        <v/>
      </c>
      <c r="H432" s="106" t="str">
        <f t="shared" si="37"/>
        <v/>
      </c>
    </row>
    <row r="433" spans="1:8" x14ac:dyDescent="0.2">
      <c r="A433" s="104" t="str">
        <f t="shared" si="32"/>
        <v/>
      </c>
      <c r="B433" s="108" t="str">
        <f t="shared" si="33"/>
        <v/>
      </c>
      <c r="C433" s="109" t="str">
        <f t="shared" si="34"/>
        <v/>
      </c>
      <c r="D433" s="111"/>
      <c r="E433" s="106"/>
      <c r="F433" s="106" t="str">
        <f t="shared" si="35"/>
        <v/>
      </c>
      <c r="G433" s="106" t="str">
        <f t="shared" si="36"/>
        <v/>
      </c>
      <c r="H433" s="106" t="str">
        <f t="shared" si="37"/>
        <v/>
      </c>
    </row>
    <row r="434" spans="1:8" x14ac:dyDescent="0.2">
      <c r="A434" s="104" t="str">
        <f t="shared" si="32"/>
        <v/>
      </c>
      <c r="B434" s="108" t="str">
        <f t="shared" si="33"/>
        <v/>
      </c>
      <c r="C434" s="109" t="str">
        <f t="shared" si="34"/>
        <v/>
      </c>
      <c r="D434" s="111"/>
      <c r="E434" s="106"/>
      <c r="F434" s="106" t="str">
        <f t="shared" si="35"/>
        <v/>
      </c>
      <c r="G434" s="106" t="str">
        <f t="shared" si="36"/>
        <v/>
      </c>
      <c r="H434" s="106" t="str">
        <f t="shared" si="37"/>
        <v/>
      </c>
    </row>
    <row r="435" spans="1:8" x14ac:dyDescent="0.2">
      <c r="A435" s="104" t="str">
        <f t="shared" si="32"/>
        <v/>
      </c>
      <c r="B435" s="108" t="str">
        <f t="shared" si="33"/>
        <v/>
      </c>
      <c r="C435" s="109" t="str">
        <f t="shared" si="34"/>
        <v/>
      </c>
      <c r="D435" s="111"/>
      <c r="E435" s="106"/>
      <c r="F435" s="106" t="str">
        <f t="shared" si="35"/>
        <v/>
      </c>
      <c r="G435" s="106" t="str">
        <f t="shared" si="36"/>
        <v/>
      </c>
      <c r="H435" s="106" t="str">
        <f t="shared" si="37"/>
        <v/>
      </c>
    </row>
    <row r="436" spans="1:8" x14ac:dyDescent="0.2">
      <c r="A436" s="104" t="str">
        <f t="shared" si="32"/>
        <v/>
      </c>
      <c r="B436" s="108" t="str">
        <f t="shared" si="33"/>
        <v/>
      </c>
      <c r="C436" s="109" t="str">
        <f t="shared" si="34"/>
        <v/>
      </c>
      <c r="D436" s="111"/>
      <c r="E436" s="106"/>
      <c r="F436" s="106" t="str">
        <f t="shared" si="35"/>
        <v/>
      </c>
      <c r="G436" s="106" t="str">
        <f t="shared" si="36"/>
        <v/>
      </c>
      <c r="H436" s="106" t="str">
        <f t="shared" si="37"/>
        <v/>
      </c>
    </row>
    <row r="437" spans="1:8" x14ac:dyDescent="0.2">
      <c r="A437" s="104" t="str">
        <f t="shared" si="32"/>
        <v/>
      </c>
      <c r="B437" s="108" t="str">
        <f t="shared" si="33"/>
        <v/>
      </c>
      <c r="C437" s="109" t="str">
        <f t="shared" si="34"/>
        <v/>
      </c>
      <c r="D437" s="111"/>
      <c r="E437" s="106"/>
      <c r="F437" s="106" t="str">
        <f t="shared" si="35"/>
        <v/>
      </c>
      <c r="G437" s="106" t="str">
        <f t="shared" si="36"/>
        <v/>
      </c>
      <c r="H437" s="106" t="str">
        <f t="shared" si="37"/>
        <v/>
      </c>
    </row>
    <row r="438" spans="1:8" x14ac:dyDescent="0.2">
      <c r="A438" s="104" t="str">
        <f t="shared" si="32"/>
        <v/>
      </c>
      <c r="B438" s="108" t="str">
        <f t="shared" si="33"/>
        <v/>
      </c>
      <c r="C438" s="109" t="str">
        <f t="shared" si="34"/>
        <v/>
      </c>
      <c r="D438" s="111"/>
      <c r="E438" s="106"/>
      <c r="F438" s="106" t="str">
        <f t="shared" si="35"/>
        <v/>
      </c>
      <c r="G438" s="106" t="str">
        <f t="shared" si="36"/>
        <v/>
      </c>
      <c r="H438" s="106" t="str">
        <f t="shared" si="37"/>
        <v/>
      </c>
    </row>
    <row r="439" spans="1:8" x14ac:dyDescent="0.2">
      <c r="A439" s="104" t="str">
        <f t="shared" si="32"/>
        <v/>
      </c>
      <c r="B439" s="108" t="str">
        <f t="shared" si="33"/>
        <v/>
      </c>
      <c r="C439" s="109" t="str">
        <f t="shared" si="34"/>
        <v/>
      </c>
      <c r="D439" s="111"/>
      <c r="E439" s="106"/>
      <c r="F439" s="106" t="str">
        <f t="shared" si="35"/>
        <v/>
      </c>
      <c r="G439" s="106" t="str">
        <f t="shared" si="36"/>
        <v/>
      </c>
      <c r="H439" s="106" t="str">
        <f t="shared" si="37"/>
        <v/>
      </c>
    </row>
    <row r="440" spans="1:8" x14ac:dyDescent="0.2">
      <c r="A440" s="104" t="str">
        <f t="shared" si="32"/>
        <v/>
      </c>
      <c r="B440" s="108" t="str">
        <f t="shared" si="33"/>
        <v/>
      </c>
      <c r="C440" s="109" t="str">
        <f t="shared" si="34"/>
        <v/>
      </c>
      <c r="D440" s="111"/>
      <c r="E440" s="106"/>
      <c r="F440" s="106" t="str">
        <f t="shared" si="35"/>
        <v/>
      </c>
      <c r="G440" s="106" t="str">
        <f t="shared" si="36"/>
        <v/>
      </c>
      <c r="H440" s="106" t="str">
        <f t="shared" si="37"/>
        <v/>
      </c>
    </row>
    <row r="441" spans="1:8" x14ac:dyDescent="0.2">
      <c r="A441" s="104" t="str">
        <f t="shared" si="32"/>
        <v/>
      </c>
      <c r="B441" s="108" t="str">
        <f t="shared" si="33"/>
        <v/>
      </c>
      <c r="C441" s="109" t="str">
        <f t="shared" si="34"/>
        <v/>
      </c>
      <c r="D441" s="111"/>
      <c r="E441" s="106"/>
      <c r="F441" s="106" t="str">
        <f t="shared" si="35"/>
        <v/>
      </c>
      <c r="G441" s="106" t="str">
        <f t="shared" si="36"/>
        <v/>
      </c>
      <c r="H441" s="106" t="str">
        <f t="shared" si="37"/>
        <v/>
      </c>
    </row>
    <row r="442" spans="1:8" x14ac:dyDescent="0.2">
      <c r="A442" s="104" t="str">
        <f t="shared" si="32"/>
        <v/>
      </c>
      <c r="B442" s="108" t="str">
        <f t="shared" si="33"/>
        <v/>
      </c>
      <c r="C442" s="109" t="str">
        <f t="shared" si="34"/>
        <v/>
      </c>
      <c r="D442" s="111"/>
      <c r="E442" s="106"/>
      <c r="F442" s="106" t="str">
        <f t="shared" si="35"/>
        <v/>
      </c>
      <c r="G442" s="106" t="str">
        <f t="shared" si="36"/>
        <v/>
      </c>
      <c r="H442" s="106" t="str">
        <f t="shared" si="37"/>
        <v/>
      </c>
    </row>
    <row r="443" spans="1:8" x14ac:dyDescent="0.2">
      <c r="A443" s="104" t="str">
        <f t="shared" si="32"/>
        <v/>
      </c>
      <c r="B443" s="108" t="str">
        <f t="shared" si="33"/>
        <v/>
      </c>
      <c r="C443" s="109" t="str">
        <f t="shared" si="34"/>
        <v/>
      </c>
      <c r="D443" s="111"/>
      <c r="E443" s="106"/>
      <c r="F443" s="106" t="str">
        <f t="shared" si="35"/>
        <v/>
      </c>
      <c r="G443" s="106" t="str">
        <f t="shared" si="36"/>
        <v/>
      </c>
      <c r="H443" s="106" t="str">
        <f t="shared" si="37"/>
        <v/>
      </c>
    </row>
    <row r="444" spans="1:8" x14ac:dyDescent="0.2">
      <c r="A444" s="104" t="str">
        <f t="shared" si="32"/>
        <v/>
      </c>
      <c r="B444" s="108" t="str">
        <f t="shared" si="33"/>
        <v/>
      </c>
      <c r="C444" s="109" t="str">
        <f t="shared" si="34"/>
        <v/>
      </c>
      <c r="D444" s="111"/>
      <c r="E444" s="106"/>
      <c r="F444" s="106" t="str">
        <f t="shared" si="35"/>
        <v/>
      </c>
      <c r="G444" s="106" t="str">
        <f t="shared" si="36"/>
        <v/>
      </c>
      <c r="H444" s="106" t="str">
        <f t="shared" si="37"/>
        <v/>
      </c>
    </row>
    <row r="445" spans="1:8" x14ac:dyDescent="0.2">
      <c r="A445" s="104" t="str">
        <f t="shared" si="32"/>
        <v/>
      </c>
      <c r="B445" s="108" t="str">
        <f t="shared" si="33"/>
        <v/>
      </c>
      <c r="C445" s="109" t="str">
        <f t="shared" si="34"/>
        <v/>
      </c>
      <c r="D445" s="111"/>
      <c r="E445" s="106"/>
      <c r="F445" s="106" t="str">
        <f t="shared" si="35"/>
        <v/>
      </c>
      <c r="G445" s="106" t="str">
        <f t="shared" si="36"/>
        <v/>
      </c>
      <c r="H445" s="106" t="str">
        <f t="shared" si="37"/>
        <v/>
      </c>
    </row>
    <row r="446" spans="1:8" x14ac:dyDescent="0.2">
      <c r="A446" s="104" t="str">
        <f t="shared" si="32"/>
        <v/>
      </c>
      <c r="B446" s="108" t="str">
        <f t="shared" si="33"/>
        <v/>
      </c>
      <c r="C446" s="109" t="str">
        <f t="shared" si="34"/>
        <v/>
      </c>
      <c r="D446" s="111"/>
      <c r="E446" s="106"/>
      <c r="F446" s="106" t="str">
        <f t="shared" si="35"/>
        <v/>
      </c>
      <c r="G446" s="106" t="str">
        <f t="shared" si="36"/>
        <v/>
      </c>
      <c r="H446" s="106" t="str">
        <f t="shared" si="37"/>
        <v/>
      </c>
    </row>
    <row r="447" spans="1:8" x14ac:dyDescent="0.2">
      <c r="A447" s="104" t="str">
        <f t="shared" ref="A447:A510" si="38">IF(H446="","",IF(roundOpt,IF(OR(A446&gt;=nper,ROUND(H446,2)&lt;=0),"",A446+1),IF(OR(A446&gt;=nper,H446&lt;=0),"",A446+1)))</f>
        <v/>
      </c>
      <c r="B447" s="108" t="str">
        <f t="shared" ref="B447:B510" si="39">IF(A447="","",IF(periods_per_year=26,IF(A447=1,fpdate,B446+14),IF(periods_per_year=52,IF(A447=1,fpdate,B446+7),IF(periods_per_year=24,IF(A447=1,fpdate,IF(fpdate=EOMONTH(fpdate,0),IF(ISODD(A447),EOMONTH(EDATE(fpdate,(A447-1)/2),0),EDATE(DATE(YEAR(fpdate),MONTH(fpdate)+1,15),(A447-1)/2)),IF(DAY(fpdate)=15,IF(ISODD(A447),EDATE(fpdate,(A447-1)/2),EOMONTH(EDATE(fpdate,(A447-1)/2),0)),IF(DAY(fpdate)&lt;=14,IF(ISODD(A447),EDATE(fpdate,(A447-1)/2),EDATE(MIN(fpdate+15,EOMONTH(fpdate,0)),(A447-1)/2)),EDATE(IF(ISODD(A447),fpdate,fpdate-15),A447/2))))),IF(A447=1,fpdate,EDATE(fpdate,months_per_period*(A447-1)))))))</f>
        <v/>
      </c>
      <c r="C447" s="109" t="str">
        <f t="shared" ref="C447:C510" si="40">IF(A447="","",IF(roundOpt,IF(OR(A447=nper,payment&gt;ROUND((1+rate)*H446,2)),ROUND((1+rate)*H446,2),payment),IF(OR(A447=nper,payment&gt;(1+rate)*H446),(1+rate)*H446,payment)))</f>
        <v/>
      </c>
      <c r="D447" s="111"/>
      <c r="E447" s="106"/>
      <c r="F447" s="106" t="str">
        <f t="shared" ref="F447:F510" si="41">IF(A447="","",IF(AND(A447=1,pmtType=1),0,IF(roundOpt,ROUND(rate*H446,2),rate*H446)))</f>
        <v/>
      </c>
      <c r="G447" s="106" t="str">
        <f t="shared" ref="G447:G510" si="42">IF(A447="","",C447-F447+D447)</f>
        <v/>
      </c>
      <c r="H447" s="106" t="str">
        <f t="shared" ref="H447:H510" si="43">IF(A447="","",H446-G447)</f>
        <v/>
      </c>
    </row>
    <row r="448" spans="1:8" x14ac:dyDescent="0.2">
      <c r="A448" s="104" t="str">
        <f t="shared" si="38"/>
        <v/>
      </c>
      <c r="B448" s="108" t="str">
        <f t="shared" si="39"/>
        <v/>
      </c>
      <c r="C448" s="109" t="str">
        <f t="shared" si="40"/>
        <v/>
      </c>
      <c r="D448" s="111"/>
      <c r="E448" s="106"/>
      <c r="F448" s="106" t="str">
        <f t="shared" si="41"/>
        <v/>
      </c>
      <c r="G448" s="106" t="str">
        <f t="shared" si="42"/>
        <v/>
      </c>
      <c r="H448" s="106" t="str">
        <f t="shared" si="43"/>
        <v/>
      </c>
    </row>
    <row r="449" spans="1:8" x14ac:dyDescent="0.2">
      <c r="A449" s="104" t="str">
        <f t="shared" si="38"/>
        <v/>
      </c>
      <c r="B449" s="108" t="str">
        <f t="shared" si="39"/>
        <v/>
      </c>
      <c r="C449" s="109" t="str">
        <f t="shared" si="40"/>
        <v/>
      </c>
      <c r="D449" s="111"/>
      <c r="E449" s="106"/>
      <c r="F449" s="106" t="str">
        <f t="shared" si="41"/>
        <v/>
      </c>
      <c r="G449" s="106" t="str">
        <f t="shared" si="42"/>
        <v/>
      </c>
      <c r="H449" s="106" t="str">
        <f t="shared" si="43"/>
        <v/>
      </c>
    </row>
    <row r="450" spans="1:8" x14ac:dyDescent="0.2">
      <c r="A450" s="104" t="str">
        <f t="shared" si="38"/>
        <v/>
      </c>
      <c r="B450" s="108" t="str">
        <f t="shared" si="39"/>
        <v/>
      </c>
      <c r="C450" s="109" t="str">
        <f t="shared" si="40"/>
        <v/>
      </c>
      <c r="D450" s="111"/>
      <c r="E450" s="106"/>
      <c r="F450" s="106" t="str">
        <f t="shared" si="41"/>
        <v/>
      </c>
      <c r="G450" s="106" t="str">
        <f t="shared" si="42"/>
        <v/>
      </c>
      <c r="H450" s="106" t="str">
        <f t="shared" si="43"/>
        <v/>
      </c>
    </row>
    <row r="451" spans="1:8" x14ac:dyDescent="0.2">
      <c r="A451" s="104" t="str">
        <f t="shared" si="38"/>
        <v/>
      </c>
      <c r="B451" s="108" t="str">
        <f t="shared" si="39"/>
        <v/>
      </c>
      <c r="C451" s="109" t="str">
        <f t="shared" si="40"/>
        <v/>
      </c>
      <c r="D451" s="111"/>
      <c r="E451" s="106"/>
      <c r="F451" s="106" t="str">
        <f t="shared" si="41"/>
        <v/>
      </c>
      <c r="G451" s="106" t="str">
        <f t="shared" si="42"/>
        <v/>
      </c>
      <c r="H451" s="106" t="str">
        <f t="shared" si="43"/>
        <v/>
      </c>
    </row>
    <row r="452" spans="1:8" x14ac:dyDescent="0.2">
      <c r="A452" s="104" t="str">
        <f t="shared" si="38"/>
        <v/>
      </c>
      <c r="B452" s="108" t="str">
        <f t="shared" si="39"/>
        <v/>
      </c>
      <c r="C452" s="109" t="str">
        <f t="shared" si="40"/>
        <v/>
      </c>
      <c r="D452" s="111"/>
      <c r="E452" s="106"/>
      <c r="F452" s="106" t="str">
        <f t="shared" si="41"/>
        <v/>
      </c>
      <c r="G452" s="106" t="str">
        <f t="shared" si="42"/>
        <v/>
      </c>
      <c r="H452" s="106" t="str">
        <f t="shared" si="43"/>
        <v/>
      </c>
    </row>
    <row r="453" spans="1:8" x14ac:dyDescent="0.2">
      <c r="A453" s="104" t="str">
        <f t="shared" si="38"/>
        <v/>
      </c>
      <c r="B453" s="108" t="str">
        <f t="shared" si="39"/>
        <v/>
      </c>
      <c r="C453" s="109" t="str">
        <f t="shared" si="40"/>
        <v/>
      </c>
      <c r="D453" s="111"/>
      <c r="E453" s="106"/>
      <c r="F453" s="106" t="str">
        <f t="shared" si="41"/>
        <v/>
      </c>
      <c r="G453" s="106" t="str">
        <f t="shared" si="42"/>
        <v/>
      </c>
      <c r="H453" s="106" t="str">
        <f t="shared" si="43"/>
        <v/>
      </c>
    </row>
    <row r="454" spans="1:8" x14ac:dyDescent="0.2">
      <c r="A454" s="104" t="str">
        <f t="shared" si="38"/>
        <v/>
      </c>
      <c r="B454" s="108" t="str">
        <f t="shared" si="39"/>
        <v/>
      </c>
      <c r="C454" s="109" t="str">
        <f t="shared" si="40"/>
        <v/>
      </c>
      <c r="D454" s="111"/>
      <c r="E454" s="106"/>
      <c r="F454" s="106" t="str">
        <f t="shared" si="41"/>
        <v/>
      </c>
      <c r="G454" s="106" t="str">
        <f t="shared" si="42"/>
        <v/>
      </c>
      <c r="H454" s="106" t="str">
        <f t="shared" si="43"/>
        <v/>
      </c>
    </row>
    <row r="455" spans="1:8" x14ac:dyDescent="0.2">
      <c r="A455" s="104" t="str">
        <f t="shared" si="38"/>
        <v/>
      </c>
      <c r="B455" s="108" t="str">
        <f t="shared" si="39"/>
        <v/>
      </c>
      <c r="C455" s="109" t="str">
        <f t="shared" si="40"/>
        <v/>
      </c>
      <c r="D455" s="111"/>
      <c r="E455" s="106"/>
      <c r="F455" s="106" t="str">
        <f t="shared" si="41"/>
        <v/>
      </c>
      <c r="G455" s="106" t="str">
        <f t="shared" si="42"/>
        <v/>
      </c>
      <c r="H455" s="106" t="str">
        <f t="shared" si="43"/>
        <v/>
      </c>
    </row>
    <row r="456" spans="1:8" x14ac:dyDescent="0.2">
      <c r="A456" s="104" t="str">
        <f t="shared" si="38"/>
        <v/>
      </c>
      <c r="B456" s="108" t="str">
        <f t="shared" si="39"/>
        <v/>
      </c>
      <c r="C456" s="109" t="str">
        <f t="shared" si="40"/>
        <v/>
      </c>
      <c r="D456" s="111"/>
      <c r="E456" s="106"/>
      <c r="F456" s="106" t="str">
        <f t="shared" si="41"/>
        <v/>
      </c>
      <c r="G456" s="106" t="str">
        <f t="shared" si="42"/>
        <v/>
      </c>
      <c r="H456" s="106" t="str">
        <f t="shared" si="43"/>
        <v/>
      </c>
    </row>
    <row r="457" spans="1:8" x14ac:dyDescent="0.2">
      <c r="A457" s="104" t="str">
        <f t="shared" si="38"/>
        <v/>
      </c>
      <c r="B457" s="108" t="str">
        <f t="shared" si="39"/>
        <v/>
      </c>
      <c r="C457" s="109" t="str">
        <f t="shared" si="40"/>
        <v/>
      </c>
      <c r="D457" s="111"/>
      <c r="E457" s="106"/>
      <c r="F457" s="106" t="str">
        <f t="shared" si="41"/>
        <v/>
      </c>
      <c r="G457" s="106" t="str">
        <f t="shared" si="42"/>
        <v/>
      </c>
      <c r="H457" s="106" t="str">
        <f t="shared" si="43"/>
        <v/>
      </c>
    </row>
    <row r="458" spans="1:8" x14ac:dyDescent="0.2">
      <c r="A458" s="104" t="str">
        <f t="shared" si="38"/>
        <v/>
      </c>
      <c r="B458" s="108" t="str">
        <f t="shared" si="39"/>
        <v/>
      </c>
      <c r="C458" s="109" t="str">
        <f t="shared" si="40"/>
        <v/>
      </c>
      <c r="D458" s="111"/>
      <c r="E458" s="106"/>
      <c r="F458" s="106" t="str">
        <f t="shared" si="41"/>
        <v/>
      </c>
      <c r="G458" s="106" t="str">
        <f t="shared" si="42"/>
        <v/>
      </c>
      <c r="H458" s="106" t="str">
        <f t="shared" si="43"/>
        <v/>
      </c>
    </row>
    <row r="459" spans="1:8" x14ac:dyDescent="0.2">
      <c r="A459" s="104" t="str">
        <f t="shared" si="38"/>
        <v/>
      </c>
      <c r="B459" s="108" t="str">
        <f t="shared" si="39"/>
        <v/>
      </c>
      <c r="C459" s="109" t="str">
        <f t="shared" si="40"/>
        <v/>
      </c>
      <c r="D459" s="111"/>
      <c r="E459" s="106"/>
      <c r="F459" s="106" t="str">
        <f t="shared" si="41"/>
        <v/>
      </c>
      <c r="G459" s="106" t="str">
        <f t="shared" si="42"/>
        <v/>
      </c>
      <c r="H459" s="106" t="str">
        <f t="shared" si="43"/>
        <v/>
      </c>
    </row>
    <row r="460" spans="1:8" x14ac:dyDescent="0.2">
      <c r="A460" s="104" t="str">
        <f t="shared" si="38"/>
        <v/>
      </c>
      <c r="B460" s="108" t="str">
        <f t="shared" si="39"/>
        <v/>
      </c>
      <c r="C460" s="109" t="str">
        <f t="shared" si="40"/>
        <v/>
      </c>
      <c r="D460" s="111"/>
      <c r="E460" s="106"/>
      <c r="F460" s="106" t="str">
        <f t="shared" si="41"/>
        <v/>
      </c>
      <c r="G460" s="106" t="str">
        <f t="shared" si="42"/>
        <v/>
      </c>
      <c r="H460" s="106" t="str">
        <f t="shared" si="43"/>
        <v/>
      </c>
    </row>
    <row r="461" spans="1:8" x14ac:dyDescent="0.2">
      <c r="A461" s="104" t="str">
        <f t="shared" si="38"/>
        <v/>
      </c>
      <c r="B461" s="108" t="str">
        <f t="shared" si="39"/>
        <v/>
      </c>
      <c r="C461" s="109" t="str">
        <f t="shared" si="40"/>
        <v/>
      </c>
      <c r="D461" s="111"/>
      <c r="E461" s="106"/>
      <c r="F461" s="106" t="str">
        <f t="shared" si="41"/>
        <v/>
      </c>
      <c r="G461" s="106" t="str">
        <f t="shared" si="42"/>
        <v/>
      </c>
      <c r="H461" s="106" t="str">
        <f t="shared" si="43"/>
        <v/>
      </c>
    </row>
    <row r="462" spans="1:8" x14ac:dyDescent="0.2">
      <c r="A462" s="104" t="str">
        <f t="shared" si="38"/>
        <v/>
      </c>
      <c r="B462" s="108" t="str">
        <f t="shared" si="39"/>
        <v/>
      </c>
      <c r="C462" s="109" t="str">
        <f t="shared" si="40"/>
        <v/>
      </c>
      <c r="D462" s="111"/>
      <c r="E462" s="106"/>
      <c r="F462" s="106" t="str">
        <f t="shared" si="41"/>
        <v/>
      </c>
      <c r="G462" s="106" t="str">
        <f t="shared" si="42"/>
        <v/>
      </c>
      <c r="H462" s="106" t="str">
        <f t="shared" si="43"/>
        <v/>
      </c>
    </row>
    <row r="463" spans="1:8" x14ac:dyDescent="0.2">
      <c r="A463" s="104" t="str">
        <f t="shared" si="38"/>
        <v/>
      </c>
      <c r="B463" s="108" t="str">
        <f t="shared" si="39"/>
        <v/>
      </c>
      <c r="C463" s="109" t="str">
        <f t="shared" si="40"/>
        <v/>
      </c>
      <c r="D463" s="111"/>
      <c r="E463" s="106"/>
      <c r="F463" s="106" t="str">
        <f t="shared" si="41"/>
        <v/>
      </c>
      <c r="G463" s="106" t="str">
        <f t="shared" si="42"/>
        <v/>
      </c>
      <c r="H463" s="106" t="str">
        <f t="shared" si="43"/>
        <v/>
      </c>
    </row>
    <row r="464" spans="1:8" x14ac:dyDescent="0.2">
      <c r="A464" s="104" t="str">
        <f t="shared" si="38"/>
        <v/>
      </c>
      <c r="B464" s="108" t="str">
        <f t="shared" si="39"/>
        <v/>
      </c>
      <c r="C464" s="109" t="str">
        <f t="shared" si="40"/>
        <v/>
      </c>
      <c r="D464" s="111"/>
      <c r="E464" s="106"/>
      <c r="F464" s="106" t="str">
        <f t="shared" si="41"/>
        <v/>
      </c>
      <c r="G464" s="106" t="str">
        <f t="shared" si="42"/>
        <v/>
      </c>
      <c r="H464" s="106" t="str">
        <f t="shared" si="43"/>
        <v/>
      </c>
    </row>
    <row r="465" spans="1:8" x14ac:dyDescent="0.2">
      <c r="A465" s="104" t="str">
        <f t="shared" si="38"/>
        <v/>
      </c>
      <c r="B465" s="108" t="str">
        <f t="shared" si="39"/>
        <v/>
      </c>
      <c r="C465" s="109" t="str">
        <f t="shared" si="40"/>
        <v/>
      </c>
      <c r="D465" s="111"/>
      <c r="E465" s="106"/>
      <c r="F465" s="106" t="str">
        <f t="shared" si="41"/>
        <v/>
      </c>
      <c r="G465" s="106" t="str">
        <f t="shared" si="42"/>
        <v/>
      </c>
      <c r="H465" s="106" t="str">
        <f t="shared" si="43"/>
        <v/>
      </c>
    </row>
    <row r="466" spans="1:8" x14ac:dyDescent="0.2">
      <c r="A466" s="104" t="str">
        <f t="shared" si="38"/>
        <v/>
      </c>
      <c r="B466" s="108" t="str">
        <f t="shared" si="39"/>
        <v/>
      </c>
      <c r="C466" s="109" t="str">
        <f t="shared" si="40"/>
        <v/>
      </c>
      <c r="D466" s="111"/>
      <c r="E466" s="106"/>
      <c r="F466" s="106" t="str">
        <f t="shared" si="41"/>
        <v/>
      </c>
      <c r="G466" s="106" t="str">
        <f t="shared" si="42"/>
        <v/>
      </c>
      <c r="H466" s="106" t="str">
        <f t="shared" si="43"/>
        <v/>
      </c>
    </row>
    <row r="467" spans="1:8" x14ac:dyDescent="0.2">
      <c r="A467" s="104" t="str">
        <f t="shared" si="38"/>
        <v/>
      </c>
      <c r="B467" s="108" t="str">
        <f t="shared" si="39"/>
        <v/>
      </c>
      <c r="C467" s="109" t="str">
        <f t="shared" si="40"/>
        <v/>
      </c>
      <c r="D467" s="111"/>
      <c r="E467" s="106"/>
      <c r="F467" s="106" t="str">
        <f t="shared" si="41"/>
        <v/>
      </c>
      <c r="G467" s="106" t="str">
        <f t="shared" si="42"/>
        <v/>
      </c>
      <c r="H467" s="106" t="str">
        <f t="shared" si="43"/>
        <v/>
      </c>
    </row>
    <row r="468" spans="1:8" x14ac:dyDescent="0.2">
      <c r="A468" s="104" t="str">
        <f t="shared" si="38"/>
        <v/>
      </c>
      <c r="B468" s="108" t="str">
        <f t="shared" si="39"/>
        <v/>
      </c>
      <c r="C468" s="109" t="str">
        <f t="shared" si="40"/>
        <v/>
      </c>
      <c r="D468" s="111"/>
      <c r="E468" s="106"/>
      <c r="F468" s="106" t="str">
        <f t="shared" si="41"/>
        <v/>
      </c>
      <c r="G468" s="106" t="str">
        <f t="shared" si="42"/>
        <v/>
      </c>
      <c r="H468" s="106" t="str">
        <f t="shared" si="43"/>
        <v/>
      </c>
    </row>
    <row r="469" spans="1:8" x14ac:dyDescent="0.2">
      <c r="A469" s="104" t="str">
        <f t="shared" si="38"/>
        <v/>
      </c>
      <c r="B469" s="108" t="str">
        <f t="shared" si="39"/>
        <v/>
      </c>
      <c r="C469" s="109" t="str">
        <f t="shared" si="40"/>
        <v/>
      </c>
      <c r="D469" s="111"/>
      <c r="E469" s="106"/>
      <c r="F469" s="106" t="str">
        <f t="shared" si="41"/>
        <v/>
      </c>
      <c r="G469" s="106" t="str">
        <f t="shared" si="42"/>
        <v/>
      </c>
      <c r="H469" s="106" t="str">
        <f t="shared" si="43"/>
        <v/>
      </c>
    </row>
    <row r="470" spans="1:8" x14ac:dyDescent="0.2">
      <c r="A470" s="104" t="str">
        <f t="shared" si="38"/>
        <v/>
      </c>
      <c r="B470" s="108" t="str">
        <f t="shared" si="39"/>
        <v/>
      </c>
      <c r="C470" s="109" t="str">
        <f t="shared" si="40"/>
        <v/>
      </c>
      <c r="D470" s="111"/>
      <c r="E470" s="106"/>
      <c r="F470" s="106" t="str">
        <f t="shared" si="41"/>
        <v/>
      </c>
      <c r="G470" s="106" t="str">
        <f t="shared" si="42"/>
        <v/>
      </c>
      <c r="H470" s="106" t="str">
        <f t="shared" si="43"/>
        <v/>
      </c>
    </row>
    <row r="471" spans="1:8" x14ac:dyDescent="0.2">
      <c r="A471" s="104" t="str">
        <f t="shared" si="38"/>
        <v/>
      </c>
      <c r="B471" s="108" t="str">
        <f t="shared" si="39"/>
        <v/>
      </c>
      <c r="C471" s="109" t="str">
        <f t="shared" si="40"/>
        <v/>
      </c>
      <c r="D471" s="111"/>
      <c r="E471" s="106"/>
      <c r="F471" s="106" t="str">
        <f t="shared" si="41"/>
        <v/>
      </c>
      <c r="G471" s="106" t="str">
        <f t="shared" si="42"/>
        <v/>
      </c>
      <c r="H471" s="106" t="str">
        <f t="shared" si="43"/>
        <v/>
      </c>
    </row>
    <row r="472" spans="1:8" x14ac:dyDescent="0.2">
      <c r="A472" s="104" t="str">
        <f t="shared" si="38"/>
        <v/>
      </c>
      <c r="B472" s="108" t="str">
        <f t="shared" si="39"/>
        <v/>
      </c>
      <c r="C472" s="109" t="str">
        <f t="shared" si="40"/>
        <v/>
      </c>
      <c r="D472" s="111"/>
      <c r="E472" s="106"/>
      <c r="F472" s="106" t="str">
        <f t="shared" si="41"/>
        <v/>
      </c>
      <c r="G472" s="106" t="str">
        <f t="shared" si="42"/>
        <v/>
      </c>
      <c r="H472" s="106" t="str">
        <f t="shared" si="43"/>
        <v/>
      </c>
    </row>
    <row r="473" spans="1:8" x14ac:dyDescent="0.2">
      <c r="A473" s="104" t="str">
        <f t="shared" si="38"/>
        <v/>
      </c>
      <c r="B473" s="108" t="str">
        <f t="shared" si="39"/>
        <v/>
      </c>
      <c r="C473" s="109" t="str">
        <f t="shared" si="40"/>
        <v/>
      </c>
      <c r="D473" s="111"/>
      <c r="E473" s="106"/>
      <c r="F473" s="106" t="str">
        <f t="shared" si="41"/>
        <v/>
      </c>
      <c r="G473" s="106" t="str">
        <f t="shared" si="42"/>
        <v/>
      </c>
      <c r="H473" s="106" t="str">
        <f t="shared" si="43"/>
        <v/>
      </c>
    </row>
    <row r="474" spans="1:8" x14ac:dyDescent="0.2">
      <c r="A474" s="104" t="str">
        <f t="shared" si="38"/>
        <v/>
      </c>
      <c r="B474" s="108" t="str">
        <f t="shared" si="39"/>
        <v/>
      </c>
      <c r="C474" s="109" t="str">
        <f t="shared" si="40"/>
        <v/>
      </c>
      <c r="D474" s="111"/>
      <c r="E474" s="106"/>
      <c r="F474" s="106" t="str">
        <f t="shared" si="41"/>
        <v/>
      </c>
      <c r="G474" s="106" t="str">
        <f t="shared" si="42"/>
        <v/>
      </c>
      <c r="H474" s="106" t="str">
        <f t="shared" si="43"/>
        <v/>
      </c>
    </row>
    <row r="475" spans="1:8" x14ac:dyDescent="0.2">
      <c r="A475" s="104" t="str">
        <f t="shared" si="38"/>
        <v/>
      </c>
      <c r="B475" s="108" t="str">
        <f t="shared" si="39"/>
        <v/>
      </c>
      <c r="C475" s="109" t="str">
        <f t="shared" si="40"/>
        <v/>
      </c>
      <c r="D475" s="111"/>
      <c r="E475" s="106"/>
      <c r="F475" s="106" t="str">
        <f t="shared" si="41"/>
        <v/>
      </c>
      <c r="G475" s="106" t="str">
        <f t="shared" si="42"/>
        <v/>
      </c>
      <c r="H475" s="106" t="str">
        <f t="shared" si="43"/>
        <v/>
      </c>
    </row>
    <row r="476" spans="1:8" x14ac:dyDescent="0.2">
      <c r="A476" s="104" t="str">
        <f t="shared" si="38"/>
        <v/>
      </c>
      <c r="B476" s="108" t="str">
        <f t="shared" si="39"/>
        <v/>
      </c>
      <c r="C476" s="109" t="str">
        <f t="shared" si="40"/>
        <v/>
      </c>
      <c r="D476" s="111"/>
      <c r="E476" s="106"/>
      <c r="F476" s="106" t="str">
        <f t="shared" si="41"/>
        <v/>
      </c>
      <c r="G476" s="106" t="str">
        <f t="shared" si="42"/>
        <v/>
      </c>
      <c r="H476" s="106" t="str">
        <f t="shared" si="43"/>
        <v/>
      </c>
    </row>
    <row r="477" spans="1:8" x14ac:dyDescent="0.2">
      <c r="A477" s="104" t="str">
        <f t="shared" si="38"/>
        <v/>
      </c>
      <c r="B477" s="108" t="str">
        <f t="shared" si="39"/>
        <v/>
      </c>
      <c r="C477" s="109" t="str">
        <f t="shared" si="40"/>
        <v/>
      </c>
      <c r="D477" s="111"/>
      <c r="E477" s="106"/>
      <c r="F477" s="106" t="str">
        <f t="shared" si="41"/>
        <v/>
      </c>
      <c r="G477" s="106" t="str">
        <f t="shared" si="42"/>
        <v/>
      </c>
      <c r="H477" s="106" t="str">
        <f t="shared" si="43"/>
        <v/>
      </c>
    </row>
    <row r="478" spans="1:8" x14ac:dyDescent="0.2">
      <c r="A478" s="104" t="str">
        <f t="shared" si="38"/>
        <v/>
      </c>
      <c r="B478" s="108" t="str">
        <f t="shared" si="39"/>
        <v/>
      </c>
      <c r="C478" s="109" t="str">
        <f t="shared" si="40"/>
        <v/>
      </c>
      <c r="D478" s="111"/>
      <c r="E478" s="106"/>
      <c r="F478" s="106" t="str">
        <f t="shared" si="41"/>
        <v/>
      </c>
      <c r="G478" s="106" t="str">
        <f t="shared" si="42"/>
        <v/>
      </c>
      <c r="H478" s="106" t="str">
        <f t="shared" si="43"/>
        <v/>
      </c>
    </row>
    <row r="479" spans="1:8" x14ac:dyDescent="0.2">
      <c r="A479" s="104" t="str">
        <f t="shared" si="38"/>
        <v/>
      </c>
      <c r="B479" s="108" t="str">
        <f t="shared" si="39"/>
        <v/>
      </c>
      <c r="C479" s="109" t="str">
        <f t="shared" si="40"/>
        <v/>
      </c>
      <c r="D479" s="111"/>
      <c r="E479" s="106"/>
      <c r="F479" s="106" t="str">
        <f t="shared" si="41"/>
        <v/>
      </c>
      <c r="G479" s="106" t="str">
        <f t="shared" si="42"/>
        <v/>
      </c>
      <c r="H479" s="106" t="str">
        <f t="shared" si="43"/>
        <v/>
      </c>
    </row>
    <row r="480" spans="1:8" x14ac:dyDescent="0.2">
      <c r="A480" s="104" t="str">
        <f t="shared" si="38"/>
        <v/>
      </c>
      <c r="B480" s="108" t="str">
        <f t="shared" si="39"/>
        <v/>
      </c>
      <c r="C480" s="109" t="str">
        <f t="shared" si="40"/>
        <v/>
      </c>
      <c r="D480" s="111"/>
      <c r="E480" s="106"/>
      <c r="F480" s="106" t="str">
        <f t="shared" si="41"/>
        <v/>
      </c>
      <c r="G480" s="106" t="str">
        <f t="shared" si="42"/>
        <v/>
      </c>
      <c r="H480" s="106" t="str">
        <f t="shared" si="43"/>
        <v/>
      </c>
    </row>
    <row r="481" spans="1:8" x14ac:dyDescent="0.2">
      <c r="A481" s="104" t="str">
        <f t="shared" si="38"/>
        <v/>
      </c>
      <c r="B481" s="108" t="str">
        <f t="shared" si="39"/>
        <v/>
      </c>
      <c r="C481" s="109" t="str">
        <f t="shared" si="40"/>
        <v/>
      </c>
      <c r="D481" s="111"/>
      <c r="E481" s="106"/>
      <c r="F481" s="106" t="str">
        <f t="shared" si="41"/>
        <v/>
      </c>
      <c r="G481" s="106" t="str">
        <f t="shared" si="42"/>
        <v/>
      </c>
      <c r="H481" s="106" t="str">
        <f t="shared" si="43"/>
        <v/>
      </c>
    </row>
    <row r="482" spans="1:8" x14ac:dyDescent="0.2">
      <c r="A482" s="104" t="str">
        <f t="shared" si="38"/>
        <v/>
      </c>
      <c r="B482" s="108" t="str">
        <f t="shared" si="39"/>
        <v/>
      </c>
      <c r="C482" s="109" t="str">
        <f t="shared" si="40"/>
        <v/>
      </c>
      <c r="D482" s="111"/>
      <c r="E482" s="106"/>
      <c r="F482" s="106" t="str">
        <f t="shared" si="41"/>
        <v/>
      </c>
      <c r="G482" s="106" t="str">
        <f t="shared" si="42"/>
        <v/>
      </c>
      <c r="H482" s="106" t="str">
        <f t="shared" si="43"/>
        <v/>
      </c>
    </row>
    <row r="483" spans="1:8" x14ac:dyDescent="0.2">
      <c r="A483" s="104" t="str">
        <f t="shared" si="38"/>
        <v/>
      </c>
      <c r="B483" s="108" t="str">
        <f t="shared" si="39"/>
        <v/>
      </c>
      <c r="C483" s="109" t="str">
        <f t="shared" si="40"/>
        <v/>
      </c>
      <c r="D483" s="111"/>
      <c r="E483" s="106"/>
      <c r="F483" s="106" t="str">
        <f t="shared" si="41"/>
        <v/>
      </c>
      <c r="G483" s="106" t="str">
        <f t="shared" si="42"/>
        <v/>
      </c>
      <c r="H483" s="106" t="str">
        <f t="shared" si="43"/>
        <v/>
      </c>
    </row>
    <row r="484" spans="1:8" x14ac:dyDescent="0.2">
      <c r="A484" s="104" t="str">
        <f t="shared" si="38"/>
        <v/>
      </c>
      <c r="B484" s="108" t="str">
        <f t="shared" si="39"/>
        <v/>
      </c>
      <c r="C484" s="109" t="str">
        <f t="shared" si="40"/>
        <v/>
      </c>
      <c r="D484" s="111"/>
      <c r="E484" s="106"/>
      <c r="F484" s="106" t="str">
        <f t="shared" si="41"/>
        <v/>
      </c>
      <c r="G484" s="106" t="str">
        <f t="shared" si="42"/>
        <v/>
      </c>
      <c r="H484" s="106" t="str">
        <f t="shared" si="43"/>
        <v/>
      </c>
    </row>
    <row r="485" spans="1:8" x14ac:dyDescent="0.2">
      <c r="A485" s="104" t="str">
        <f t="shared" si="38"/>
        <v/>
      </c>
      <c r="B485" s="108" t="str">
        <f t="shared" si="39"/>
        <v/>
      </c>
      <c r="C485" s="109" t="str">
        <f t="shared" si="40"/>
        <v/>
      </c>
      <c r="D485" s="111"/>
      <c r="E485" s="106"/>
      <c r="F485" s="106" t="str">
        <f t="shared" si="41"/>
        <v/>
      </c>
      <c r="G485" s="106" t="str">
        <f t="shared" si="42"/>
        <v/>
      </c>
      <c r="H485" s="106" t="str">
        <f t="shared" si="43"/>
        <v/>
      </c>
    </row>
    <row r="486" spans="1:8" x14ac:dyDescent="0.2">
      <c r="A486" s="104" t="str">
        <f t="shared" si="38"/>
        <v/>
      </c>
      <c r="B486" s="108" t="str">
        <f t="shared" si="39"/>
        <v/>
      </c>
      <c r="C486" s="109" t="str">
        <f t="shared" si="40"/>
        <v/>
      </c>
      <c r="D486" s="111"/>
      <c r="E486" s="106"/>
      <c r="F486" s="106" t="str">
        <f t="shared" si="41"/>
        <v/>
      </c>
      <c r="G486" s="106" t="str">
        <f t="shared" si="42"/>
        <v/>
      </c>
      <c r="H486" s="106" t="str">
        <f t="shared" si="43"/>
        <v/>
      </c>
    </row>
    <row r="487" spans="1:8" x14ac:dyDescent="0.2">
      <c r="A487" s="104" t="str">
        <f t="shared" si="38"/>
        <v/>
      </c>
      <c r="B487" s="108" t="str">
        <f t="shared" si="39"/>
        <v/>
      </c>
      <c r="C487" s="109" t="str">
        <f t="shared" si="40"/>
        <v/>
      </c>
      <c r="D487" s="111"/>
      <c r="E487" s="106"/>
      <c r="F487" s="106" t="str">
        <f t="shared" si="41"/>
        <v/>
      </c>
      <c r="G487" s="106" t="str">
        <f t="shared" si="42"/>
        <v/>
      </c>
      <c r="H487" s="106" t="str">
        <f t="shared" si="43"/>
        <v/>
      </c>
    </row>
    <row r="488" spans="1:8" x14ac:dyDescent="0.2">
      <c r="A488" s="104" t="str">
        <f t="shared" si="38"/>
        <v/>
      </c>
      <c r="B488" s="108" t="str">
        <f t="shared" si="39"/>
        <v/>
      </c>
      <c r="C488" s="109" t="str">
        <f t="shared" si="40"/>
        <v/>
      </c>
      <c r="D488" s="111"/>
      <c r="E488" s="106"/>
      <c r="F488" s="106" t="str">
        <f t="shared" si="41"/>
        <v/>
      </c>
      <c r="G488" s="106" t="str">
        <f t="shared" si="42"/>
        <v/>
      </c>
      <c r="H488" s="106" t="str">
        <f t="shared" si="43"/>
        <v/>
      </c>
    </row>
    <row r="489" spans="1:8" x14ac:dyDescent="0.2">
      <c r="A489" s="104" t="str">
        <f t="shared" si="38"/>
        <v/>
      </c>
      <c r="B489" s="108" t="str">
        <f t="shared" si="39"/>
        <v/>
      </c>
      <c r="C489" s="109" t="str">
        <f t="shared" si="40"/>
        <v/>
      </c>
      <c r="D489" s="111"/>
      <c r="E489" s="106"/>
      <c r="F489" s="106" t="str">
        <f t="shared" si="41"/>
        <v/>
      </c>
      <c r="G489" s="106" t="str">
        <f t="shared" si="42"/>
        <v/>
      </c>
      <c r="H489" s="106" t="str">
        <f t="shared" si="43"/>
        <v/>
      </c>
    </row>
    <row r="490" spans="1:8" x14ac:dyDescent="0.2">
      <c r="A490" s="104" t="str">
        <f t="shared" si="38"/>
        <v/>
      </c>
      <c r="B490" s="108" t="str">
        <f t="shared" si="39"/>
        <v/>
      </c>
      <c r="C490" s="109" t="str">
        <f t="shared" si="40"/>
        <v/>
      </c>
      <c r="D490" s="111"/>
      <c r="E490" s="106"/>
      <c r="F490" s="106" t="str">
        <f t="shared" si="41"/>
        <v/>
      </c>
      <c r="G490" s="106" t="str">
        <f t="shared" si="42"/>
        <v/>
      </c>
      <c r="H490" s="106" t="str">
        <f t="shared" si="43"/>
        <v/>
      </c>
    </row>
    <row r="491" spans="1:8" x14ac:dyDescent="0.2">
      <c r="A491" s="104" t="str">
        <f t="shared" si="38"/>
        <v/>
      </c>
      <c r="B491" s="108" t="str">
        <f t="shared" si="39"/>
        <v/>
      </c>
      <c r="C491" s="109" t="str">
        <f t="shared" si="40"/>
        <v/>
      </c>
      <c r="D491" s="111"/>
      <c r="E491" s="106"/>
      <c r="F491" s="106" t="str">
        <f t="shared" si="41"/>
        <v/>
      </c>
      <c r="G491" s="106" t="str">
        <f t="shared" si="42"/>
        <v/>
      </c>
      <c r="H491" s="106" t="str">
        <f t="shared" si="43"/>
        <v/>
      </c>
    </row>
    <row r="492" spans="1:8" x14ac:dyDescent="0.2">
      <c r="A492" s="104" t="str">
        <f t="shared" si="38"/>
        <v/>
      </c>
      <c r="B492" s="108" t="str">
        <f t="shared" si="39"/>
        <v/>
      </c>
      <c r="C492" s="109" t="str">
        <f t="shared" si="40"/>
        <v/>
      </c>
      <c r="D492" s="111"/>
      <c r="E492" s="106"/>
      <c r="F492" s="106" t="str">
        <f t="shared" si="41"/>
        <v/>
      </c>
      <c r="G492" s="106" t="str">
        <f t="shared" si="42"/>
        <v/>
      </c>
      <c r="H492" s="106" t="str">
        <f t="shared" si="43"/>
        <v/>
      </c>
    </row>
    <row r="493" spans="1:8" x14ac:dyDescent="0.2">
      <c r="A493" s="104" t="str">
        <f t="shared" si="38"/>
        <v/>
      </c>
      <c r="B493" s="108" t="str">
        <f t="shared" si="39"/>
        <v/>
      </c>
      <c r="C493" s="109" t="str">
        <f t="shared" si="40"/>
        <v/>
      </c>
      <c r="D493" s="111"/>
      <c r="E493" s="106"/>
      <c r="F493" s="106" t="str">
        <f t="shared" si="41"/>
        <v/>
      </c>
      <c r="G493" s="106" t="str">
        <f t="shared" si="42"/>
        <v/>
      </c>
      <c r="H493" s="106" t="str">
        <f t="shared" si="43"/>
        <v/>
      </c>
    </row>
    <row r="494" spans="1:8" x14ac:dyDescent="0.2">
      <c r="A494" s="104" t="str">
        <f t="shared" si="38"/>
        <v/>
      </c>
      <c r="B494" s="108" t="str">
        <f t="shared" si="39"/>
        <v/>
      </c>
      <c r="C494" s="109" t="str">
        <f t="shared" si="40"/>
        <v/>
      </c>
      <c r="D494" s="111"/>
      <c r="E494" s="106"/>
      <c r="F494" s="106" t="str">
        <f t="shared" si="41"/>
        <v/>
      </c>
      <c r="G494" s="106" t="str">
        <f t="shared" si="42"/>
        <v/>
      </c>
      <c r="H494" s="106" t="str">
        <f t="shared" si="43"/>
        <v/>
      </c>
    </row>
    <row r="495" spans="1:8" x14ac:dyDescent="0.2">
      <c r="A495" s="104" t="str">
        <f t="shared" si="38"/>
        <v/>
      </c>
      <c r="B495" s="108" t="str">
        <f t="shared" si="39"/>
        <v/>
      </c>
      <c r="C495" s="109" t="str">
        <f t="shared" si="40"/>
        <v/>
      </c>
      <c r="D495" s="111"/>
      <c r="E495" s="106"/>
      <c r="F495" s="106" t="str">
        <f t="shared" si="41"/>
        <v/>
      </c>
      <c r="G495" s="106" t="str">
        <f t="shared" si="42"/>
        <v/>
      </c>
      <c r="H495" s="106" t="str">
        <f t="shared" si="43"/>
        <v/>
      </c>
    </row>
    <row r="496" spans="1:8" x14ac:dyDescent="0.2">
      <c r="A496" s="104" t="str">
        <f t="shared" si="38"/>
        <v/>
      </c>
      <c r="B496" s="108" t="str">
        <f t="shared" si="39"/>
        <v/>
      </c>
      <c r="C496" s="109" t="str">
        <f t="shared" si="40"/>
        <v/>
      </c>
      <c r="D496" s="111"/>
      <c r="E496" s="106"/>
      <c r="F496" s="106" t="str">
        <f t="shared" si="41"/>
        <v/>
      </c>
      <c r="G496" s="106" t="str">
        <f t="shared" si="42"/>
        <v/>
      </c>
      <c r="H496" s="106" t="str">
        <f t="shared" si="43"/>
        <v/>
      </c>
    </row>
    <row r="497" spans="1:8" x14ac:dyDescent="0.2">
      <c r="A497" s="104" t="str">
        <f t="shared" si="38"/>
        <v/>
      </c>
      <c r="B497" s="108" t="str">
        <f t="shared" si="39"/>
        <v/>
      </c>
      <c r="C497" s="109" t="str">
        <f t="shared" si="40"/>
        <v/>
      </c>
      <c r="D497" s="111"/>
      <c r="E497" s="106"/>
      <c r="F497" s="106" t="str">
        <f t="shared" si="41"/>
        <v/>
      </c>
      <c r="G497" s="106" t="str">
        <f t="shared" si="42"/>
        <v/>
      </c>
      <c r="H497" s="106" t="str">
        <f t="shared" si="43"/>
        <v/>
      </c>
    </row>
    <row r="498" spans="1:8" x14ac:dyDescent="0.2">
      <c r="A498" s="104" t="str">
        <f t="shared" si="38"/>
        <v/>
      </c>
      <c r="B498" s="108" t="str">
        <f t="shared" si="39"/>
        <v/>
      </c>
      <c r="C498" s="109" t="str">
        <f t="shared" si="40"/>
        <v/>
      </c>
      <c r="D498" s="111"/>
      <c r="E498" s="106"/>
      <c r="F498" s="106" t="str">
        <f t="shared" si="41"/>
        <v/>
      </c>
      <c r="G498" s="106" t="str">
        <f t="shared" si="42"/>
        <v/>
      </c>
      <c r="H498" s="106" t="str">
        <f t="shared" si="43"/>
        <v/>
      </c>
    </row>
    <row r="499" spans="1:8" x14ac:dyDescent="0.2">
      <c r="A499" s="104" t="str">
        <f t="shared" si="38"/>
        <v/>
      </c>
      <c r="B499" s="108" t="str">
        <f t="shared" si="39"/>
        <v/>
      </c>
      <c r="C499" s="109" t="str">
        <f t="shared" si="40"/>
        <v/>
      </c>
      <c r="D499" s="111"/>
      <c r="E499" s="106"/>
      <c r="F499" s="106" t="str">
        <f t="shared" si="41"/>
        <v/>
      </c>
      <c r="G499" s="106" t="str">
        <f t="shared" si="42"/>
        <v/>
      </c>
      <c r="H499" s="106" t="str">
        <f t="shared" si="43"/>
        <v/>
      </c>
    </row>
    <row r="500" spans="1:8" x14ac:dyDescent="0.2">
      <c r="A500" s="104" t="str">
        <f t="shared" si="38"/>
        <v/>
      </c>
      <c r="B500" s="108" t="str">
        <f t="shared" si="39"/>
        <v/>
      </c>
      <c r="C500" s="109" t="str">
        <f t="shared" si="40"/>
        <v/>
      </c>
      <c r="D500" s="111"/>
      <c r="E500" s="106"/>
      <c r="F500" s="106" t="str">
        <f t="shared" si="41"/>
        <v/>
      </c>
      <c r="G500" s="106" t="str">
        <f t="shared" si="42"/>
        <v/>
      </c>
      <c r="H500" s="106" t="str">
        <f t="shared" si="43"/>
        <v/>
      </c>
    </row>
    <row r="501" spans="1:8" x14ac:dyDescent="0.2">
      <c r="A501" s="104" t="str">
        <f t="shared" si="38"/>
        <v/>
      </c>
      <c r="B501" s="108" t="str">
        <f t="shared" si="39"/>
        <v/>
      </c>
      <c r="C501" s="109" t="str">
        <f t="shared" si="40"/>
        <v/>
      </c>
      <c r="D501" s="111"/>
      <c r="E501" s="106"/>
      <c r="F501" s="106" t="str">
        <f t="shared" si="41"/>
        <v/>
      </c>
      <c r="G501" s="106" t="str">
        <f t="shared" si="42"/>
        <v/>
      </c>
      <c r="H501" s="106" t="str">
        <f t="shared" si="43"/>
        <v/>
      </c>
    </row>
    <row r="502" spans="1:8" x14ac:dyDescent="0.2">
      <c r="A502" s="104" t="str">
        <f t="shared" si="38"/>
        <v/>
      </c>
      <c r="B502" s="108" t="str">
        <f t="shared" si="39"/>
        <v/>
      </c>
      <c r="C502" s="109" t="str">
        <f t="shared" si="40"/>
        <v/>
      </c>
      <c r="D502" s="111"/>
      <c r="E502" s="106"/>
      <c r="F502" s="106" t="str">
        <f t="shared" si="41"/>
        <v/>
      </c>
      <c r="G502" s="106" t="str">
        <f t="shared" si="42"/>
        <v/>
      </c>
      <c r="H502" s="106" t="str">
        <f t="shared" si="43"/>
        <v/>
      </c>
    </row>
    <row r="503" spans="1:8" x14ac:dyDescent="0.2">
      <c r="A503" s="104" t="str">
        <f t="shared" si="38"/>
        <v/>
      </c>
      <c r="B503" s="108" t="str">
        <f t="shared" si="39"/>
        <v/>
      </c>
      <c r="C503" s="109" t="str">
        <f t="shared" si="40"/>
        <v/>
      </c>
      <c r="D503" s="111"/>
      <c r="E503" s="106"/>
      <c r="F503" s="106" t="str">
        <f t="shared" si="41"/>
        <v/>
      </c>
      <c r="G503" s="106" t="str">
        <f t="shared" si="42"/>
        <v/>
      </c>
      <c r="H503" s="106" t="str">
        <f t="shared" si="43"/>
        <v/>
      </c>
    </row>
    <row r="504" spans="1:8" x14ac:dyDescent="0.2">
      <c r="A504" s="104" t="str">
        <f t="shared" si="38"/>
        <v/>
      </c>
      <c r="B504" s="108" t="str">
        <f t="shared" si="39"/>
        <v/>
      </c>
      <c r="C504" s="109" t="str">
        <f t="shared" si="40"/>
        <v/>
      </c>
      <c r="D504" s="111"/>
      <c r="E504" s="106"/>
      <c r="F504" s="106" t="str">
        <f t="shared" si="41"/>
        <v/>
      </c>
      <c r="G504" s="106" t="str">
        <f t="shared" si="42"/>
        <v/>
      </c>
      <c r="H504" s="106" t="str">
        <f t="shared" si="43"/>
        <v/>
      </c>
    </row>
    <row r="505" spans="1:8" x14ac:dyDescent="0.2">
      <c r="A505" s="104" t="str">
        <f t="shared" si="38"/>
        <v/>
      </c>
      <c r="B505" s="108" t="str">
        <f t="shared" si="39"/>
        <v/>
      </c>
      <c r="C505" s="109" t="str">
        <f t="shared" si="40"/>
        <v/>
      </c>
      <c r="D505" s="111"/>
      <c r="E505" s="106"/>
      <c r="F505" s="106" t="str">
        <f t="shared" si="41"/>
        <v/>
      </c>
      <c r="G505" s="106" t="str">
        <f t="shared" si="42"/>
        <v/>
      </c>
      <c r="H505" s="106" t="str">
        <f t="shared" si="43"/>
        <v/>
      </c>
    </row>
    <row r="506" spans="1:8" x14ac:dyDescent="0.2">
      <c r="A506" s="104" t="str">
        <f t="shared" si="38"/>
        <v/>
      </c>
      <c r="B506" s="108" t="str">
        <f t="shared" si="39"/>
        <v/>
      </c>
      <c r="C506" s="109" t="str">
        <f t="shared" si="40"/>
        <v/>
      </c>
      <c r="D506" s="111"/>
      <c r="E506" s="106"/>
      <c r="F506" s="106" t="str">
        <f t="shared" si="41"/>
        <v/>
      </c>
      <c r="G506" s="106" t="str">
        <f t="shared" si="42"/>
        <v/>
      </c>
      <c r="H506" s="106" t="str">
        <f t="shared" si="43"/>
        <v/>
      </c>
    </row>
    <row r="507" spans="1:8" x14ac:dyDescent="0.2">
      <c r="A507" s="104" t="str">
        <f t="shared" si="38"/>
        <v/>
      </c>
      <c r="B507" s="108" t="str">
        <f t="shared" si="39"/>
        <v/>
      </c>
      <c r="C507" s="109" t="str">
        <f t="shared" si="40"/>
        <v/>
      </c>
      <c r="D507" s="111"/>
      <c r="E507" s="106"/>
      <c r="F507" s="106" t="str">
        <f t="shared" si="41"/>
        <v/>
      </c>
      <c r="G507" s="106" t="str">
        <f t="shared" si="42"/>
        <v/>
      </c>
      <c r="H507" s="106" t="str">
        <f t="shared" si="43"/>
        <v/>
      </c>
    </row>
    <row r="508" spans="1:8" x14ac:dyDescent="0.2">
      <c r="A508" s="104" t="str">
        <f t="shared" si="38"/>
        <v/>
      </c>
      <c r="B508" s="108" t="str">
        <f t="shared" si="39"/>
        <v/>
      </c>
      <c r="C508" s="109" t="str">
        <f t="shared" si="40"/>
        <v/>
      </c>
      <c r="D508" s="111"/>
      <c r="E508" s="106"/>
      <c r="F508" s="106" t="str">
        <f t="shared" si="41"/>
        <v/>
      </c>
      <c r="G508" s="106" t="str">
        <f t="shared" si="42"/>
        <v/>
      </c>
      <c r="H508" s="106" t="str">
        <f t="shared" si="43"/>
        <v/>
      </c>
    </row>
    <row r="509" spans="1:8" x14ac:dyDescent="0.2">
      <c r="A509" s="104" t="str">
        <f t="shared" si="38"/>
        <v/>
      </c>
      <c r="B509" s="108" t="str">
        <f t="shared" si="39"/>
        <v/>
      </c>
      <c r="C509" s="109" t="str">
        <f t="shared" si="40"/>
        <v/>
      </c>
      <c r="D509" s="111"/>
      <c r="E509" s="106"/>
      <c r="F509" s="106" t="str">
        <f t="shared" si="41"/>
        <v/>
      </c>
      <c r="G509" s="106" t="str">
        <f t="shared" si="42"/>
        <v/>
      </c>
      <c r="H509" s="106" t="str">
        <f t="shared" si="43"/>
        <v/>
      </c>
    </row>
    <row r="510" spans="1:8" x14ac:dyDescent="0.2">
      <c r="A510" s="104" t="str">
        <f t="shared" si="38"/>
        <v/>
      </c>
      <c r="B510" s="108" t="str">
        <f t="shared" si="39"/>
        <v/>
      </c>
      <c r="C510" s="109" t="str">
        <f t="shared" si="40"/>
        <v/>
      </c>
      <c r="D510" s="111"/>
      <c r="E510" s="106"/>
      <c r="F510" s="106" t="str">
        <f t="shared" si="41"/>
        <v/>
      </c>
      <c r="G510" s="106" t="str">
        <f t="shared" si="42"/>
        <v/>
      </c>
      <c r="H510" s="106" t="str">
        <f t="shared" si="43"/>
        <v/>
      </c>
    </row>
    <row r="511" spans="1:8" x14ac:dyDescent="0.2">
      <c r="A511" s="104" t="str">
        <f t="shared" ref="A511:A574" si="44">IF(H510="","",IF(roundOpt,IF(OR(A510&gt;=nper,ROUND(H510,2)&lt;=0),"",A510+1),IF(OR(A510&gt;=nper,H510&lt;=0),"",A510+1)))</f>
        <v/>
      </c>
      <c r="B511" s="108" t="str">
        <f t="shared" ref="B511:B574" si="45">IF(A511="","",IF(periods_per_year=26,IF(A511=1,fpdate,B510+14),IF(periods_per_year=52,IF(A511=1,fpdate,B510+7),IF(periods_per_year=24,IF(A511=1,fpdate,IF(fpdate=EOMONTH(fpdate,0),IF(ISODD(A511),EOMONTH(EDATE(fpdate,(A511-1)/2),0),EDATE(DATE(YEAR(fpdate),MONTH(fpdate)+1,15),(A511-1)/2)),IF(DAY(fpdate)=15,IF(ISODD(A511),EDATE(fpdate,(A511-1)/2),EOMONTH(EDATE(fpdate,(A511-1)/2),0)),IF(DAY(fpdate)&lt;=14,IF(ISODD(A511),EDATE(fpdate,(A511-1)/2),EDATE(MIN(fpdate+15,EOMONTH(fpdate,0)),(A511-1)/2)),EDATE(IF(ISODD(A511),fpdate,fpdate-15),A511/2))))),IF(A511=1,fpdate,EDATE(fpdate,months_per_period*(A511-1)))))))</f>
        <v/>
      </c>
      <c r="C511" s="109" t="str">
        <f t="shared" ref="C511:C574" si="46">IF(A511="","",IF(roundOpt,IF(OR(A511=nper,payment&gt;ROUND((1+rate)*H510,2)),ROUND((1+rate)*H510,2),payment),IF(OR(A511=nper,payment&gt;(1+rate)*H510),(1+rate)*H510,payment)))</f>
        <v/>
      </c>
      <c r="D511" s="111"/>
      <c r="E511" s="106"/>
      <c r="F511" s="106" t="str">
        <f t="shared" ref="F511:F574" si="47">IF(A511="","",IF(AND(A511=1,pmtType=1),0,IF(roundOpt,ROUND(rate*H510,2),rate*H510)))</f>
        <v/>
      </c>
      <c r="G511" s="106" t="str">
        <f t="shared" ref="G511:G574" si="48">IF(A511="","",C511-F511+D511)</f>
        <v/>
      </c>
      <c r="H511" s="106" t="str">
        <f t="shared" ref="H511:H574" si="49">IF(A511="","",H510-G511)</f>
        <v/>
      </c>
    </row>
    <row r="512" spans="1:8" x14ac:dyDescent="0.2">
      <c r="A512" s="104" t="str">
        <f t="shared" si="44"/>
        <v/>
      </c>
      <c r="B512" s="108" t="str">
        <f t="shared" si="45"/>
        <v/>
      </c>
      <c r="C512" s="109" t="str">
        <f t="shared" si="46"/>
        <v/>
      </c>
      <c r="D512" s="111"/>
      <c r="E512" s="106"/>
      <c r="F512" s="106" t="str">
        <f t="shared" si="47"/>
        <v/>
      </c>
      <c r="G512" s="106" t="str">
        <f t="shared" si="48"/>
        <v/>
      </c>
      <c r="H512" s="106" t="str">
        <f t="shared" si="49"/>
        <v/>
      </c>
    </row>
    <row r="513" spans="1:8" x14ac:dyDescent="0.2">
      <c r="A513" s="104" t="str">
        <f t="shared" si="44"/>
        <v/>
      </c>
      <c r="B513" s="108" t="str">
        <f t="shared" si="45"/>
        <v/>
      </c>
      <c r="C513" s="109" t="str">
        <f t="shared" si="46"/>
        <v/>
      </c>
      <c r="D513" s="111"/>
      <c r="E513" s="106"/>
      <c r="F513" s="106" t="str">
        <f t="shared" si="47"/>
        <v/>
      </c>
      <c r="G513" s="106" t="str">
        <f t="shared" si="48"/>
        <v/>
      </c>
      <c r="H513" s="106" t="str">
        <f t="shared" si="49"/>
        <v/>
      </c>
    </row>
    <row r="514" spans="1:8" x14ac:dyDescent="0.2">
      <c r="A514" s="104" t="str">
        <f t="shared" si="44"/>
        <v/>
      </c>
      <c r="B514" s="108" t="str">
        <f t="shared" si="45"/>
        <v/>
      </c>
      <c r="C514" s="109" t="str">
        <f t="shared" si="46"/>
        <v/>
      </c>
      <c r="D514" s="111"/>
      <c r="E514" s="106"/>
      <c r="F514" s="106" t="str">
        <f t="shared" si="47"/>
        <v/>
      </c>
      <c r="G514" s="106" t="str">
        <f t="shared" si="48"/>
        <v/>
      </c>
      <c r="H514" s="106" t="str">
        <f t="shared" si="49"/>
        <v/>
      </c>
    </row>
    <row r="515" spans="1:8" x14ac:dyDescent="0.2">
      <c r="A515" s="104" t="str">
        <f t="shared" si="44"/>
        <v/>
      </c>
      <c r="B515" s="108" t="str">
        <f t="shared" si="45"/>
        <v/>
      </c>
      <c r="C515" s="109" t="str">
        <f t="shared" si="46"/>
        <v/>
      </c>
      <c r="D515" s="111"/>
      <c r="E515" s="106"/>
      <c r="F515" s="106" t="str">
        <f t="shared" si="47"/>
        <v/>
      </c>
      <c r="G515" s="106" t="str">
        <f t="shared" si="48"/>
        <v/>
      </c>
      <c r="H515" s="106" t="str">
        <f t="shared" si="49"/>
        <v/>
      </c>
    </row>
    <row r="516" spans="1:8" x14ac:dyDescent="0.2">
      <c r="A516" s="104" t="str">
        <f t="shared" si="44"/>
        <v/>
      </c>
      <c r="B516" s="108" t="str">
        <f t="shared" si="45"/>
        <v/>
      </c>
      <c r="C516" s="109" t="str">
        <f t="shared" si="46"/>
        <v/>
      </c>
      <c r="D516" s="111"/>
      <c r="E516" s="106"/>
      <c r="F516" s="106" t="str">
        <f t="shared" si="47"/>
        <v/>
      </c>
      <c r="G516" s="106" t="str">
        <f t="shared" si="48"/>
        <v/>
      </c>
      <c r="H516" s="106" t="str">
        <f t="shared" si="49"/>
        <v/>
      </c>
    </row>
    <row r="517" spans="1:8" x14ac:dyDescent="0.2">
      <c r="A517" s="104" t="str">
        <f t="shared" si="44"/>
        <v/>
      </c>
      <c r="B517" s="108" t="str">
        <f t="shared" si="45"/>
        <v/>
      </c>
      <c r="C517" s="109" t="str">
        <f t="shared" si="46"/>
        <v/>
      </c>
      <c r="D517" s="111"/>
      <c r="E517" s="106"/>
      <c r="F517" s="106" t="str">
        <f t="shared" si="47"/>
        <v/>
      </c>
      <c r="G517" s="106" t="str">
        <f t="shared" si="48"/>
        <v/>
      </c>
      <c r="H517" s="106" t="str">
        <f t="shared" si="49"/>
        <v/>
      </c>
    </row>
    <row r="518" spans="1:8" x14ac:dyDescent="0.2">
      <c r="A518" s="104" t="str">
        <f t="shared" si="44"/>
        <v/>
      </c>
      <c r="B518" s="108" t="str">
        <f t="shared" si="45"/>
        <v/>
      </c>
      <c r="C518" s="109" t="str">
        <f t="shared" si="46"/>
        <v/>
      </c>
      <c r="D518" s="111"/>
      <c r="E518" s="106"/>
      <c r="F518" s="106" t="str">
        <f t="shared" si="47"/>
        <v/>
      </c>
      <c r="G518" s="106" t="str">
        <f t="shared" si="48"/>
        <v/>
      </c>
      <c r="H518" s="106" t="str">
        <f t="shared" si="49"/>
        <v/>
      </c>
    </row>
    <row r="519" spans="1:8" x14ac:dyDescent="0.2">
      <c r="A519" s="104" t="str">
        <f t="shared" si="44"/>
        <v/>
      </c>
      <c r="B519" s="108" t="str">
        <f t="shared" si="45"/>
        <v/>
      </c>
      <c r="C519" s="109" t="str">
        <f t="shared" si="46"/>
        <v/>
      </c>
      <c r="D519" s="111"/>
      <c r="E519" s="106"/>
      <c r="F519" s="106" t="str">
        <f t="shared" si="47"/>
        <v/>
      </c>
      <c r="G519" s="106" t="str">
        <f t="shared" si="48"/>
        <v/>
      </c>
      <c r="H519" s="106" t="str">
        <f t="shared" si="49"/>
        <v/>
      </c>
    </row>
    <row r="520" spans="1:8" x14ac:dyDescent="0.2">
      <c r="A520" s="104" t="str">
        <f t="shared" si="44"/>
        <v/>
      </c>
      <c r="B520" s="108" t="str">
        <f t="shared" si="45"/>
        <v/>
      </c>
      <c r="C520" s="109" t="str">
        <f t="shared" si="46"/>
        <v/>
      </c>
      <c r="D520" s="111"/>
      <c r="E520" s="106"/>
      <c r="F520" s="106" t="str">
        <f t="shared" si="47"/>
        <v/>
      </c>
      <c r="G520" s="106" t="str">
        <f t="shared" si="48"/>
        <v/>
      </c>
      <c r="H520" s="106" t="str">
        <f t="shared" si="49"/>
        <v/>
      </c>
    </row>
    <row r="521" spans="1:8" x14ac:dyDescent="0.2">
      <c r="A521" s="104" t="str">
        <f t="shared" si="44"/>
        <v/>
      </c>
      <c r="B521" s="108" t="str">
        <f t="shared" si="45"/>
        <v/>
      </c>
      <c r="C521" s="109" t="str">
        <f t="shared" si="46"/>
        <v/>
      </c>
      <c r="D521" s="111"/>
      <c r="E521" s="106"/>
      <c r="F521" s="106" t="str">
        <f t="shared" si="47"/>
        <v/>
      </c>
      <c r="G521" s="106" t="str">
        <f t="shared" si="48"/>
        <v/>
      </c>
      <c r="H521" s="106" t="str">
        <f t="shared" si="49"/>
        <v/>
      </c>
    </row>
    <row r="522" spans="1:8" x14ac:dyDescent="0.2">
      <c r="A522" s="104" t="str">
        <f t="shared" si="44"/>
        <v/>
      </c>
      <c r="B522" s="108" t="str">
        <f t="shared" si="45"/>
        <v/>
      </c>
      <c r="C522" s="109" t="str">
        <f t="shared" si="46"/>
        <v/>
      </c>
      <c r="D522" s="111"/>
      <c r="E522" s="106"/>
      <c r="F522" s="106" t="str">
        <f t="shared" si="47"/>
        <v/>
      </c>
      <c r="G522" s="106" t="str">
        <f t="shared" si="48"/>
        <v/>
      </c>
      <c r="H522" s="106" t="str">
        <f t="shared" si="49"/>
        <v/>
      </c>
    </row>
    <row r="523" spans="1:8" x14ac:dyDescent="0.2">
      <c r="A523" s="104" t="str">
        <f t="shared" si="44"/>
        <v/>
      </c>
      <c r="B523" s="108" t="str">
        <f t="shared" si="45"/>
        <v/>
      </c>
      <c r="C523" s="109" t="str">
        <f t="shared" si="46"/>
        <v/>
      </c>
      <c r="D523" s="111"/>
      <c r="E523" s="106"/>
      <c r="F523" s="106" t="str">
        <f t="shared" si="47"/>
        <v/>
      </c>
      <c r="G523" s="106" t="str">
        <f t="shared" si="48"/>
        <v/>
      </c>
      <c r="H523" s="106" t="str">
        <f t="shared" si="49"/>
        <v/>
      </c>
    </row>
    <row r="524" spans="1:8" x14ac:dyDescent="0.2">
      <c r="A524" s="104" t="str">
        <f t="shared" si="44"/>
        <v/>
      </c>
      <c r="B524" s="108" t="str">
        <f t="shared" si="45"/>
        <v/>
      </c>
      <c r="C524" s="109" t="str">
        <f t="shared" si="46"/>
        <v/>
      </c>
      <c r="D524" s="111"/>
      <c r="E524" s="106"/>
      <c r="F524" s="106" t="str">
        <f t="shared" si="47"/>
        <v/>
      </c>
      <c r="G524" s="106" t="str">
        <f t="shared" si="48"/>
        <v/>
      </c>
      <c r="H524" s="106" t="str">
        <f t="shared" si="49"/>
        <v/>
      </c>
    </row>
    <row r="525" spans="1:8" x14ac:dyDescent="0.2">
      <c r="A525" s="104" t="str">
        <f t="shared" si="44"/>
        <v/>
      </c>
      <c r="B525" s="108" t="str">
        <f t="shared" si="45"/>
        <v/>
      </c>
      <c r="C525" s="109" t="str">
        <f t="shared" si="46"/>
        <v/>
      </c>
      <c r="D525" s="111"/>
      <c r="E525" s="106"/>
      <c r="F525" s="106" t="str">
        <f t="shared" si="47"/>
        <v/>
      </c>
      <c r="G525" s="106" t="str">
        <f t="shared" si="48"/>
        <v/>
      </c>
      <c r="H525" s="106" t="str">
        <f t="shared" si="49"/>
        <v/>
      </c>
    </row>
    <row r="526" spans="1:8" x14ac:dyDescent="0.2">
      <c r="A526" s="104" t="str">
        <f t="shared" si="44"/>
        <v/>
      </c>
      <c r="B526" s="108" t="str">
        <f t="shared" si="45"/>
        <v/>
      </c>
      <c r="C526" s="109" t="str">
        <f t="shared" si="46"/>
        <v/>
      </c>
      <c r="D526" s="111"/>
      <c r="E526" s="106"/>
      <c r="F526" s="106" t="str">
        <f t="shared" si="47"/>
        <v/>
      </c>
      <c r="G526" s="106" t="str">
        <f t="shared" si="48"/>
        <v/>
      </c>
      <c r="H526" s="106" t="str">
        <f t="shared" si="49"/>
        <v/>
      </c>
    </row>
    <row r="527" spans="1:8" x14ac:dyDescent="0.2">
      <c r="A527" s="104" t="str">
        <f t="shared" si="44"/>
        <v/>
      </c>
      <c r="B527" s="108" t="str">
        <f t="shared" si="45"/>
        <v/>
      </c>
      <c r="C527" s="109" t="str">
        <f t="shared" si="46"/>
        <v/>
      </c>
      <c r="D527" s="111"/>
      <c r="E527" s="106"/>
      <c r="F527" s="106" t="str">
        <f t="shared" si="47"/>
        <v/>
      </c>
      <c r="G527" s="106" t="str">
        <f t="shared" si="48"/>
        <v/>
      </c>
      <c r="H527" s="106" t="str">
        <f t="shared" si="49"/>
        <v/>
      </c>
    </row>
    <row r="528" spans="1:8" x14ac:dyDescent="0.2">
      <c r="A528" s="104" t="str">
        <f t="shared" si="44"/>
        <v/>
      </c>
      <c r="B528" s="108" t="str">
        <f t="shared" si="45"/>
        <v/>
      </c>
      <c r="C528" s="109" t="str">
        <f t="shared" si="46"/>
        <v/>
      </c>
      <c r="D528" s="111"/>
      <c r="E528" s="106"/>
      <c r="F528" s="106" t="str">
        <f t="shared" si="47"/>
        <v/>
      </c>
      <c r="G528" s="106" t="str">
        <f t="shared" si="48"/>
        <v/>
      </c>
      <c r="H528" s="106" t="str">
        <f t="shared" si="49"/>
        <v/>
      </c>
    </row>
    <row r="529" spans="1:8" x14ac:dyDescent="0.2">
      <c r="A529" s="104" t="str">
        <f t="shared" si="44"/>
        <v/>
      </c>
      <c r="B529" s="108" t="str">
        <f t="shared" si="45"/>
        <v/>
      </c>
      <c r="C529" s="109" t="str">
        <f t="shared" si="46"/>
        <v/>
      </c>
      <c r="D529" s="111"/>
      <c r="E529" s="106"/>
      <c r="F529" s="106" t="str">
        <f t="shared" si="47"/>
        <v/>
      </c>
      <c r="G529" s="106" t="str">
        <f t="shared" si="48"/>
        <v/>
      </c>
      <c r="H529" s="106" t="str">
        <f t="shared" si="49"/>
        <v/>
      </c>
    </row>
    <row r="530" spans="1:8" x14ac:dyDescent="0.2">
      <c r="A530" s="104" t="str">
        <f t="shared" si="44"/>
        <v/>
      </c>
      <c r="B530" s="108" t="str">
        <f t="shared" si="45"/>
        <v/>
      </c>
      <c r="C530" s="109" t="str">
        <f t="shared" si="46"/>
        <v/>
      </c>
      <c r="D530" s="111"/>
      <c r="E530" s="106"/>
      <c r="F530" s="106" t="str">
        <f t="shared" si="47"/>
        <v/>
      </c>
      <c r="G530" s="106" t="str">
        <f t="shared" si="48"/>
        <v/>
      </c>
      <c r="H530" s="106" t="str">
        <f t="shared" si="49"/>
        <v/>
      </c>
    </row>
    <row r="531" spans="1:8" x14ac:dyDescent="0.2">
      <c r="A531" s="104" t="str">
        <f t="shared" si="44"/>
        <v/>
      </c>
      <c r="B531" s="108" t="str">
        <f t="shared" si="45"/>
        <v/>
      </c>
      <c r="C531" s="109" t="str">
        <f t="shared" si="46"/>
        <v/>
      </c>
      <c r="D531" s="111"/>
      <c r="E531" s="106"/>
      <c r="F531" s="106" t="str">
        <f t="shared" si="47"/>
        <v/>
      </c>
      <c r="G531" s="106" t="str">
        <f t="shared" si="48"/>
        <v/>
      </c>
      <c r="H531" s="106" t="str">
        <f t="shared" si="49"/>
        <v/>
      </c>
    </row>
    <row r="532" spans="1:8" x14ac:dyDescent="0.2">
      <c r="A532" s="104" t="str">
        <f t="shared" si="44"/>
        <v/>
      </c>
      <c r="B532" s="108" t="str">
        <f t="shared" si="45"/>
        <v/>
      </c>
      <c r="C532" s="109" t="str">
        <f t="shared" si="46"/>
        <v/>
      </c>
      <c r="D532" s="111"/>
      <c r="E532" s="106"/>
      <c r="F532" s="106" t="str">
        <f t="shared" si="47"/>
        <v/>
      </c>
      <c r="G532" s="106" t="str">
        <f t="shared" si="48"/>
        <v/>
      </c>
      <c r="H532" s="106" t="str">
        <f t="shared" si="49"/>
        <v/>
      </c>
    </row>
    <row r="533" spans="1:8" x14ac:dyDescent="0.2">
      <c r="A533" s="104" t="str">
        <f t="shared" si="44"/>
        <v/>
      </c>
      <c r="B533" s="108" t="str">
        <f t="shared" si="45"/>
        <v/>
      </c>
      <c r="C533" s="109" t="str">
        <f t="shared" si="46"/>
        <v/>
      </c>
      <c r="D533" s="111"/>
      <c r="E533" s="106"/>
      <c r="F533" s="106" t="str">
        <f t="shared" si="47"/>
        <v/>
      </c>
      <c r="G533" s="106" t="str">
        <f t="shared" si="48"/>
        <v/>
      </c>
      <c r="H533" s="106" t="str">
        <f t="shared" si="49"/>
        <v/>
      </c>
    </row>
    <row r="534" spans="1:8" x14ac:dyDescent="0.2">
      <c r="A534" s="104" t="str">
        <f t="shared" si="44"/>
        <v/>
      </c>
      <c r="B534" s="108" t="str">
        <f t="shared" si="45"/>
        <v/>
      </c>
      <c r="C534" s="109" t="str">
        <f t="shared" si="46"/>
        <v/>
      </c>
      <c r="D534" s="111"/>
      <c r="E534" s="106"/>
      <c r="F534" s="106" t="str">
        <f t="shared" si="47"/>
        <v/>
      </c>
      <c r="G534" s="106" t="str">
        <f t="shared" si="48"/>
        <v/>
      </c>
      <c r="H534" s="106" t="str">
        <f t="shared" si="49"/>
        <v/>
      </c>
    </row>
    <row r="535" spans="1:8" x14ac:dyDescent="0.2">
      <c r="A535" s="104" t="str">
        <f t="shared" si="44"/>
        <v/>
      </c>
      <c r="B535" s="108" t="str">
        <f t="shared" si="45"/>
        <v/>
      </c>
      <c r="C535" s="109" t="str">
        <f t="shared" si="46"/>
        <v/>
      </c>
      <c r="D535" s="111"/>
      <c r="E535" s="106"/>
      <c r="F535" s="106" t="str">
        <f t="shared" si="47"/>
        <v/>
      </c>
      <c r="G535" s="106" t="str">
        <f t="shared" si="48"/>
        <v/>
      </c>
      <c r="H535" s="106" t="str">
        <f t="shared" si="49"/>
        <v/>
      </c>
    </row>
    <row r="536" spans="1:8" x14ac:dyDescent="0.2">
      <c r="A536" s="104" t="str">
        <f t="shared" si="44"/>
        <v/>
      </c>
      <c r="B536" s="108" t="str">
        <f t="shared" si="45"/>
        <v/>
      </c>
      <c r="C536" s="109" t="str">
        <f t="shared" si="46"/>
        <v/>
      </c>
      <c r="D536" s="111"/>
      <c r="E536" s="106"/>
      <c r="F536" s="106" t="str">
        <f t="shared" si="47"/>
        <v/>
      </c>
      <c r="G536" s="106" t="str">
        <f t="shared" si="48"/>
        <v/>
      </c>
      <c r="H536" s="106" t="str">
        <f t="shared" si="49"/>
        <v/>
      </c>
    </row>
    <row r="537" spans="1:8" x14ac:dyDescent="0.2">
      <c r="A537" s="104" t="str">
        <f t="shared" si="44"/>
        <v/>
      </c>
      <c r="B537" s="108" t="str">
        <f t="shared" si="45"/>
        <v/>
      </c>
      <c r="C537" s="109" t="str">
        <f t="shared" si="46"/>
        <v/>
      </c>
      <c r="D537" s="111"/>
      <c r="E537" s="106"/>
      <c r="F537" s="106" t="str">
        <f t="shared" si="47"/>
        <v/>
      </c>
      <c r="G537" s="106" t="str">
        <f t="shared" si="48"/>
        <v/>
      </c>
      <c r="H537" s="106" t="str">
        <f t="shared" si="49"/>
        <v/>
      </c>
    </row>
    <row r="538" spans="1:8" x14ac:dyDescent="0.2">
      <c r="A538" s="104" t="str">
        <f t="shared" si="44"/>
        <v/>
      </c>
      <c r="B538" s="108" t="str">
        <f t="shared" si="45"/>
        <v/>
      </c>
      <c r="C538" s="109" t="str">
        <f t="shared" si="46"/>
        <v/>
      </c>
      <c r="D538" s="111"/>
      <c r="E538" s="106"/>
      <c r="F538" s="106" t="str">
        <f t="shared" si="47"/>
        <v/>
      </c>
      <c r="G538" s="106" t="str">
        <f t="shared" si="48"/>
        <v/>
      </c>
      <c r="H538" s="106" t="str">
        <f t="shared" si="49"/>
        <v/>
      </c>
    </row>
    <row r="539" spans="1:8" x14ac:dyDescent="0.2">
      <c r="A539" s="104" t="str">
        <f t="shared" si="44"/>
        <v/>
      </c>
      <c r="B539" s="108" t="str">
        <f t="shared" si="45"/>
        <v/>
      </c>
      <c r="C539" s="109" t="str">
        <f t="shared" si="46"/>
        <v/>
      </c>
      <c r="D539" s="111"/>
      <c r="E539" s="106"/>
      <c r="F539" s="106" t="str">
        <f t="shared" si="47"/>
        <v/>
      </c>
      <c r="G539" s="106" t="str">
        <f t="shared" si="48"/>
        <v/>
      </c>
      <c r="H539" s="106" t="str">
        <f t="shared" si="49"/>
        <v/>
      </c>
    </row>
    <row r="540" spans="1:8" x14ac:dyDescent="0.2">
      <c r="A540" s="104" t="str">
        <f t="shared" si="44"/>
        <v/>
      </c>
      <c r="B540" s="108" t="str">
        <f t="shared" si="45"/>
        <v/>
      </c>
      <c r="C540" s="109" t="str">
        <f t="shared" si="46"/>
        <v/>
      </c>
      <c r="D540" s="111"/>
      <c r="E540" s="106"/>
      <c r="F540" s="106" t="str">
        <f t="shared" si="47"/>
        <v/>
      </c>
      <c r="G540" s="106" t="str">
        <f t="shared" si="48"/>
        <v/>
      </c>
      <c r="H540" s="106" t="str">
        <f t="shared" si="49"/>
        <v/>
      </c>
    </row>
    <row r="541" spans="1:8" x14ac:dyDescent="0.2">
      <c r="A541" s="104" t="str">
        <f t="shared" si="44"/>
        <v/>
      </c>
      <c r="B541" s="108" t="str">
        <f t="shared" si="45"/>
        <v/>
      </c>
      <c r="C541" s="109" t="str">
        <f t="shared" si="46"/>
        <v/>
      </c>
      <c r="D541" s="111"/>
      <c r="E541" s="106"/>
      <c r="F541" s="106" t="str">
        <f t="shared" si="47"/>
        <v/>
      </c>
      <c r="G541" s="106" t="str">
        <f t="shared" si="48"/>
        <v/>
      </c>
      <c r="H541" s="106" t="str">
        <f t="shared" si="49"/>
        <v/>
      </c>
    </row>
    <row r="542" spans="1:8" x14ac:dyDescent="0.2">
      <c r="A542" s="104" t="str">
        <f t="shared" si="44"/>
        <v/>
      </c>
      <c r="B542" s="108" t="str">
        <f t="shared" si="45"/>
        <v/>
      </c>
      <c r="C542" s="109" t="str">
        <f t="shared" si="46"/>
        <v/>
      </c>
      <c r="D542" s="111"/>
      <c r="E542" s="106"/>
      <c r="F542" s="106" t="str">
        <f t="shared" si="47"/>
        <v/>
      </c>
      <c r="G542" s="106" t="str">
        <f t="shared" si="48"/>
        <v/>
      </c>
      <c r="H542" s="106" t="str">
        <f t="shared" si="49"/>
        <v/>
      </c>
    </row>
    <row r="543" spans="1:8" x14ac:dyDescent="0.2">
      <c r="A543" s="104" t="str">
        <f t="shared" si="44"/>
        <v/>
      </c>
      <c r="B543" s="108" t="str">
        <f t="shared" si="45"/>
        <v/>
      </c>
      <c r="C543" s="109" t="str">
        <f t="shared" si="46"/>
        <v/>
      </c>
      <c r="D543" s="111"/>
      <c r="E543" s="106"/>
      <c r="F543" s="106" t="str">
        <f t="shared" si="47"/>
        <v/>
      </c>
      <c r="G543" s="106" t="str">
        <f t="shared" si="48"/>
        <v/>
      </c>
      <c r="H543" s="106" t="str">
        <f t="shared" si="49"/>
        <v/>
      </c>
    </row>
    <row r="544" spans="1:8" x14ac:dyDescent="0.2">
      <c r="A544" s="104" t="str">
        <f t="shared" si="44"/>
        <v/>
      </c>
      <c r="B544" s="108" t="str">
        <f t="shared" si="45"/>
        <v/>
      </c>
      <c r="C544" s="109" t="str">
        <f t="shared" si="46"/>
        <v/>
      </c>
      <c r="D544" s="111"/>
      <c r="E544" s="106"/>
      <c r="F544" s="106" t="str">
        <f t="shared" si="47"/>
        <v/>
      </c>
      <c r="G544" s="106" t="str">
        <f t="shared" si="48"/>
        <v/>
      </c>
      <c r="H544" s="106" t="str">
        <f t="shared" si="49"/>
        <v/>
      </c>
    </row>
    <row r="545" spans="1:8" x14ac:dyDescent="0.2">
      <c r="A545" s="104" t="str">
        <f t="shared" si="44"/>
        <v/>
      </c>
      <c r="B545" s="108" t="str">
        <f t="shared" si="45"/>
        <v/>
      </c>
      <c r="C545" s="109" t="str">
        <f t="shared" si="46"/>
        <v/>
      </c>
      <c r="D545" s="111"/>
      <c r="E545" s="106"/>
      <c r="F545" s="106" t="str">
        <f t="shared" si="47"/>
        <v/>
      </c>
      <c r="G545" s="106" t="str">
        <f t="shared" si="48"/>
        <v/>
      </c>
      <c r="H545" s="106" t="str">
        <f t="shared" si="49"/>
        <v/>
      </c>
    </row>
    <row r="546" spans="1:8" x14ac:dyDescent="0.2">
      <c r="A546" s="104" t="str">
        <f t="shared" si="44"/>
        <v/>
      </c>
      <c r="B546" s="108" t="str">
        <f t="shared" si="45"/>
        <v/>
      </c>
      <c r="C546" s="109" t="str">
        <f t="shared" si="46"/>
        <v/>
      </c>
      <c r="D546" s="111"/>
      <c r="E546" s="106"/>
      <c r="F546" s="106" t="str">
        <f t="shared" si="47"/>
        <v/>
      </c>
      <c r="G546" s="106" t="str">
        <f t="shared" si="48"/>
        <v/>
      </c>
      <c r="H546" s="106" t="str">
        <f t="shared" si="49"/>
        <v/>
      </c>
    </row>
    <row r="547" spans="1:8" x14ac:dyDescent="0.2">
      <c r="A547" s="104" t="str">
        <f t="shared" si="44"/>
        <v/>
      </c>
      <c r="B547" s="108" t="str">
        <f t="shared" si="45"/>
        <v/>
      </c>
      <c r="C547" s="109" t="str">
        <f t="shared" si="46"/>
        <v/>
      </c>
      <c r="D547" s="111"/>
      <c r="E547" s="106"/>
      <c r="F547" s="106" t="str">
        <f t="shared" si="47"/>
        <v/>
      </c>
      <c r="G547" s="106" t="str">
        <f t="shared" si="48"/>
        <v/>
      </c>
      <c r="H547" s="106" t="str">
        <f t="shared" si="49"/>
        <v/>
      </c>
    </row>
    <row r="548" spans="1:8" x14ac:dyDescent="0.2">
      <c r="A548" s="104" t="str">
        <f t="shared" si="44"/>
        <v/>
      </c>
      <c r="B548" s="108" t="str">
        <f t="shared" si="45"/>
        <v/>
      </c>
      <c r="C548" s="109" t="str">
        <f t="shared" si="46"/>
        <v/>
      </c>
      <c r="D548" s="111"/>
      <c r="E548" s="106"/>
      <c r="F548" s="106" t="str">
        <f t="shared" si="47"/>
        <v/>
      </c>
      <c r="G548" s="106" t="str">
        <f t="shared" si="48"/>
        <v/>
      </c>
      <c r="H548" s="106" t="str">
        <f t="shared" si="49"/>
        <v/>
      </c>
    </row>
    <row r="549" spans="1:8" x14ac:dyDescent="0.2">
      <c r="A549" s="104" t="str">
        <f t="shared" si="44"/>
        <v/>
      </c>
      <c r="B549" s="108" t="str">
        <f t="shared" si="45"/>
        <v/>
      </c>
      <c r="C549" s="109" t="str">
        <f t="shared" si="46"/>
        <v/>
      </c>
      <c r="D549" s="111"/>
      <c r="E549" s="106"/>
      <c r="F549" s="106" t="str">
        <f t="shared" si="47"/>
        <v/>
      </c>
      <c r="G549" s="106" t="str">
        <f t="shared" si="48"/>
        <v/>
      </c>
      <c r="H549" s="106" t="str">
        <f t="shared" si="49"/>
        <v/>
      </c>
    </row>
    <row r="550" spans="1:8" x14ac:dyDescent="0.2">
      <c r="A550" s="104" t="str">
        <f t="shared" si="44"/>
        <v/>
      </c>
      <c r="B550" s="108" t="str">
        <f t="shared" si="45"/>
        <v/>
      </c>
      <c r="C550" s="109" t="str">
        <f t="shared" si="46"/>
        <v/>
      </c>
      <c r="D550" s="111"/>
      <c r="E550" s="106"/>
      <c r="F550" s="106" t="str">
        <f t="shared" si="47"/>
        <v/>
      </c>
      <c r="G550" s="106" t="str">
        <f t="shared" si="48"/>
        <v/>
      </c>
      <c r="H550" s="106" t="str">
        <f t="shared" si="49"/>
        <v/>
      </c>
    </row>
    <row r="551" spans="1:8" x14ac:dyDescent="0.2">
      <c r="A551" s="104" t="str">
        <f t="shared" si="44"/>
        <v/>
      </c>
      <c r="B551" s="108" t="str">
        <f t="shared" si="45"/>
        <v/>
      </c>
      <c r="C551" s="109" t="str">
        <f t="shared" si="46"/>
        <v/>
      </c>
      <c r="D551" s="111"/>
      <c r="E551" s="106"/>
      <c r="F551" s="106" t="str">
        <f t="shared" si="47"/>
        <v/>
      </c>
      <c r="G551" s="106" t="str">
        <f t="shared" si="48"/>
        <v/>
      </c>
      <c r="H551" s="106" t="str">
        <f t="shared" si="49"/>
        <v/>
      </c>
    </row>
    <row r="552" spans="1:8" x14ac:dyDescent="0.2">
      <c r="A552" s="104" t="str">
        <f t="shared" si="44"/>
        <v/>
      </c>
      <c r="B552" s="108" t="str">
        <f t="shared" si="45"/>
        <v/>
      </c>
      <c r="C552" s="109" t="str">
        <f t="shared" si="46"/>
        <v/>
      </c>
      <c r="D552" s="111"/>
      <c r="E552" s="106"/>
      <c r="F552" s="106" t="str">
        <f t="shared" si="47"/>
        <v/>
      </c>
      <c r="G552" s="106" t="str">
        <f t="shared" si="48"/>
        <v/>
      </c>
      <c r="H552" s="106" t="str">
        <f t="shared" si="49"/>
        <v/>
      </c>
    </row>
    <row r="553" spans="1:8" x14ac:dyDescent="0.2">
      <c r="A553" s="104" t="str">
        <f t="shared" si="44"/>
        <v/>
      </c>
      <c r="B553" s="108" t="str">
        <f t="shared" si="45"/>
        <v/>
      </c>
      <c r="C553" s="109" t="str">
        <f t="shared" si="46"/>
        <v/>
      </c>
      <c r="D553" s="111"/>
      <c r="E553" s="106"/>
      <c r="F553" s="106" t="str">
        <f t="shared" si="47"/>
        <v/>
      </c>
      <c r="G553" s="106" t="str">
        <f t="shared" si="48"/>
        <v/>
      </c>
      <c r="H553" s="106" t="str">
        <f t="shared" si="49"/>
        <v/>
      </c>
    </row>
    <row r="554" spans="1:8" x14ac:dyDescent="0.2">
      <c r="A554" s="104" t="str">
        <f t="shared" si="44"/>
        <v/>
      </c>
      <c r="B554" s="108" t="str">
        <f t="shared" si="45"/>
        <v/>
      </c>
      <c r="C554" s="109" t="str">
        <f t="shared" si="46"/>
        <v/>
      </c>
      <c r="D554" s="111"/>
      <c r="E554" s="106"/>
      <c r="F554" s="106" t="str">
        <f t="shared" si="47"/>
        <v/>
      </c>
      <c r="G554" s="106" t="str">
        <f t="shared" si="48"/>
        <v/>
      </c>
      <c r="H554" s="106" t="str">
        <f t="shared" si="49"/>
        <v/>
      </c>
    </row>
    <row r="555" spans="1:8" x14ac:dyDescent="0.2">
      <c r="A555" s="104" t="str">
        <f t="shared" si="44"/>
        <v/>
      </c>
      <c r="B555" s="108" t="str">
        <f t="shared" si="45"/>
        <v/>
      </c>
      <c r="C555" s="109" t="str">
        <f t="shared" si="46"/>
        <v/>
      </c>
      <c r="D555" s="111"/>
      <c r="E555" s="106"/>
      <c r="F555" s="106" t="str">
        <f t="shared" si="47"/>
        <v/>
      </c>
      <c r="G555" s="106" t="str">
        <f t="shared" si="48"/>
        <v/>
      </c>
      <c r="H555" s="106" t="str">
        <f t="shared" si="49"/>
        <v/>
      </c>
    </row>
    <row r="556" spans="1:8" x14ac:dyDescent="0.2">
      <c r="A556" s="104" t="str">
        <f t="shared" si="44"/>
        <v/>
      </c>
      <c r="B556" s="108" t="str">
        <f t="shared" si="45"/>
        <v/>
      </c>
      <c r="C556" s="109" t="str">
        <f t="shared" si="46"/>
        <v/>
      </c>
      <c r="D556" s="111"/>
      <c r="E556" s="106"/>
      <c r="F556" s="106" t="str">
        <f t="shared" si="47"/>
        <v/>
      </c>
      <c r="G556" s="106" t="str">
        <f t="shared" si="48"/>
        <v/>
      </c>
      <c r="H556" s="106" t="str">
        <f t="shared" si="49"/>
        <v/>
      </c>
    </row>
    <row r="557" spans="1:8" x14ac:dyDescent="0.2">
      <c r="A557" s="104" t="str">
        <f t="shared" si="44"/>
        <v/>
      </c>
      <c r="B557" s="108" t="str">
        <f t="shared" si="45"/>
        <v/>
      </c>
      <c r="C557" s="109" t="str">
        <f t="shared" si="46"/>
        <v/>
      </c>
      <c r="D557" s="111"/>
      <c r="E557" s="106"/>
      <c r="F557" s="106" t="str">
        <f t="shared" si="47"/>
        <v/>
      </c>
      <c r="G557" s="106" t="str">
        <f t="shared" si="48"/>
        <v/>
      </c>
      <c r="H557" s="106" t="str">
        <f t="shared" si="49"/>
        <v/>
      </c>
    </row>
    <row r="558" spans="1:8" x14ac:dyDescent="0.2">
      <c r="A558" s="104" t="str">
        <f t="shared" si="44"/>
        <v/>
      </c>
      <c r="B558" s="108" t="str">
        <f t="shared" si="45"/>
        <v/>
      </c>
      <c r="C558" s="109" t="str">
        <f t="shared" si="46"/>
        <v/>
      </c>
      <c r="D558" s="111"/>
      <c r="E558" s="106"/>
      <c r="F558" s="106" t="str">
        <f t="shared" si="47"/>
        <v/>
      </c>
      <c r="G558" s="106" t="str">
        <f t="shared" si="48"/>
        <v/>
      </c>
      <c r="H558" s="106" t="str">
        <f t="shared" si="49"/>
        <v/>
      </c>
    </row>
    <row r="559" spans="1:8" x14ac:dyDescent="0.2">
      <c r="A559" s="104" t="str">
        <f t="shared" si="44"/>
        <v/>
      </c>
      <c r="B559" s="108" t="str">
        <f t="shared" si="45"/>
        <v/>
      </c>
      <c r="C559" s="109" t="str">
        <f t="shared" si="46"/>
        <v/>
      </c>
      <c r="D559" s="111"/>
      <c r="E559" s="106"/>
      <c r="F559" s="106" t="str">
        <f t="shared" si="47"/>
        <v/>
      </c>
      <c r="G559" s="106" t="str">
        <f t="shared" si="48"/>
        <v/>
      </c>
      <c r="H559" s="106" t="str">
        <f t="shared" si="49"/>
        <v/>
      </c>
    </row>
    <row r="560" spans="1:8" x14ac:dyDescent="0.2">
      <c r="A560" s="104" t="str">
        <f t="shared" si="44"/>
        <v/>
      </c>
      <c r="B560" s="108" t="str">
        <f t="shared" si="45"/>
        <v/>
      </c>
      <c r="C560" s="109" t="str">
        <f t="shared" si="46"/>
        <v/>
      </c>
      <c r="D560" s="111"/>
      <c r="E560" s="106"/>
      <c r="F560" s="106" t="str">
        <f t="shared" si="47"/>
        <v/>
      </c>
      <c r="G560" s="106" t="str">
        <f t="shared" si="48"/>
        <v/>
      </c>
      <c r="H560" s="106" t="str">
        <f t="shared" si="49"/>
        <v/>
      </c>
    </row>
    <row r="561" spans="1:8" x14ac:dyDescent="0.2">
      <c r="A561" s="104" t="str">
        <f t="shared" si="44"/>
        <v/>
      </c>
      <c r="B561" s="108" t="str">
        <f t="shared" si="45"/>
        <v/>
      </c>
      <c r="C561" s="109" t="str">
        <f t="shared" si="46"/>
        <v/>
      </c>
      <c r="D561" s="111"/>
      <c r="E561" s="106"/>
      <c r="F561" s="106" t="str">
        <f t="shared" si="47"/>
        <v/>
      </c>
      <c r="G561" s="106" t="str">
        <f t="shared" si="48"/>
        <v/>
      </c>
      <c r="H561" s="106" t="str">
        <f t="shared" si="49"/>
        <v/>
      </c>
    </row>
    <row r="562" spans="1:8" x14ac:dyDescent="0.2">
      <c r="A562" s="104" t="str">
        <f t="shared" si="44"/>
        <v/>
      </c>
      <c r="B562" s="108" t="str">
        <f t="shared" si="45"/>
        <v/>
      </c>
      <c r="C562" s="109" t="str">
        <f t="shared" si="46"/>
        <v/>
      </c>
      <c r="D562" s="111"/>
      <c r="E562" s="106"/>
      <c r="F562" s="106" t="str">
        <f t="shared" si="47"/>
        <v/>
      </c>
      <c r="G562" s="106" t="str">
        <f t="shared" si="48"/>
        <v/>
      </c>
      <c r="H562" s="106" t="str">
        <f t="shared" si="49"/>
        <v/>
      </c>
    </row>
    <row r="563" spans="1:8" x14ac:dyDescent="0.2">
      <c r="A563" s="104" t="str">
        <f t="shared" si="44"/>
        <v/>
      </c>
      <c r="B563" s="108" t="str">
        <f t="shared" si="45"/>
        <v/>
      </c>
      <c r="C563" s="109" t="str">
        <f t="shared" si="46"/>
        <v/>
      </c>
      <c r="D563" s="111"/>
      <c r="E563" s="106"/>
      <c r="F563" s="106" t="str">
        <f t="shared" si="47"/>
        <v/>
      </c>
      <c r="G563" s="106" t="str">
        <f t="shared" si="48"/>
        <v/>
      </c>
      <c r="H563" s="106" t="str">
        <f t="shared" si="49"/>
        <v/>
      </c>
    </row>
    <row r="564" spans="1:8" x14ac:dyDescent="0.2">
      <c r="A564" s="104" t="str">
        <f t="shared" si="44"/>
        <v/>
      </c>
      <c r="B564" s="108" t="str">
        <f t="shared" si="45"/>
        <v/>
      </c>
      <c r="C564" s="109" t="str">
        <f t="shared" si="46"/>
        <v/>
      </c>
      <c r="D564" s="111"/>
      <c r="E564" s="106"/>
      <c r="F564" s="106" t="str">
        <f t="shared" si="47"/>
        <v/>
      </c>
      <c r="G564" s="106" t="str">
        <f t="shared" si="48"/>
        <v/>
      </c>
      <c r="H564" s="106" t="str">
        <f t="shared" si="49"/>
        <v/>
      </c>
    </row>
    <row r="565" spans="1:8" x14ac:dyDescent="0.2">
      <c r="A565" s="104" t="str">
        <f t="shared" si="44"/>
        <v/>
      </c>
      <c r="B565" s="108" t="str">
        <f t="shared" si="45"/>
        <v/>
      </c>
      <c r="C565" s="109" t="str">
        <f t="shared" si="46"/>
        <v/>
      </c>
      <c r="D565" s="111"/>
      <c r="E565" s="106"/>
      <c r="F565" s="106" t="str">
        <f t="shared" si="47"/>
        <v/>
      </c>
      <c r="G565" s="106" t="str">
        <f t="shared" si="48"/>
        <v/>
      </c>
      <c r="H565" s="106" t="str">
        <f t="shared" si="49"/>
        <v/>
      </c>
    </row>
    <row r="566" spans="1:8" x14ac:dyDescent="0.2">
      <c r="A566" s="104" t="str">
        <f t="shared" si="44"/>
        <v/>
      </c>
      <c r="B566" s="108" t="str">
        <f t="shared" si="45"/>
        <v/>
      </c>
      <c r="C566" s="109" t="str">
        <f t="shared" si="46"/>
        <v/>
      </c>
      <c r="D566" s="111"/>
      <c r="E566" s="106"/>
      <c r="F566" s="106" t="str">
        <f t="shared" si="47"/>
        <v/>
      </c>
      <c r="G566" s="106" t="str">
        <f t="shared" si="48"/>
        <v/>
      </c>
      <c r="H566" s="106" t="str">
        <f t="shared" si="49"/>
        <v/>
      </c>
    </row>
    <row r="567" spans="1:8" x14ac:dyDescent="0.2">
      <c r="A567" s="104" t="str">
        <f t="shared" si="44"/>
        <v/>
      </c>
      <c r="B567" s="108" t="str">
        <f t="shared" si="45"/>
        <v/>
      </c>
      <c r="C567" s="109" t="str">
        <f t="shared" si="46"/>
        <v/>
      </c>
      <c r="D567" s="111"/>
      <c r="E567" s="106"/>
      <c r="F567" s="106" t="str">
        <f t="shared" si="47"/>
        <v/>
      </c>
      <c r="G567" s="106" t="str">
        <f t="shared" si="48"/>
        <v/>
      </c>
      <c r="H567" s="106" t="str">
        <f t="shared" si="49"/>
        <v/>
      </c>
    </row>
    <row r="568" spans="1:8" x14ac:dyDescent="0.2">
      <c r="A568" s="104" t="str">
        <f t="shared" si="44"/>
        <v/>
      </c>
      <c r="B568" s="108" t="str">
        <f t="shared" si="45"/>
        <v/>
      </c>
      <c r="C568" s="109" t="str">
        <f t="shared" si="46"/>
        <v/>
      </c>
      <c r="D568" s="111"/>
      <c r="E568" s="106"/>
      <c r="F568" s="106" t="str">
        <f t="shared" si="47"/>
        <v/>
      </c>
      <c r="G568" s="106" t="str">
        <f t="shared" si="48"/>
        <v/>
      </c>
      <c r="H568" s="106" t="str">
        <f t="shared" si="49"/>
        <v/>
      </c>
    </row>
    <row r="569" spans="1:8" x14ac:dyDescent="0.2">
      <c r="A569" s="104" t="str">
        <f t="shared" si="44"/>
        <v/>
      </c>
      <c r="B569" s="108" t="str">
        <f t="shared" si="45"/>
        <v/>
      </c>
      <c r="C569" s="109" t="str">
        <f t="shared" si="46"/>
        <v/>
      </c>
      <c r="D569" s="111"/>
      <c r="E569" s="106"/>
      <c r="F569" s="106" t="str">
        <f t="shared" si="47"/>
        <v/>
      </c>
      <c r="G569" s="106" t="str">
        <f t="shared" si="48"/>
        <v/>
      </c>
      <c r="H569" s="106" t="str">
        <f t="shared" si="49"/>
        <v/>
      </c>
    </row>
    <row r="570" spans="1:8" x14ac:dyDescent="0.2">
      <c r="A570" s="104" t="str">
        <f t="shared" si="44"/>
        <v/>
      </c>
      <c r="B570" s="108" t="str">
        <f t="shared" si="45"/>
        <v/>
      </c>
      <c r="C570" s="109" t="str">
        <f t="shared" si="46"/>
        <v/>
      </c>
      <c r="D570" s="111"/>
      <c r="E570" s="106"/>
      <c r="F570" s="106" t="str">
        <f t="shared" si="47"/>
        <v/>
      </c>
      <c r="G570" s="106" t="str">
        <f t="shared" si="48"/>
        <v/>
      </c>
      <c r="H570" s="106" t="str">
        <f t="shared" si="49"/>
        <v/>
      </c>
    </row>
    <row r="571" spans="1:8" x14ac:dyDescent="0.2">
      <c r="A571" s="104" t="str">
        <f t="shared" si="44"/>
        <v/>
      </c>
      <c r="B571" s="108" t="str">
        <f t="shared" si="45"/>
        <v/>
      </c>
      <c r="C571" s="109" t="str">
        <f t="shared" si="46"/>
        <v/>
      </c>
      <c r="D571" s="111"/>
      <c r="E571" s="106"/>
      <c r="F571" s="106" t="str">
        <f t="shared" si="47"/>
        <v/>
      </c>
      <c r="G571" s="106" t="str">
        <f t="shared" si="48"/>
        <v/>
      </c>
      <c r="H571" s="106" t="str">
        <f t="shared" si="49"/>
        <v/>
      </c>
    </row>
    <row r="572" spans="1:8" x14ac:dyDescent="0.2">
      <c r="A572" s="104" t="str">
        <f t="shared" si="44"/>
        <v/>
      </c>
      <c r="B572" s="108" t="str">
        <f t="shared" si="45"/>
        <v/>
      </c>
      <c r="C572" s="109" t="str">
        <f t="shared" si="46"/>
        <v/>
      </c>
      <c r="D572" s="111"/>
      <c r="E572" s="106"/>
      <c r="F572" s="106" t="str">
        <f t="shared" si="47"/>
        <v/>
      </c>
      <c r="G572" s="106" t="str">
        <f t="shared" si="48"/>
        <v/>
      </c>
      <c r="H572" s="106" t="str">
        <f t="shared" si="49"/>
        <v/>
      </c>
    </row>
    <row r="573" spans="1:8" x14ac:dyDescent="0.2">
      <c r="A573" s="104" t="str">
        <f t="shared" si="44"/>
        <v/>
      </c>
      <c r="B573" s="108" t="str">
        <f t="shared" si="45"/>
        <v/>
      </c>
      <c r="C573" s="109" t="str">
        <f t="shared" si="46"/>
        <v/>
      </c>
      <c r="D573" s="111"/>
      <c r="E573" s="106"/>
      <c r="F573" s="106" t="str">
        <f t="shared" si="47"/>
        <v/>
      </c>
      <c r="G573" s="106" t="str">
        <f t="shared" si="48"/>
        <v/>
      </c>
      <c r="H573" s="106" t="str">
        <f t="shared" si="49"/>
        <v/>
      </c>
    </row>
    <row r="574" spans="1:8" x14ac:dyDescent="0.2">
      <c r="A574" s="104" t="str">
        <f t="shared" si="44"/>
        <v/>
      </c>
      <c r="B574" s="108" t="str">
        <f t="shared" si="45"/>
        <v/>
      </c>
      <c r="C574" s="109" t="str">
        <f t="shared" si="46"/>
        <v/>
      </c>
      <c r="D574" s="111"/>
      <c r="E574" s="106"/>
      <c r="F574" s="106" t="str">
        <f t="shared" si="47"/>
        <v/>
      </c>
      <c r="G574" s="106" t="str">
        <f t="shared" si="48"/>
        <v/>
      </c>
      <c r="H574" s="106" t="str">
        <f t="shared" si="49"/>
        <v/>
      </c>
    </row>
    <row r="575" spans="1:8" x14ac:dyDescent="0.2">
      <c r="A575" s="104" t="str">
        <f t="shared" ref="A575:A638" si="50">IF(H574="","",IF(roundOpt,IF(OR(A574&gt;=nper,ROUND(H574,2)&lt;=0),"",A574+1),IF(OR(A574&gt;=nper,H574&lt;=0),"",A574+1)))</f>
        <v/>
      </c>
      <c r="B575" s="108" t="str">
        <f t="shared" ref="B575:B638" si="51">IF(A575="","",IF(periods_per_year=26,IF(A575=1,fpdate,B574+14),IF(periods_per_year=52,IF(A575=1,fpdate,B574+7),IF(periods_per_year=24,IF(A575=1,fpdate,IF(fpdate=EOMONTH(fpdate,0),IF(ISODD(A575),EOMONTH(EDATE(fpdate,(A575-1)/2),0),EDATE(DATE(YEAR(fpdate),MONTH(fpdate)+1,15),(A575-1)/2)),IF(DAY(fpdate)=15,IF(ISODD(A575),EDATE(fpdate,(A575-1)/2),EOMONTH(EDATE(fpdate,(A575-1)/2),0)),IF(DAY(fpdate)&lt;=14,IF(ISODD(A575),EDATE(fpdate,(A575-1)/2),EDATE(MIN(fpdate+15,EOMONTH(fpdate,0)),(A575-1)/2)),EDATE(IF(ISODD(A575),fpdate,fpdate-15),A575/2))))),IF(A575=1,fpdate,EDATE(fpdate,months_per_period*(A575-1)))))))</f>
        <v/>
      </c>
      <c r="C575" s="109" t="str">
        <f t="shared" ref="C575:C638" si="52">IF(A575="","",IF(roundOpt,IF(OR(A575=nper,payment&gt;ROUND((1+rate)*H574,2)),ROUND((1+rate)*H574,2),payment),IF(OR(A575=nper,payment&gt;(1+rate)*H574),(1+rate)*H574,payment)))</f>
        <v/>
      </c>
      <c r="D575" s="111"/>
      <c r="E575" s="106"/>
      <c r="F575" s="106" t="str">
        <f t="shared" ref="F575:F638" si="53">IF(A575="","",IF(AND(A575=1,pmtType=1),0,IF(roundOpt,ROUND(rate*H574,2),rate*H574)))</f>
        <v/>
      </c>
      <c r="G575" s="106" t="str">
        <f t="shared" ref="G575:G638" si="54">IF(A575="","",C575-F575+D575)</f>
        <v/>
      </c>
      <c r="H575" s="106" t="str">
        <f t="shared" ref="H575:H638" si="55">IF(A575="","",H574-G575)</f>
        <v/>
      </c>
    </row>
    <row r="576" spans="1:8" x14ac:dyDescent="0.2">
      <c r="A576" s="104" t="str">
        <f t="shared" si="50"/>
        <v/>
      </c>
      <c r="B576" s="108" t="str">
        <f t="shared" si="51"/>
        <v/>
      </c>
      <c r="C576" s="109" t="str">
        <f t="shared" si="52"/>
        <v/>
      </c>
      <c r="D576" s="111"/>
      <c r="E576" s="106"/>
      <c r="F576" s="106" t="str">
        <f t="shared" si="53"/>
        <v/>
      </c>
      <c r="G576" s="106" t="str">
        <f t="shared" si="54"/>
        <v/>
      </c>
      <c r="H576" s="106" t="str">
        <f t="shared" si="55"/>
        <v/>
      </c>
    </row>
    <row r="577" spans="1:8" x14ac:dyDescent="0.2">
      <c r="A577" s="104" t="str">
        <f t="shared" si="50"/>
        <v/>
      </c>
      <c r="B577" s="108" t="str">
        <f t="shared" si="51"/>
        <v/>
      </c>
      <c r="C577" s="109" t="str">
        <f t="shared" si="52"/>
        <v/>
      </c>
      <c r="D577" s="111"/>
      <c r="E577" s="106"/>
      <c r="F577" s="106" t="str">
        <f t="shared" si="53"/>
        <v/>
      </c>
      <c r="G577" s="106" t="str">
        <f t="shared" si="54"/>
        <v/>
      </c>
      <c r="H577" s="106" t="str">
        <f t="shared" si="55"/>
        <v/>
      </c>
    </row>
    <row r="578" spans="1:8" x14ac:dyDescent="0.2">
      <c r="A578" s="104" t="str">
        <f t="shared" si="50"/>
        <v/>
      </c>
      <c r="B578" s="108" t="str">
        <f t="shared" si="51"/>
        <v/>
      </c>
      <c r="C578" s="109" t="str">
        <f t="shared" si="52"/>
        <v/>
      </c>
      <c r="D578" s="111"/>
      <c r="E578" s="106"/>
      <c r="F578" s="106" t="str">
        <f t="shared" si="53"/>
        <v/>
      </c>
      <c r="G578" s="106" t="str">
        <f t="shared" si="54"/>
        <v/>
      </c>
      <c r="H578" s="106" t="str">
        <f t="shared" si="55"/>
        <v/>
      </c>
    </row>
    <row r="579" spans="1:8" x14ac:dyDescent="0.2">
      <c r="A579" s="104" t="str">
        <f t="shared" si="50"/>
        <v/>
      </c>
      <c r="B579" s="108" t="str">
        <f t="shared" si="51"/>
        <v/>
      </c>
      <c r="C579" s="109" t="str">
        <f t="shared" si="52"/>
        <v/>
      </c>
      <c r="D579" s="111"/>
      <c r="E579" s="106"/>
      <c r="F579" s="106" t="str">
        <f t="shared" si="53"/>
        <v/>
      </c>
      <c r="G579" s="106" t="str">
        <f t="shared" si="54"/>
        <v/>
      </c>
      <c r="H579" s="106" t="str">
        <f t="shared" si="55"/>
        <v/>
      </c>
    </row>
    <row r="580" spans="1:8" x14ac:dyDescent="0.2">
      <c r="A580" s="104" t="str">
        <f t="shared" si="50"/>
        <v/>
      </c>
      <c r="B580" s="108" t="str">
        <f t="shared" si="51"/>
        <v/>
      </c>
      <c r="C580" s="109" t="str">
        <f t="shared" si="52"/>
        <v/>
      </c>
      <c r="D580" s="111"/>
      <c r="E580" s="106"/>
      <c r="F580" s="106" t="str">
        <f t="shared" si="53"/>
        <v/>
      </c>
      <c r="G580" s="106" t="str">
        <f t="shared" si="54"/>
        <v/>
      </c>
      <c r="H580" s="106" t="str">
        <f t="shared" si="55"/>
        <v/>
      </c>
    </row>
    <row r="581" spans="1:8" x14ac:dyDescent="0.2">
      <c r="A581" s="104" t="str">
        <f t="shared" si="50"/>
        <v/>
      </c>
      <c r="B581" s="108" t="str">
        <f t="shared" si="51"/>
        <v/>
      </c>
      <c r="C581" s="109" t="str">
        <f t="shared" si="52"/>
        <v/>
      </c>
      <c r="D581" s="111"/>
      <c r="E581" s="106"/>
      <c r="F581" s="106" t="str">
        <f t="shared" si="53"/>
        <v/>
      </c>
      <c r="G581" s="106" t="str">
        <f t="shared" si="54"/>
        <v/>
      </c>
      <c r="H581" s="106" t="str">
        <f t="shared" si="55"/>
        <v/>
      </c>
    </row>
    <row r="582" spans="1:8" x14ac:dyDescent="0.2">
      <c r="A582" s="104" t="str">
        <f t="shared" si="50"/>
        <v/>
      </c>
      <c r="B582" s="108" t="str">
        <f t="shared" si="51"/>
        <v/>
      </c>
      <c r="C582" s="109" t="str">
        <f t="shared" si="52"/>
        <v/>
      </c>
      <c r="D582" s="111"/>
      <c r="E582" s="106"/>
      <c r="F582" s="106" t="str">
        <f t="shared" si="53"/>
        <v/>
      </c>
      <c r="G582" s="106" t="str">
        <f t="shared" si="54"/>
        <v/>
      </c>
      <c r="H582" s="106" t="str">
        <f t="shared" si="55"/>
        <v/>
      </c>
    </row>
    <row r="583" spans="1:8" x14ac:dyDescent="0.2">
      <c r="A583" s="104" t="str">
        <f t="shared" si="50"/>
        <v/>
      </c>
      <c r="B583" s="108" t="str">
        <f t="shared" si="51"/>
        <v/>
      </c>
      <c r="C583" s="109" t="str">
        <f t="shared" si="52"/>
        <v/>
      </c>
      <c r="D583" s="111"/>
      <c r="E583" s="106"/>
      <c r="F583" s="106" t="str">
        <f t="shared" si="53"/>
        <v/>
      </c>
      <c r="G583" s="106" t="str">
        <f t="shared" si="54"/>
        <v/>
      </c>
      <c r="H583" s="106" t="str">
        <f t="shared" si="55"/>
        <v/>
      </c>
    </row>
    <row r="584" spans="1:8" x14ac:dyDescent="0.2">
      <c r="A584" s="104" t="str">
        <f t="shared" si="50"/>
        <v/>
      </c>
      <c r="B584" s="108" t="str">
        <f t="shared" si="51"/>
        <v/>
      </c>
      <c r="C584" s="109" t="str">
        <f t="shared" si="52"/>
        <v/>
      </c>
      <c r="D584" s="111"/>
      <c r="E584" s="106"/>
      <c r="F584" s="106" t="str">
        <f t="shared" si="53"/>
        <v/>
      </c>
      <c r="G584" s="106" t="str">
        <f t="shared" si="54"/>
        <v/>
      </c>
      <c r="H584" s="106" t="str">
        <f t="shared" si="55"/>
        <v/>
      </c>
    </row>
    <row r="585" spans="1:8" x14ac:dyDescent="0.2">
      <c r="A585" s="104" t="str">
        <f t="shared" si="50"/>
        <v/>
      </c>
      <c r="B585" s="108" t="str">
        <f t="shared" si="51"/>
        <v/>
      </c>
      <c r="C585" s="109" t="str">
        <f t="shared" si="52"/>
        <v/>
      </c>
      <c r="D585" s="111"/>
      <c r="E585" s="106"/>
      <c r="F585" s="106" t="str">
        <f t="shared" si="53"/>
        <v/>
      </c>
      <c r="G585" s="106" t="str">
        <f t="shared" si="54"/>
        <v/>
      </c>
      <c r="H585" s="106" t="str">
        <f t="shared" si="55"/>
        <v/>
      </c>
    </row>
    <row r="586" spans="1:8" x14ac:dyDescent="0.2">
      <c r="A586" s="104" t="str">
        <f t="shared" si="50"/>
        <v/>
      </c>
      <c r="B586" s="108" t="str">
        <f t="shared" si="51"/>
        <v/>
      </c>
      <c r="C586" s="109" t="str">
        <f t="shared" si="52"/>
        <v/>
      </c>
      <c r="D586" s="111"/>
      <c r="E586" s="106"/>
      <c r="F586" s="106" t="str">
        <f t="shared" si="53"/>
        <v/>
      </c>
      <c r="G586" s="106" t="str">
        <f t="shared" si="54"/>
        <v/>
      </c>
      <c r="H586" s="106" t="str">
        <f t="shared" si="55"/>
        <v/>
      </c>
    </row>
    <row r="587" spans="1:8" x14ac:dyDescent="0.2">
      <c r="A587" s="104" t="str">
        <f t="shared" si="50"/>
        <v/>
      </c>
      <c r="B587" s="108" t="str">
        <f t="shared" si="51"/>
        <v/>
      </c>
      <c r="C587" s="109" t="str">
        <f t="shared" si="52"/>
        <v/>
      </c>
      <c r="D587" s="111"/>
      <c r="E587" s="106"/>
      <c r="F587" s="106" t="str">
        <f t="shared" si="53"/>
        <v/>
      </c>
      <c r="G587" s="106" t="str">
        <f t="shared" si="54"/>
        <v/>
      </c>
      <c r="H587" s="106" t="str">
        <f t="shared" si="55"/>
        <v/>
      </c>
    </row>
    <row r="588" spans="1:8" x14ac:dyDescent="0.2">
      <c r="A588" s="104" t="str">
        <f t="shared" si="50"/>
        <v/>
      </c>
      <c r="B588" s="108" t="str">
        <f t="shared" si="51"/>
        <v/>
      </c>
      <c r="C588" s="109" t="str">
        <f t="shared" si="52"/>
        <v/>
      </c>
      <c r="D588" s="111"/>
      <c r="E588" s="106"/>
      <c r="F588" s="106" t="str">
        <f t="shared" si="53"/>
        <v/>
      </c>
      <c r="G588" s="106" t="str">
        <f t="shared" si="54"/>
        <v/>
      </c>
      <c r="H588" s="106" t="str">
        <f t="shared" si="55"/>
        <v/>
      </c>
    </row>
    <row r="589" spans="1:8" x14ac:dyDescent="0.2">
      <c r="A589" s="104" t="str">
        <f t="shared" si="50"/>
        <v/>
      </c>
      <c r="B589" s="108" t="str">
        <f t="shared" si="51"/>
        <v/>
      </c>
      <c r="C589" s="109" t="str">
        <f t="shared" si="52"/>
        <v/>
      </c>
      <c r="D589" s="111"/>
      <c r="E589" s="106"/>
      <c r="F589" s="106" t="str">
        <f t="shared" si="53"/>
        <v/>
      </c>
      <c r="G589" s="106" t="str">
        <f t="shared" si="54"/>
        <v/>
      </c>
      <c r="H589" s="106" t="str">
        <f t="shared" si="55"/>
        <v/>
      </c>
    </row>
    <row r="590" spans="1:8" x14ac:dyDescent="0.2">
      <c r="A590" s="104" t="str">
        <f t="shared" si="50"/>
        <v/>
      </c>
      <c r="B590" s="108" t="str">
        <f t="shared" si="51"/>
        <v/>
      </c>
      <c r="C590" s="109" t="str">
        <f t="shared" si="52"/>
        <v/>
      </c>
      <c r="D590" s="111"/>
      <c r="E590" s="106"/>
      <c r="F590" s="106" t="str">
        <f t="shared" si="53"/>
        <v/>
      </c>
      <c r="G590" s="106" t="str">
        <f t="shared" si="54"/>
        <v/>
      </c>
      <c r="H590" s="106" t="str">
        <f t="shared" si="55"/>
        <v/>
      </c>
    </row>
    <row r="591" spans="1:8" x14ac:dyDescent="0.2">
      <c r="A591" s="104" t="str">
        <f t="shared" si="50"/>
        <v/>
      </c>
      <c r="B591" s="108" t="str">
        <f t="shared" si="51"/>
        <v/>
      </c>
      <c r="C591" s="109" t="str">
        <f t="shared" si="52"/>
        <v/>
      </c>
      <c r="D591" s="111"/>
      <c r="E591" s="106"/>
      <c r="F591" s="106" t="str">
        <f t="shared" si="53"/>
        <v/>
      </c>
      <c r="G591" s="106" t="str">
        <f t="shared" si="54"/>
        <v/>
      </c>
      <c r="H591" s="106" t="str">
        <f t="shared" si="55"/>
        <v/>
      </c>
    </row>
    <row r="592" spans="1:8" x14ac:dyDescent="0.2">
      <c r="A592" s="104" t="str">
        <f t="shared" si="50"/>
        <v/>
      </c>
      <c r="B592" s="108" t="str">
        <f t="shared" si="51"/>
        <v/>
      </c>
      <c r="C592" s="109" t="str">
        <f t="shared" si="52"/>
        <v/>
      </c>
      <c r="D592" s="111"/>
      <c r="E592" s="106"/>
      <c r="F592" s="106" t="str">
        <f t="shared" si="53"/>
        <v/>
      </c>
      <c r="G592" s="106" t="str">
        <f t="shared" si="54"/>
        <v/>
      </c>
      <c r="H592" s="106" t="str">
        <f t="shared" si="55"/>
        <v/>
      </c>
    </row>
    <row r="593" spans="1:8" x14ac:dyDescent="0.2">
      <c r="A593" s="104" t="str">
        <f t="shared" si="50"/>
        <v/>
      </c>
      <c r="B593" s="108" t="str">
        <f t="shared" si="51"/>
        <v/>
      </c>
      <c r="C593" s="109" t="str">
        <f t="shared" si="52"/>
        <v/>
      </c>
      <c r="D593" s="111"/>
      <c r="E593" s="106"/>
      <c r="F593" s="106" t="str">
        <f t="shared" si="53"/>
        <v/>
      </c>
      <c r="G593" s="106" t="str">
        <f t="shared" si="54"/>
        <v/>
      </c>
      <c r="H593" s="106" t="str">
        <f t="shared" si="55"/>
        <v/>
      </c>
    </row>
    <row r="594" spans="1:8" x14ac:dyDescent="0.2">
      <c r="A594" s="104" t="str">
        <f t="shared" si="50"/>
        <v/>
      </c>
      <c r="B594" s="108" t="str">
        <f t="shared" si="51"/>
        <v/>
      </c>
      <c r="C594" s="109" t="str">
        <f t="shared" si="52"/>
        <v/>
      </c>
      <c r="D594" s="111"/>
      <c r="E594" s="106"/>
      <c r="F594" s="106" t="str">
        <f t="shared" si="53"/>
        <v/>
      </c>
      <c r="G594" s="106" t="str">
        <f t="shared" si="54"/>
        <v/>
      </c>
      <c r="H594" s="106" t="str">
        <f t="shared" si="55"/>
        <v/>
      </c>
    </row>
    <row r="595" spans="1:8" x14ac:dyDescent="0.2">
      <c r="A595" s="104" t="str">
        <f t="shared" si="50"/>
        <v/>
      </c>
      <c r="B595" s="108" t="str">
        <f t="shared" si="51"/>
        <v/>
      </c>
      <c r="C595" s="109" t="str">
        <f t="shared" si="52"/>
        <v/>
      </c>
      <c r="D595" s="111"/>
      <c r="E595" s="106"/>
      <c r="F595" s="106" t="str">
        <f t="shared" si="53"/>
        <v/>
      </c>
      <c r="G595" s="106" t="str">
        <f t="shared" si="54"/>
        <v/>
      </c>
      <c r="H595" s="106" t="str">
        <f t="shared" si="55"/>
        <v/>
      </c>
    </row>
    <row r="596" spans="1:8" x14ac:dyDescent="0.2">
      <c r="A596" s="104" t="str">
        <f t="shared" si="50"/>
        <v/>
      </c>
      <c r="B596" s="108" t="str">
        <f t="shared" si="51"/>
        <v/>
      </c>
      <c r="C596" s="109" t="str">
        <f t="shared" si="52"/>
        <v/>
      </c>
      <c r="D596" s="111"/>
      <c r="E596" s="106"/>
      <c r="F596" s="106" t="str">
        <f t="shared" si="53"/>
        <v/>
      </c>
      <c r="G596" s="106" t="str">
        <f t="shared" si="54"/>
        <v/>
      </c>
      <c r="H596" s="106" t="str">
        <f t="shared" si="55"/>
        <v/>
      </c>
    </row>
    <row r="597" spans="1:8" x14ac:dyDescent="0.2">
      <c r="A597" s="104" t="str">
        <f t="shared" si="50"/>
        <v/>
      </c>
      <c r="B597" s="108" t="str">
        <f t="shared" si="51"/>
        <v/>
      </c>
      <c r="C597" s="109" t="str">
        <f t="shared" si="52"/>
        <v/>
      </c>
      <c r="D597" s="111"/>
      <c r="E597" s="106"/>
      <c r="F597" s="106" t="str">
        <f t="shared" si="53"/>
        <v/>
      </c>
      <c r="G597" s="106" t="str">
        <f t="shared" si="54"/>
        <v/>
      </c>
      <c r="H597" s="106" t="str">
        <f t="shared" si="55"/>
        <v/>
      </c>
    </row>
    <row r="598" spans="1:8" x14ac:dyDescent="0.2">
      <c r="A598" s="104" t="str">
        <f t="shared" si="50"/>
        <v/>
      </c>
      <c r="B598" s="108" t="str">
        <f t="shared" si="51"/>
        <v/>
      </c>
      <c r="C598" s="109" t="str">
        <f t="shared" si="52"/>
        <v/>
      </c>
      <c r="D598" s="111"/>
      <c r="E598" s="106"/>
      <c r="F598" s="106" t="str">
        <f t="shared" si="53"/>
        <v/>
      </c>
      <c r="G598" s="106" t="str">
        <f t="shared" si="54"/>
        <v/>
      </c>
      <c r="H598" s="106" t="str">
        <f t="shared" si="55"/>
        <v/>
      </c>
    </row>
    <row r="599" spans="1:8" x14ac:dyDescent="0.2">
      <c r="A599" s="104" t="str">
        <f t="shared" si="50"/>
        <v/>
      </c>
      <c r="B599" s="108" t="str">
        <f t="shared" si="51"/>
        <v/>
      </c>
      <c r="C599" s="109" t="str">
        <f t="shared" si="52"/>
        <v/>
      </c>
      <c r="D599" s="111"/>
      <c r="E599" s="106"/>
      <c r="F599" s="106" t="str">
        <f t="shared" si="53"/>
        <v/>
      </c>
      <c r="G599" s="106" t="str">
        <f t="shared" si="54"/>
        <v/>
      </c>
      <c r="H599" s="106" t="str">
        <f t="shared" si="55"/>
        <v/>
      </c>
    </row>
    <row r="600" spans="1:8" x14ac:dyDescent="0.2">
      <c r="A600" s="104" t="str">
        <f t="shared" si="50"/>
        <v/>
      </c>
      <c r="B600" s="108" t="str">
        <f t="shared" si="51"/>
        <v/>
      </c>
      <c r="C600" s="109" t="str">
        <f t="shared" si="52"/>
        <v/>
      </c>
      <c r="D600" s="111"/>
      <c r="E600" s="106"/>
      <c r="F600" s="106" t="str">
        <f t="shared" si="53"/>
        <v/>
      </c>
      <c r="G600" s="106" t="str">
        <f t="shared" si="54"/>
        <v/>
      </c>
      <c r="H600" s="106" t="str">
        <f t="shared" si="55"/>
        <v/>
      </c>
    </row>
    <row r="601" spans="1:8" x14ac:dyDescent="0.2">
      <c r="A601" s="104" t="str">
        <f t="shared" si="50"/>
        <v/>
      </c>
      <c r="B601" s="108" t="str">
        <f t="shared" si="51"/>
        <v/>
      </c>
      <c r="C601" s="109" t="str">
        <f t="shared" si="52"/>
        <v/>
      </c>
      <c r="D601" s="111"/>
      <c r="E601" s="106"/>
      <c r="F601" s="106" t="str">
        <f t="shared" si="53"/>
        <v/>
      </c>
      <c r="G601" s="106" t="str">
        <f t="shared" si="54"/>
        <v/>
      </c>
      <c r="H601" s="106" t="str">
        <f t="shared" si="55"/>
        <v/>
      </c>
    </row>
    <row r="602" spans="1:8" x14ac:dyDescent="0.2">
      <c r="A602" s="104" t="str">
        <f t="shared" si="50"/>
        <v/>
      </c>
      <c r="B602" s="108" t="str">
        <f t="shared" si="51"/>
        <v/>
      </c>
      <c r="C602" s="109" t="str">
        <f t="shared" si="52"/>
        <v/>
      </c>
      <c r="D602" s="111"/>
      <c r="E602" s="106"/>
      <c r="F602" s="106" t="str">
        <f t="shared" si="53"/>
        <v/>
      </c>
      <c r="G602" s="106" t="str">
        <f t="shared" si="54"/>
        <v/>
      </c>
      <c r="H602" s="106" t="str">
        <f t="shared" si="55"/>
        <v/>
      </c>
    </row>
    <row r="603" spans="1:8" x14ac:dyDescent="0.2">
      <c r="A603" s="104" t="str">
        <f t="shared" si="50"/>
        <v/>
      </c>
      <c r="B603" s="108" t="str">
        <f t="shared" si="51"/>
        <v/>
      </c>
      <c r="C603" s="109" t="str">
        <f t="shared" si="52"/>
        <v/>
      </c>
      <c r="D603" s="111"/>
      <c r="E603" s="106"/>
      <c r="F603" s="106" t="str">
        <f t="shared" si="53"/>
        <v/>
      </c>
      <c r="G603" s="106" t="str">
        <f t="shared" si="54"/>
        <v/>
      </c>
      <c r="H603" s="106" t="str">
        <f t="shared" si="55"/>
        <v/>
      </c>
    </row>
    <row r="604" spans="1:8" x14ac:dyDescent="0.2">
      <c r="A604" s="104" t="str">
        <f t="shared" si="50"/>
        <v/>
      </c>
      <c r="B604" s="108" t="str">
        <f t="shared" si="51"/>
        <v/>
      </c>
      <c r="C604" s="109" t="str">
        <f t="shared" si="52"/>
        <v/>
      </c>
      <c r="D604" s="111"/>
      <c r="E604" s="106"/>
      <c r="F604" s="106" t="str">
        <f t="shared" si="53"/>
        <v/>
      </c>
      <c r="G604" s="106" t="str">
        <f t="shared" si="54"/>
        <v/>
      </c>
      <c r="H604" s="106" t="str">
        <f t="shared" si="55"/>
        <v/>
      </c>
    </row>
    <row r="605" spans="1:8" x14ac:dyDescent="0.2">
      <c r="A605" s="104" t="str">
        <f t="shared" si="50"/>
        <v/>
      </c>
      <c r="B605" s="108" t="str">
        <f t="shared" si="51"/>
        <v/>
      </c>
      <c r="C605" s="109" t="str">
        <f t="shared" si="52"/>
        <v/>
      </c>
      <c r="D605" s="111"/>
      <c r="E605" s="106"/>
      <c r="F605" s="106" t="str">
        <f t="shared" si="53"/>
        <v/>
      </c>
      <c r="G605" s="106" t="str">
        <f t="shared" si="54"/>
        <v/>
      </c>
      <c r="H605" s="106" t="str">
        <f t="shared" si="55"/>
        <v/>
      </c>
    </row>
    <row r="606" spans="1:8" x14ac:dyDescent="0.2">
      <c r="A606" s="104" t="str">
        <f t="shared" si="50"/>
        <v/>
      </c>
      <c r="B606" s="108" t="str">
        <f t="shared" si="51"/>
        <v/>
      </c>
      <c r="C606" s="109" t="str">
        <f t="shared" si="52"/>
        <v/>
      </c>
      <c r="D606" s="111"/>
      <c r="E606" s="106"/>
      <c r="F606" s="106" t="str">
        <f t="shared" si="53"/>
        <v/>
      </c>
      <c r="G606" s="106" t="str">
        <f t="shared" si="54"/>
        <v/>
      </c>
      <c r="H606" s="106" t="str">
        <f t="shared" si="55"/>
        <v/>
      </c>
    </row>
    <row r="607" spans="1:8" x14ac:dyDescent="0.2">
      <c r="A607" s="104" t="str">
        <f t="shared" si="50"/>
        <v/>
      </c>
      <c r="B607" s="108" t="str">
        <f t="shared" si="51"/>
        <v/>
      </c>
      <c r="C607" s="109" t="str">
        <f t="shared" si="52"/>
        <v/>
      </c>
      <c r="D607" s="111"/>
      <c r="E607" s="106"/>
      <c r="F607" s="106" t="str">
        <f t="shared" si="53"/>
        <v/>
      </c>
      <c r="G607" s="106" t="str">
        <f t="shared" si="54"/>
        <v/>
      </c>
      <c r="H607" s="106" t="str">
        <f t="shared" si="55"/>
        <v/>
      </c>
    </row>
    <row r="608" spans="1:8" x14ac:dyDescent="0.2">
      <c r="A608" s="104" t="str">
        <f t="shared" si="50"/>
        <v/>
      </c>
      <c r="B608" s="108" t="str">
        <f t="shared" si="51"/>
        <v/>
      </c>
      <c r="C608" s="109" t="str">
        <f t="shared" si="52"/>
        <v/>
      </c>
      <c r="D608" s="111"/>
      <c r="E608" s="106"/>
      <c r="F608" s="106" t="str">
        <f t="shared" si="53"/>
        <v/>
      </c>
      <c r="G608" s="106" t="str">
        <f t="shared" si="54"/>
        <v/>
      </c>
      <c r="H608" s="106" t="str">
        <f t="shared" si="55"/>
        <v/>
      </c>
    </row>
    <row r="609" spans="1:8" x14ac:dyDescent="0.2">
      <c r="A609" s="104" t="str">
        <f t="shared" si="50"/>
        <v/>
      </c>
      <c r="B609" s="108" t="str">
        <f t="shared" si="51"/>
        <v/>
      </c>
      <c r="C609" s="109" t="str">
        <f t="shared" si="52"/>
        <v/>
      </c>
      <c r="D609" s="111"/>
      <c r="E609" s="106"/>
      <c r="F609" s="106" t="str">
        <f t="shared" si="53"/>
        <v/>
      </c>
      <c r="G609" s="106" t="str">
        <f t="shared" si="54"/>
        <v/>
      </c>
      <c r="H609" s="106" t="str">
        <f t="shared" si="55"/>
        <v/>
      </c>
    </row>
    <row r="610" spans="1:8" x14ac:dyDescent="0.2">
      <c r="A610" s="104" t="str">
        <f t="shared" si="50"/>
        <v/>
      </c>
      <c r="B610" s="108" t="str">
        <f t="shared" si="51"/>
        <v/>
      </c>
      <c r="C610" s="109" t="str">
        <f t="shared" si="52"/>
        <v/>
      </c>
      <c r="D610" s="111"/>
      <c r="E610" s="106"/>
      <c r="F610" s="106" t="str">
        <f t="shared" si="53"/>
        <v/>
      </c>
      <c r="G610" s="106" t="str">
        <f t="shared" si="54"/>
        <v/>
      </c>
      <c r="H610" s="106" t="str">
        <f t="shared" si="55"/>
        <v/>
      </c>
    </row>
    <row r="611" spans="1:8" x14ac:dyDescent="0.2">
      <c r="A611" s="104" t="str">
        <f t="shared" si="50"/>
        <v/>
      </c>
      <c r="B611" s="108" t="str">
        <f t="shared" si="51"/>
        <v/>
      </c>
      <c r="C611" s="109" t="str">
        <f t="shared" si="52"/>
        <v/>
      </c>
      <c r="D611" s="111"/>
      <c r="E611" s="106"/>
      <c r="F611" s="106" t="str">
        <f t="shared" si="53"/>
        <v/>
      </c>
      <c r="G611" s="106" t="str">
        <f t="shared" si="54"/>
        <v/>
      </c>
      <c r="H611" s="106" t="str">
        <f t="shared" si="55"/>
        <v/>
      </c>
    </row>
    <row r="612" spans="1:8" x14ac:dyDescent="0.2">
      <c r="A612" s="104" t="str">
        <f t="shared" si="50"/>
        <v/>
      </c>
      <c r="B612" s="108" t="str">
        <f t="shared" si="51"/>
        <v/>
      </c>
      <c r="C612" s="109" t="str">
        <f t="shared" si="52"/>
        <v/>
      </c>
      <c r="D612" s="111"/>
      <c r="E612" s="106"/>
      <c r="F612" s="106" t="str">
        <f t="shared" si="53"/>
        <v/>
      </c>
      <c r="G612" s="106" t="str">
        <f t="shared" si="54"/>
        <v/>
      </c>
      <c r="H612" s="106" t="str">
        <f t="shared" si="55"/>
        <v/>
      </c>
    </row>
    <row r="613" spans="1:8" x14ac:dyDescent="0.2">
      <c r="A613" s="104" t="str">
        <f t="shared" si="50"/>
        <v/>
      </c>
      <c r="B613" s="108" t="str">
        <f t="shared" si="51"/>
        <v/>
      </c>
      <c r="C613" s="109" t="str">
        <f t="shared" si="52"/>
        <v/>
      </c>
      <c r="D613" s="111"/>
      <c r="E613" s="106"/>
      <c r="F613" s="106" t="str">
        <f t="shared" si="53"/>
        <v/>
      </c>
      <c r="G613" s="106" t="str">
        <f t="shared" si="54"/>
        <v/>
      </c>
      <c r="H613" s="106" t="str">
        <f t="shared" si="55"/>
        <v/>
      </c>
    </row>
    <row r="614" spans="1:8" x14ac:dyDescent="0.2">
      <c r="A614" s="104" t="str">
        <f t="shared" si="50"/>
        <v/>
      </c>
      <c r="B614" s="108" t="str">
        <f t="shared" si="51"/>
        <v/>
      </c>
      <c r="C614" s="109" t="str">
        <f t="shared" si="52"/>
        <v/>
      </c>
      <c r="D614" s="111"/>
      <c r="E614" s="106"/>
      <c r="F614" s="106" t="str">
        <f t="shared" si="53"/>
        <v/>
      </c>
      <c r="G614" s="106" t="str">
        <f t="shared" si="54"/>
        <v/>
      </c>
      <c r="H614" s="106" t="str">
        <f t="shared" si="55"/>
        <v/>
      </c>
    </row>
    <row r="615" spans="1:8" x14ac:dyDescent="0.2">
      <c r="A615" s="104" t="str">
        <f t="shared" si="50"/>
        <v/>
      </c>
      <c r="B615" s="108" t="str">
        <f t="shared" si="51"/>
        <v/>
      </c>
      <c r="C615" s="109" t="str">
        <f t="shared" si="52"/>
        <v/>
      </c>
      <c r="D615" s="111"/>
      <c r="E615" s="106"/>
      <c r="F615" s="106" t="str">
        <f t="shared" si="53"/>
        <v/>
      </c>
      <c r="G615" s="106" t="str">
        <f t="shared" si="54"/>
        <v/>
      </c>
      <c r="H615" s="106" t="str">
        <f t="shared" si="55"/>
        <v/>
      </c>
    </row>
    <row r="616" spans="1:8" x14ac:dyDescent="0.2">
      <c r="A616" s="104" t="str">
        <f t="shared" si="50"/>
        <v/>
      </c>
      <c r="B616" s="108" t="str">
        <f t="shared" si="51"/>
        <v/>
      </c>
      <c r="C616" s="109" t="str">
        <f t="shared" si="52"/>
        <v/>
      </c>
      <c r="D616" s="111"/>
      <c r="E616" s="106"/>
      <c r="F616" s="106" t="str">
        <f t="shared" si="53"/>
        <v/>
      </c>
      <c r="G616" s="106" t="str">
        <f t="shared" si="54"/>
        <v/>
      </c>
      <c r="H616" s="106" t="str">
        <f t="shared" si="55"/>
        <v/>
      </c>
    </row>
    <row r="617" spans="1:8" x14ac:dyDescent="0.2">
      <c r="A617" s="104" t="str">
        <f t="shared" si="50"/>
        <v/>
      </c>
      <c r="B617" s="108" t="str">
        <f t="shared" si="51"/>
        <v/>
      </c>
      <c r="C617" s="109" t="str">
        <f t="shared" si="52"/>
        <v/>
      </c>
      <c r="D617" s="111"/>
      <c r="E617" s="106"/>
      <c r="F617" s="106" t="str">
        <f t="shared" si="53"/>
        <v/>
      </c>
      <c r="G617" s="106" t="str">
        <f t="shared" si="54"/>
        <v/>
      </c>
      <c r="H617" s="106" t="str">
        <f t="shared" si="55"/>
        <v/>
      </c>
    </row>
    <row r="618" spans="1:8" x14ac:dyDescent="0.2">
      <c r="A618" s="104" t="str">
        <f t="shared" si="50"/>
        <v/>
      </c>
      <c r="B618" s="108" t="str">
        <f t="shared" si="51"/>
        <v/>
      </c>
      <c r="C618" s="109" t="str">
        <f t="shared" si="52"/>
        <v/>
      </c>
      <c r="D618" s="111"/>
      <c r="E618" s="106"/>
      <c r="F618" s="106" t="str">
        <f t="shared" si="53"/>
        <v/>
      </c>
      <c r="G618" s="106" t="str">
        <f t="shared" si="54"/>
        <v/>
      </c>
      <c r="H618" s="106" t="str">
        <f t="shared" si="55"/>
        <v/>
      </c>
    </row>
    <row r="619" spans="1:8" x14ac:dyDescent="0.2">
      <c r="A619" s="104" t="str">
        <f t="shared" si="50"/>
        <v/>
      </c>
      <c r="B619" s="108" t="str">
        <f t="shared" si="51"/>
        <v/>
      </c>
      <c r="C619" s="109" t="str">
        <f t="shared" si="52"/>
        <v/>
      </c>
      <c r="D619" s="111"/>
      <c r="E619" s="106"/>
      <c r="F619" s="106" t="str">
        <f t="shared" si="53"/>
        <v/>
      </c>
      <c r="G619" s="106" t="str">
        <f t="shared" si="54"/>
        <v/>
      </c>
      <c r="H619" s="106" t="str">
        <f t="shared" si="55"/>
        <v/>
      </c>
    </row>
    <row r="620" spans="1:8" x14ac:dyDescent="0.2">
      <c r="A620" s="104" t="str">
        <f t="shared" si="50"/>
        <v/>
      </c>
      <c r="B620" s="108" t="str">
        <f t="shared" si="51"/>
        <v/>
      </c>
      <c r="C620" s="109" t="str">
        <f t="shared" si="52"/>
        <v/>
      </c>
      <c r="D620" s="111"/>
      <c r="E620" s="106"/>
      <c r="F620" s="106" t="str">
        <f t="shared" si="53"/>
        <v/>
      </c>
      <c r="G620" s="106" t="str">
        <f t="shared" si="54"/>
        <v/>
      </c>
      <c r="H620" s="106" t="str">
        <f t="shared" si="55"/>
        <v/>
      </c>
    </row>
    <row r="621" spans="1:8" x14ac:dyDescent="0.2">
      <c r="A621" s="104" t="str">
        <f t="shared" si="50"/>
        <v/>
      </c>
      <c r="B621" s="108" t="str">
        <f t="shared" si="51"/>
        <v/>
      </c>
      <c r="C621" s="109" t="str">
        <f t="shared" si="52"/>
        <v/>
      </c>
      <c r="D621" s="111"/>
      <c r="E621" s="106"/>
      <c r="F621" s="106" t="str">
        <f t="shared" si="53"/>
        <v/>
      </c>
      <c r="G621" s="106" t="str">
        <f t="shared" si="54"/>
        <v/>
      </c>
      <c r="H621" s="106" t="str">
        <f t="shared" si="55"/>
        <v/>
      </c>
    </row>
    <row r="622" spans="1:8" x14ac:dyDescent="0.2">
      <c r="A622" s="104" t="str">
        <f t="shared" si="50"/>
        <v/>
      </c>
      <c r="B622" s="108" t="str">
        <f t="shared" si="51"/>
        <v/>
      </c>
      <c r="C622" s="109" t="str">
        <f t="shared" si="52"/>
        <v/>
      </c>
      <c r="D622" s="111"/>
      <c r="E622" s="106"/>
      <c r="F622" s="106" t="str">
        <f t="shared" si="53"/>
        <v/>
      </c>
      <c r="G622" s="106" t="str">
        <f t="shared" si="54"/>
        <v/>
      </c>
      <c r="H622" s="106" t="str">
        <f t="shared" si="55"/>
        <v/>
      </c>
    </row>
    <row r="623" spans="1:8" x14ac:dyDescent="0.2">
      <c r="A623" s="104" t="str">
        <f t="shared" si="50"/>
        <v/>
      </c>
      <c r="B623" s="108" t="str">
        <f t="shared" si="51"/>
        <v/>
      </c>
      <c r="C623" s="109" t="str">
        <f t="shared" si="52"/>
        <v/>
      </c>
      <c r="D623" s="111"/>
      <c r="E623" s="106"/>
      <c r="F623" s="106" t="str">
        <f t="shared" si="53"/>
        <v/>
      </c>
      <c r="G623" s="106" t="str">
        <f t="shared" si="54"/>
        <v/>
      </c>
      <c r="H623" s="106" t="str">
        <f t="shared" si="55"/>
        <v/>
      </c>
    </row>
    <row r="624" spans="1:8" x14ac:dyDescent="0.2">
      <c r="A624" s="104" t="str">
        <f t="shared" si="50"/>
        <v/>
      </c>
      <c r="B624" s="108" t="str">
        <f t="shared" si="51"/>
        <v/>
      </c>
      <c r="C624" s="109" t="str">
        <f t="shared" si="52"/>
        <v/>
      </c>
      <c r="D624" s="111"/>
      <c r="E624" s="106"/>
      <c r="F624" s="106" t="str">
        <f t="shared" si="53"/>
        <v/>
      </c>
      <c r="G624" s="106" t="str">
        <f t="shared" si="54"/>
        <v/>
      </c>
      <c r="H624" s="106" t="str">
        <f t="shared" si="55"/>
        <v/>
      </c>
    </row>
    <row r="625" spans="1:8" x14ac:dyDescent="0.2">
      <c r="A625" s="104" t="str">
        <f t="shared" si="50"/>
        <v/>
      </c>
      <c r="B625" s="108" t="str">
        <f t="shared" si="51"/>
        <v/>
      </c>
      <c r="C625" s="109" t="str">
        <f t="shared" si="52"/>
        <v/>
      </c>
      <c r="D625" s="111"/>
      <c r="E625" s="106"/>
      <c r="F625" s="106" t="str">
        <f t="shared" si="53"/>
        <v/>
      </c>
      <c r="G625" s="106" t="str">
        <f t="shared" si="54"/>
        <v/>
      </c>
      <c r="H625" s="106" t="str">
        <f t="shared" si="55"/>
        <v/>
      </c>
    </row>
    <row r="626" spans="1:8" x14ac:dyDescent="0.2">
      <c r="A626" s="104" t="str">
        <f t="shared" si="50"/>
        <v/>
      </c>
      <c r="B626" s="108" t="str">
        <f t="shared" si="51"/>
        <v/>
      </c>
      <c r="C626" s="109" t="str">
        <f t="shared" si="52"/>
        <v/>
      </c>
      <c r="D626" s="111"/>
      <c r="E626" s="106"/>
      <c r="F626" s="106" t="str">
        <f t="shared" si="53"/>
        <v/>
      </c>
      <c r="G626" s="106" t="str">
        <f t="shared" si="54"/>
        <v/>
      </c>
      <c r="H626" s="106" t="str">
        <f t="shared" si="55"/>
        <v/>
      </c>
    </row>
    <row r="627" spans="1:8" x14ac:dyDescent="0.2">
      <c r="A627" s="104" t="str">
        <f t="shared" si="50"/>
        <v/>
      </c>
      <c r="B627" s="108" t="str">
        <f t="shared" si="51"/>
        <v/>
      </c>
      <c r="C627" s="109" t="str">
        <f t="shared" si="52"/>
        <v/>
      </c>
      <c r="D627" s="111"/>
      <c r="E627" s="106"/>
      <c r="F627" s="106" t="str">
        <f t="shared" si="53"/>
        <v/>
      </c>
      <c r="G627" s="106" t="str">
        <f t="shared" si="54"/>
        <v/>
      </c>
      <c r="H627" s="106" t="str">
        <f t="shared" si="55"/>
        <v/>
      </c>
    </row>
    <row r="628" spans="1:8" x14ac:dyDescent="0.2">
      <c r="A628" s="104" t="str">
        <f t="shared" si="50"/>
        <v/>
      </c>
      <c r="B628" s="108" t="str">
        <f t="shared" si="51"/>
        <v/>
      </c>
      <c r="C628" s="109" t="str">
        <f t="shared" si="52"/>
        <v/>
      </c>
      <c r="D628" s="111"/>
      <c r="E628" s="106"/>
      <c r="F628" s="106" t="str">
        <f t="shared" si="53"/>
        <v/>
      </c>
      <c r="G628" s="106" t="str">
        <f t="shared" si="54"/>
        <v/>
      </c>
      <c r="H628" s="106" t="str">
        <f t="shared" si="55"/>
        <v/>
      </c>
    </row>
    <row r="629" spans="1:8" x14ac:dyDescent="0.2">
      <c r="A629" s="104" t="str">
        <f t="shared" si="50"/>
        <v/>
      </c>
      <c r="B629" s="108" t="str">
        <f t="shared" si="51"/>
        <v/>
      </c>
      <c r="C629" s="109" t="str">
        <f t="shared" si="52"/>
        <v/>
      </c>
      <c r="D629" s="111"/>
      <c r="E629" s="106"/>
      <c r="F629" s="106" t="str">
        <f t="shared" si="53"/>
        <v/>
      </c>
      <c r="G629" s="106" t="str">
        <f t="shared" si="54"/>
        <v/>
      </c>
      <c r="H629" s="106" t="str">
        <f t="shared" si="55"/>
        <v/>
      </c>
    </row>
    <row r="630" spans="1:8" x14ac:dyDescent="0.2">
      <c r="A630" s="104" t="str">
        <f t="shared" si="50"/>
        <v/>
      </c>
      <c r="B630" s="108" t="str">
        <f t="shared" si="51"/>
        <v/>
      </c>
      <c r="C630" s="109" t="str">
        <f t="shared" si="52"/>
        <v/>
      </c>
      <c r="D630" s="111"/>
      <c r="E630" s="106"/>
      <c r="F630" s="106" t="str">
        <f t="shared" si="53"/>
        <v/>
      </c>
      <c r="G630" s="106" t="str">
        <f t="shared" si="54"/>
        <v/>
      </c>
      <c r="H630" s="106" t="str">
        <f t="shared" si="55"/>
        <v/>
      </c>
    </row>
    <row r="631" spans="1:8" x14ac:dyDescent="0.2">
      <c r="A631" s="104" t="str">
        <f t="shared" si="50"/>
        <v/>
      </c>
      <c r="B631" s="108" t="str">
        <f t="shared" si="51"/>
        <v/>
      </c>
      <c r="C631" s="109" t="str">
        <f t="shared" si="52"/>
        <v/>
      </c>
      <c r="D631" s="111"/>
      <c r="E631" s="106"/>
      <c r="F631" s="106" t="str">
        <f t="shared" si="53"/>
        <v/>
      </c>
      <c r="G631" s="106" t="str">
        <f t="shared" si="54"/>
        <v/>
      </c>
      <c r="H631" s="106" t="str">
        <f t="shared" si="55"/>
        <v/>
      </c>
    </row>
    <row r="632" spans="1:8" x14ac:dyDescent="0.2">
      <c r="A632" s="104" t="str">
        <f t="shared" si="50"/>
        <v/>
      </c>
      <c r="B632" s="108" t="str">
        <f t="shared" si="51"/>
        <v/>
      </c>
      <c r="C632" s="109" t="str">
        <f t="shared" si="52"/>
        <v/>
      </c>
      <c r="D632" s="111"/>
      <c r="E632" s="106"/>
      <c r="F632" s="106" t="str">
        <f t="shared" si="53"/>
        <v/>
      </c>
      <c r="G632" s="106" t="str">
        <f t="shared" si="54"/>
        <v/>
      </c>
      <c r="H632" s="106" t="str">
        <f t="shared" si="55"/>
        <v/>
      </c>
    </row>
    <row r="633" spans="1:8" x14ac:dyDescent="0.2">
      <c r="A633" s="104" t="str">
        <f t="shared" si="50"/>
        <v/>
      </c>
      <c r="B633" s="108" t="str">
        <f t="shared" si="51"/>
        <v/>
      </c>
      <c r="C633" s="109" t="str">
        <f t="shared" si="52"/>
        <v/>
      </c>
      <c r="D633" s="111"/>
      <c r="E633" s="106"/>
      <c r="F633" s="106" t="str">
        <f t="shared" si="53"/>
        <v/>
      </c>
      <c r="G633" s="106" t="str">
        <f t="shared" si="54"/>
        <v/>
      </c>
      <c r="H633" s="106" t="str">
        <f t="shared" si="55"/>
        <v/>
      </c>
    </row>
    <row r="634" spans="1:8" x14ac:dyDescent="0.2">
      <c r="A634" s="104" t="str">
        <f t="shared" si="50"/>
        <v/>
      </c>
      <c r="B634" s="108" t="str">
        <f t="shared" si="51"/>
        <v/>
      </c>
      <c r="C634" s="109" t="str">
        <f t="shared" si="52"/>
        <v/>
      </c>
      <c r="D634" s="111"/>
      <c r="E634" s="106"/>
      <c r="F634" s="106" t="str">
        <f t="shared" si="53"/>
        <v/>
      </c>
      <c r="G634" s="106" t="str">
        <f t="shared" si="54"/>
        <v/>
      </c>
      <c r="H634" s="106" t="str">
        <f t="shared" si="55"/>
        <v/>
      </c>
    </row>
    <row r="635" spans="1:8" x14ac:dyDescent="0.2">
      <c r="A635" s="104" t="str">
        <f t="shared" si="50"/>
        <v/>
      </c>
      <c r="B635" s="108" t="str">
        <f t="shared" si="51"/>
        <v/>
      </c>
      <c r="C635" s="109" t="str">
        <f t="shared" si="52"/>
        <v/>
      </c>
      <c r="D635" s="111"/>
      <c r="E635" s="106"/>
      <c r="F635" s="106" t="str">
        <f t="shared" si="53"/>
        <v/>
      </c>
      <c r="G635" s="106" t="str">
        <f t="shared" si="54"/>
        <v/>
      </c>
      <c r="H635" s="106" t="str">
        <f t="shared" si="55"/>
        <v/>
      </c>
    </row>
    <row r="636" spans="1:8" x14ac:dyDescent="0.2">
      <c r="A636" s="104" t="str">
        <f t="shared" si="50"/>
        <v/>
      </c>
      <c r="B636" s="108" t="str">
        <f t="shared" si="51"/>
        <v/>
      </c>
      <c r="C636" s="109" t="str">
        <f t="shared" si="52"/>
        <v/>
      </c>
      <c r="D636" s="111"/>
      <c r="E636" s="106"/>
      <c r="F636" s="106" t="str">
        <f t="shared" si="53"/>
        <v/>
      </c>
      <c r="G636" s="106" t="str">
        <f t="shared" si="54"/>
        <v/>
      </c>
      <c r="H636" s="106" t="str">
        <f t="shared" si="55"/>
        <v/>
      </c>
    </row>
    <row r="637" spans="1:8" x14ac:dyDescent="0.2">
      <c r="A637" s="104" t="str">
        <f t="shared" si="50"/>
        <v/>
      </c>
      <c r="B637" s="108" t="str">
        <f t="shared" si="51"/>
        <v/>
      </c>
      <c r="C637" s="109" t="str">
        <f t="shared" si="52"/>
        <v/>
      </c>
      <c r="D637" s="111"/>
      <c r="E637" s="106"/>
      <c r="F637" s="106" t="str">
        <f t="shared" si="53"/>
        <v/>
      </c>
      <c r="G637" s="106" t="str">
        <f t="shared" si="54"/>
        <v/>
      </c>
      <c r="H637" s="106" t="str">
        <f t="shared" si="55"/>
        <v/>
      </c>
    </row>
    <row r="638" spans="1:8" x14ac:dyDescent="0.2">
      <c r="A638" s="104" t="str">
        <f t="shared" si="50"/>
        <v/>
      </c>
      <c r="B638" s="108" t="str">
        <f t="shared" si="51"/>
        <v/>
      </c>
      <c r="C638" s="109" t="str">
        <f t="shared" si="52"/>
        <v/>
      </c>
      <c r="D638" s="111"/>
      <c r="E638" s="106"/>
      <c r="F638" s="106" t="str">
        <f t="shared" si="53"/>
        <v/>
      </c>
      <c r="G638" s="106" t="str">
        <f t="shared" si="54"/>
        <v/>
      </c>
      <c r="H638" s="106" t="str">
        <f t="shared" si="55"/>
        <v/>
      </c>
    </row>
    <row r="639" spans="1:8" x14ac:dyDescent="0.2">
      <c r="A639" s="104" t="str">
        <f t="shared" ref="A639:A702" si="56">IF(H638="","",IF(roundOpt,IF(OR(A638&gt;=nper,ROUND(H638,2)&lt;=0),"",A638+1),IF(OR(A638&gt;=nper,H638&lt;=0),"",A638+1)))</f>
        <v/>
      </c>
      <c r="B639" s="108" t="str">
        <f t="shared" ref="B639:B702" si="57">IF(A639="","",IF(periods_per_year=26,IF(A639=1,fpdate,B638+14),IF(periods_per_year=52,IF(A639=1,fpdate,B638+7),IF(periods_per_year=24,IF(A639=1,fpdate,IF(fpdate=EOMONTH(fpdate,0),IF(ISODD(A639),EOMONTH(EDATE(fpdate,(A639-1)/2),0),EDATE(DATE(YEAR(fpdate),MONTH(fpdate)+1,15),(A639-1)/2)),IF(DAY(fpdate)=15,IF(ISODD(A639),EDATE(fpdate,(A639-1)/2),EOMONTH(EDATE(fpdate,(A639-1)/2),0)),IF(DAY(fpdate)&lt;=14,IF(ISODD(A639),EDATE(fpdate,(A639-1)/2),EDATE(MIN(fpdate+15,EOMONTH(fpdate,0)),(A639-1)/2)),EDATE(IF(ISODD(A639),fpdate,fpdate-15),A639/2))))),IF(A639=1,fpdate,EDATE(fpdate,months_per_period*(A639-1)))))))</f>
        <v/>
      </c>
      <c r="C639" s="109" t="str">
        <f t="shared" ref="C639:C702" si="58">IF(A639="","",IF(roundOpt,IF(OR(A639=nper,payment&gt;ROUND((1+rate)*H638,2)),ROUND((1+rate)*H638,2),payment),IF(OR(A639=nper,payment&gt;(1+rate)*H638),(1+rate)*H638,payment)))</f>
        <v/>
      </c>
      <c r="D639" s="111"/>
      <c r="E639" s="106"/>
      <c r="F639" s="106" t="str">
        <f t="shared" ref="F639:F702" si="59">IF(A639="","",IF(AND(A639=1,pmtType=1),0,IF(roundOpt,ROUND(rate*H638,2),rate*H638)))</f>
        <v/>
      </c>
      <c r="G639" s="106" t="str">
        <f t="shared" ref="G639:G702" si="60">IF(A639="","",C639-F639+D639)</f>
        <v/>
      </c>
      <c r="H639" s="106" t="str">
        <f t="shared" ref="H639:H702" si="61">IF(A639="","",H638-G639)</f>
        <v/>
      </c>
    </row>
    <row r="640" spans="1:8" x14ac:dyDescent="0.2">
      <c r="A640" s="104" t="str">
        <f t="shared" si="56"/>
        <v/>
      </c>
      <c r="B640" s="108" t="str">
        <f t="shared" si="57"/>
        <v/>
      </c>
      <c r="C640" s="109" t="str">
        <f t="shared" si="58"/>
        <v/>
      </c>
      <c r="D640" s="111"/>
      <c r="E640" s="106"/>
      <c r="F640" s="106" t="str">
        <f t="shared" si="59"/>
        <v/>
      </c>
      <c r="G640" s="106" t="str">
        <f t="shared" si="60"/>
        <v/>
      </c>
      <c r="H640" s="106" t="str">
        <f t="shared" si="61"/>
        <v/>
      </c>
    </row>
    <row r="641" spans="1:8" x14ac:dyDescent="0.2">
      <c r="A641" s="104" t="str">
        <f t="shared" si="56"/>
        <v/>
      </c>
      <c r="B641" s="108" t="str">
        <f t="shared" si="57"/>
        <v/>
      </c>
      <c r="C641" s="109" t="str">
        <f t="shared" si="58"/>
        <v/>
      </c>
      <c r="D641" s="111"/>
      <c r="E641" s="106"/>
      <c r="F641" s="106" t="str">
        <f t="shared" si="59"/>
        <v/>
      </c>
      <c r="G641" s="106" t="str">
        <f t="shared" si="60"/>
        <v/>
      </c>
      <c r="H641" s="106" t="str">
        <f t="shared" si="61"/>
        <v/>
      </c>
    </row>
    <row r="642" spans="1:8" x14ac:dyDescent="0.2">
      <c r="A642" s="104" t="str">
        <f t="shared" si="56"/>
        <v/>
      </c>
      <c r="B642" s="108" t="str">
        <f t="shared" si="57"/>
        <v/>
      </c>
      <c r="C642" s="109" t="str">
        <f t="shared" si="58"/>
        <v/>
      </c>
      <c r="D642" s="111"/>
      <c r="E642" s="106"/>
      <c r="F642" s="106" t="str">
        <f t="shared" si="59"/>
        <v/>
      </c>
      <c r="G642" s="106" t="str">
        <f t="shared" si="60"/>
        <v/>
      </c>
      <c r="H642" s="106" t="str">
        <f t="shared" si="61"/>
        <v/>
      </c>
    </row>
    <row r="643" spans="1:8" x14ac:dyDescent="0.2">
      <c r="A643" s="104" t="str">
        <f t="shared" si="56"/>
        <v/>
      </c>
      <c r="B643" s="108" t="str">
        <f t="shared" si="57"/>
        <v/>
      </c>
      <c r="C643" s="109" t="str">
        <f t="shared" si="58"/>
        <v/>
      </c>
      <c r="D643" s="111"/>
      <c r="E643" s="106"/>
      <c r="F643" s="106" t="str">
        <f t="shared" si="59"/>
        <v/>
      </c>
      <c r="G643" s="106" t="str">
        <f t="shared" si="60"/>
        <v/>
      </c>
      <c r="H643" s="106" t="str">
        <f t="shared" si="61"/>
        <v/>
      </c>
    </row>
    <row r="644" spans="1:8" x14ac:dyDescent="0.2">
      <c r="A644" s="104" t="str">
        <f t="shared" si="56"/>
        <v/>
      </c>
      <c r="B644" s="108" t="str">
        <f t="shared" si="57"/>
        <v/>
      </c>
      <c r="C644" s="109" t="str">
        <f t="shared" si="58"/>
        <v/>
      </c>
      <c r="D644" s="111"/>
      <c r="E644" s="106"/>
      <c r="F644" s="106" t="str">
        <f t="shared" si="59"/>
        <v/>
      </c>
      <c r="G644" s="106" t="str">
        <f t="shared" si="60"/>
        <v/>
      </c>
      <c r="H644" s="106" t="str">
        <f t="shared" si="61"/>
        <v/>
      </c>
    </row>
    <row r="645" spans="1:8" x14ac:dyDescent="0.2">
      <c r="A645" s="104" t="str">
        <f t="shared" si="56"/>
        <v/>
      </c>
      <c r="B645" s="108" t="str">
        <f t="shared" si="57"/>
        <v/>
      </c>
      <c r="C645" s="109" t="str">
        <f t="shared" si="58"/>
        <v/>
      </c>
      <c r="D645" s="111"/>
      <c r="E645" s="106"/>
      <c r="F645" s="106" t="str">
        <f t="shared" si="59"/>
        <v/>
      </c>
      <c r="G645" s="106" t="str">
        <f t="shared" si="60"/>
        <v/>
      </c>
      <c r="H645" s="106" t="str">
        <f t="shared" si="61"/>
        <v/>
      </c>
    </row>
    <row r="646" spans="1:8" x14ac:dyDescent="0.2">
      <c r="A646" s="104" t="str">
        <f t="shared" si="56"/>
        <v/>
      </c>
      <c r="B646" s="108" t="str">
        <f t="shared" si="57"/>
        <v/>
      </c>
      <c r="C646" s="109" t="str">
        <f t="shared" si="58"/>
        <v/>
      </c>
      <c r="D646" s="111"/>
      <c r="E646" s="106"/>
      <c r="F646" s="106" t="str">
        <f t="shared" si="59"/>
        <v/>
      </c>
      <c r="G646" s="106" t="str">
        <f t="shared" si="60"/>
        <v/>
      </c>
      <c r="H646" s="106" t="str">
        <f t="shared" si="61"/>
        <v/>
      </c>
    </row>
    <row r="647" spans="1:8" x14ac:dyDescent="0.2">
      <c r="A647" s="104" t="str">
        <f t="shared" si="56"/>
        <v/>
      </c>
      <c r="B647" s="108" t="str">
        <f t="shared" si="57"/>
        <v/>
      </c>
      <c r="C647" s="109" t="str">
        <f t="shared" si="58"/>
        <v/>
      </c>
      <c r="D647" s="111"/>
      <c r="E647" s="106"/>
      <c r="F647" s="106" t="str">
        <f t="shared" si="59"/>
        <v/>
      </c>
      <c r="G647" s="106" t="str">
        <f t="shared" si="60"/>
        <v/>
      </c>
      <c r="H647" s="106" t="str">
        <f t="shared" si="61"/>
        <v/>
      </c>
    </row>
    <row r="648" spans="1:8" x14ac:dyDescent="0.2">
      <c r="A648" s="104" t="str">
        <f t="shared" si="56"/>
        <v/>
      </c>
      <c r="B648" s="108" t="str">
        <f t="shared" si="57"/>
        <v/>
      </c>
      <c r="C648" s="109" t="str">
        <f t="shared" si="58"/>
        <v/>
      </c>
      <c r="D648" s="111"/>
      <c r="E648" s="106"/>
      <c r="F648" s="106" t="str">
        <f t="shared" si="59"/>
        <v/>
      </c>
      <c r="G648" s="106" t="str">
        <f t="shared" si="60"/>
        <v/>
      </c>
      <c r="H648" s="106" t="str">
        <f t="shared" si="61"/>
        <v/>
      </c>
    </row>
    <row r="649" spans="1:8" x14ac:dyDescent="0.2">
      <c r="A649" s="104" t="str">
        <f t="shared" si="56"/>
        <v/>
      </c>
      <c r="B649" s="108" t="str">
        <f t="shared" si="57"/>
        <v/>
      </c>
      <c r="C649" s="109" t="str">
        <f t="shared" si="58"/>
        <v/>
      </c>
      <c r="D649" s="111"/>
      <c r="E649" s="106"/>
      <c r="F649" s="106" t="str">
        <f t="shared" si="59"/>
        <v/>
      </c>
      <c r="G649" s="106" t="str">
        <f t="shared" si="60"/>
        <v/>
      </c>
      <c r="H649" s="106" t="str">
        <f t="shared" si="61"/>
        <v/>
      </c>
    </row>
    <row r="650" spans="1:8" x14ac:dyDescent="0.2">
      <c r="A650" s="104" t="str">
        <f t="shared" si="56"/>
        <v/>
      </c>
      <c r="B650" s="108" t="str">
        <f t="shared" si="57"/>
        <v/>
      </c>
      <c r="C650" s="109" t="str">
        <f t="shared" si="58"/>
        <v/>
      </c>
      <c r="D650" s="111"/>
      <c r="E650" s="106"/>
      <c r="F650" s="106" t="str">
        <f t="shared" si="59"/>
        <v/>
      </c>
      <c r="G650" s="106" t="str">
        <f t="shared" si="60"/>
        <v/>
      </c>
      <c r="H650" s="106" t="str">
        <f t="shared" si="61"/>
        <v/>
      </c>
    </row>
    <row r="651" spans="1:8" x14ac:dyDescent="0.2">
      <c r="A651" s="104" t="str">
        <f t="shared" si="56"/>
        <v/>
      </c>
      <c r="B651" s="108" t="str">
        <f t="shared" si="57"/>
        <v/>
      </c>
      <c r="C651" s="109" t="str">
        <f t="shared" si="58"/>
        <v/>
      </c>
      <c r="D651" s="111"/>
      <c r="E651" s="106"/>
      <c r="F651" s="106" t="str">
        <f t="shared" si="59"/>
        <v/>
      </c>
      <c r="G651" s="106" t="str">
        <f t="shared" si="60"/>
        <v/>
      </c>
      <c r="H651" s="106" t="str">
        <f t="shared" si="61"/>
        <v/>
      </c>
    </row>
    <row r="652" spans="1:8" x14ac:dyDescent="0.2">
      <c r="A652" s="104" t="str">
        <f t="shared" si="56"/>
        <v/>
      </c>
      <c r="B652" s="108" t="str">
        <f t="shared" si="57"/>
        <v/>
      </c>
      <c r="C652" s="109" t="str">
        <f t="shared" si="58"/>
        <v/>
      </c>
      <c r="D652" s="111"/>
      <c r="E652" s="106"/>
      <c r="F652" s="106" t="str">
        <f t="shared" si="59"/>
        <v/>
      </c>
      <c r="G652" s="106" t="str">
        <f t="shared" si="60"/>
        <v/>
      </c>
      <c r="H652" s="106" t="str">
        <f t="shared" si="61"/>
        <v/>
      </c>
    </row>
    <row r="653" spans="1:8" x14ac:dyDescent="0.2">
      <c r="A653" s="104" t="str">
        <f t="shared" si="56"/>
        <v/>
      </c>
      <c r="B653" s="108" t="str">
        <f t="shared" si="57"/>
        <v/>
      </c>
      <c r="C653" s="109" t="str">
        <f t="shared" si="58"/>
        <v/>
      </c>
      <c r="D653" s="111"/>
      <c r="E653" s="106"/>
      <c r="F653" s="106" t="str">
        <f t="shared" si="59"/>
        <v/>
      </c>
      <c r="G653" s="106" t="str">
        <f t="shared" si="60"/>
        <v/>
      </c>
      <c r="H653" s="106" t="str">
        <f t="shared" si="61"/>
        <v/>
      </c>
    </row>
    <row r="654" spans="1:8" x14ac:dyDescent="0.2">
      <c r="A654" s="104" t="str">
        <f t="shared" si="56"/>
        <v/>
      </c>
      <c r="B654" s="108" t="str">
        <f t="shared" si="57"/>
        <v/>
      </c>
      <c r="C654" s="109" t="str">
        <f t="shared" si="58"/>
        <v/>
      </c>
      <c r="D654" s="111"/>
      <c r="E654" s="106"/>
      <c r="F654" s="106" t="str">
        <f t="shared" si="59"/>
        <v/>
      </c>
      <c r="G654" s="106" t="str">
        <f t="shared" si="60"/>
        <v/>
      </c>
      <c r="H654" s="106" t="str">
        <f t="shared" si="61"/>
        <v/>
      </c>
    </row>
    <row r="655" spans="1:8" x14ac:dyDescent="0.2">
      <c r="A655" s="104" t="str">
        <f t="shared" si="56"/>
        <v/>
      </c>
      <c r="B655" s="108" t="str">
        <f t="shared" si="57"/>
        <v/>
      </c>
      <c r="C655" s="109" t="str">
        <f t="shared" si="58"/>
        <v/>
      </c>
      <c r="D655" s="111"/>
      <c r="E655" s="106"/>
      <c r="F655" s="106" t="str">
        <f t="shared" si="59"/>
        <v/>
      </c>
      <c r="G655" s="106" t="str">
        <f t="shared" si="60"/>
        <v/>
      </c>
      <c r="H655" s="106" t="str">
        <f t="shared" si="61"/>
        <v/>
      </c>
    </row>
    <row r="656" spans="1:8" x14ac:dyDescent="0.2">
      <c r="A656" s="104" t="str">
        <f t="shared" si="56"/>
        <v/>
      </c>
      <c r="B656" s="108" t="str">
        <f t="shared" si="57"/>
        <v/>
      </c>
      <c r="C656" s="109" t="str">
        <f t="shared" si="58"/>
        <v/>
      </c>
      <c r="D656" s="111"/>
      <c r="E656" s="106"/>
      <c r="F656" s="106" t="str">
        <f t="shared" si="59"/>
        <v/>
      </c>
      <c r="G656" s="106" t="str">
        <f t="shared" si="60"/>
        <v/>
      </c>
      <c r="H656" s="106" t="str">
        <f t="shared" si="61"/>
        <v/>
      </c>
    </row>
    <row r="657" spans="1:8" x14ac:dyDescent="0.2">
      <c r="A657" s="104" t="str">
        <f t="shared" si="56"/>
        <v/>
      </c>
      <c r="B657" s="108" t="str">
        <f t="shared" si="57"/>
        <v/>
      </c>
      <c r="C657" s="109" t="str">
        <f t="shared" si="58"/>
        <v/>
      </c>
      <c r="D657" s="111"/>
      <c r="E657" s="106"/>
      <c r="F657" s="106" t="str">
        <f t="shared" si="59"/>
        <v/>
      </c>
      <c r="G657" s="106" t="str">
        <f t="shared" si="60"/>
        <v/>
      </c>
      <c r="H657" s="106" t="str">
        <f t="shared" si="61"/>
        <v/>
      </c>
    </row>
    <row r="658" spans="1:8" x14ac:dyDescent="0.2">
      <c r="A658" s="104" t="str">
        <f t="shared" si="56"/>
        <v/>
      </c>
      <c r="B658" s="108" t="str">
        <f t="shared" si="57"/>
        <v/>
      </c>
      <c r="C658" s="109" t="str">
        <f t="shared" si="58"/>
        <v/>
      </c>
      <c r="D658" s="111"/>
      <c r="E658" s="106"/>
      <c r="F658" s="106" t="str">
        <f t="shared" si="59"/>
        <v/>
      </c>
      <c r="G658" s="106" t="str">
        <f t="shared" si="60"/>
        <v/>
      </c>
      <c r="H658" s="106" t="str">
        <f t="shared" si="61"/>
        <v/>
      </c>
    </row>
    <row r="659" spans="1:8" x14ac:dyDescent="0.2">
      <c r="A659" s="104" t="str">
        <f t="shared" si="56"/>
        <v/>
      </c>
      <c r="B659" s="108" t="str">
        <f t="shared" si="57"/>
        <v/>
      </c>
      <c r="C659" s="109" t="str">
        <f t="shared" si="58"/>
        <v/>
      </c>
      <c r="D659" s="111"/>
      <c r="E659" s="106"/>
      <c r="F659" s="106" t="str">
        <f t="shared" si="59"/>
        <v/>
      </c>
      <c r="G659" s="106" t="str">
        <f t="shared" si="60"/>
        <v/>
      </c>
      <c r="H659" s="106" t="str">
        <f t="shared" si="61"/>
        <v/>
      </c>
    </row>
    <row r="660" spans="1:8" x14ac:dyDescent="0.2">
      <c r="A660" s="104" t="str">
        <f t="shared" si="56"/>
        <v/>
      </c>
      <c r="B660" s="108" t="str">
        <f t="shared" si="57"/>
        <v/>
      </c>
      <c r="C660" s="109" t="str">
        <f t="shared" si="58"/>
        <v/>
      </c>
      <c r="D660" s="111"/>
      <c r="E660" s="106"/>
      <c r="F660" s="106" t="str">
        <f t="shared" si="59"/>
        <v/>
      </c>
      <c r="G660" s="106" t="str">
        <f t="shared" si="60"/>
        <v/>
      </c>
      <c r="H660" s="106" t="str">
        <f t="shared" si="61"/>
        <v/>
      </c>
    </row>
    <row r="661" spans="1:8" x14ac:dyDescent="0.2">
      <c r="A661" s="104" t="str">
        <f t="shared" si="56"/>
        <v/>
      </c>
      <c r="B661" s="108" t="str">
        <f t="shared" si="57"/>
        <v/>
      </c>
      <c r="C661" s="109" t="str">
        <f t="shared" si="58"/>
        <v/>
      </c>
      <c r="D661" s="111"/>
      <c r="E661" s="106"/>
      <c r="F661" s="106" t="str">
        <f t="shared" si="59"/>
        <v/>
      </c>
      <c r="G661" s="106" t="str">
        <f t="shared" si="60"/>
        <v/>
      </c>
      <c r="H661" s="106" t="str">
        <f t="shared" si="61"/>
        <v/>
      </c>
    </row>
    <row r="662" spans="1:8" x14ac:dyDescent="0.2">
      <c r="A662" s="104" t="str">
        <f t="shared" si="56"/>
        <v/>
      </c>
      <c r="B662" s="108" t="str">
        <f t="shared" si="57"/>
        <v/>
      </c>
      <c r="C662" s="109" t="str">
        <f t="shared" si="58"/>
        <v/>
      </c>
      <c r="D662" s="111"/>
      <c r="E662" s="106"/>
      <c r="F662" s="106" t="str">
        <f t="shared" si="59"/>
        <v/>
      </c>
      <c r="G662" s="106" t="str">
        <f t="shared" si="60"/>
        <v/>
      </c>
      <c r="H662" s="106" t="str">
        <f t="shared" si="61"/>
        <v/>
      </c>
    </row>
    <row r="663" spans="1:8" x14ac:dyDescent="0.2">
      <c r="A663" s="104" t="str">
        <f t="shared" si="56"/>
        <v/>
      </c>
      <c r="B663" s="108" t="str">
        <f t="shared" si="57"/>
        <v/>
      </c>
      <c r="C663" s="109" t="str">
        <f t="shared" si="58"/>
        <v/>
      </c>
      <c r="D663" s="111"/>
      <c r="E663" s="106"/>
      <c r="F663" s="106" t="str">
        <f t="shared" si="59"/>
        <v/>
      </c>
      <c r="G663" s="106" t="str">
        <f t="shared" si="60"/>
        <v/>
      </c>
      <c r="H663" s="106" t="str">
        <f t="shared" si="61"/>
        <v/>
      </c>
    </row>
    <row r="664" spans="1:8" x14ac:dyDescent="0.2">
      <c r="A664" s="104" t="str">
        <f t="shared" si="56"/>
        <v/>
      </c>
      <c r="B664" s="108" t="str">
        <f t="shared" si="57"/>
        <v/>
      </c>
      <c r="C664" s="109" t="str">
        <f t="shared" si="58"/>
        <v/>
      </c>
      <c r="D664" s="111"/>
      <c r="E664" s="106"/>
      <c r="F664" s="106" t="str">
        <f t="shared" si="59"/>
        <v/>
      </c>
      <c r="G664" s="106" t="str">
        <f t="shared" si="60"/>
        <v/>
      </c>
      <c r="H664" s="106" t="str">
        <f t="shared" si="61"/>
        <v/>
      </c>
    </row>
    <row r="665" spans="1:8" x14ac:dyDescent="0.2">
      <c r="A665" s="104" t="str">
        <f t="shared" si="56"/>
        <v/>
      </c>
      <c r="B665" s="108" t="str">
        <f t="shared" si="57"/>
        <v/>
      </c>
      <c r="C665" s="109" t="str">
        <f t="shared" si="58"/>
        <v/>
      </c>
      <c r="D665" s="111"/>
      <c r="E665" s="106"/>
      <c r="F665" s="106" t="str">
        <f t="shared" si="59"/>
        <v/>
      </c>
      <c r="G665" s="106" t="str">
        <f t="shared" si="60"/>
        <v/>
      </c>
      <c r="H665" s="106" t="str">
        <f t="shared" si="61"/>
        <v/>
      </c>
    </row>
    <row r="666" spans="1:8" x14ac:dyDescent="0.2">
      <c r="A666" s="104" t="str">
        <f t="shared" si="56"/>
        <v/>
      </c>
      <c r="B666" s="108" t="str">
        <f t="shared" si="57"/>
        <v/>
      </c>
      <c r="C666" s="109" t="str">
        <f t="shared" si="58"/>
        <v/>
      </c>
      <c r="D666" s="111"/>
      <c r="E666" s="106"/>
      <c r="F666" s="106" t="str">
        <f t="shared" si="59"/>
        <v/>
      </c>
      <c r="G666" s="106" t="str">
        <f t="shared" si="60"/>
        <v/>
      </c>
      <c r="H666" s="106" t="str">
        <f t="shared" si="61"/>
        <v/>
      </c>
    </row>
    <row r="667" spans="1:8" x14ac:dyDescent="0.2">
      <c r="A667" s="104" t="str">
        <f t="shared" si="56"/>
        <v/>
      </c>
      <c r="B667" s="108" t="str">
        <f t="shared" si="57"/>
        <v/>
      </c>
      <c r="C667" s="109" t="str">
        <f t="shared" si="58"/>
        <v/>
      </c>
      <c r="D667" s="111"/>
      <c r="E667" s="106"/>
      <c r="F667" s="106" t="str">
        <f t="shared" si="59"/>
        <v/>
      </c>
      <c r="G667" s="106" t="str">
        <f t="shared" si="60"/>
        <v/>
      </c>
      <c r="H667" s="106" t="str">
        <f t="shared" si="61"/>
        <v/>
      </c>
    </row>
    <row r="668" spans="1:8" x14ac:dyDescent="0.2">
      <c r="A668" s="104" t="str">
        <f t="shared" si="56"/>
        <v/>
      </c>
      <c r="B668" s="108" t="str">
        <f t="shared" si="57"/>
        <v/>
      </c>
      <c r="C668" s="109" t="str">
        <f t="shared" si="58"/>
        <v/>
      </c>
      <c r="D668" s="111"/>
      <c r="E668" s="106"/>
      <c r="F668" s="106" t="str">
        <f t="shared" si="59"/>
        <v/>
      </c>
      <c r="G668" s="106" t="str">
        <f t="shared" si="60"/>
        <v/>
      </c>
      <c r="H668" s="106" t="str">
        <f t="shared" si="61"/>
        <v/>
      </c>
    </row>
    <row r="669" spans="1:8" x14ac:dyDescent="0.2">
      <c r="A669" s="104" t="str">
        <f t="shared" si="56"/>
        <v/>
      </c>
      <c r="B669" s="108" t="str">
        <f t="shared" si="57"/>
        <v/>
      </c>
      <c r="C669" s="109" t="str">
        <f t="shared" si="58"/>
        <v/>
      </c>
      <c r="D669" s="111"/>
      <c r="E669" s="106"/>
      <c r="F669" s="106" t="str">
        <f t="shared" si="59"/>
        <v/>
      </c>
      <c r="G669" s="106" t="str">
        <f t="shared" si="60"/>
        <v/>
      </c>
      <c r="H669" s="106" t="str">
        <f t="shared" si="61"/>
        <v/>
      </c>
    </row>
    <row r="670" spans="1:8" x14ac:dyDescent="0.2">
      <c r="A670" s="104" t="str">
        <f t="shared" si="56"/>
        <v/>
      </c>
      <c r="B670" s="108" t="str">
        <f t="shared" si="57"/>
        <v/>
      </c>
      <c r="C670" s="109" t="str">
        <f t="shared" si="58"/>
        <v/>
      </c>
      <c r="D670" s="111"/>
      <c r="E670" s="106"/>
      <c r="F670" s="106" t="str">
        <f t="shared" si="59"/>
        <v/>
      </c>
      <c r="G670" s="106" t="str">
        <f t="shared" si="60"/>
        <v/>
      </c>
      <c r="H670" s="106" t="str">
        <f t="shared" si="61"/>
        <v/>
      </c>
    </row>
    <row r="671" spans="1:8" x14ac:dyDescent="0.2">
      <c r="A671" s="104" t="str">
        <f t="shared" si="56"/>
        <v/>
      </c>
      <c r="B671" s="108" t="str">
        <f t="shared" si="57"/>
        <v/>
      </c>
      <c r="C671" s="109" t="str">
        <f t="shared" si="58"/>
        <v/>
      </c>
      <c r="D671" s="111"/>
      <c r="E671" s="106"/>
      <c r="F671" s="106" t="str">
        <f t="shared" si="59"/>
        <v/>
      </c>
      <c r="G671" s="106" t="str">
        <f t="shared" si="60"/>
        <v/>
      </c>
      <c r="H671" s="106" t="str">
        <f t="shared" si="61"/>
        <v/>
      </c>
    </row>
    <row r="672" spans="1:8" x14ac:dyDescent="0.2">
      <c r="A672" s="104" t="str">
        <f t="shared" si="56"/>
        <v/>
      </c>
      <c r="B672" s="108" t="str">
        <f t="shared" si="57"/>
        <v/>
      </c>
      <c r="C672" s="109" t="str">
        <f t="shared" si="58"/>
        <v/>
      </c>
      <c r="D672" s="111"/>
      <c r="E672" s="106"/>
      <c r="F672" s="106" t="str">
        <f t="shared" si="59"/>
        <v/>
      </c>
      <c r="G672" s="106" t="str">
        <f t="shared" si="60"/>
        <v/>
      </c>
      <c r="H672" s="106" t="str">
        <f t="shared" si="61"/>
        <v/>
      </c>
    </row>
    <row r="673" spans="1:8" x14ac:dyDescent="0.2">
      <c r="A673" s="104" t="str">
        <f t="shared" si="56"/>
        <v/>
      </c>
      <c r="B673" s="108" t="str">
        <f t="shared" si="57"/>
        <v/>
      </c>
      <c r="C673" s="109" t="str">
        <f t="shared" si="58"/>
        <v/>
      </c>
      <c r="D673" s="111"/>
      <c r="E673" s="106"/>
      <c r="F673" s="106" t="str">
        <f t="shared" si="59"/>
        <v/>
      </c>
      <c r="G673" s="106" t="str">
        <f t="shared" si="60"/>
        <v/>
      </c>
      <c r="H673" s="106" t="str">
        <f t="shared" si="61"/>
        <v/>
      </c>
    </row>
    <row r="674" spans="1:8" x14ac:dyDescent="0.2">
      <c r="A674" s="104" t="str">
        <f t="shared" si="56"/>
        <v/>
      </c>
      <c r="B674" s="108" t="str">
        <f t="shared" si="57"/>
        <v/>
      </c>
      <c r="C674" s="109" t="str">
        <f t="shared" si="58"/>
        <v/>
      </c>
      <c r="D674" s="111"/>
      <c r="E674" s="106"/>
      <c r="F674" s="106" t="str">
        <f t="shared" si="59"/>
        <v/>
      </c>
      <c r="G674" s="106" t="str">
        <f t="shared" si="60"/>
        <v/>
      </c>
      <c r="H674" s="106" t="str">
        <f t="shared" si="61"/>
        <v/>
      </c>
    </row>
    <row r="675" spans="1:8" x14ac:dyDescent="0.2">
      <c r="A675" s="104" t="str">
        <f t="shared" si="56"/>
        <v/>
      </c>
      <c r="B675" s="108" t="str">
        <f t="shared" si="57"/>
        <v/>
      </c>
      <c r="C675" s="109" t="str">
        <f t="shared" si="58"/>
        <v/>
      </c>
      <c r="D675" s="111"/>
      <c r="E675" s="106"/>
      <c r="F675" s="106" t="str">
        <f t="shared" si="59"/>
        <v/>
      </c>
      <c r="G675" s="106" t="str">
        <f t="shared" si="60"/>
        <v/>
      </c>
      <c r="H675" s="106" t="str">
        <f t="shared" si="61"/>
        <v/>
      </c>
    </row>
    <row r="676" spans="1:8" x14ac:dyDescent="0.2">
      <c r="A676" s="104" t="str">
        <f t="shared" si="56"/>
        <v/>
      </c>
      <c r="B676" s="108" t="str">
        <f t="shared" si="57"/>
        <v/>
      </c>
      <c r="C676" s="109" t="str">
        <f t="shared" si="58"/>
        <v/>
      </c>
      <c r="D676" s="111"/>
      <c r="E676" s="106"/>
      <c r="F676" s="106" t="str">
        <f t="shared" si="59"/>
        <v/>
      </c>
      <c r="G676" s="106" t="str">
        <f t="shared" si="60"/>
        <v/>
      </c>
      <c r="H676" s="106" t="str">
        <f t="shared" si="61"/>
        <v/>
      </c>
    </row>
    <row r="677" spans="1:8" x14ac:dyDescent="0.2">
      <c r="A677" s="104" t="str">
        <f t="shared" si="56"/>
        <v/>
      </c>
      <c r="B677" s="108" t="str">
        <f t="shared" si="57"/>
        <v/>
      </c>
      <c r="C677" s="109" t="str">
        <f t="shared" si="58"/>
        <v/>
      </c>
      <c r="D677" s="111"/>
      <c r="E677" s="106"/>
      <c r="F677" s="106" t="str">
        <f t="shared" si="59"/>
        <v/>
      </c>
      <c r="G677" s="106" t="str">
        <f t="shared" si="60"/>
        <v/>
      </c>
      <c r="H677" s="106" t="str">
        <f t="shared" si="61"/>
        <v/>
      </c>
    </row>
    <row r="678" spans="1:8" x14ac:dyDescent="0.2">
      <c r="A678" s="104" t="str">
        <f t="shared" si="56"/>
        <v/>
      </c>
      <c r="B678" s="108" t="str">
        <f t="shared" si="57"/>
        <v/>
      </c>
      <c r="C678" s="109" t="str">
        <f t="shared" si="58"/>
        <v/>
      </c>
      <c r="D678" s="111"/>
      <c r="E678" s="106"/>
      <c r="F678" s="106" t="str">
        <f t="shared" si="59"/>
        <v/>
      </c>
      <c r="G678" s="106" t="str">
        <f t="shared" si="60"/>
        <v/>
      </c>
      <c r="H678" s="106" t="str">
        <f t="shared" si="61"/>
        <v/>
      </c>
    </row>
    <row r="679" spans="1:8" x14ac:dyDescent="0.2">
      <c r="A679" s="104" t="str">
        <f t="shared" si="56"/>
        <v/>
      </c>
      <c r="B679" s="108" t="str">
        <f t="shared" si="57"/>
        <v/>
      </c>
      <c r="C679" s="109" t="str">
        <f t="shared" si="58"/>
        <v/>
      </c>
      <c r="D679" s="111"/>
      <c r="E679" s="106"/>
      <c r="F679" s="106" t="str">
        <f t="shared" si="59"/>
        <v/>
      </c>
      <c r="G679" s="106" t="str">
        <f t="shared" si="60"/>
        <v/>
      </c>
      <c r="H679" s="106" t="str">
        <f t="shared" si="61"/>
        <v/>
      </c>
    </row>
    <row r="680" spans="1:8" x14ac:dyDescent="0.2">
      <c r="A680" s="104" t="str">
        <f t="shared" si="56"/>
        <v/>
      </c>
      <c r="B680" s="108" t="str">
        <f t="shared" si="57"/>
        <v/>
      </c>
      <c r="C680" s="109" t="str">
        <f t="shared" si="58"/>
        <v/>
      </c>
      <c r="D680" s="111"/>
      <c r="E680" s="106"/>
      <c r="F680" s="106" t="str">
        <f t="shared" si="59"/>
        <v/>
      </c>
      <c r="G680" s="106" t="str">
        <f t="shared" si="60"/>
        <v/>
      </c>
      <c r="H680" s="106" t="str">
        <f t="shared" si="61"/>
        <v/>
      </c>
    </row>
    <row r="681" spans="1:8" x14ac:dyDescent="0.2">
      <c r="A681" s="104" t="str">
        <f t="shared" si="56"/>
        <v/>
      </c>
      <c r="B681" s="108" t="str">
        <f t="shared" si="57"/>
        <v/>
      </c>
      <c r="C681" s="109" t="str">
        <f t="shared" si="58"/>
        <v/>
      </c>
      <c r="D681" s="111"/>
      <c r="E681" s="106"/>
      <c r="F681" s="106" t="str">
        <f t="shared" si="59"/>
        <v/>
      </c>
      <c r="G681" s="106" t="str">
        <f t="shared" si="60"/>
        <v/>
      </c>
      <c r="H681" s="106" t="str">
        <f t="shared" si="61"/>
        <v/>
      </c>
    </row>
    <row r="682" spans="1:8" x14ac:dyDescent="0.2">
      <c r="A682" s="104" t="str">
        <f t="shared" si="56"/>
        <v/>
      </c>
      <c r="B682" s="108" t="str">
        <f t="shared" si="57"/>
        <v/>
      </c>
      <c r="C682" s="109" t="str">
        <f t="shared" si="58"/>
        <v/>
      </c>
      <c r="D682" s="111"/>
      <c r="E682" s="106"/>
      <c r="F682" s="106" t="str">
        <f t="shared" si="59"/>
        <v/>
      </c>
      <c r="G682" s="106" t="str">
        <f t="shared" si="60"/>
        <v/>
      </c>
      <c r="H682" s="106" t="str">
        <f t="shared" si="61"/>
        <v/>
      </c>
    </row>
    <row r="683" spans="1:8" x14ac:dyDescent="0.2">
      <c r="A683" s="104" t="str">
        <f t="shared" si="56"/>
        <v/>
      </c>
      <c r="B683" s="108" t="str">
        <f t="shared" si="57"/>
        <v/>
      </c>
      <c r="C683" s="109" t="str">
        <f t="shared" si="58"/>
        <v/>
      </c>
      <c r="D683" s="111"/>
      <c r="E683" s="106"/>
      <c r="F683" s="106" t="str">
        <f t="shared" si="59"/>
        <v/>
      </c>
      <c r="G683" s="106" t="str">
        <f t="shared" si="60"/>
        <v/>
      </c>
      <c r="H683" s="106" t="str">
        <f t="shared" si="61"/>
        <v/>
      </c>
    </row>
    <row r="684" spans="1:8" x14ac:dyDescent="0.2">
      <c r="A684" s="104" t="str">
        <f t="shared" si="56"/>
        <v/>
      </c>
      <c r="B684" s="108" t="str">
        <f t="shared" si="57"/>
        <v/>
      </c>
      <c r="C684" s="109" t="str">
        <f t="shared" si="58"/>
        <v/>
      </c>
      <c r="D684" s="111"/>
      <c r="E684" s="106"/>
      <c r="F684" s="106" t="str">
        <f t="shared" si="59"/>
        <v/>
      </c>
      <c r="G684" s="106" t="str">
        <f t="shared" si="60"/>
        <v/>
      </c>
      <c r="H684" s="106" t="str">
        <f t="shared" si="61"/>
        <v/>
      </c>
    </row>
    <row r="685" spans="1:8" x14ac:dyDescent="0.2">
      <c r="A685" s="104" t="str">
        <f t="shared" si="56"/>
        <v/>
      </c>
      <c r="B685" s="108" t="str">
        <f t="shared" si="57"/>
        <v/>
      </c>
      <c r="C685" s="109" t="str">
        <f t="shared" si="58"/>
        <v/>
      </c>
      <c r="D685" s="111"/>
      <c r="E685" s="106"/>
      <c r="F685" s="106" t="str">
        <f t="shared" si="59"/>
        <v/>
      </c>
      <c r="G685" s="106" t="str">
        <f t="shared" si="60"/>
        <v/>
      </c>
      <c r="H685" s="106" t="str">
        <f t="shared" si="61"/>
        <v/>
      </c>
    </row>
    <row r="686" spans="1:8" x14ac:dyDescent="0.2">
      <c r="A686" s="104" t="str">
        <f t="shared" si="56"/>
        <v/>
      </c>
      <c r="B686" s="108" t="str">
        <f t="shared" si="57"/>
        <v/>
      </c>
      <c r="C686" s="109" t="str">
        <f t="shared" si="58"/>
        <v/>
      </c>
      <c r="D686" s="111"/>
      <c r="E686" s="106"/>
      <c r="F686" s="106" t="str">
        <f t="shared" si="59"/>
        <v/>
      </c>
      <c r="G686" s="106" t="str">
        <f t="shared" si="60"/>
        <v/>
      </c>
      <c r="H686" s="106" t="str">
        <f t="shared" si="61"/>
        <v/>
      </c>
    </row>
    <row r="687" spans="1:8" x14ac:dyDescent="0.2">
      <c r="A687" s="104" t="str">
        <f t="shared" si="56"/>
        <v/>
      </c>
      <c r="B687" s="108" t="str">
        <f t="shared" si="57"/>
        <v/>
      </c>
      <c r="C687" s="109" t="str">
        <f t="shared" si="58"/>
        <v/>
      </c>
      <c r="D687" s="111"/>
      <c r="E687" s="106"/>
      <c r="F687" s="106" t="str">
        <f t="shared" si="59"/>
        <v/>
      </c>
      <c r="G687" s="106" t="str">
        <f t="shared" si="60"/>
        <v/>
      </c>
      <c r="H687" s="106" t="str">
        <f t="shared" si="61"/>
        <v/>
      </c>
    </row>
    <row r="688" spans="1:8" x14ac:dyDescent="0.2">
      <c r="A688" s="104" t="str">
        <f t="shared" si="56"/>
        <v/>
      </c>
      <c r="B688" s="108" t="str">
        <f t="shared" si="57"/>
        <v/>
      </c>
      <c r="C688" s="109" t="str">
        <f t="shared" si="58"/>
        <v/>
      </c>
      <c r="D688" s="111"/>
      <c r="E688" s="106"/>
      <c r="F688" s="106" t="str">
        <f t="shared" si="59"/>
        <v/>
      </c>
      <c r="G688" s="106" t="str">
        <f t="shared" si="60"/>
        <v/>
      </c>
      <c r="H688" s="106" t="str">
        <f t="shared" si="61"/>
        <v/>
      </c>
    </row>
    <row r="689" spans="1:8" x14ac:dyDescent="0.2">
      <c r="A689" s="104" t="str">
        <f t="shared" si="56"/>
        <v/>
      </c>
      <c r="B689" s="108" t="str">
        <f t="shared" si="57"/>
        <v/>
      </c>
      <c r="C689" s="109" t="str">
        <f t="shared" si="58"/>
        <v/>
      </c>
      <c r="D689" s="111"/>
      <c r="E689" s="106"/>
      <c r="F689" s="106" t="str">
        <f t="shared" si="59"/>
        <v/>
      </c>
      <c r="G689" s="106" t="str">
        <f t="shared" si="60"/>
        <v/>
      </c>
      <c r="H689" s="106" t="str">
        <f t="shared" si="61"/>
        <v/>
      </c>
    </row>
    <row r="690" spans="1:8" x14ac:dyDescent="0.2">
      <c r="A690" s="104" t="str">
        <f t="shared" si="56"/>
        <v/>
      </c>
      <c r="B690" s="108" t="str">
        <f t="shared" si="57"/>
        <v/>
      </c>
      <c r="C690" s="109" t="str">
        <f t="shared" si="58"/>
        <v/>
      </c>
      <c r="D690" s="111"/>
      <c r="E690" s="106"/>
      <c r="F690" s="106" t="str">
        <f t="shared" si="59"/>
        <v/>
      </c>
      <c r="G690" s="106" t="str">
        <f t="shared" si="60"/>
        <v/>
      </c>
      <c r="H690" s="106" t="str">
        <f t="shared" si="61"/>
        <v/>
      </c>
    </row>
    <row r="691" spans="1:8" x14ac:dyDescent="0.2">
      <c r="A691" s="104" t="str">
        <f t="shared" si="56"/>
        <v/>
      </c>
      <c r="B691" s="108" t="str">
        <f t="shared" si="57"/>
        <v/>
      </c>
      <c r="C691" s="109" t="str">
        <f t="shared" si="58"/>
        <v/>
      </c>
      <c r="D691" s="111"/>
      <c r="E691" s="106"/>
      <c r="F691" s="106" t="str">
        <f t="shared" si="59"/>
        <v/>
      </c>
      <c r="G691" s="106" t="str">
        <f t="shared" si="60"/>
        <v/>
      </c>
      <c r="H691" s="106" t="str">
        <f t="shared" si="61"/>
        <v/>
      </c>
    </row>
    <row r="692" spans="1:8" x14ac:dyDescent="0.2">
      <c r="A692" s="104" t="str">
        <f t="shared" si="56"/>
        <v/>
      </c>
      <c r="B692" s="108" t="str">
        <f t="shared" si="57"/>
        <v/>
      </c>
      <c r="C692" s="109" t="str">
        <f t="shared" si="58"/>
        <v/>
      </c>
      <c r="D692" s="111"/>
      <c r="E692" s="106"/>
      <c r="F692" s="106" t="str">
        <f t="shared" si="59"/>
        <v/>
      </c>
      <c r="G692" s="106" t="str">
        <f t="shared" si="60"/>
        <v/>
      </c>
      <c r="H692" s="106" t="str">
        <f t="shared" si="61"/>
        <v/>
      </c>
    </row>
    <row r="693" spans="1:8" x14ac:dyDescent="0.2">
      <c r="A693" s="104" t="str">
        <f t="shared" si="56"/>
        <v/>
      </c>
      <c r="B693" s="108" t="str">
        <f t="shared" si="57"/>
        <v/>
      </c>
      <c r="C693" s="109" t="str">
        <f t="shared" si="58"/>
        <v/>
      </c>
      <c r="D693" s="111"/>
      <c r="E693" s="106"/>
      <c r="F693" s="106" t="str">
        <f t="shared" si="59"/>
        <v/>
      </c>
      <c r="G693" s="106" t="str">
        <f t="shared" si="60"/>
        <v/>
      </c>
      <c r="H693" s="106" t="str">
        <f t="shared" si="61"/>
        <v/>
      </c>
    </row>
    <row r="694" spans="1:8" x14ac:dyDescent="0.2">
      <c r="A694" s="104" t="str">
        <f t="shared" si="56"/>
        <v/>
      </c>
      <c r="B694" s="108" t="str">
        <f t="shared" si="57"/>
        <v/>
      </c>
      <c r="C694" s="109" t="str">
        <f t="shared" si="58"/>
        <v/>
      </c>
      <c r="D694" s="111"/>
      <c r="E694" s="106"/>
      <c r="F694" s="106" t="str">
        <f t="shared" si="59"/>
        <v/>
      </c>
      <c r="G694" s="106" t="str">
        <f t="shared" si="60"/>
        <v/>
      </c>
      <c r="H694" s="106" t="str">
        <f t="shared" si="61"/>
        <v/>
      </c>
    </row>
    <row r="695" spans="1:8" x14ac:dyDescent="0.2">
      <c r="A695" s="104" t="str">
        <f t="shared" si="56"/>
        <v/>
      </c>
      <c r="B695" s="108" t="str">
        <f t="shared" si="57"/>
        <v/>
      </c>
      <c r="C695" s="109" t="str">
        <f t="shared" si="58"/>
        <v/>
      </c>
      <c r="D695" s="111"/>
      <c r="E695" s="106"/>
      <c r="F695" s="106" t="str">
        <f t="shared" si="59"/>
        <v/>
      </c>
      <c r="G695" s="106" t="str">
        <f t="shared" si="60"/>
        <v/>
      </c>
      <c r="H695" s="106" t="str">
        <f t="shared" si="61"/>
        <v/>
      </c>
    </row>
    <row r="696" spans="1:8" x14ac:dyDescent="0.2">
      <c r="A696" s="104" t="str">
        <f t="shared" si="56"/>
        <v/>
      </c>
      <c r="B696" s="108" t="str">
        <f t="shared" si="57"/>
        <v/>
      </c>
      <c r="C696" s="109" t="str">
        <f t="shared" si="58"/>
        <v/>
      </c>
      <c r="D696" s="111"/>
      <c r="E696" s="106"/>
      <c r="F696" s="106" t="str">
        <f t="shared" si="59"/>
        <v/>
      </c>
      <c r="G696" s="106" t="str">
        <f t="shared" si="60"/>
        <v/>
      </c>
      <c r="H696" s="106" t="str">
        <f t="shared" si="61"/>
        <v/>
      </c>
    </row>
    <row r="697" spans="1:8" x14ac:dyDescent="0.2">
      <c r="A697" s="104" t="str">
        <f t="shared" si="56"/>
        <v/>
      </c>
      <c r="B697" s="108" t="str">
        <f t="shared" si="57"/>
        <v/>
      </c>
      <c r="C697" s="109" t="str">
        <f t="shared" si="58"/>
        <v/>
      </c>
      <c r="D697" s="111"/>
      <c r="E697" s="106"/>
      <c r="F697" s="106" t="str">
        <f t="shared" si="59"/>
        <v/>
      </c>
      <c r="G697" s="106" t="str">
        <f t="shared" si="60"/>
        <v/>
      </c>
      <c r="H697" s="106" t="str">
        <f t="shared" si="61"/>
        <v/>
      </c>
    </row>
    <row r="698" spans="1:8" x14ac:dyDescent="0.2">
      <c r="A698" s="104" t="str">
        <f t="shared" si="56"/>
        <v/>
      </c>
      <c r="B698" s="108" t="str">
        <f t="shared" si="57"/>
        <v/>
      </c>
      <c r="C698" s="109" t="str">
        <f t="shared" si="58"/>
        <v/>
      </c>
      <c r="D698" s="111"/>
      <c r="E698" s="106"/>
      <c r="F698" s="106" t="str">
        <f t="shared" si="59"/>
        <v/>
      </c>
      <c r="G698" s="106" t="str">
        <f t="shared" si="60"/>
        <v/>
      </c>
      <c r="H698" s="106" t="str">
        <f t="shared" si="61"/>
        <v/>
      </c>
    </row>
    <row r="699" spans="1:8" x14ac:dyDescent="0.2">
      <c r="A699" s="104" t="str">
        <f t="shared" si="56"/>
        <v/>
      </c>
      <c r="B699" s="108" t="str">
        <f t="shared" si="57"/>
        <v/>
      </c>
      <c r="C699" s="109" t="str">
        <f t="shared" si="58"/>
        <v/>
      </c>
      <c r="D699" s="111"/>
      <c r="E699" s="106"/>
      <c r="F699" s="106" t="str">
        <f t="shared" si="59"/>
        <v/>
      </c>
      <c r="G699" s="106" t="str">
        <f t="shared" si="60"/>
        <v/>
      </c>
      <c r="H699" s="106" t="str">
        <f t="shared" si="61"/>
        <v/>
      </c>
    </row>
    <row r="700" spans="1:8" x14ac:dyDescent="0.2">
      <c r="A700" s="104" t="str">
        <f t="shared" si="56"/>
        <v/>
      </c>
      <c r="B700" s="108" t="str">
        <f t="shared" si="57"/>
        <v/>
      </c>
      <c r="C700" s="109" t="str">
        <f t="shared" si="58"/>
        <v/>
      </c>
      <c r="D700" s="111"/>
      <c r="E700" s="106"/>
      <c r="F700" s="106" t="str">
        <f t="shared" si="59"/>
        <v/>
      </c>
      <c r="G700" s="106" t="str">
        <f t="shared" si="60"/>
        <v/>
      </c>
      <c r="H700" s="106" t="str">
        <f t="shared" si="61"/>
        <v/>
      </c>
    </row>
    <row r="701" spans="1:8" x14ac:dyDescent="0.2">
      <c r="A701" s="104" t="str">
        <f t="shared" si="56"/>
        <v/>
      </c>
      <c r="B701" s="108" t="str">
        <f t="shared" si="57"/>
        <v/>
      </c>
      <c r="C701" s="109" t="str">
        <f t="shared" si="58"/>
        <v/>
      </c>
      <c r="D701" s="111"/>
      <c r="E701" s="106"/>
      <c r="F701" s="106" t="str">
        <f t="shared" si="59"/>
        <v/>
      </c>
      <c r="G701" s="106" t="str">
        <f t="shared" si="60"/>
        <v/>
      </c>
      <c r="H701" s="106" t="str">
        <f t="shared" si="61"/>
        <v/>
      </c>
    </row>
    <row r="702" spans="1:8" x14ac:dyDescent="0.2">
      <c r="A702" s="104" t="str">
        <f t="shared" si="56"/>
        <v/>
      </c>
      <c r="B702" s="108" t="str">
        <f t="shared" si="57"/>
        <v/>
      </c>
      <c r="C702" s="109" t="str">
        <f t="shared" si="58"/>
        <v/>
      </c>
      <c r="D702" s="111"/>
      <c r="E702" s="106"/>
      <c r="F702" s="106" t="str">
        <f t="shared" si="59"/>
        <v/>
      </c>
      <c r="G702" s="106" t="str">
        <f t="shared" si="60"/>
        <v/>
      </c>
      <c r="H702" s="106" t="str">
        <f t="shared" si="61"/>
        <v/>
      </c>
    </row>
    <row r="703" spans="1:8" x14ac:dyDescent="0.2">
      <c r="A703" s="104" t="str">
        <f t="shared" ref="A703:A766" si="62">IF(H702="","",IF(roundOpt,IF(OR(A702&gt;=nper,ROUND(H702,2)&lt;=0),"",A702+1),IF(OR(A702&gt;=nper,H702&lt;=0),"",A702+1)))</f>
        <v/>
      </c>
      <c r="B703" s="108" t="str">
        <f t="shared" ref="B703:B766" si="63">IF(A703="","",IF(periods_per_year=26,IF(A703=1,fpdate,B702+14),IF(periods_per_year=52,IF(A703=1,fpdate,B702+7),IF(periods_per_year=24,IF(A703=1,fpdate,IF(fpdate=EOMONTH(fpdate,0),IF(ISODD(A703),EOMONTH(EDATE(fpdate,(A703-1)/2),0),EDATE(DATE(YEAR(fpdate),MONTH(fpdate)+1,15),(A703-1)/2)),IF(DAY(fpdate)=15,IF(ISODD(A703),EDATE(fpdate,(A703-1)/2),EOMONTH(EDATE(fpdate,(A703-1)/2),0)),IF(DAY(fpdate)&lt;=14,IF(ISODD(A703),EDATE(fpdate,(A703-1)/2),EDATE(MIN(fpdate+15,EOMONTH(fpdate,0)),(A703-1)/2)),EDATE(IF(ISODD(A703),fpdate,fpdate-15),A703/2))))),IF(A703=1,fpdate,EDATE(fpdate,months_per_period*(A703-1)))))))</f>
        <v/>
      </c>
      <c r="C703" s="109" t="str">
        <f t="shared" ref="C703:C766" si="64">IF(A703="","",IF(roundOpt,IF(OR(A703=nper,payment&gt;ROUND((1+rate)*H702,2)),ROUND((1+rate)*H702,2),payment),IF(OR(A703=nper,payment&gt;(1+rate)*H702),(1+rate)*H702,payment)))</f>
        <v/>
      </c>
      <c r="D703" s="111"/>
      <c r="E703" s="106"/>
      <c r="F703" s="106" t="str">
        <f t="shared" ref="F703:F766" si="65">IF(A703="","",IF(AND(A703=1,pmtType=1),0,IF(roundOpt,ROUND(rate*H702,2),rate*H702)))</f>
        <v/>
      </c>
      <c r="G703" s="106" t="str">
        <f t="shared" ref="G703:G766" si="66">IF(A703="","",C703-F703+D703)</f>
        <v/>
      </c>
      <c r="H703" s="106" t="str">
        <f t="shared" ref="H703:H766" si="67">IF(A703="","",H702-G703)</f>
        <v/>
      </c>
    </row>
    <row r="704" spans="1:8" x14ac:dyDescent="0.2">
      <c r="A704" s="104" t="str">
        <f t="shared" si="62"/>
        <v/>
      </c>
      <c r="B704" s="108" t="str">
        <f t="shared" si="63"/>
        <v/>
      </c>
      <c r="C704" s="109" t="str">
        <f t="shared" si="64"/>
        <v/>
      </c>
      <c r="D704" s="111"/>
      <c r="E704" s="106"/>
      <c r="F704" s="106" t="str">
        <f t="shared" si="65"/>
        <v/>
      </c>
      <c r="G704" s="106" t="str">
        <f t="shared" si="66"/>
        <v/>
      </c>
      <c r="H704" s="106" t="str">
        <f t="shared" si="67"/>
        <v/>
      </c>
    </row>
    <row r="705" spans="1:8" x14ac:dyDescent="0.2">
      <c r="A705" s="104" t="str">
        <f t="shared" si="62"/>
        <v/>
      </c>
      <c r="B705" s="108" t="str">
        <f t="shared" si="63"/>
        <v/>
      </c>
      <c r="C705" s="109" t="str">
        <f t="shared" si="64"/>
        <v/>
      </c>
      <c r="D705" s="111"/>
      <c r="E705" s="106"/>
      <c r="F705" s="106" t="str">
        <f t="shared" si="65"/>
        <v/>
      </c>
      <c r="G705" s="106" t="str">
        <f t="shared" si="66"/>
        <v/>
      </c>
      <c r="H705" s="106" t="str">
        <f t="shared" si="67"/>
        <v/>
      </c>
    </row>
    <row r="706" spans="1:8" x14ac:dyDescent="0.2">
      <c r="A706" s="104" t="str">
        <f t="shared" si="62"/>
        <v/>
      </c>
      <c r="B706" s="108" t="str">
        <f t="shared" si="63"/>
        <v/>
      </c>
      <c r="C706" s="109" t="str">
        <f t="shared" si="64"/>
        <v/>
      </c>
      <c r="D706" s="111"/>
      <c r="E706" s="106"/>
      <c r="F706" s="106" t="str">
        <f t="shared" si="65"/>
        <v/>
      </c>
      <c r="G706" s="106" t="str">
        <f t="shared" si="66"/>
        <v/>
      </c>
      <c r="H706" s="106" t="str">
        <f t="shared" si="67"/>
        <v/>
      </c>
    </row>
    <row r="707" spans="1:8" x14ac:dyDescent="0.2">
      <c r="A707" s="104" t="str">
        <f t="shared" si="62"/>
        <v/>
      </c>
      <c r="B707" s="108" t="str">
        <f t="shared" si="63"/>
        <v/>
      </c>
      <c r="C707" s="109" t="str">
        <f t="shared" si="64"/>
        <v/>
      </c>
      <c r="D707" s="111"/>
      <c r="E707" s="106"/>
      <c r="F707" s="106" t="str">
        <f t="shared" si="65"/>
        <v/>
      </c>
      <c r="G707" s="106" t="str">
        <f t="shared" si="66"/>
        <v/>
      </c>
      <c r="H707" s="106" t="str">
        <f t="shared" si="67"/>
        <v/>
      </c>
    </row>
    <row r="708" spans="1:8" x14ac:dyDescent="0.2">
      <c r="A708" s="104" t="str">
        <f t="shared" si="62"/>
        <v/>
      </c>
      <c r="B708" s="108" t="str">
        <f t="shared" si="63"/>
        <v/>
      </c>
      <c r="C708" s="109" t="str">
        <f t="shared" si="64"/>
        <v/>
      </c>
      <c r="D708" s="111"/>
      <c r="E708" s="106"/>
      <c r="F708" s="106" t="str">
        <f t="shared" si="65"/>
        <v/>
      </c>
      <c r="G708" s="106" t="str">
        <f t="shared" si="66"/>
        <v/>
      </c>
      <c r="H708" s="106" t="str">
        <f t="shared" si="67"/>
        <v/>
      </c>
    </row>
    <row r="709" spans="1:8" x14ac:dyDescent="0.2">
      <c r="A709" s="104" t="str">
        <f t="shared" si="62"/>
        <v/>
      </c>
      <c r="B709" s="108" t="str">
        <f t="shared" si="63"/>
        <v/>
      </c>
      <c r="C709" s="109" t="str">
        <f t="shared" si="64"/>
        <v/>
      </c>
      <c r="D709" s="111"/>
      <c r="E709" s="106"/>
      <c r="F709" s="106" t="str">
        <f t="shared" si="65"/>
        <v/>
      </c>
      <c r="G709" s="106" t="str">
        <f t="shared" si="66"/>
        <v/>
      </c>
      <c r="H709" s="106" t="str">
        <f t="shared" si="67"/>
        <v/>
      </c>
    </row>
    <row r="710" spans="1:8" x14ac:dyDescent="0.2">
      <c r="A710" s="104" t="str">
        <f t="shared" si="62"/>
        <v/>
      </c>
      <c r="B710" s="108" t="str">
        <f t="shared" si="63"/>
        <v/>
      </c>
      <c r="C710" s="109" t="str">
        <f t="shared" si="64"/>
        <v/>
      </c>
      <c r="D710" s="111"/>
      <c r="E710" s="106"/>
      <c r="F710" s="106" t="str">
        <f t="shared" si="65"/>
        <v/>
      </c>
      <c r="G710" s="106" t="str">
        <f t="shared" si="66"/>
        <v/>
      </c>
      <c r="H710" s="106" t="str">
        <f t="shared" si="67"/>
        <v/>
      </c>
    </row>
    <row r="711" spans="1:8" x14ac:dyDescent="0.2">
      <c r="A711" s="104" t="str">
        <f t="shared" si="62"/>
        <v/>
      </c>
      <c r="B711" s="108" t="str">
        <f t="shared" si="63"/>
        <v/>
      </c>
      <c r="C711" s="109" t="str">
        <f t="shared" si="64"/>
        <v/>
      </c>
      <c r="D711" s="111"/>
      <c r="E711" s="106"/>
      <c r="F711" s="106" t="str">
        <f t="shared" si="65"/>
        <v/>
      </c>
      <c r="G711" s="106" t="str">
        <f t="shared" si="66"/>
        <v/>
      </c>
      <c r="H711" s="106" t="str">
        <f t="shared" si="67"/>
        <v/>
      </c>
    </row>
    <row r="712" spans="1:8" x14ac:dyDescent="0.2">
      <c r="A712" s="104" t="str">
        <f t="shared" si="62"/>
        <v/>
      </c>
      <c r="B712" s="108" t="str">
        <f t="shared" si="63"/>
        <v/>
      </c>
      <c r="C712" s="109" t="str">
        <f t="shared" si="64"/>
        <v/>
      </c>
      <c r="D712" s="111"/>
      <c r="E712" s="106"/>
      <c r="F712" s="106" t="str">
        <f t="shared" si="65"/>
        <v/>
      </c>
      <c r="G712" s="106" t="str">
        <f t="shared" si="66"/>
        <v/>
      </c>
      <c r="H712" s="106" t="str">
        <f t="shared" si="67"/>
        <v/>
      </c>
    </row>
    <row r="713" spans="1:8" x14ac:dyDescent="0.2">
      <c r="A713" s="104" t="str">
        <f t="shared" si="62"/>
        <v/>
      </c>
      <c r="B713" s="108" t="str">
        <f t="shared" si="63"/>
        <v/>
      </c>
      <c r="C713" s="109" t="str">
        <f t="shared" si="64"/>
        <v/>
      </c>
      <c r="D713" s="111"/>
      <c r="E713" s="106"/>
      <c r="F713" s="106" t="str">
        <f t="shared" si="65"/>
        <v/>
      </c>
      <c r="G713" s="106" t="str">
        <f t="shared" si="66"/>
        <v/>
      </c>
      <c r="H713" s="106" t="str">
        <f t="shared" si="67"/>
        <v/>
      </c>
    </row>
    <row r="714" spans="1:8" x14ac:dyDescent="0.2">
      <c r="A714" s="104" t="str">
        <f t="shared" si="62"/>
        <v/>
      </c>
      <c r="B714" s="108" t="str">
        <f t="shared" si="63"/>
        <v/>
      </c>
      <c r="C714" s="109" t="str">
        <f t="shared" si="64"/>
        <v/>
      </c>
      <c r="D714" s="111"/>
      <c r="E714" s="106"/>
      <c r="F714" s="106" t="str">
        <f t="shared" si="65"/>
        <v/>
      </c>
      <c r="G714" s="106" t="str">
        <f t="shared" si="66"/>
        <v/>
      </c>
      <c r="H714" s="106" t="str">
        <f t="shared" si="67"/>
        <v/>
      </c>
    </row>
    <row r="715" spans="1:8" x14ac:dyDescent="0.2">
      <c r="A715" s="104" t="str">
        <f t="shared" si="62"/>
        <v/>
      </c>
      <c r="B715" s="108" t="str">
        <f t="shared" si="63"/>
        <v/>
      </c>
      <c r="C715" s="109" t="str">
        <f t="shared" si="64"/>
        <v/>
      </c>
      <c r="D715" s="111"/>
      <c r="E715" s="106"/>
      <c r="F715" s="106" t="str">
        <f t="shared" si="65"/>
        <v/>
      </c>
      <c r="G715" s="106" t="str">
        <f t="shared" si="66"/>
        <v/>
      </c>
      <c r="H715" s="106" t="str">
        <f t="shared" si="67"/>
        <v/>
      </c>
    </row>
    <row r="716" spans="1:8" x14ac:dyDescent="0.2">
      <c r="A716" s="104" t="str">
        <f t="shared" si="62"/>
        <v/>
      </c>
      <c r="B716" s="108" t="str">
        <f t="shared" si="63"/>
        <v/>
      </c>
      <c r="C716" s="109" t="str">
        <f t="shared" si="64"/>
        <v/>
      </c>
      <c r="D716" s="111"/>
      <c r="E716" s="106"/>
      <c r="F716" s="106" t="str">
        <f t="shared" si="65"/>
        <v/>
      </c>
      <c r="G716" s="106" t="str">
        <f t="shared" si="66"/>
        <v/>
      </c>
      <c r="H716" s="106" t="str">
        <f t="shared" si="67"/>
        <v/>
      </c>
    </row>
    <row r="717" spans="1:8" x14ac:dyDescent="0.2">
      <c r="A717" s="104" t="str">
        <f t="shared" si="62"/>
        <v/>
      </c>
      <c r="B717" s="108" t="str">
        <f t="shared" si="63"/>
        <v/>
      </c>
      <c r="C717" s="109" t="str">
        <f t="shared" si="64"/>
        <v/>
      </c>
      <c r="D717" s="111"/>
      <c r="E717" s="106"/>
      <c r="F717" s="106" t="str">
        <f t="shared" si="65"/>
        <v/>
      </c>
      <c r="G717" s="106" t="str">
        <f t="shared" si="66"/>
        <v/>
      </c>
      <c r="H717" s="106" t="str">
        <f t="shared" si="67"/>
        <v/>
      </c>
    </row>
    <row r="718" spans="1:8" x14ac:dyDescent="0.2">
      <c r="A718" s="104" t="str">
        <f t="shared" si="62"/>
        <v/>
      </c>
      <c r="B718" s="108" t="str">
        <f t="shared" si="63"/>
        <v/>
      </c>
      <c r="C718" s="109" t="str">
        <f t="shared" si="64"/>
        <v/>
      </c>
      <c r="D718" s="111"/>
      <c r="E718" s="106"/>
      <c r="F718" s="106" t="str">
        <f t="shared" si="65"/>
        <v/>
      </c>
      <c r="G718" s="106" t="str">
        <f t="shared" si="66"/>
        <v/>
      </c>
      <c r="H718" s="106" t="str">
        <f t="shared" si="67"/>
        <v/>
      </c>
    </row>
    <row r="719" spans="1:8" x14ac:dyDescent="0.2">
      <c r="A719" s="104" t="str">
        <f t="shared" si="62"/>
        <v/>
      </c>
      <c r="B719" s="108" t="str">
        <f t="shared" si="63"/>
        <v/>
      </c>
      <c r="C719" s="109" t="str">
        <f t="shared" si="64"/>
        <v/>
      </c>
      <c r="D719" s="111"/>
      <c r="E719" s="106"/>
      <c r="F719" s="106" t="str">
        <f t="shared" si="65"/>
        <v/>
      </c>
      <c r="G719" s="106" t="str">
        <f t="shared" si="66"/>
        <v/>
      </c>
      <c r="H719" s="106" t="str">
        <f t="shared" si="67"/>
        <v/>
      </c>
    </row>
    <row r="720" spans="1:8" x14ac:dyDescent="0.2">
      <c r="A720" s="104" t="str">
        <f t="shared" si="62"/>
        <v/>
      </c>
      <c r="B720" s="108" t="str">
        <f t="shared" si="63"/>
        <v/>
      </c>
      <c r="C720" s="109" t="str">
        <f t="shared" si="64"/>
        <v/>
      </c>
      <c r="D720" s="111"/>
      <c r="E720" s="106"/>
      <c r="F720" s="106" t="str">
        <f t="shared" si="65"/>
        <v/>
      </c>
      <c r="G720" s="106" t="str">
        <f t="shared" si="66"/>
        <v/>
      </c>
      <c r="H720" s="106" t="str">
        <f t="shared" si="67"/>
        <v/>
      </c>
    </row>
    <row r="721" spans="1:8" x14ac:dyDescent="0.2">
      <c r="A721" s="104" t="str">
        <f t="shared" si="62"/>
        <v/>
      </c>
      <c r="B721" s="108" t="str">
        <f t="shared" si="63"/>
        <v/>
      </c>
      <c r="C721" s="109" t="str">
        <f t="shared" si="64"/>
        <v/>
      </c>
      <c r="D721" s="111"/>
      <c r="E721" s="106"/>
      <c r="F721" s="106" t="str">
        <f t="shared" si="65"/>
        <v/>
      </c>
      <c r="G721" s="106" t="str">
        <f t="shared" si="66"/>
        <v/>
      </c>
      <c r="H721" s="106" t="str">
        <f t="shared" si="67"/>
        <v/>
      </c>
    </row>
    <row r="722" spans="1:8" x14ac:dyDescent="0.2">
      <c r="A722" s="104" t="str">
        <f t="shared" si="62"/>
        <v/>
      </c>
      <c r="B722" s="108" t="str">
        <f t="shared" si="63"/>
        <v/>
      </c>
      <c r="C722" s="109" t="str">
        <f t="shared" si="64"/>
        <v/>
      </c>
      <c r="D722" s="111"/>
      <c r="E722" s="106"/>
      <c r="F722" s="106" t="str">
        <f t="shared" si="65"/>
        <v/>
      </c>
      <c r="G722" s="106" t="str">
        <f t="shared" si="66"/>
        <v/>
      </c>
      <c r="H722" s="106" t="str">
        <f t="shared" si="67"/>
        <v/>
      </c>
    </row>
    <row r="723" spans="1:8" x14ac:dyDescent="0.2">
      <c r="A723" s="104" t="str">
        <f t="shared" si="62"/>
        <v/>
      </c>
      <c r="B723" s="108" t="str">
        <f t="shared" si="63"/>
        <v/>
      </c>
      <c r="C723" s="109" t="str">
        <f t="shared" si="64"/>
        <v/>
      </c>
      <c r="D723" s="111"/>
      <c r="E723" s="106"/>
      <c r="F723" s="106" t="str">
        <f t="shared" si="65"/>
        <v/>
      </c>
      <c r="G723" s="106" t="str">
        <f t="shared" si="66"/>
        <v/>
      </c>
      <c r="H723" s="106" t="str">
        <f t="shared" si="67"/>
        <v/>
      </c>
    </row>
    <row r="724" spans="1:8" x14ac:dyDescent="0.2">
      <c r="A724" s="104" t="str">
        <f t="shared" si="62"/>
        <v/>
      </c>
      <c r="B724" s="108" t="str">
        <f t="shared" si="63"/>
        <v/>
      </c>
      <c r="C724" s="109" t="str">
        <f t="shared" si="64"/>
        <v/>
      </c>
      <c r="D724" s="111"/>
      <c r="E724" s="106"/>
      <c r="F724" s="106" t="str">
        <f t="shared" si="65"/>
        <v/>
      </c>
      <c r="G724" s="106" t="str">
        <f t="shared" si="66"/>
        <v/>
      </c>
      <c r="H724" s="106" t="str">
        <f t="shared" si="67"/>
        <v/>
      </c>
    </row>
    <row r="725" spans="1:8" x14ac:dyDescent="0.2">
      <c r="A725" s="104" t="str">
        <f t="shared" si="62"/>
        <v/>
      </c>
      <c r="B725" s="108" t="str">
        <f t="shared" si="63"/>
        <v/>
      </c>
      <c r="C725" s="109" t="str">
        <f t="shared" si="64"/>
        <v/>
      </c>
      <c r="D725" s="111"/>
      <c r="E725" s="106"/>
      <c r="F725" s="106" t="str">
        <f t="shared" si="65"/>
        <v/>
      </c>
      <c r="G725" s="106" t="str">
        <f t="shared" si="66"/>
        <v/>
      </c>
      <c r="H725" s="106" t="str">
        <f t="shared" si="67"/>
        <v/>
      </c>
    </row>
    <row r="726" spans="1:8" x14ac:dyDescent="0.2">
      <c r="A726" s="104" t="str">
        <f t="shared" si="62"/>
        <v/>
      </c>
      <c r="B726" s="108" t="str">
        <f t="shared" si="63"/>
        <v/>
      </c>
      <c r="C726" s="109" t="str">
        <f t="shared" si="64"/>
        <v/>
      </c>
      <c r="D726" s="111"/>
      <c r="E726" s="106"/>
      <c r="F726" s="106" t="str">
        <f t="shared" si="65"/>
        <v/>
      </c>
      <c r="G726" s="106" t="str">
        <f t="shared" si="66"/>
        <v/>
      </c>
      <c r="H726" s="106" t="str">
        <f t="shared" si="67"/>
        <v/>
      </c>
    </row>
    <row r="727" spans="1:8" x14ac:dyDescent="0.2">
      <c r="A727" s="104" t="str">
        <f t="shared" si="62"/>
        <v/>
      </c>
      <c r="B727" s="108" t="str">
        <f t="shared" si="63"/>
        <v/>
      </c>
      <c r="C727" s="109" t="str">
        <f t="shared" si="64"/>
        <v/>
      </c>
      <c r="D727" s="111"/>
      <c r="E727" s="106"/>
      <c r="F727" s="106" t="str">
        <f t="shared" si="65"/>
        <v/>
      </c>
      <c r="G727" s="106" t="str">
        <f t="shared" si="66"/>
        <v/>
      </c>
      <c r="H727" s="106" t="str">
        <f t="shared" si="67"/>
        <v/>
      </c>
    </row>
    <row r="728" spans="1:8" x14ac:dyDescent="0.2">
      <c r="A728" s="104" t="str">
        <f t="shared" si="62"/>
        <v/>
      </c>
      <c r="B728" s="108" t="str">
        <f t="shared" si="63"/>
        <v/>
      </c>
      <c r="C728" s="109" t="str">
        <f t="shared" si="64"/>
        <v/>
      </c>
      <c r="D728" s="111"/>
      <c r="E728" s="106"/>
      <c r="F728" s="106" t="str">
        <f t="shared" si="65"/>
        <v/>
      </c>
      <c r="G728" s="106" t="str">
        <f t="shared" si="66"/>
        <v/>
      </c>
      <c r="H728" s="106" t="str">
        <f t="shared" si="67"/>
        <v/>
      </c>
    </row>
    <row r="729" spans="1:8" x14ac:dyDescent="0.2">
      <c r="A729" s="104" t="str">
        <f t="shared" si="62"/>
        <v/>
      </c>
      <c r="B729" s="108" t="str">
        <f t="shared" si="63"/>
        <v/>
      </c>
      <c r="C729" s="109" t="str">
        <f t="shared" si="64"/>
        <v/>
      </c>
      <c r="D729" s="111"/>
      <c r="E729" s="106"/>
      <c r="F729" s="106" t="str">
        <f t="shared" si="65"/>
        <v/>
      </c>
      <c r="G729" s="106" t="str">
        <f t="shared" si="66"/>
        <v/>
      </c>
      <c r="H729" s="106" t="str">
        <f t="shared" si="67"/>
        <v/>
      </c>
    </row>
    <row r="730" spans="1:8" x14ac:dyDescent="0.2">
      <c r="A730" s="104" t="str">
        <f t="shared" si="62"/>
        <v/>
      </c>
      <c r="B730" s="108" t="str">
        <f t="shared" si="63"/>
        <v/>
      </c>
      <c r="C730" s="109" t="str">
        <f t="shared" si="64"/>
        <v/>
      </c>
      <c r="D730" s="111"/>
      <c r="E730" s="106"/>
      <c r="F730" s="106" t="str">
        <f t="shared" si="65"/>
        <v/>
      </c>
      <c r="G730" s="106" t="str">
        <f t="shared" si="66"/>
        <v/>
      </c>
      <c r="H730" s="106" t="str">
        <f t="shared" si="67"/>
        <v/>
      </c>
    </row>
    <row r="731" spans="1:8" x14ac:dyDescent="0.2">
      <c r="A731" s="104" t="str">
        <f t="shared" si="62"/>
        <v/>
      </c>
      <c r="B731" s="108" t="str">
        <f t="shared" si="63"/>
        <v/>
      </c>
      <c r="C731" s="109" t="str">
        <f t="shared" si="64"/>
        <v/>
      </c>
      <c r="D731" s="111"/>
      <c r="E731" s="106"/>
      <c r="F731" s="106" t="str">
        <f t="shared" si="65"/>
        <v/>
      </c>
      <c r="G731" s="106" t="str">
        <f t="shared" si="66"/>
        <v/>
      </c>
      <c r="H731" s="106" t="str">
        <f t="shared" si="67"/>
        <v/>
      </c>
    </row>
    <row r="732" spans="1:8" x14ac:dyDescent="0.2">
      <c r="A732" s="104" t="str">
        <f t="shared" si="62"/>
        <v/>
      </c>
      <c r="B732" s="108" t="str">
        <f t="shared" si="63"/>
        <v/>
      </c>
      <c r="C732" s="109" t="str">
        <f t="shared" si="64"/>
        <v/>
      </c>
      <c r="D732" s="111"/>
      <c r="E732" s="106"/>
      <c r="F732" s="106" t="str">
        <f t="shared" si="65"/>
        <v/>
      </c>
      <c r="G732" s="106" t="str">
        <f t="shared" si="66"/>
        <v/>
      </c>
      <c r="H732" s="106" t="str">
        <f t="shared" si="67"/>
        <v/>
      </c>
    </row>
    <row r="733" spans="1:8" x14ac:dyDescent="0.2">
      <c r="A733" s="104" t="str">
        <f t="shared" si="62"/>
        <v/>
      </c>
      <c r="B733" s="108" t="str">
        <f t="shared" si="63"/>
        <v/>
      </c>
      <c r="C733" s="109" t="str">
        <f t="shared" si="64"/>
        <v/>
      </c>
      <c r="D733" s="111"/>
      <c r="E733" s="106"/>
      <c r="F733" s="106" t="str">
        <f t="shared" si="65"/>
        <v/>
      </c>
      <c r="G733" s="106" t="str">
        <f t="shared" si="66"/>
        <v/>
      </c>
      <c r="H733" s="106" t="str">
        <f t="shared" si="67"/>
        <v/>
      </c>
    </row>
    <row r="734" spans="1:8" x14ac:dyDescent="0.2">
      <c r="A734" s="104" t="str">
        <f t="shared" si="62"/>
        <v/>
      </c>
      <c r="B734" s="108" t="str">
        <f t="shared" si="63"/>
        <v/>
      </c>
      <c r="C734" s="109" t="str">
        <f t="shared" si="64"/>
        <v/>
      </c>
      <c r="D734" s="111"/>
      <c r="E734" s="106"/>
      <c r="F734" s="106" t="str">
        <f t="shared" si="65"/>
        <v/>
      </c>
      <c r="G734" s="106" t="str">
        <f t="shared" si="66"/>
        <v/>
      </c>
      <c r="H734" s="106" t="str">
        <f t="shared" si="67"/>
        <v/>
      </c>
    </row>
    <row r="735" spans="1:8" x14ac:dyDescent="0.2">
      <c r="A735" s="104" t="str">
        <f t="shared" si="62"/>
        <v/>
      </c>
      <c r="B735" s="108" t="str">
        <f t="shared" si="63"/>
        <v/>
      </c>
      <c r="C735" s="109" t="str">
        <f t="shared" si="64"/>
        <v/>
      </c>
      <c r="D735" s="111"/>
      <c r="E735" s="106"/>
      <c r="F735" s="106" t="str">
        <f t="shared" si="65"/>
        <v/>
      </c>
      <c r="G735" s="106" t="str">
        <f t="shared" si="66"/>
        <v/>
      </c>
      <c r="H735" s="106" t="str">
        <f t="shared" si="67"/>
        <v/>
      </c>
    </row>
    <row r="736" spans="1:8" x14ac:dyDescent="0.2">
      <c r="A736" s="104" t="str">
        <f t="shared" si="62"/>
        <v/>
      </c>
      <c r="B736" s="108" t="str">
        <f t="shared" si="63"/>
        <v/>
      </c>
      <c r="C736" s="109" t="str">
        <f t="shared" si="64"/>
        <v/>
      </c>
      <c r="D736" s="111"/>
      <c r="E736" s="106"/>
      <c r="F736" s="106" t="str">
        <f t="shared" si="65"/>
        <v/>
      </c>
      <c r="G736" s="106" t="str">
        <f t="shared" si="66"/>
        <v/>
      </c>
      <c r="H736" s="106" t="str">
        <f t="shared" si="67"/>
        <v/>
      </c>
    </row>
    <row r="737" spans="1:8" x14ac:dyDescent="0.2">
      <c r="A737" s="104" t="str">
        <f t="shared" si="62"/>
        <v/>
      </c>
      <c r="B737" s="108" t="str">
        <f t="shared" si="63"/>
        <v/>
      </c>
      <c r="C737" s="109" t="str">
        <f t="shared" si="64"/>
        <v/>
      </c>
      <c r="D737" s="111"/>
      <c r="E737" s="106"/>
      <c r="F737" s="106" t="str">
        <f t="shared" si="65"/>
        <v/>
      </c>
      <c r="G737" s="106" t="str">
        <f t="shared" si="66"/>
        <v/>
      </c>
      <c r="H737" s="106" t="str">
        <f t="shared" si="67"/>
        <v/>
      </c>
    </row>
    <row r="738" spans="1:8" x14ac:dyDescent="0.2">
      <c r="A738" s="104" t="str">
        <f t="shared" si="62"/>
        <v/>
      </c>
      <c r="B738" s="108" t="str">
        <f t="shared" si="63"/>
        <v/>
      </c>
      <c r="C738" s="109" t="str">
        <f t="shared" si="64"/>
        <v/>
      </c>
      <c r="D738" s="111"/>
      <c r="E738" s="106"/>
      <c r="F738" s="106" t="str">
        <f t="shared" si="65"/>
        <v/>
      </c>
      <c r="G738" s="106" t="str">
        <f t="shared" si="66"/>
        <v/>
      </c>
      <c r="H738" s="106" t="str">
        <f t="shared" si="67"/>
        <v/>
      </c>
    </row>
    <row r="739" spans="1:8" x14ac:dyDescent="0.2">
      <c r="A739" s="104" t="str">
        <f t="shared" si="62"/>
        <v/>
      </c>
      <c r="B739" s="108" t="str">
        <f t="shared" si="63"/>
        <v/>
      </c>
      <c r="C739" s="109" t="str">
        <f t="shared" si="64"/>
        <v/>
      </c>
      <c r="D739" s="111"/>
      <c r="E739" s="106"/>
      <c r="F739" s="106" t="str">
        <f t="shared" si="65"/>
        <v/>
      </c>
      <c r="G739" s="106" t="str">
        <f t="shared" si="66"/>
        <v/>
      </c>
      <c r="H739" s="106" t="str">
        <f t="shared" si="67"/>
        <v/>
      </c>
    </row>
    <row r="740" spans="1:8" x14ac:dyDescent="0.2">
      <c r="A740" s="104" t="str">
        <f t="shared" si="62"/>
        <v/>
      </c>
      <c r="B740" s="108" t="str">
        <f t="shared" si="63"/>
        <v/>
      </c>
      <c r="C740" s="109" t="str">
        <f t="shared" si="64"/>
        <v/>
      </c>
      <c r="D740" s="111"/>
      <c r="E740" s="106"/>
      <c r="F740" s="106" t="str">
        <f t="shared" si="65"/>
        <v/>
      </c>
      <c r="G740" s="106" t="str">
        <f t="shared" si="66"/>
        <v/>
      </c>
      <c r="H740" s="106" t="str">
        <f t="shared" si="67"/>
        <v/>
      </c>
    </row>
    <row r="741" spans="1:8" x14ac:dyDescent="0.2">
      <c r="A741" s="104" t="str">
        <f t="shared" si="62"/>
        <v/>
      </c>
      <c r="B741" s="108" t="str">
        <f t="shared" si="63"/>
        <v/>
      </c>
      <c r="C741" s="109" t="str">
        <f t="shared" si="64"/>
        <v/>
      </c>
      <c r="D741" s="111"/>
      <c r="E741" s="106"/>
      <c r="F741" s="106" t="str">
        <f t="shared" si="65"/>
        <v/>
      </c>
      <c r="G741" s="106" t="str">
        <f t="shared" si="66"/>
        <v/>
      </c>
      <c r="H741" s="106" t="str">
        <f t="shared" si="67"/>
        <v/>
      </c>
    </row>
    <row r="742" spans="1:8" x14ac:dyDescent="0.2">
      <c r="A742" s="104" t="str">
        <f t="shared" si="62"/>
        <v/>
      </c>
      <c r="B742" s="108" t="str">
        <f t="shared" si="63"/>
        <v/>
      </c>
      <c r="C742" s="109" t="str">
        <f t="shared" si="64"/>
        <v/>
      </c>
      <c r="D742" s="111"/>
      <c r="E742" s="106"/>
      <c r="F742" s="106" t="str">
        <f t="shared" si="65"/>
        <v/>
      </c>
      <c r="G742" s="106" t="str">
        <f t="shared" si="66"/>
        <v/>
      </c>
      <c r="H742" s="106" t="str">
        <f t="shared" si="67"/>
        <v/>
      </c>
    </row>
    <row r="743" spans="1:8" x14ac:dyDescent="0.2">
      <c r="A743" s="104" t="str">
        <f t="shared" si="62"/>
        <v/>
      </c>
      <c r="B743" s="108" t="str">
        <f t="shared" si="63"/>
        <v/>
      </c>
      <c r="C743" s="109" t="str">
        <f t="shared" si="64"/>
        <v/>
      </c>
      <c r="D743" s="111"/>
      <c r="E743" s="106"/>
      <c r="F743" s="106" t="str">
        <f t="shared" si="65"/>
        <v/>
      </c>
      <c r="G743" s="106" t="str">
        <f t="shared" si="66"/>
        <v/>
      </c>
      <c r="H743" s="106" t="str">
        <f t="shared" si="67"/>
        <v/>
      </c>
    </row>
    <row r="744" spans="1:8" x14ac:dyDescent="0.2">
      <c r="A744" s="104" t="str">
        <f t="shared" si="62"/>
        <v/>
      </c>
      <c r="B744" s="108" t="str">
        <f t="shared" si="63"/>
        <v/>
      </c>
      <c r="C744" s="109" t="str">
        <f t="shared" si="64"/>
        <v/>
      </c>
      <c r="D744" s="111"/>
      <c r="E744" s="106"/>
      <c r="F744" s="106" t="str">
        <f t="shared" si="65"/>
        <v/>
      </c>
      <c r="G744" s="106" t="str">
        <f t="shared" si="66"/>
        <v/>
      </c>
      <c r="H744" s="106" t="str">
        <f t="shared" si="67"/>
        <v/>
      </c>
    </row>
    <row r="745" spans="1:8" x14ac:dyDescent="0.2">
      <c r="A745" s="104" t="str">
        <f t="shared" si="62"/>
        <v/>
      </c>
      <c r="B745" s="108" t="str">
        <f t="shared" si="63"/>
        <v/>
      </c>
      <c r="C745" s="109" t="str">
        <f t="shared" si="64"/>
        <v/>
      </c>
      <c r="D745" s="111"/>
      <c r="E745" s="106"/>
      <c r="F745" s="106" t="str">
        <f t="shared" si="65"/>
        <v/>
      </c>
      <c r="G745" s="106" t="str">
        <f t="shared" si="66"/>
        <v/>
      </c>
      <c r="H745" s="106" t="str">
        <f t="shared" si="67"/>
        <v/>
      </c>
    </row>
    <row r="746" spans="1:8" x14ac:dyDescent="0.2">
      <c r="A746" s="104" t="str">
        <f t="shared" si="62"/>
        <v/>
      </c>
      <c r="B746" s="108" t="str">
        <f t="shared" si="63"/>
        <v/>
      </c>
      <c r="C746" s="109" t="str">
        <f t="shared" si="64"/>
        <v/>
      </c>
      <c r="D746" s="111"/>
      <c r="E746" s="106"/>
      <c r="F746" s="106" t="str">
        <f t="shared" si="65"/>
        <v/>
      </c>
      <c r="G746" s="106" t="str">
        <f t="shared" si="66"/>
        <v/>
      </c>
      <c r="H746" s="106" t="str">
        <f t="shared" si="67"/>
        <v/>
      </c>
    </row>
    <row r="747" spans="1:8" x14ac:dyDescent="0.2">
      <c r="A747" s="104" t="str">
        <f t="shared" si="62"/>
        <v/>
      </c>
      <c r="B747" s="108" t="str">
        <f t="shared" si="63"/>
        <v/>
      </c>
      <c r="C747" s="109" t="str">
        <f t="shared" si="64"/>
        <v/>
      </c>
      <c r="D747" s="111"/>
      <c r="E747" s="106"/>
      <c r="F747" s="106" t="str">
        <f t="shared" si="65"/>
        <v/>
      </c>
      <c r="G747" s="106" t="str">
        <f t="shared" si="66"/>
        <v/>
      </c>
      <c r="H747" s="106" t="str">
        <f t="shared" si="67"/>
        <v/>
      </c>
    </row>
    <row r="748" spans="1:8" x14ac:dyDescent="0.2">
      <c r="A748" s="104" t="str">
        <f t="shared" si="62"/>
        <v/>
      </c>
      <c r="B748" s="108" t="str">
        <f t="shared" si="63"/>
        <v/>
      </c>
      <c r="C748" s="109" t="str">
        <f t="shared" si="64"/>
        <v/>
      </c>
      <c r="D748" s="111"/>
      <c r="E748" s="106"/>
      <c r="F748" s="106" t="str">
        <f t="shared" si="65"/>
        <v/>
      </c>
      <c r="G748" s="106" t="str">
        <f t="shared" si="66"/>
        <v/>
      </c>
      <c r="H748" s="106" t="str">
        <f t="shared" si="67"/>
        <v/>
      </c>
    </row>
    <row r="749" spans="1:8" x14ac:dyDescent="0.2">
      <c r="A749" s="104" t="str">
        <f t="shared" si="62"/>
        <v/>
      </c>
      <c r="B749" s="108" t="str">
        <f t="shared" si="63"/>
        <v/>
      </c>
      <c r="C749" s="109" t="str">
        <f t="shared" si="64"/>
        <v/>
      </c>
      <c r="D749" s="111"/>
      <c r="E749" s="106"/>
      <c r="F749" s="106" t="str">
        <f t="shared" si="65"/>
        <v/>
      </c>
      <c r="G749" s="106" t="str">
        <f t="shared" si="66"/>
        <v/>
      </c>
      <c r="H749" s="106" t="str">
        <f t="shared" si="67"/>
        <v/>
      </c>
    </row>
    <row r="750" spans="1:8" x14ac:dyDescent="0.2">
      <c r="A750" s="104" t="str">
        <f t="shared" si="62"/>
        <v/>
      </c>
      <c r="B750" s="108" t="str">
        <f t="shared" si="63"/>
        <v/>
      </c>
      <c r="C750" s="109" t="str">
        <f t="shared" si="64"/>
        <v/>
      </c>
      <c r="D750" s="111"/>
      <c r="E750" s="106"/>
      <c r="F750" s="106" t="str">
        <f t="shared" si="65"/>
        <v/>
      </c>
      <c r="G750" s="106" t="str">
        <f t="shared" si="66"/>
        <v/>
      </c>
      <c r="H750" s="106" t="str">
        <f t="shared" si="67"/>
        <v/>
      </c>
    </row>
    <row r="751" spans="1:8" x14ac:dyDescent="0.2">
      <c r="A751" s="104" t="str">
        <f t="shared" si="62"/>
        <v/>
      </c>
      <c r="B751" s="108" t="str">
        <f t="shared" si="63"/>
        <v/>
      </c>
      <c r="C751" s="109" t="str">
        <f t="shared" si="64"/>
        <v/>
      </c>
      <c r="D751" s="111"/>
      <c r="E751" s="106"/>
      <c r="F751" s="106" t="str">
        <f t="shared" si="65"/>
        <v/>
      </c>
      <c r="G751" s="106" t="str">
        <f t="shared" si="66"/>
        <v/>
      </c>
      <c r="H751" s="106" t="str">
        <f t="shared" si="67"/>
        <v/>
      </c>
    </row>
    <row r="752" spans="1:8" x14ac:dyDescent="0.2">
      <c r="A752" s="104" t="str">
        <f t="shared" si="62"/>
        <v/>
      </c>
      <c r="B752" s="108" t="str">
        <f t="shared" si="63"/>
        <v/>
      </c>
      <c r="C752" s="109" t="str">
        <f t="shared" si="64"/>
        <v/>
      </c>
      <c r="D752" s="111"/>
      <c r="E752" s="106"/>
      <c r="F752" s="106" t="str">
        <f t="shared" si="65"/>
        <v/>
      </c>
      <c r="G752" s="106" t="str">
        <f t="shared" si="66"/>
        <v/>
      </c>
      <c r="H752" s="106" t="str">
        <f t="shared" si="67"/>
        <v/>
      </c>
    </row>
    <row r="753" spans="1:8" x14ac:dyDescent="0.2">
      <c r="A753" s="104" t="str">
        <f t="shared" si="62"/>
        <v/>
      </c>
      <c r="B753" s="108" t="str">
        <f t="shared" si="63"/>
        <v/>
      </c>
      <c r="C753" s="109" t="str">
        <f t="shared" si="64"/>
        <v/>
      </c>
      <c r="D753" s="111"/>
      <c r="E753" s="106"/>
      <c r="F753" s="106" t="str">
        <f t="shared" si="65"/>
        <v/>
      </c>
      <c r="G753" s="106" t="str">
        <f t="shared" si="66"/>
        <v/>
      </c>
      <c r="H753" s="106" t="str">
        <f t="shared" si="67"/>
        <v/>
      </c>
    </row>
    <row r="754" spans="1:8" x14ac:dyDescent="0.2">
      <c r="A754" s="104" t="str">
        <f t="shared" si="62"/>
        <v/>
      </c>
      <c r="B754" s="108" t="str">
        <f t="shared" si="63"/>
        <v/>
      </c>
      <c r="C754" s="109" t="str">
        <f t="shared" si="64"/>
        <v/>
      </c>
      <c r="D754" s="111"/>
      <c r="E754" s="106"/>
      <c r="F754" s="106" t="str">
        <f t="shared" si="65"/>
        <v/>
      </c>
      <c r="G754" s="106" t="str">
        <f t="shared" si="66"/>
        <v/>
      </c>
      <c r="H754" s="106" t="str">
        <f t="shared" si="67"/>
        <v/>
      </c>
    </row>
    <row r="755" spans="1:8" x14ac:dyDescent="0.2">
      <c r="A755" s="104" t="str">
        <f t="shared" si="62"/>
        <v/>
      </c>
      <c r="B755" s="108" t="str">
        <f t="shared" si="63"/>
        <v/>
      </c>
      <c r="C755" s="109" t="str">
        <f t="shared" si="64"/>
        <v/>
      </c>
      <c r="D755" s="111"/>
      <c r="E755" s="106"/>
      <c r="F755" s="106" t="str">
        <f t="shared" si="65"/>
        <v/>
      </c>
      <c r="G755" s="106" t="str">
        <f t="shared" si="66"/>
        <v/>
      </c>
      <c r="H755" s="106" t="str">
        <f t="shared" si="67"/>
        <v/>
      </c>
    </row>
    <row r="756" spans="1:8" x14ac:dyDescent="0.2">
      <c r="A756" s="104" t="str">
        <f t="shared" si="62"/>
        <v/>
      </c>
      <c r="B756" s="108" t="str">
        <f t="shared" si="63"/>
        <v/>
      </c>
      <c r="C756" s="109" t="str">
        <f t="shared" si="64"/>
        <v/>
      </c>
      <c r="D756" s="111"/>
      <c r="E756" s="106"/>
      <c r="F756" s="106" t="str">
        <f t="shared" si="65"/>
        <v/>
      </c>
      <c r="G756" s="106" t="str">
        <f t="shared" si="66"/>
        <v/>
      </c>
      <c r="H756" s="106" t="str">
        <f t="shared" si="67"/>
        <v/>
      </c>
    </row>
    <row r="757" spans="1:8" x14ac:dyDescent="0.2">
      <c r="A757" s="104" t="str">
        <f t="shared" si="62"/>
        <v/>
      </c>
      <c r="B757" s="108" t="str">
        <f t="shared" si="63"/>
        <v/>
      </c>
      <c r="C757" s="109" t="str">
        <f t="shared" si="64"/>
        <v/>
      </c>
      <c r="D757" s="111"/>
      <c r="E757" s="106"/>
      <c r="F757" s="106" t="str">
        <f t="shared" si="65"/>
        <v/>
      </c>
      <c r="G757" s="106" t="str">
        <f t="shared" si="66"/>
        <v/>
      </c>
      <c r="H757" s="106" t="str">
        <f t="shared" si="67"/>
        <v/>
      </c>
    </row>
    <row r="758" spans="1:8" x14ac:dyDescent="0.2">
      <c r="A758" s="104" t="str">
        <f t="shared" si="62"/>
        <v/>
      </c>
      <c r="B758" s="108" t="str">
        <f t="shared" si="63"/>
        <v/>
      </c>
      <c r="C758" s="109" t="str">
        <f t="shared" si="64"/>
        <v/>
      </c>
      <c r="D758" s="111"/>
      <c r="E758" s="106"/>
      <c r="F758" s="106" t="str">
        <f t="shared" si="65"/>
        <v/>
      </c>
      <c r="G758" s="106" t="str">
        <f t="shared" si="66"/>
        <v/>
      </c>
      <c r="H758" s="106" t="str">
        <f t="shared" si="67"/>
        <v/>
      </c>
    </row>
    <row r="759" spans="1:8" x14ac:dyDescent="0.2">
      <c r="A759" s="104" t="str">
        <f t="shared" si="62"/>
        <v/>
      </c>
      <c r="B759" s="108" t="str">
        <f t="shared" si="63"/>
        <v/>
      </c>
      <c r="C759" s="109" t="str">
        <f t="shared" si="64"/>
        <v/>
      </c>
      <c r="D759" s="111"/>
      <c r="E759" s="106"/>
      <c r="F759" s="106" t="str">
        <f t="shared" si="65"/>
        <v/>
      </c>
      <c r="G759" s="106" t="str">
        <f t="shared" si="66"/>
        <v/>
      </c>
      <c r="H759" s="106" t="str">
        <f t="shared" si="67"/>
        <v/>
      </c>
    </row>
    <row r="760" spans="1:8" x14ac:dyDescent="0.2">
      <c r="A760" s="104" t="str">
        <f t="shared" si="62"/>
        <v/>
      </c>
      <c r="B760" s="108" t="str">
        <f t="shared" si="63"/>
        <v/>
      </c>
      <c r="C760" s="109" t="str">
        <f t="shared" si="64"/>
        <v/>
      </c>
      <c r="D760" s="111"/>
      <c r="E760" s="106"/>
      <c r="F760" s="106" t="str">
        <f t="shared" si="65"/>
        <v/>
      </c>
      <c r="G760" s="106" t="str">
        <f t="shared" si="66"/>
        <v/>
      </c>
      <c r="H760" s="106" t="str">
        <f t="shared" si="67"/>
        <v/>
      </c>
    </row>
    <row r="761" spans="1:8" x14ac:dyDescent="0.2">
      <c r="A761" s="104" t="str">
        <f t="shared" si="62"/>
        <v/>
      </c>
      <c r="B761" s="108" t="str">
        <f t="shared" si="63"/>
        <v/>
      </c>
      <c r="C761" s="109" t="str">
        <f t="shared" si="64"/>
        <v/>
      </c>
      <c r="D761" s="111"/>
      <c r="E761" s="106"/>
      <c r="F761" s="106" t="str">
        <f t="shared" si="65"/>
        <v/>
      </c>
      <c r="G761" s="106" t="str">
        <f t="shared" si="66"/>
        <v/>
      </c>
      <c r="H761" s="106" t="str">
        <f t="shared" si="67"/>
        <v/>
      </c>
    </row>
    <row r="762" spans="1:8" x14ac:dyDescent="0.2">
      <c r="A762" s="104" t="str">
        <f t="shared" si="62"/>
        <v/>
      </c>
      <c r="B762" s="108" t="str">
        <f t="shared" si="63"/>
        <v/>
      </c>
      <c r="C762" s="109" t="str">
        <f t="shared" si="64"/>
        <v/>
      </c>
      <c r="D762" s="111"/>
      <c r="E762" s="106"/>
      <c r="F762" s="106" t="str">
        <f t="shared" si="65"/>
        <v/>
      </c>
      <c r="G762" s="106" t="str">
        <f t="shared" si="66"/>
        <v/>
      </c>
      <c r="H762" s="106" t="str">
        <f t="shared" si="67"/>
        <v/>
      </c>
    </row>
    <row r="763" spans="1:8" x14ac:dyDescent="0.2">
      <c r="A763" s="104" t="str">
        <f t="shared" si="62"/>
        <v/>
      </c>
      <c r="B763" s="108" t="str">
        <f t="shared" si="63"/>
        <v/>
      </c>
      <c r="C763" s="109" t="str">
        <f t="shared" si="64"/>
        <v/>
      </c>
      <c r="D763" s="111"/>
      <c r="E763" s="106"/>
      <c r="F763" s="106" t="str">
        <f t="shared" si="65"/>
        <v/>
      </c>
      <c r="G763" s="106" t="str">
        <f t="shared" si="66"/>
        <v/>
      </c>
      <c r="H763" s="106" t="str">
        <f t="shared" si="67"/>
        <v/>
      </c>
    </row>
    <row r="764" spans="1:8" x14ac:dyDescent="0.2">
      <c r="A764" s="104" t="str">
        <f t="shared" si="62"/>
        <v/>
      </c>
      <c r="B764" s="108" t="str">
        <f t="shared" si="63"/>
        <v/>
      </c>
      <c r="C764" s="109" t="str">
        <f t="shared" si="64"/>
        <v/>
      </c>
      <c r="D764" s="111"/>
      <c r="E764" s="106"/>
      <c r="F764" s="106" t="str">
        <f t="shared" si="65"/>
        <v/>
      </c>
      <c r="G764" s="106" t="str">
        <f t="shared" si="66"/>
        <v/>
      </c>
      <c r="H764" s="106" t="str">
        <f t="shared" si="67"/>
        <v/>
      </c>
    </row>
    <row r="765" spans="1:8" x14ac:dyDescent="0.2">
      <c r="A765" s="104" t="str">
        <f t="shared" si="62"/>
        <v/>
      </c>
      <c r="B765" s="108" t="str">
        <f t="shared" si="63"/>
        <v/>
      </c>
      <c r="C765" s="109" t="str">
        <f t="shared" si="64"/>
        <v/>
      </c>
      <c r="D765" s="111"/>
      <c r="E765" s="106"/>
      <c r="F765" s="106" t="str">
        <f t="shared" si="65"/>
        <v/>
      </c>
      <c r="G765" s="106" t="str">
        <f t="shared" si="66"/>
        <v/>
      </c>
      <c r="H765" s="106" t="str">
        <f t="shared" si="67"/>
        <v/>
      </c>
    </row>
    <row r="766" spans="1:8" x14ac:dyDescent="0.2">
      <c r="A766" s="104" t="str">
        <f t="shared" si="62"/>
        <v/>
      </c>
      <c r="B766" s="108" t="str">
        <f t="shared" si="63"/>
        <v/>
      </c>
      <c r="C766" s="109" t="str">
        <f t="shared" si="64"/>
        <v/>
      </c>
      <c r="D766" s="111"/>
      <c r="E766" s="106"/>
      <c r="F766" s="106" t="str">
        <f t="shared" si="65"/>
        <v/>
      </c>
      <c r="G766" s="106" t="str">
        <f t="shared" si="66"/>
        <v/>
      </c>
      <c r="H766" s="106" t="str">
        <f t="shared" si="67"/>
        <v/>
      </c>
    </row>
    <row r="767" spans="1:8" x14ac:dyDescent="0.2">
      <c r="A767" s="104" t="str">
        <f t="shared" ref="A767:A830" si="68">IF(H766="","",IF(roundOpt,IF(OR(A766&gt;=nper,ROUND(H766,2)&lt;=0),"",A766+1),IF(OR(A766&gt;=nper,H766&lt;=0),"",A766+1)))</f>
        <v/>
      </c>
      <c r="B767" s="108" t="str">
        <f t="shared" ref="B767:B830" si="69">IF(A767="","",IF(periods_per_year=26,IF(A767=1,fpdate,B766+14),IF(periods_per_year=52,IF(A767=1,fpdate,B766+7),IF(periods_per_year=24,IF(A767=1,fpdate,IF(fpdate=EOMONTH(fpdate,0),IF(ISODD(A767),EOMONTH(EDATE(fpdate,(A767-1)/2),0),EDATE(DATE(YEAR(fpdate),MONTH(fpdate)+1,15),(A767-1)/2)),IF(DAY(fpdate)=15,IF(ISODD(A767),EDATE(fpdate,(A767-1)/2),EOMONTH(EDATE(fpdate,(A767-1)/2),0)),IF(DAY(fpdate)&lt;=14,IF(ISODD(A767),EDATE(fpdate,(A767-1)/2),EDATE(MIN(fpdate+15,EOMONTH(fpdate,0)),(A767-1)/2)),EDATE(IF(ISODD(A767),fpdate,fpdate-15),A767/2))))),IF(A767=1,fpdate,EDATE(fpdate,months_per_period*(A767-1)))))))</f>
        <v/>
      </c>
      <c r="C767" s="109" t="str">
        <f t="shared" ref="C767:C830" si="70">IF(A767="","",IF(roundOpt,IF(OR(A767=nper,payment&gt;ROUND((1+rate)*H766,2)),ROUND((1+rate)*H766,2),payment),IF(OR(A767=nper,payment&gt;(1+rate)*H766),(1+rate)*H766,payment)))</f>
        <v/>
      </c>
      <c r="D767" s="111"/>
      <c r="E767" s="106"/>
      <c r="F767" s="106" t="str">
        <f t="shared" ref="F767:F830" si="71">IF(A767="","",IF(AND(A767=1,pmtType=1),0,IF(roundOpt,ROUND(rate*H766,2),rate*H766)))</f>
        <v/>
      </c>
      <c r="G767" s="106" t="str">
        <f t="shared" ref="G767:G830" si="72">IF(A767="","",C767-F767+D767)</f>
        <v/>
      </c>
      <c r="H767" s="106" t="str">
        <f t="shared" ref="H767:H830" si="73">IF(A767="","",H766-G767)</f>
        <v/>
      </c>
    </row>
    <row r="768" spans="1:8" x14ac:dyDescent="0.2">
      <c r="A768" s="104" t="str">
        <f t="shared" si="68"/>
        <v/>
      </c>
      <c r="B768" s="108" t="str">
        <f t="shared" si="69"/>
        <v/>
      </c>
      <c r="C768" s="109" t="str">
        <f t="shared" si="70"/>
        <v/>
      </c>
      <c r="D768" s="111"/>
      <c r="E768" s="106"/>
      <c r="F768" s="106" t="str">
        <f t="shared" si="71"/>
        <v/>
      </c>
      <c r="G768" s="106" t="str">
        <f t="shared" si="72"/>
        <v/>
      </c>
      <c r="H768" s="106" t="str">
        <f t="shared" si="73"/>
        <v/>
      </c>
    </row>
    <row r="769" spans="1:8" x14ac:dyDescent="0.2">
      <c r="A769" s="104" t="str">
        <f t="shared" si="68"/>
        <v/>
      </c>
      <c r="B769" s="108" t="str">
        <f t="shared" si="69"/>
        <v/>
      </c>
      <c r="C769" s="109" t="str">
        <f t="shared" si="70"/>
        <v/>
      </c>
      <c r="D769" s="111"/>
      <c r="E769" s="106"/>
      <c r="F769" s="106" t="str">
        <f t="shared" si="71"/>
        <v/>
      </c>
      <c r="G769" s="106" t="str">
        <f t="shared" si="72"/>
        <v/>
      </c>
      <c r="H769" s="106" t="str">
        <f t="shared" si="73"/>
        <v/>
      </c>
    </row>
    <row r="770" spans="1:8" x14ac:dyDescent="0.2">
      <c r="A770" s="104" t="str">
        <f t="shared" si="68"/>
        <v/>
      </c>
      <c r="B770" s="108" t="str">
        <f t="shared" si="69"/>
        <v/>
      </c>
      <c r="C770" s="109" t="str">
        <f t="shared" si="70"/>
        <v/>
      </c>
      <c r="D770" s="111"/>
      <c r="E770" s="106"/>
      <c r="F770" s="106" t="str">
        <f t="shared" si="71"/>
        <v/>
      </c>
      <c r="G770" s="106" t="str">
        <f t="shared" si="72"/>
        <v/>
      </c>
      <c r="H770" s="106" t="str">
        <f t="shared" si="73"/>
        <v/>
      </c>
    </row>
    <row r="771" spans="1:8" x14ac:dyDescent="0.2">
      <c r="A771" s="104" t="str">
        <f t="shared" si="68"/>
        <v/>
      </c>
      <c r="B771" s="108" t="str">
        <f t="shared" si="69"/>
        <v/>
      </c>
      <c r="C771" s="109" t="str">
        <f t="shared" si="70"/>
        <v/>
      </c>
      <c r="D771" s="111"/>
      <c r="E771" s="106"/>
      <c r="F771" s="106" t="str">
        <f t="shared" si="71"/>
        <v/>
      </c>
      <c r="G771" s="106" t="str">
        <f t="shared" si="72"/>
        <v/>
      </c>
      <c r="H771" s="106" t="str">
        <f t="shared" si="73"/>
        <v/>
      </c>
    </row>
    <row r="772" spans="1:8" x14ac:dyDescent="0.2">
      <c r="A772" s="104" t="str">
        <f t="shared" si="68"/>
        <v/>
      </c>
      <c r="B772" s="108" t="str">
        <f t="shared" si="69"/>
        <v/>
      </c>
      <c r="C772" s="109" t="str">
        <f t="shared" si="70"/>
        <v/>
      </c>
      <c r="D772" s="111"/>
      <c r="E772" s="106"/>
      <c r="F772" s="106" t="str">
        <f t="shared" si="71"/>
        <v/>
      </c>
      <c r="G772" s="106" t="str">
        <f t="shared" si="72"/>
        <v/>
      </c>
      <c r="H772" s="106" t="str">
        <f t="shared" si="73"/>
        <v/>
      </c>
    </row>
    <row r="773" spans="1:8" x14ac:dyDescent="0.2">
      <c r="A773" s="104" t="str">
        <f t="shared" si="68"/>
        <v/>
      </c>
      <c r="B773" s="108" t="str">
        <f t="shared" si="69"/>
        <v/>
      </c>
      <c r="C773" s="109" t="str">
        <f t="shared" si="70"/>
        <v/>
      </c>
      <c r="D773" s="111"/>
      <c r="E773" s="106"/>
      <c r="F773" s="106" t="str">
        <f t="shared" si="71"/>
        <v/>
      </c>
      <c r="G773" s="106" t="str">
        <f t="shared" si="72"/>
        <v/>
      </c>
      <c r="H773" s="106" t="str">
        <f t="shared" si="73"/>
        <v/>
      </c>
    </row>
    <row r="774" spans="1:8" x14ac:dyDescent="0.2">
      <c r="A774" s="104" t="str">
        <f t="shared" si="68"/>
        <v/>
      </c>
      <c r="B774" s="108" t="str">
        <f t="shared" si="69"/>
        <v/>
      </c>
      <c r="C774" s="109" t="str">
        <f t="shared" si="70"/>
        <v/>
      </c>
      <c r="D774" s="111"/>
      <c r="E774" s="106"/>
      <c r="F774" s="106" t="str">
        <f t="shared" si="71"/>
        <v/>
      </c>
      <c r="G774" s="106" t="str">
        <f t="shared" si="72"/>
        <v/>
      </c>
      <c r="H774" s="106" t="str">
        <f t="shared" si="73"/>
        <v/>
      </c>
    </row>
    <row r="775" spans="1:8" x14ac:dyDescent="0.2">
      <c r="A775" s="104" t="str">
        <f t="shared" si="68"/>
        <v/>
      </c>
      <c r="B775" s="108" t="str">
        <f t="shared" si="69"/>
        <v/>
      </c>
      <c r="C775" s="109" t="str">
        <f t="shared" si="70"/>
        <v/>
      </c>
      <c r="D775" s="111"/>
      <c r="E775" s="106"/>
      <c r="F775" s="106" t="str">
        <f t="shared" si="71"/>
        <v/>
      </c>
      <c r="G775" s="106" t="str">
        <f t="shared" si="72"/>
        <v/>
      </c>
      <c r="H775" s="106" t="str">
        <f t="shared" si="73"/>
        <v/>
      </c>
    </row>
    <row r="776" spans="1:8" x14ac:dyDescent="0.2">
      <c r="A776" s="104" t="str">
        <f t="shared" si="68"/>
        <v/>
      </c>
      <c r="B776" s="108" t="str">
        <f t="shared" si="69"/>
        <v/>
      </c>
      <c r="C776" s="109" t="str">
        <f t="shared" si="70"/>
        <v/>
      </c>
      <c r="D776" s="111"/>
      <c r="E776" s="106"/>
      <c r="F776" s="106" t="str">
        <f t="shared" si="71"/>
        <v/>
      </c>
      <c r="G776" s="106" t="str">
        <f t="shared" si="72"/>
        <v/>
      </c>
      <c r="H776" s="106" t="str">
        <f t="shared" si="73"/>
        <v/>
      </c>
    </row>
    <row r="777" spans="1:8" x14ac:dyDescent="0.2">
      <c r="A777" s="104" t="str">
        <f t="shared" si="68"/>
        <v/>
      </c>
      <c r="B777" s="108" t="str">
        <f t="shared" si="69"/>
        <v/>
      </c>
      <c r="C777" s="109" t="str">
        <f t="shared" si="70"/>
        <v/>
      </c>
      <c r="D777" s="111"/>
      <c r="E777" s="106"/>
      <c r="F777" s="106" t="str">
        <f t="shared" si="71"/>
        <v/>
      </c>
      <c r="G777" s="106" t="str">
        <f t="shared" si="72"/>
        <v/>
      </c>
      <c r="H777" s="106" t="str">
        <f t="shared" si="73"/>
        <v/>
      </c>
    </row>
    <row r="778" spans="1:8" x14ac:dyDescent="0.2">
      <c r="A778" s="104" t="str">
        <f t="shared" si="68"/>
        <v/>
      </c>
      <c r="B778" s="108" t="str">
        <f t="shared" si="69"/>
        <v/>
      </c>
      <c r="C778" s="109" t="str">
        <f t="shared" si="70"/>
        <v/>
      </c>
      <c r="D778" s="111"/>
      <c r="E778" s="106"/>
      <c r="F778" s="106" t="str">
        <f t="shared" si="71"/>
        <v/>
      </c>
      <c r="G778" s="106" t="str">
        <f t="shared" si="72"/>
        <v/>
      </c>
      <c r="H778" s="106" t="str">
        <f t="shared" si="73"/>
        <v/>
      </c>
    </row>
    <row r="779" spans="1:8" x14ac:dyDescent="0.2">
      <c r="A779" s="104" t="str">
        <f t="shared" si="68"/>
        <v/>
      </c>
      <c r="B779" s="108" t="str">
        <f t="shared" si="69"/>
        <v/>
      </c>
      <c r="C779" s="109" t="str">
        <f t="shared" si="70"/>
        <v/>
      </c>
      <c r="D779" s="111"/>
      <c r="E779" s="106"/>
      <c r="F779" s="106" t="str">
        <f t="shared" si="71"/>
        <v/>
      </c>
      <c r="G779" s="106" t="str">
        <f t="shared" si="72"/>
        <v/>
      </c>
      <c r="H779" s="106" t="str">
        <f t="shared" si="73"/>
        <v/>
      </c>
    </row>
    <row r="780" spans="1:8" x14ac:dyDescent="0.2">
      <c r="A780" s="104" t="str">
        <f t="shared" si="68"/>
        <v/>
      </c>
      <c r="B780" s="108" t="str">
        <f t="shared" si="69"/>
        <v/>
      </c>
      <c r="C780" s="109" t="str">
        <f t="shared" si="70"/>
        <v/>
      </c>
      <c r="D780" s="111"/>
      <c r="E780" s="106"/>
      <c r="F780" s="106" t="str">
        <f t="shared" si="71"/>
        <v/>
      </c>
      <c r="G780" s="106" t="str">
        <f t="shared" si="72"/>
        <v/>
      </c>
      <c r="H780" s="106" t="str">
        <f t="shared" si="73"/>
        <v/>
      </c>
    </row>
    <row r="781" spans="1:8" x14ac:dyDescent="0.2">
      <c r="A781" s="104" t="str">
        <f t="shared" si="68"/>
        <v/>
      </c>
      <c r="B781" s="108" t="str">
        <f t="shared" si="69"/>
        <v/>
      </c>
      <c r="C781" s="109" t="str">
        <f t="shared" si="70"/>
        <v/>
      </c>
      <c r="D781" s="111"/>
      <c r="E781" s="106"/>
      <c r="F781" s="106" t="str">
        <f t="shared" si="71"/>
        <v/>
      </c>
      <c r="G781" s="106" t="str">
        <f t="shared" si="72"/>
        <v/>
      </c>
      <c r="H781" s="106" t="str">
        <f t="shared" si="73"/>
        <v/>
      </c>
    </row>
    <row r="782" spans="1:8" x14ac:dyDescent="0.2">
      <c r="A782" s="104" t="str">
        <f t="shared" si="68"/>
        <v/>
      </c>
      <c r="B782" s="108" t="str">
        <f t="shared" si="69"/>
        <v/>
      </c>
      <c r="C782" s="109" t="str">
        <f t="shared" si="70"/>
        <v/>
      </c>
      <c r="D782" s="111"/>
      <c r="E782" s="106"/>
      <c r="F782" s="106" t="str">
        <f t="shared" si="71"/>
        <v/>
      </c>
      <c r="G782" s="106" t="str">
        <f t="shared" si="72"/>
        <v/>
      </c>
      <c r="H782" s="106" t="str">
        <f t="shared" si="73"/>
        <v/>
      </c>
    </row>
    <row r="783" spans="1:8" x14ac:dyDescent="0.2">
      <c r="A783" s="104" t="str">
        <f t="shared" si="68"/>
        <v/>
      </c>
      <c r="B783" s="108" t="str">
        <f t="shared" si="69"/>
        <v/>
      </c>
      <c r="C783" s="109" t="str">
        <f t="shared" si="70"/>
        <v/>
      </c>
      <c r="D783" s="111"/>
      <c r="E783" s="106"/>
      <c r="F783" s="106" t="str">
        <f t="shared" si="71"/>
        <v/>
      </c>
      <c r="G783" s="106" t="str">
        <f t="shared" si="72"/>
        <v/>
      </c>
      <c r="H783" s="106" t="str">
        <f t="shared" si="73"/>
        <v/>
      </c>
    </row>
    <row r="784" spans="1:8" x14ac:dyDescent="0.2">
      <c r="A784" s="104" t="str">
        <f t="shared" si="68"/>
        <v/>
      </c>
      <c r="B784" s="108" t="str">
        <f t="shared" si="69"/>
        <v/>
      </c>
      <c r="C784" s="109" t="str">
        <f t="shared" si="70"/>
        <v/>
      </c>
      <c r="D784" s="111"/>
      <c r="E784" s="106"/>
      <c r="F784" s="106" t="str">
        <f t="shared" si="71"/>
        <v/>
      </c>
      <c r="G784" s="106" t="str">
        <f t="shared" si="72"/>
        <v/>
      </c>
      <c r="H784" s="106" t="str">
        <f t="shared" si="73"/>
        <v/>
      </c>
    </row>
    <row r="785" spans="1:8" x14ac:dyDescent="0.2">
      <c r="A785" s="104" t="str">
        <f t="shared" si="68"/>
        <v/>
      </c>
      <c r="B785" s="108" t="str">
        <f t="shared" si="69"/>
        <v/>
      </c>
      <c r="C785" s="109" t="str">
        <f t="shared" si="70"/>
        <v/>
      </c>
      <c r="D785" s="111"/>
      <c r="E785" s="106"/>
      <c r="F785" s="106" t="str">
        <f t="shared" si="71"/>
        <v/>
      </c>
      <c r="G785" s="106" t="str">
        <f t="shared" si="72"/>
        <v/>
      </c>
      <c r="H785" s="106" t="str">
        <f t="shared" si="73"/>
        <v/>
      </c>
    </row>
    <row r="786" spans="1:8" x14ac:dyDescent="0.2">
      <c r="A786" s="104" t="str">
        <f t="shared" si="68"/>
        <v/>
      </c>
      <c r="B786" s="108" t="str">
        <f t="shared" si="69"/>
        <v/>
      </c>
      <c r="C786" s="109" t="str">
        <f t="shared" si="70"/>
        <v/>
      </c>
      <c r="D786" s="111"/>
      <c r="E786" s="106"/>
      <c r="F786" s="106" t="str">
        <f t="shared" si="71"/>
        <v/>
      </c>
      <c r="G786" s="106" t="str">
        <f t="shared" si="72"/>
        <v/>
      </c>
      <c r="H786" s="106" t="str">
        <f t="shared" si="73"/>
        <v/>
      </c>
    </row>
    <row r="787" spans="1:8" x14ac:dyDescent="0.2">
      <c r="A787" s="104" t="str">
        <f t="shared" si="68"/>
        <v/>
      </c>
      <c r="B787" s="108" t="str">
        <f t="shared" si="69"/>
        <v/>
      </c>
      <c r="C787" s="109" t="str">
        <f t="shared" si="70"/>
        <v/>
      </c>
      <c r="D787" s="111"/>
      <c r="E787" s="106"/>
      <c r="F787" s="106" t="str">
        <f t="shared" si="71"/>
        <v/>
      </c>
      <c r="G787" s="106" t="str">
        <f t="shared" si="72"/>
        <v/>
      </c>
      <c r="H787" s="106" t="str">
        <f t="shared" si="73"/>
        <v/>
      </c>
    </row>
    <row r="788" spans="1:8" x14ac:dyDescent="0.2">
      <c r="A788" s="104" t="str">
        <f t="shared" si="68"/>
        <v/>
      </c>
      <c r="B788" s="108" t="str">
        <f t="shared" si="69"/>
        <v/>
      </c>
      <c r="C788" s="109" t="str">
        <f t="shared" si="70"/>
        <v/>
      </c>
      <c r="D788" s="111"/>
      <c r="E788" s="106"/>
      <c r="F788" s="106" t="str">
        <f t="shared" si="71"/>
        <v/>
      </c>
      <c r="G788" s="106" t="str">
        <f t="shared" si="72"/>
        <v/>
      </c>
      <c r="H788" s="106" t="str">
        <f t="shared" si="73"/>
        <v/>
      </c>
    </row>
    <row r="789" spans="1:8" x14ac:dyDescent="0.2">
      <c r="A789" s="104" t="str">
        <f t="shared" si="68"/>
        <v/>
      </c>
      <c r="B789" s="108" t="str">
        <f t="shared" si="69"/>
        <v/>
      </c>
      <c r="C789" s="109" t="str">
        <f t="shared" si="70"/>
        <v/>
      </c>
      <c r="D789" s="111"/>
      <c r="E789" s="106"/>
      <c r="F789" s="106" t="str">
        <f t="shared" si="71"/>
        <v/>
      </c>
      <c r="G789" s="106" t="str">
        <f t="shared" si="72"/>
        <v/>
      </c>
      <c r="H789" s="106" t="str">
        <f t="shared" si="73"/>
        <v/>
      </c>
    </row>
    <row r="790" spans="1:8" x14ac:dyDescent="0.2">
      <c r="A790" s="104" t="str">
        <f t="shared" si="68"/>
        <v/>
      </c>
      <c r="B790" s="108" t="str">
        <f t="shared" si="69"/>
        <v/>
      </c>
      <c r="C790" s="109" t="str">
        <f t="shared" si="70"/>
        <v/>
      </c>
      <c r="D790" s="111"/>
      <c r="E790" s="106"/>
      <c r="F790" s="106" t="str">
        <f t="shared" si="71"/>
        <v/>
      </c>
      <c r="G790" s="106" t="str">
        <f t="shared" si="72"/>
        <v/>
      </c>
      <c r="H790" s="106" t="str">
        <f t="shared" si="73"/>
        <v/>
      </c>
    </row>
    <row r="791" spans="1:8" x14ac:dyDescent="0.2">
      <c r="A791" s="104" t="str">
        <f t="shared" si="68"/>
        <v/>
      </c>
      <c r="B791" s="108" t="str">
        <f t="shared" si="69"/>
        <v/>
      </c>
      <c r="C791" s="109" t="str">
        <f t="shared" si="70"/>
        <v/>
      </c>
      <c r="D791" s="111"/>
      <c r="E791" s="106"/>
      <c r="F791" s="106" t="str">
        <f t="shared" si="71"/>
        <v/>
      </c>
      <c r="G791" s="106" t="str">
        <f t="shared" si="72"/>
        <v/>
      </c>
      <c r="H791" s="106" t="str">
        <f t="shared" si="73"/>
        <v/>
      </c>
    </row>
    <row r="792" spans="1:8" x14ac:dyDescent="0.2">
      <c r="A792" s="104" t="str">
        <f t="shared" si="68"/>
        <v/>
      </c>
      <c r="B792" s="108" t="str">
        <f t="shared" si="69"/>
        <v/>
      </c>
      <c r="C792" s="109" t="str">
        <f t="shared" si="70"/>
        <v/>
      </c>
      <c r="D792" s="111"/>
      <c r="E792" s="106"/>
      <c r="F792" s="106" t="str">
        <f t="shared" si="71"/>
        <v/>
      </c>
      <c r="G792" s="106" t="str">
        <f t="shared" si="72"/>
        <v/>
      </c>
      <c r="H792" s="106" t="str">
        <f t="shared" si="73"/>
        <v/>
      </c>
    </row>
    <row r="793" spans="1:8" x14ac:dyDescent="0.2">
      <c r="A793" s="104" t="str">
        <f t="shared" si="68"/>
        <v/>
      </c>
      <c r="B793" s="108" t="str">
        <f t="shared" si="69"/>
        <v/>
      </c>
      <c r="C793" s="109" t="str">
        <f t="shared" si="70"/>
        <v/>
      </c>
      <c r="D793" s="111"/>
      <c r="E793" s="106"/>
      <c r="F793" s="106" t="str">
        <f t="shared" si="71"/>
        <v/>
      </c>
      <c r="G793" s="106" t="str">
        <f t="shared" si="72"/>
        <v/>
      </c>
      <c r="H793" s="106" t="str">
        <f t="shared" si="73"/>
        <v/>
      </c>
    </row>
    <row r="794" spans="1:8" x14ac:dyDescent="0.2">
      <c r="A794" s="104" t="str">
        <f t="shared" si="68"/>
        <v/>
      </c>
      <c r="B794" s="108" t="str">
        <f t="shared" si="69"/>
        <v/>
      </c>
      <c r="C794" s="109" t="str">
        <f t="shared" si="70"/>
        <v/>
      </c>
      <c r="D794" s="111"/>
      <c r="E794" s="106"/>
      <c r="F794" s="106" t="str">
        <f t="shared" si="71"/>
        <v/>
      </c>
      <c r="G794" s="106" t="str">
        <f t="shared" si="72"/>
        <v/>
      </c>
      <c r="H794" s="106" t="str">
        <f t="shared" si="73"/>
        <v/>
      </c>
    </row>
    <row r="795" spans="1:8" x14ac:dyDescent="0.2">
      <c r="A795" s="104" t="str">
        <f t="shared" si="68"/>
        <v/>
      </c>
      <c r="B795" s="108" t="str">
        <f t="shared" si="69"/>
        <v/>
      </c>
      <c r="C795" s="109" t="str">
        <f t="shared" si="70"/>
        <v/>
      </c>
      <c r="D795" s="111"/>
      <c r="E795" s="106"/>
      <c r="F795" s="106" t="str">
        <f t="shared" si="71"/>
        <v/>
      </c>
      <c r="G795" s="106" t="str">
        <f t="shared" si="72"/>
        <v/>
      </c>
      <c r="H795" s="106" t="str">
        <f t="shared" si="73"/>
        <v/>
      </c>
    </row>
    <row r="796" spans="1:8" x14ac:dyDescent="0.2">
      <c r="A796" s="104" t="str">
        <f t="shared" si="68"/>
        <v/>
      </c>
      <c r="B796" s="108" t="str">
        <f t="shared" si="69"/>
        <v/>
      </c>
      <c r="C796" s="109" t="str">
        <f t="shared" si="70"/>
        <v/>
      </c>
      <c r="D796" s="111"/>
      <c r="E796" s="106"/>
      <c r="F796" s="106" t="str">
        <f t="shared" si="71"/>
        <v/>
      </c>
      <c r="G796" s="106" t="str">
        <f t="shared" si="72"/>
        <v/>
      </c>
      <c r="H796" s="106" t="str">
        <f t="shared" si="73"/>
        <v/>
      </c>
    </row>
    <row r="797" spans="1:8" x14ac:dyDescent="0.2">
      <c r="A797" s="104" t="str">
        <f t="shared" si="68"/>
        <v/>
      </c>
      <c r="B797" s="108" t="str">
        <f t="shared" si="69"/>
        <v/>
      </c>
      <c r="C797" s="109" t="str">
        <f t="shared" si="70"/>
        <v/>
      </c>
      <c r="D797" s="111"/>
      <c r="E797" s="106"/>
      <c r="F797" s="106" t="str">
        <f t="shared" si="71"/>
        <v/>
      </c>
      <c r="G797" s="106" t="str">
        <f t="shared" si="72"/>
        <v/>
      </c>
      <c r="H797" s="106" t="str">
        <f t="shared" si="73"/>
        <v/>
      </c>
    </row>
    <row r="798" spans="1:8" x14ac:dyDescent="0.2">
      <c r="A798" s="104" t="str">
        <f t="shared" si="68"/>
        <v/>
      </c>
      <c r="B798" s="108" t="str">
        <f t="shared" si="69"/>
        <v/>
      </c>
      <c r="C798" s="109" t="str">
        <f t="shared" si="70"/>
        <v/>
      </c>
      <c r="D798" s="111"/>
      <c r="E798" s="106"/>
      <c r="F798" s="106" t="str">
        <f t="shared" si="71"/>
        <v/>
      </c>
      <c r="G798" s="106" t="str">
        <f t="shared" si="72"/>
        <v/>
      </c>
      <c r="H798" s="106" t="str">
        <f t="shared" si="73"/>
        <v/>
      </c>
    </row>
    <row r="799" spans="1:8" x14ac:dyDescent="0.2">
      <c r="A799" s="104" t="str">
        <f t="shared" si="68"/>
        <v/>
      </c>
      <c r="B799" s="108" t="str">
        <f t="shared" si="69"/>
        <v/>
      </c>
      <c r="C799" s="109" t="str">
        <f t="shared" si="70"/>
        <v/>
      </c>
      <c r="D799" s="111"/>
      <c r="E799" s="106"/>
      <c r="F799" s="106" t="str">
        <f t="shared" si="71"/>
        <v/>
      </c>
      <c r="G799" s="106" t="str">
        <f t="shared" si="72"/>
        <v/>
      </c>
      <c r="H799" s="106" t="str">
        <f t="shared" si="73"/>
        <v/>
      </c>
    </row>
    <row r="800" spans="1:8" x14ac:dyDescent="0.2">
      <c r="A800" s="104" t="str">
        <f t="shared" si="68"/>
        <v/>
      </c>
      <c r="B800" s="108" t="str">
        <f t="shared" si="69"/>
        <v/>
      </c>
      <c r="C800" s="109" t="str">
        <f t="shared" si="70"/>
        <v/>
      </c>
      <c r="D800" s="111"/>
      <c r="E800" s="106"/>
      <c r="F800" s="106" t="str">
        <f t="shared" si="71"/>
        <v/>
      </c>
      <c r="G800" s="106" t="str">
        <f t="shared" si="72"/>
        <v/>
      </c>
      <c r="H800" s="106" t="str">
        <f t="shared" si="73"/>
        <v/>
      </c>
    </row>
    <row r="801" spans="1:8" x14ac:dyDescent="0.2">
      <c r="A801" s="104" t="str">
        <f t="shared" si="68"/>
        <v/>
      </c>
      <c r="B801" s="108" t="str">
        <f t="shared" si="69"/>
        <v/>
      </c>
      <c r="C801" s="109" t="str">
        <f t="shared" si="70"/>
        <v/>
      </c>
      <c r="D801" s="111"/>
      <c r="E801" s="106"/>
      <c r="F801" s="106" t="str">
        <f t="shared" si="71"/>
        <v/>
      </c>
      <c r="G801" s="106" t="str">
        <f t="shared" si="72"/>
        <v/>
      </c>
      <c r="H801" s="106" t="str">
        <f t="shared" si="73"/>
        <v/>
      </c>
    </row>
    <row r="802" spans="1:8" x14ac:dyDescent="0.2">
      <c r="A802" s="104" t="str">
        <f t="shared" si="68"/>
        <v/>
      </c>
      <c r="B802" s="108" t="str">
        <f t="shared" si="69"/>
        <v/>
      </c>
      <c r="C802" s="109" t="str">
        <f t="shared" si="70"/>
        <v/>
      </c>
      <c r="D802" s="111"/>
      <c r="E802" s="106"/>
      <c r="F802" s="106" t="str">
        <f t="shared" si="71"/>
        <v/>
      </c>
      <c r="G802" s="106" t="str">
        <f t="shared" si="72"/>
        <v/>
      </c>
      <c r="H802" s="106" t="str">
        <f t="shared" si="73"/>
        <v/>
      </c>
    </row>
    <row r="803" spans="1:8" x14ac:dyDescent="0.2">
      <c r="A803" s="104" t="str">
        <f t="shared" si="68"/>
        <v/>
      </c>
      <c r="B803" s="108" t="str">
        <f t="shared" si="69"/>
        <v/>
      </c>
      <c r="C803" s="109" t="str">
        <f t="shared" si="70"/>
        <v/>
      </c>
      <c r="D803" s="111"/>
      <c r="E803" s="106"/>
      <c r="F803" s="106" t="str">
        <f t="shared" si="71"/>
        <v/>
      </c>
      <c r="G803" s="106" t="str">
        <f t="shared" si="72"/>
        <v/>
      </c>
      <c r="H803" s="106" t="str">
        <f t="shared" si="73"/>
        <v/>
      </c>
    </row>
    <row r="804" spans="1:8" x14ac:dyDescent="0.2">
      <c r="A804" s="104" t="str">
        <f t="shared" si="68"/>
        <v/>
      </c>
      <c r="B804" s="108" t="str">
        <f t="shared" si="69"/>
        <v/>
      </c>
      <c r="C804" s="109" t="str">
        <f t="shared" si="70"/>
        <v/>
      </c>
      <c r="D804" s="111"/>
      <c r="E804" s="106"/>
      <c r="F804" s="106" t="str">
        <f t="shared" si="71"/>
        <v/>
      </c>
      <c r="G804" s="106" t="str">
        <f t="shared" si="72"/>
        <v/>
      </c>
      <c r="H804" s="106" t="str">
        <f t="shared" si="73"/>
        <v/>
      </c>
    </row>
    <row r="805" spans="1:8" x14ac:dyDescent="0.2">
      <c r="A805" s="104" t="str">
        <f t="shared" si="68"/>
        <v/>
      </c>
      <c r="B805" s="108" t="str">
        <f t="shared" si="69"/>
        <v/>
      </c>
      <c r="C805" s="109" t="str">
        <f t="shared" si="70"/>
        <v/>
      </c>
      <c r="D805" s="111"/>
      <c r="E805" s="106"/>
      <c r="F805" s="106" t="str">
        <f t="shared" si="71"/>
        <v/>
      </c>
      <c r="G805" s="106" t="str">
        <f t="shared" si="72"/>
        <v/>
      </c>
      <c r="H805" s="106" t="str">
        <f t="shared" si="73"/>
        <v/>
      </c>
    </row>
    <row r="806" spans="1:8" x14ac:dyDescent="0.2">
      <c r="A806" s="104" t="str">
        <f t="shared" si="68"/>
        <v/>
      </c>
      <c r="B806" s="108" t="str">
        <f t="shared" si="69"/>
        <v/>
      </c>
      <c r="C806" s="109" t="str">
        <f t="shared" si="70"/>
        <v/>
      </c>
      <c r="D806" s="111"/>
      <c r="E806" s="106"/>
      <c r="F806" s="106" t="str">
        <f t="shared" si="71"/>
        <v/>
      </c>
      <c r="G806" s="106" t="str">
        <f t="shared" si="72"/>
        <v/>
      </c>
      <c r="H806" s="106" t="str">
        <f t="shared" si="73"/>
        <v/>
      </c>
    </row>
    <row r="807" spans="1:8" x14ac:dyDescent="0.2">
      <c r="A807" s="104" t="str">
        <f t="shared" si="68"/>
        <v/>
      </c>
      <c r="B807" s="108" t="str">
        <f t="shared" si="69"/>
        <v/>
      </c>
      <c r="C807" s="109" t="str">
        <f t="shared" si="70"/>
        <v/>
      </c>
      <c r="D807" s="111"/>
      <c r="E807" s="106"/>
      <c r="F807" s="106" t="str">
        <f t="shared" si="71"/>
        <v/>
      </c>
      <c r="G807" s="106" t="str">
        <f t="shared" si="72"/>
        <v/>
      </c>
      <c r="H807" s="106" t="str">
        <f t="shared" si="73"/>
        <v/>
      </c>
    </row>
    <row r="808" spans="1:8" x14ac:dyDescent="0.2">
      <c r="A808" s="104" t="str">
        <f t="shared" si="68"/>
        <v/>
      </c>
      <c r="B808" s="108" t="str">
        <f t="shared" si="69"/>
        <v/>
      </c>
      <c r="C808" s="109" t="str">
        <f t="shared" si="70"/>
        <v/>
      </c>
      <c r="D808" s="111"/>
      <c r="E808" s="106"/>
      <c r="F808" s="106" t="str">
        <f t="shared" si="71"/>
        <v/>
      </c>
      <c r="G808" s="106" t="str">
        <f t="shared" si="72"/>
        <v/>
      </c>
      <c r="H808" s="106" t="str">
        <f t="shared" si="73"/>
        <v/>
      </c>
    </row>
    <row r="809" spans="1:8" x14ac:dyDescent="0.2">
      <c r="A809" s="104" t="str">
        <f t="shared" si="68"/>
        <v/>
      </c>
      <c r="B809" s="108" t="str">
        <f t="shared" si="69"/>
        <v/>
      </c>
      <c r="C809" s="109" t="str">
        <f t="shared" si="70"/>
        <v/>
      </c>
      <c r="D809" s="111"/>
      <c r="E809" s="106"/>
      <c r="F809" s="106" t="str">
        <f t="shared" si="71"/>
        <v/>
      </c>
      <c r="G809" s="106" t="str">
        <f t="shared" si="72"/>
        <v/>
      </c>
      <c r="H809" s="106" t="str">
        <f t="shared" si="73"/>
        <v/>
      </c>
    </row>
    <row r="810" spans="1:8" x14ac:dyDescent="0.2">
      <c r="A810" s="104" t="str">
        <f t="shared" si="68"/>
        <v/>
      </c>
      <c r="B810" s="108" t="str">
        <f t="shared" si="69"/>
        <v/>
      </c>
      <c r="C810" s="109" t="str">
        <f t="shared" si="70"/>
        <v/>
      </c>
      <c r="D810" s="111"/>
      <c r="E810" s="106"/>
      <c r="F810" s="106" t="str">
        <f t="shared" si="71"/>
        <v/>
      </c>
      <c r="G810" s="106" t="str">
        <f t="shared" si="72"/>
        <v/>
      </c>
      <c r="H810" s="106" t="str">
        <f t="shared" si="73"/>
        <v/>
      </c>
    </row>
    <row r="811" spans="1:8" x14ac:dyDescent="0.2">
      <c r="A811" s="104" t="str">
        <f t="shared" si="68"/>
        <v/>
      </c>
      <c r="B811" s="108" t="str">
        <f t="shared" si="69"/>
        <v/>
      </c>
      <c r="C811" s="109" t="str">
        <f t="shared" si="70"/>
        <v/>
      </c>
      <c r="D811" s="111"/>
      <c r="E811" s="106"/>
      <c r="F811" s="106" t="str">
        <f t="shared" si="71"/>
        <v/>
      </c>
      <c r="G811" s="106" t="str">
        <f t="shared" si="72"/>
        <v/>
      </c>
      <c r="H811" s="106" t="str">
        <f t="shared" si="73"/>
        <v/>
      </c>
    </row>
    <row r="812" spans="1:8" x14ac:dyDescent="0.2">
      <c r="A812" s="104" t="str">
        <f t="shared" si="68"/>
        <v/>
      </c>
      <c r="B812" s="108" t="str">
        <f t="shared" si="69"/>
        <v/>
      </c>
      <c r="C812" s="109" t="str">
        <f t="shared" si="70"/>
        <v/>
      </c>
      <c r="D812" s="111"/>
      <c r="E812" s="106"/>
      <c r="F812" s="106" t="str">
        <f t="shared" si="71"/>
        <v/>
      </c>
      <c r="G812" s="106" t="str">
        <f t="shared" si="72"/>
        <v/>
      </c>
      <c r="H812" s="106" t="str">
        <f t="shared" si="73"/>
        <v/>
      </c>
    </row>
    <row r="813" spans="1:8" x14ac:dyDescent="0.2">
      <c r="A813" s="104" t="str">
        <f t="shared" si="68"/>
        <v/>
      </c>
      <c r="B813" s="108" t="str">
        <f t="shared" si="69"/>
        <v/>
      </c>
      <c r="C813" s="109" t="str">
        <f t="shared" si="70"/>
        <v/>
      </c>
      <c r="D813" s="111"/>
      <c r="E813" s="106"/>
      <c r="F813" s="106" t="str">
        <f t="shared" si="71"/>
        <v/>
      </c>
      <c r="G813" s="106" t="str">
        <f t="shared" si="72"/>
        <v/>
      </c>
      <c r="H813" s="106" t="str">
        <f t="shared" si="73"/>
        <v/>
      </c>
    </row>
    <row r="814" spans="1:8" x14ac:dyDescent="0.2">
      <c r="A814" s="104" t="str">
        <f t="shared" si="68"/>
        <v/>
      </c>
      <c r="B814" s="108" t="str">
        <f t="shared" si="69"/>
        <v/>
      </c>
      <c r="C814" s="109" t="str">
        <f t="shared" si="70"/>
        <v/>
      </c>
      <c r="D814" s="111"/>
      <c r="E814" s="106"/>
      <c r="F814" s="106" t="str">
        <f t="shared" si="71"/>
        <v/>
      </c>
      <c r="G814" s="106" t="str">
        <f t="shared" si="72"/>
        <v/>
      </c>
      <c r="H814" s="106" t="str">
        <f t="shared" si="73"/>
        <v/>
      </c>
    </row>
    <row r="815" spans="1:8" x14ac:dyDescent="0.2">
      <c r="A815" s="104" t="str">
        <f t="shared" si="68"/>
        <v/>
      </c>
      <c r="B815" s="108" t="str">
        <f t="shared" si="69"/>
        <v/>
      </c>
      <c r="C815" s="109" t="str">
        <f t="shared" si="70"/>
        <v/>
      </c>
      <c r="D815" s="111"/>
      <c r="E815" s="106"/>
      <c r="F815" s="106" t="str">
        <f t="shared" si="71"/>
        <v/>
      </c>
      <c r="G815" s="106" t="str">
        <f t="shared" si="72"/>
        <v/>
      </c>
      <c r="H815" s="106" t="str">
        <f t="shared" si="73"/>
        <v/>
      </c>
    </row>
    <row r="816" spans="1:8" x14ac:dyDescent="0.2">
      <c r="A816" s="104" t="str">
        <f t="shared" si="68"/>
        <v/>
      </c>
      <c r="B816" s="108" t="str">
        <f t="shared" si="69"/>
        <v/>
      </c>
      <c r="C816" s="109" t="str">
        <f t="shared" si="70"/>
        <v/>
      </c>
      <c r="D816" s="111"/>
      <c r="E816" s="106"/>
      <c r="F816" s="106" t="str">
        <f t="shared" si="71"/>
        <v/>
      </c>
      <c r="G816" s="106" t="str">
        <f t="shared" si="72"/>
        <v/>
      </c>
      <c r="H816" s="106" t="str">
        <f t="shared" si="73"/>
        <v/>
      </c>
    </row>
    <row r="817" spans="1:8" x14ac:dyDescent="0.2">
      <c r="A817" s="104" t="str">
        <f t="shared" si="68"/>
        <v/>
      </c>
      <c r="B817" s="108" t="str">
        <f t="shared" si="69"/>
        <v/>
      </c>
      <c r="C817" s="109" t="str">
        <f t="shared" si="70"/>
        <v/>
      </c>
      <c r="D817" s="111"/>
      <c r="E817" s="106"/>
      <c r="F817" s="106" t="str">
        <f t="shared" si="71"/>
        <v/>
      </c>
      <c r="G817" s="106" t="str">
        <f t="shared" si="72"/>
        <v/>
      </c>
      <c r="H817" s="106" t="str">
        <f t="shared" si="73"/>
        <v/>
      </c>
    </row>
    <row r="818" spans="1:8" x14ac:dyDescent="0.2">
      <c r="A818" s="104" t="str">
        <f t="shared" si="68"/>
        <v/>
      </c>
      <c r="B818" s="108" t="str">
        <f t="shared" si="69"/>
        <v/>
      </c>
      <c r="C818" s="109" t="str">
        <f t="shared" si="70"/>
        <v/>
      </c>
      <c r="D818" s="111"/>
      <c r="E818" s="106"/>
      <c r="F818" s="106" t="str">
        <f t="shared" si="71"/>
        <v/>
      </c>
      <c r="G818" s="106" t="str">
        <f t="shared" si="72"/>
        <v/>
      </c>
      <c r="H818" s="106" t="str">
        <f t="shared" si="73"/>
        <v/>
      </c>
    </row>
    <row r="819" spans="1:8" x14ac:dyDescent="0.2">
      <c r="A819" s="104" t="str">
        <f t="shared" si="68"/>
        <v/>
      </c>
      <c r="B819" s="108" t="str">
        <f t="shared" si="69"/>
        <v/>
      </c>
      <c r="C819" s="109" t="str">
        <f t="shared" si="70"/>
        <v/>
      </c>
      <c r="D819" s="111"/>
      <c r="E819" s="106"/>
      <c r="F819" s="106" t="str">
        <f t="shared" si="71"/>
        <v/>
      </c>
      <c r="G819" s="106" t="str">
        <f t="shared" si="72"/>
        <v/>
      </c>
      <c r="H819" s="106" t="str">
        <f t="shared" si="73"/>
        <v/>
      </c>
    </row>
    <row r="820" spans="1:8" x14ac:dyDescent="0.2">
      <c r="A820" s="104" t="str">
        <f t="shared" si="68"/>
        <v/>
      </c>
      <c r="B820" s="108" t="str">
        <f t="shared" si="69"/>
        <v/>
      </c>
      <c r="C820" s="109" t="str">
        <f t="shared" si="70"/>
        <v/>
      </c>
      <c r="D820" s="111"/>
      <c r="E820" s="106"/>
      <c r="F820" s="106" t="str">
        <f t="shared" si="71"/>
        <v/>
      </c>
      <c r="G820" s="106" t="str">
        <f t="shared" si="72"/>
        <v/>
      </c>
      <c r="H820" s="106" t="str">
        <f t="shared" si="73"/>
        <v/>
      </c>
    </row>
    <row r="821" spans="1:8" x14ac:dyDescent="0.2">
      <c r="A821" s="104" t="str">
        <f t="shared" si="68"/>
        <v/>
      </c>
      <c r="B821" s="108" t="str">
        <f t="shared" si="69"/>
        <v/>
      </c>
      <c r="C821" s="109" t="str">
        <f t="shared" si="70"/>
        <v/>
      </c>
      <c r="D821" s="111"/>
      <c r="E821" s="106"/>
      <c r="F821" s="106" t="str">
        <f t="shared" si="71"/>
        <v/>
      </c>
      <c r="G821" s="106" t="str">
        <f t="shared" si="72"/>
        <v/>
      </c>
      <c r="H821" s="106" t="str">
        <f t="shared" si="73"/>
        <v/>
      </c>
    </row>
    <row r="822" spans="1:8" x14ac:dyDescent="0.2">
      <c r="A822" s="104" t="str">
        <f t="shared" si="68"/>
        <v/>
      </c>
      <c r="B822" s="108" t="str">
        <f t="shared" si="69"/>
        <v/>
      </c>
      <c r="C822" s="109" t="str">
        <f t="shared" si="70"/>
        <v/>
      </c>
      <c r="D822" s="111"/>
      <c r="E822" s="106"/>
      <c r="F822" s="106" t="str">
        <f t="shared" si="71"/>
        <v/>
      </c>
      <c r="G822" s="106" t="str">
        <f t="shared" si="72"/>
        <v/>
      </c>
      <c r="H822" s="106" t="str">
        <f t="shared" si="73"/>
        <v/>
      </c>
    </row>
    <row r="823" spans="1:8" x14ac:dyDescent="0.2">
      <c r="A823" s="104" t="str">
        <f t="shared" si="68"/>
        <v/>
      </c>
      <c r="B823" s="108" t="str">
        <f t="shared" si="69"/>
        <v/>
      </c>
      <c r="C823" s="109" t="str">
        <f t="shared" si="70"/>
        <v/>
      </c>
      <c r="D823" s="111"/>
      <c r="E823" s="106"/>
      <c r="F823" s="106" t="str">
        <f t="shared" si="71"/>
        <v/>
      </c>
      <c r="G823" s="106" t="str">
        <f t="shared" si="72"/>
        <v/>
      </c>
      <c r="H823" s="106" t="str">
        <f t="shared" si="73"/>
        <v/>
      </c>
    </row>
    <row r="824" spans="1:8" x14ac:dyDescent="0.2">
      <c r="A824" s="104" t="str">
        <f t="shared" si="68"/>
        <v/>
      </c>
      <c r="B824" s="108" t="str">
        <f t="shared" si="69"/>
        <v/>
      </c>
      <c r="C824" s="109" t="str">
        <f t="shared" si="70"/>
        <v/>
      </c>
      <c r="D824" s="111"/>
      <c r="E824" s="106"/>
      <c r="F824" s="106" t="str">
        <f t="shared" si="71"/>
        <v/>
      </c>
      <c r="G824" s="106" t="str">
        <f t="shared" si="72"/>
        <v/>
      </c>
      <c r="H824" s="106" t="str">
        <f t="shared" si="73"/>
        <v/>
      </c>
    </row>
    <row r="825" spans="1:8" x14ac:dyDescent="0.2">
      <c r="A825" s="104" t="str">
        <f t="shared" si="68"/>
        <v/>
      </c>
      <c r="B825" s="108" t="str">
        <f t="shared" si="69"/>
        <v/>
      </c>
      <c r="C825" s="109" t="str">
        <f t="shared" si="70"/>
        <v/>
      </c>
      <c r="D825" s="111"/>
      <c r="E825" s="106"/>
      <c r="F825" s="106" t="str">
        <f t="shared" si="71"/>
        <v/>
      </c>
      <c r="G825" s="106" t="str">
        <f t="shared" si="72"/>
        <v/>
      </c>
      <c r="H825" s="106" t="str">
        <f t="shared" si="73"/>
        <v/>
      </c>
    </row>
    <row r="826" spans="1:8" x14ac:dyDescent="0.2">
      <c r="A826" s="104" t="str">
        <f t="shared" si="68"/>
        <v/>
      </c>
      <c r="B826" s="108" t="str">
        <f t="shared" si="69"/>
        <v/>
      </c>
      <c r="C826" s="109" t="str">
        <f t="shared" si="70"/>
        <v/>
      </c>
      <c r="D826" s="111"/>
      <c r="E826" s="106"/>
      <c r="F826" s="106" t="str">
        <f t="shared" si="71"/>
        <v/>
      </c>
      <c r="G826" s="106" t="str">
        <f t="shared" si="72"/>
        <v/>
      </c>
      <c r="H826" s="106" t="str">
        <f t="shared" si="73"/>
        <v/>
      </c>
    </row>
    <row r="827" spans="1:8" x14ac:dyDescent="0.2">
      <c r="A827" s="104" t="str">
        <f t="shared" si="68"/>
        <v/>
      </c>
      <c r="B827" s="108" t="str">
        <f t="shared" si="69"/>
        <v/>
      </c>
      <c r="C827" s="109" t="str">
        <f t="shared" si="70"/>
        <v/>
      </c>
      <c r="D827" s="111"/>
      <c r="E827" s="106"/>
      <c r="F827" s="106" t="str">
        <f t="shared" si="71"/>
        <v/>
      </c>
      <c r="G827" s="106" t="str">
        <f t="shared" si="72"/>
        <v/>
      </c>
      <c r="H827" s="106" t="str">
        <f t="shared" si="73"/>
        <v/>
      </c>
    </row>
    <row r="828" spans="1:8" x14ac:dyDescent="0.2">
      <c r="A828" s="104" t="str">
        <f t="shared" si="68"/>
        <v/>
      </c>
      <c r="B828" s="108" t="str">
        <f t="shared" si="69"/>
        <v/>
      </c>
      <c r="C828" s="109" t="str">
        <f t="shared" si="70"/>
        <v/>
      </c>
      <c r="D828" s="111"/>
      <c r="E828" s="106"/>
      <c r="F828" s="106" t="str">
        <f t="shared" si="71"/>
        <v/>
      </c>
      <c r="G828" s="106" t="str">
        <f t="shared" si="72"/>
        <v/>
      </c>
      <c r="H828" s="106" t="str">
        <f t="shared" si="73"/>
        <v/>
      </c>
    </row>
    <row r="829" spans="1:8" x14ac:dyDescent="0.2">
      <c r="A829" s="104" t="str">
        <f t="shared" si="68"/>
        <v/>
      </c>
      <c r="B829" s="108" t="str">
        <f t="shared" si="69"/>
        <v/>
      </c>
      <c r="C829" s="109" t="str">
        <f t="shared" si="70"/>
        <v/>
      </c>
      <c r="D829" s="111"/>
      <c r="E829" s="106"/>
      <c r="F829" s="106" t="str">
        <f t="shared" si="71"/>
        <v/>
      </c>
      <c r="G829" s="106" t="str">
        <f t="shared" si="72"/>
        <v/>
      </c>
      <c r="H829" s="106" t="str">
        <f t="shared" si="73"/>
        <v/>
      </c>
    </row>
    <row r="830" spans="1:8" x14ac:dyDescent="0.2">
      <c r="A830" s="104" t="str">
        <f t="shared" si="68"/>
        <v/>
      </c>
      <c r="B830" s="108" t="str">
        <f t="shared" si="69"/>
        <v/>
      </c>
      <c r="C830" s="109" t="str">
        <f t="shared" si="70"/>
        <v/>
      </c>
      <c r="D830" s="111"/>
      <c r="E830" s="106"/>
      <c r="F830" s="106" t="str">
        <f t="shared" si="71"/>
        <v/>
      </c>
      <c r="G830" s="106" t="str">
        <f t="shared" si="72"/>
        <v/>
      </c>
      <c r="H830" s="106" t="str">
        <f t="shared" si="73"/>
        <v/>
      </c>
    </row>
    <row r="831" spans="1:8" x14ac:dyDescent="0.2">
      <c r="A831" s="104" t="str">
        <f t="shared" ref="A831:A842" si="74">IF(H830="","",IF(roundOpt,IF(OR(A830&gt;=nper,ROUND(H830,2)&lt;=0),"",A830+1),IF(OR(A830&gt;=nper,H830&lt;=0),"",A830+1)))</f>
        <v/>
      </c>
      <c r="B831" s="108" t="str">
        <f t="shared" ref="B831:B842" si="75">IF(A831="","",IF(periods_per_year=26,IF(A831=1,fpdate,B830+14),IF(periods_per_year=52,IF(A831=1,fpdate,B830+7),IF(periods_per_year=24,IF(A831=1,fpdate,IF(fpdate=EOMONTH(fpdate,0),IF(ISODD(A831),EOMONTH(EDATE(fpdate,(A831-1)/2),0),EDATE(DATE(YEAR(fpdate),MONTH(fpdate)+1,15),(A831-1)/2)),IF(DAY(fpdate)=15,IF(ISODD(A831),EDATE(fpdate,(A831-1)/2),EOMONTH(EDATE(fpdate,(A831-1)/2),0)),IF(DAY(fpdate)&lt;=14,IF(ISODD(A831),EDATE(fpdate,(A831-1)/2),EDATE(MIN(fpdate+15,EOMONTH(fpdate,0)),(A831-1)/2)),EDATE(IF(ISODD(A831),fpdate,fpdate-15),A831/2))))),IF(A831=1,fpdate,EDATE(fpdate,months_per_period*(A831-1)))))))</f>
        <v/>
      </c>
      <c r="C831" s="109" t="str">
        <f t="shared" ref="C831:C842" si="76">IF(A831="","",IF(roundOpt,IF(OR(A831=nper,payment&gt;ROUND((1+rate)*H830,2)),ROUND((1+rate)*H830,2),payment),IF(OR(A831=nper,payment&gt;(1+rate)*H830),(1+rate)*H830,payment)))</f>
        <v/>
      </c>
      <c r="D831" s="111"/>
      <c r="E831" s="106"/>
      <c r="F831" s="106" t="str">
        <f t="shared" ref="F831:F842" si="77">IF(A831="","",IF(AND(A831=1,pmtType=1),0,IF(roundOpt,ROUND(rate*H830,2),rate*H830)))</f>
        <v/>
      </c>
      <c r="G831" s="106" t="str">
        <f t="shared" ref="G831:G842" si="78">IF(A831="","",C831-F831+D831)</f>
        <v/>
      </c>
      <c r="H831" s="106" t="str">
        <f t="shared" ref="H831:H842" si="79">IF(A831="","",H830-G831)</f>
        <v/>
      </c>
    </row>
    <row r="832" spans="1:8" x14ac:dyDescent="0.2">
      <c r="A832" s="104" t="str">
        <f t="shared" si="74"/>
        <v/>
      </c>
      <c r="B832" s="108" t="str">
        <f t="shared" si="75"/>
        <v/>
      </c>
      <c r="C832" s="109" t="str">
        <f t="shared" si="76"/>
        <v/>
      </c>
      <c r="D832" s="111"/>
      <c r="E832" s="106"/>
      <c r="F832" s="106" t="str">
        <f t="shared" si="77"/>
        <v/>
      </c>
      <c r="G832" s="106" t="str">
        <f t="shared" si="78"/>
        <v/>
      </c>
      <c r="H832" s="106" t="str">
        <f t="shared" si="79"/>
        <v/>
      </c>
    </row>
    <row r="833" spans="1:8" x14ac:dyDescent="0.2">
      <c r="A833" s="104" t="str">
        <f t="shared" si="74"/>
        <v/>
      </c>
      <c r="B833" s="108" t="str">
        <f t="shared" si="75"/>
        <v/>
      </c>
      <c r="C833" s="109" t="str">
        <f t="shared" si="76"/>
        <v/>
      </c>
      <c r="D833" s="111"/>
      <c r="E833" s="106"/>
      <c r="F833" s="106" t="str">
        <f t="shared" si="77"/>
        <v/>
      </c>
      <c r="G833" s="106" t="str">
        <f t="shared" si="78"/>
        <v/>
      </c>
      <c r="H833" s="106" t="str">
        <f t="shared" si="79"/>
        <v/>
      </c>
    </row>
    <row r="834" spans="1:8" x14ac:dyDescent="0.2">
      <c r="A834" s="104" t="str">
        <f t="shared" si="74"/>
        <v/>
      </c>
      <c r="B834" s="108" t="str">
        <f t="shared" si="75"/>
        <v/>
      </c>
      <c r="C834" s="109" t="str">
        <f t="shared" si="76"/>
        <v/>
      </c>
      <c r="D834" s="111"/>
      <c r="E834" s="106"/>
      <c r="F834" s="106" t="str">
        <f t="shared" si="77"/>
        <v/>
      </c>
      <c r="G834" s="106" t="str">
        <f t="shared" si="78"/>
        <v/>
      </c>
      <c r="H834" s="106" t="str">
        <f t="shared" si="79"/>
        <v/>
      </c>
    </row>
    <row r="835" spans="1:8" x14ac:dyDescent="0.2">
      <c r="A835" s="104" t="str">
        <f t="shared" si="74"/>
        <v/>
      </c>
      <c r="B835" s="108" t="str">
        <f t="shared" si="75"/>
        <v/>
      </c>
      <c r="C835" s="109" t="str">
        <f t="shared" si="76"/>
        <v/>
      </c>
      <c r="D835" s="111"/>
      <c r="E835" s="106"/>
      <c r="F835" s="106" t="str">
        <f t="shared" si="77"/>
        <v/>
      </c>
      <c r="G835" s="106" t="str">
        <f t="shared" si="78"/>
        <v/>
      </c>
      <c r="H835" s="106" t="str">
        <f t="shared" si="79"/>
        <v/>
      </c>
    </row>
    <row r="836" spans="1:8" x14ac:dyDescent="0.2">
      <c r="A836" s="104" t="str">
        <f t="shared" si="74"/>
        <v/>
      </c>
      <c r="B836" s="108" t="str">
        <f t="shared" si="75"/>
        <v/>
      </c>
      <c r="C836" s="109" t="str">
        <f t="shared" si="76"/>
        <v/>
      </c>
      <c r="D836" s="111"/>
      <c r="E836" s="106"/>
      <c r="F836" s="106" t="str">
        <f t="shared" si="77"/>
        <v/>
      </c>
      <c r="G836" s="106" t="str">
        <f t="shared" si="78"/>
        <v/>
      </c>
      <c r="H836" s="106" t="str">
        <f t="shared" si="79"/>
        <v/>
      </c>
    </row>
    <row r="837" spans="1:8" x14ac:dyDescent="0.2">
      <c r="A837" s="104" t="str">
        <f t="shared" si="74"/>
        <v/>
      </c>
      <c r="B837" s="108" t="str">
        <f t="shared" si="75"/>
        <v/>
      </c>
      <c r="C837" s="109" t="str">
        <f t="shared" si="76"/>
        <v/>
      </c>
      <c r="D837" s="111"/>
      <c r="E837" s="106"/>
      <c r="F837" s="106" t="str">
        <f t="shared" si="77"/>
        <v/>
      </c>
      <c r="G837" s="106" t="str">
        <f t="shared" si="78"/>
        <v/>
      </c>
      <c r="H837" s="106" t="str">
        <f t="shared" si="79"/>
        <v/>
      </c>
    </row>
    <row r="838" spans="1:8" x14ac:dyDescent="0.2">
      <c r="A838" s="104" t="str">
        <f t="shared" si="74"/>
        <v/>
      </c>
      <c r="B838" s="108" t="str">
        <f t="shared" si="75"/>
        <v/>
      </c>
      <c r="C838" s="109" t="str">
        <f t="shared" si="76"/>
        <v/>
      </c>
      <c r="D838" s="111"/>
      <c r="E838" s="106"/>
      <c r="F838" s="106" t="str">
        <f t="shared" si="77"/>
        <v/>
      </c>
      <c r="G838" s="106" t="str">
        <f t="shared" si="78"/>
        <v/>
      </c>
      <c r="H838" s="106" t="str">
        <f t="shared" si="79"/>
        <v/>
      </c>
    </row>
    <row r="839" spans="1:8" x14ac:dyDescent="0.2">
      <c r="A839" s="104" t="str">
        <f t="shared" si="74"/>
        <v/>
      </c>
      <c r="B839" s="108" t="str">
        <f t="shared" si="75"/>
        <v/>
      </c>
      <c r="C839" s="109" t="str">
        <f t="shared" si="76"/>
        <v/>
      </c>
      <c r="D839" s="111"/>
      <c r="E839" s="106"/>
      <c r="F839" s="106" t="str">
        <f t="shared" si="77"/>
        <v/>
      </c>
      <c r="G839" s="106" t="str">
        <f t="shared" si="78"/>
        <v/>
      </c>
      <c r="H839" s="106" t="str">
        <f t="shared" si="79"/>
        <v/>
      </c>
    </row>
    <row r="840" spans="1:8" x14ac:dyDescent="0.2">
      <c r="A840" s="104" t="str">
        <f t="shared" si="74"/>
        <v/>
      </c>
      <c r="B840" s="108" t="str">
        <f t="shared" si="75"/>
        <v/>
      </c>
      <c r="C840" s="109" t="str">
        <f t="shared" si="76"/>
        <v/>
      </c>
      <c r="D840" s="111"/>
      <c r="E840" s="106"/>
      <c r="F840" s="106" t="str">
        <f t="shared" si="77"/>
        <v/>
      </c>
      <c r="G840" s="106" t="str">
        <f t="shared" si="78"/>
        <v/>
      </c>
      <c r="H840" s="106" t="str">
        <f t="shared" si="79"/>
        <v/>
      </c>
    </row>
    <row r="841" spans="1:8" x14ac:dyDescent="0.2">
      <c r="A841" s="104" t="str">
        <f t="shared" si="74"/>
        <v/>
      </c>
      <c r="B841" s="108" t="str">
        <f t="shared" si="75"/>
        <v/>
      </c>
      <c r="C841" s="109" t="str">
        <f t="shared" si="76"/>
        <v/>
      </c>
      <c r="D841" s="111"/>
      <c r="E841" s="106"/>
      <c r="F841" s="106" t="str">
        <f t="shared" si="77"/>
        <v/>
      </c>
      <c r="G841" s="106" t="str">
        <f t="shared" si="78"/>
        <v/>
      </c>
      <c r="H841" s="106" t="str">
        <f t="shared" si="79"/>
        <v/>
      </c>
    </row>
    <row r="842" spans="1:8" x14ac:dyDescent="0.2">
      <c r="A842" s="104" t="str">
        <f t="shared" si="74"/>
        <v/>
      </c>
      <c r="B842" s="108" t="str">
        <f t="shared" si="75"/>
        <v/>
      </c>
      <c r="C842" s="109" t="str">
        <f t="shared" si="76"/>
        <v/>
      </c>
      <c r="D842" s="112"/>
      <c r="E842" s="106"/>
      <c r="F842" s="106" t="str">
        <f t="shared" si="77"/>
        <v/>
      </c>
      <c r="G842" s="106" t="str">
        <f t="shared" si="78"/>
        <v/>
      </c>
      <c r="H842" s="106" t="str">
        <f t="shared" si="79"/>
        <v/>
      </c>
    </row>
    <row r="843" spans="1:8" x14ac:dyDescent="0.2">
      <c r="A843" s="113"/>
      <c r="B843" s="114"/>
      <c r="C843" s="114"/>
      <c r="D843" s="114" t="s">
        <v>125</v>
      </c>
      <c r="E843" s="114"/>
      <c r="F843" s="113"/>
      <c r="G843" s="113"/>
      <c r="H843" s="113"/>
    </row>
  </sheetData>
  <sheetProtection algorithmName="SHA-512" hashValue="6EdoHpx3EFpYtZwB/1RwaSfy5RWx8hltmSzAMW6UqdxN/FFJwAgqNihtdeS274zNDIrUfhrtqR4HF+y/xP6J/Q==" saltValue="gwssSf2rFd+4r79ZISTnig==" spinCount="100000" sheet="1" objects="1" scenarios="1" formatCells="0" formatColumns="0" formatRows="0"/>
  <mergeCells count="2">
    <mergeCell ref="J8:J11"/>
    <mergeCell ref="J13:J14"/>
  </mergeCells>
  <conditionalFormatting sqref="A63:H842">
    <cfRule type="expression" dxfId="1" priority="1" stopIfTrue="1">
      <formula>MOD($A63,periods_per_year)=0</formula>
    </cfRule>
  </conditionalFormatting>
  <conditionalFormatting sqref="D13">
    <cfRule type="expression" dxfId="0" priority="2" stopIfTrue="1">
      <formula>compound_period&gt;periods_per_year</formula>
    </cfRule>
  </conditionalFormatting>
  <dataValidations count="3">
    <dataValidation type="list" showInputMessage="1" showErrorMessage="1" sqref="D12:D13" xr:uid="{0F16A792-257F-41C8-A76D-280A407779EA}">
      <formula1>$L$8:$L$15</formula1>
    </dataValidation>
    <dataValidation type="list" showInputMessage="1" showErrorMessage="1" sqref="D15" xr:uid="{27E03066-B092-423D-B79A-6976EA89C5D2}">
      <formula1>"On,Off"</formula1>
    </dataValidation>
    <dataValidation type="list" showInputMessage="1" showErrorMessage="1" sqref="D14" xr:uid="{D1D09003-EFE6-4738-AFB5-677E26FAB21D}">
      <formula1>"End of Period, Beginning of Period"</formula1>
    </dataValidation>
  </dataValidations>
  <hyperlinks>
    <hyperlink ref="J15" r:id="rId1" xr:uid="{728F69DD-10F8-4F58-BAD8-09FB7BE0324F}"/>
    <hyperlink ref="A2" r:id="rId2" xr:uid="{F10D1572-3D80-47BE-A9B0-731AFA78E8B2}"/>
  </hyperlinks>
  <printOptions horizontalCentered="1"/>
  <pageMargins left="0.5" right="0.5" top="0.5" bottom="0.5" header="0.25" footer="0.25"/>
  <pageSetup fitToHeight="0" orientation="portrait" r:id="rId3"/>
  <headerFooter differentFirst="1" scaleWithDoc="0">
    <oddFooter>&amp;R&amp;8Page &amp;P of &amp;N</oddFooter>
    <firstFooter>&amp;R&amp;8Page &amp;P of &amp;N</firstFooter>
  </headerFooter>
  <drawing r:id="rId4"/>
  <legacy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896AB-D963-4A59-AFCF-F355CC55809E}">
  <dimension ref="B2:B6"/>
  <sheetViews>
    <sheetView showGridLines="0" workbookViewId="0"/>
  </sheetViews>
  <sheetFormatPr defaultRowHeight="15" x14ac:dyDescent="0.25"/>
  <cols>
    <col min="2" max="2" width="187.140625" bestFit="1" customWidth="1"/>
  </cols>
  <sheetData>
    <row r="2" spans="2:2" ht="18" x14ac:dyDescent="0.25">
      <c r="B2" s="116" t="s">
        <v>170</v>
      </c>
    </row>
    <row r="5" spans="2:2" ht="393.75" x14ac:dyDescent="0.25">
      <c r="B5" s="131" t="s">
        <v>171</v>
      </c>
    </row>
    <row r="6" spans="2:2" ht="15.75" x14ac:dyDescent="0.25">
      <c r="B6" s="132"/>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Summary</vt:lpstr>
      <vt:lpstr>Offering &amp; Cap Table</vt:lpstr>
      <vt:lpstr>P&amp;L 2025Q1</vt:lpstr>
      <vt:lpstr>Balance Sheet 2024Q4</vt:lpstr>
      <vt:lpstr>Seller_Note_Schedule</vt:lpstr>
      <vt:lpstr>General Disclosures</vt:lpstr>
      <vt:lpstr>Seller_Note_Schedule!compound_period</vt:lpstr>
      <vt:lpstr>Seller_Note_Schedule!fpdate</vt:lpstr>
      <vt:lpstr>Seller_Note_Schedule!loan_amount</vt:lpstr>
      <vt:lpstr>Seller_Note_Schedule!months_per_period</vt:lpstr>
      <vt:lpstr>Seller_Note_Schedule!nper</vt:lpstr>
      <vt:lpstr>Seller_Note_Schedule!payment</vt:lpstr>
      <vt:lpstr>Seller_Note_Schedule!periods_per_year</vt:lpstr>
      <vt:lpstr>Seller_Note_Schedule!pmtType</vt:lpstr>
      <vt:lpstr>Seller_Note_Schedule!Print_Titles</vt:lpstr>
      <vt:lpstr>Seller_Note_Schedule!rate</vt:lpstr>
      <vt:lpstr>Seller_Note_Schedule!roundOpt</vt:lpstr>
      <vt:lpstr>Seller_Note_Schedule!term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Shahi</dc:creator>
  <cp:lastModifiedBy>Anand Shahi</cp:lastModifiedBy>
  <dcterms:created xsi:type="dcterms:W3CDTF">2024-09-07T06:58:33Z</dcterms:created>
  <dcterms:modified xsi:type="dcterms:W3CDTF">2025-07-30T15:08:17Z</dcterms:modified>
</cp:coreProperties>
</file>