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Rebeca Lopez\Downloads\"/>
    </mc:Choice>
  </mc:AlternateContent>
  <xr:revisionPtr revIDLastSave="33" documentId="8_{EF1919FE-A347-476A-89A1-9B057057E089}" xr6:coauthVersionLast="47" xr6:coauthVersionMax="47" xr10:uidLastSave="{6E3A97F5-6C61-4AFB-ADCC-CB6D75B12E2A}"/>
  <bookViews>
    <workbookView xWindow="-108" yWindow="-108" windowWidth="23256" windowHeight="12456" xr2:uid="{00000000-000D-0000-FFFF-FFFF00000000}"/>
  </bookViews>
  <sheets>
    <sheet name="Version" sheetId="9" r:id="rId1"/>
    <sheet name="A&amp;Rs" sheetId="4" r:id="rId2"/>
    <sheet name="UnitsBreakdown" sheetId="6" r:id="rId3"/>
    <sheet name="Monthly Pro Forma" sheetId="3" r:id="rId4"/>
    <sheet name="YearProForma&amp;Returns" sheetId="8" r:id="rId5"/>
    <sheet name="Amortization Schedule" sheetId="2" state="hidden" r:id="rId6"/>
    <sheet name="Data" sheetId="5" state="hidden" r:id="rId7"/>
  </sheets>
  <definedNames>
    <definedName name="_xlnm.Print_Area" localSheetId="1">'A&amp;Rs'!$F$2:$AA$39</definedName>
    <definedName name="_xlnm.Print_Area" localSheetId="3">'Monthly Pro Forma'!$K$1:$EF$40</definedName>
    <definedName name="_xlnm.Print_Area" localSheetId="4">'YearProForma&amp;Returns'!$B$2:$Q$47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4" l="1"/>
  <c r="V22" i="4"/>
  <c r="X22" i="4" s="1"/>
  <c r="Z22" i="4"/>
  <c r="L3" i="9"/>
  <c r="U20" i="4"/>
  <c r="U14" i="4"/>
  <c r="U12" i="4"/>
  <c r="U11" i="4"/>
  <c r="U10" i="4"/>
  <c r="U13" i="4"/>
  <c r="U15" i="4"/>
  <c r="U16" i="4"/>
  <c r="U17" i="4"/>
  <c r="U18" i="4"/>
  <c r="U19" i="4"/>
  <c r="U21" i="4"/>
  <c r="E6" i="6" l="1"/>
  <c r="E24" i="6" s="1"/>
  <c r="T17" i="6"/>
  <c r="T16" i="6"/>
  <c r="T15" i="6"/>
  <c r="T14" i="6"/>
  <c r="T13" i="6"/>
  <c r="T12" i="6"/>
  <c r="T11" i="6"/>
  <c r="T10" i="6"/>
  <c r="T9" i="6"/>
  <c r="T8" i="6"/>
  <c r="T7" i="6"/>
  <c r="T6" i="6"/>
  <c r="E17" i="6"/>
  <c r="F17" i="6" s="1"/>
  <c r="G17" i="6" s="1"/>
  <c r="H17" i="6" s="1"/>
  <c r="I17" i="6" s="1"/>
  <c r="J17" i="6" s="1"/>
  <c r="K17" i="6" s="1"/>
  <c r="L17" i="6" s="1"/>
  <c r="M17" i="6" s="1"/>
  <c r="N17" i="6" s="1"/>
  <c r="O17" i="6" s="1"/>
  <c r="P17" i="6" s="1"/>
  <c r="Q17" i="6" s="1"/>
  <c r="E16" i="6"/>
  <c r="F16" i="6" s="1"/>
  <c r="G16" i="6" s="1"/>
  <c r="H16" i="6" s="1"/>
  <c r="I16" i="6" s="1"/>
  <c r="J16" i="6" s="1"/>
  <c r="K16" i="6" s="1"/>
  <c r="L16" i="6" s="1"/>
  <c r="M16" i="6" s="1"/>
  <c r="N16" i="6" s="1"/>
  <c r="O16" i="6" s="1"/>
  <c r="P16" i="6" s="1"/>
  <c r="Q16" i="6" s="1"/>
  <c r="E15" i="6"/>
  <c r="F15" i="6" s="1"/>
  <c r="G15" i="6" s="1"/>
  <c r="H15" i="6" s="1"/>
  <c r="I15" i="6" s="1"/>
  <c r="J15" i="6" s="1"/>
  <c r="K15" i="6" s="1"/>
  <c r="L15" i="6" s="1"/>
  <c r="M15" i="6" s="1"/>
  <c r="N15" i="6" s="1"/>
  <c r="O15" i="6" s="1"/>
  <c r="P15" i="6" s="1"/>
  <c r="Q15" i="6" s="1"/>
  <c r="E14" i="6"/>
  <c r="E32" i="6" s="1"/>
  <c r="E13" i="6"/>
  <c r="F13" i="6" s="1"/>
  <c r="G13" i="6" s="1"/>
  <c r="H13" i="6" s="1"/>
  <c r="I13" i="6" s="1"/>
  <c r="J13" i="6" s="1"/>
  <c r="K13" i="6" s="1"/>
  <c r="L13" i="6" s="1"/>
  <c r="M13" i="6" s="1"/>
  <c r="N13" i="6" s="1"/>
  <c r="O13" i="6" s="1"/>
  <c r="P13" i="6" s="1"/>
  <c r="Q13" i="6" s="1"/>
  <c r="E12" i="6"/>
  <c r="E30" i="6" s="1"/>
  <c r="E11" i="6"/>
  <c r="F11" i="6" s="1"/>
  <c r="G11" i="6" s="1"/>
  <c r="H11" i="6" s="1"/>
  <c r="I11" i="6" s="1"/>
  <c r="J11" i="6" s="1"/>
  <c r="K11" i="6" s="1"/>
  <c r="L11" i="6" s="1"/>
  <c r="M11" i="6" s="1"/>
  <c r="N11" i="6" s="1"/>
  <c r="O11" i="6" s="1"/>
  <c r="P11" i="6" s="1"/>
  <c r="Q11" i="6" s="1"/>
  <c r="E10" i="6"/>
  <c r="F10" i="6" s="1"/>
  <c r="G10" i="6" s="1"/>
  <c r="H10" i="6" s="1"/>
  <c r="I10" i="6" s="1"/>
  <c r="J10" i="6" s="1"/>
  <c r="K10" i="6" s="1"/>
  <c r="L10" i="6" s="1"/>
  <c r="M10" i="6" s="1"/>
  <c r="N10" i="6" s="1"/>
  <c r="O10" i="6" s="1"/>
  <c r="P10" i="6" s="1"/>
  <c r="Q10" i="6" s="1"/>
  <c r="E9" i="6"/>
  <c r="F9" i="6" s="1"/>
  <c r="G9" i="6" s="1"/>
  <c r="H9" i="6" s="1"/>
  <c r="I9" i="6" s="1"/>
  <c r="J9" i="6" s="1"/>
  <c r="K9" i="6" s="1"/>
  <c r="L9" i="6" s="1"/>
  <c r="M9" i="6" s="1"/>
  <c r="N9" i="6" s="1"/>
  <c r="O9" i="6" s="1"/>
  <c r="P9" i="6" s="1"/>
  <c r="Q9" i="6" s="1"/>
  <c r="E8" i="6"/>
  <c r="F8" i="6" s="1"/>
  <c r="G8" i="6" s="1"/>
  <c r="H8" i="6" s="1"/>
  <c r="I8" i="6" s="1"/>
  <c r="J8" i="6" s="1"/>
  <c r="K8" i="6" s="1"/>
  <c r="L8" i="6" s="1"/>
  <c r="M8" i="6" s="1"/>
  <c r="N8" i="6" s="1"/>
  <c r="O8" i="6" s="1"/>
  <c r="P8" i="6" s="1"/>
  <c r="Q8" i="6" s="1"/>
  <c r="E7" i="6"/>
  <c r="F7" i="6" s="1"/>
  <c r="G7" i="6" s="1"/>
  <c r="H7" i="6" s="1"/>
  <c r="I7" i="6" s="1"/>
  <c r="J7" i="6" s="1"/>
  <c r="K7" i="6" s="1"/>
  <c r="L7" i="6" s="1"/>
  <c r="M7" i="6" s="1"/>
  <c r="N7" i="6" s="1"/>
  <c r="O7" i="6" s="1"/>
  <c r="P7" i="6" s="1"/>
  <c r="Q7" i="6" s="1"/>
  <c r="K18" i="4"/>
  <c r="H28" i="4"/>
  <c r="K19" i="4"/>
  <c r="F14" i="6" l="1"/>
  <c r="G14" i="6" s="1"/>
  <c r="H14" i="6" s="1"/>
  <c r="I14" i="6" s="1"/>
  <c r="J14" i="6" s="1"/>
  <c r="K14" i="6" s="1"/>
  <c r="L14" i="6" s="1"/>
  <c r="M14" i="6" s="1"/>
  <c r="N14" i="6" s="1"/>
  <c r="O14" i="6" s="1"/>
  <c r="P14" i="6" s="1"/>
  <c r="Q14" i="6" s="1"/>
  <c r="E35" i="6"/>
  <c r="E29" i="6"/>
  <c r="E33" i="6"/>
  <c r="E34" i="6"/>
  <c r="E31" i="6"/>
  <c r="E28" i="6"/>
  <c r="E26" i="6"/>
  <c r="E25" i="6"/>
  <c r="F12" i="6"/>
  <c r="G12" i="6" s="1"/>
  <c r="H12" i="6" s="1"/>
  <c r="I12" i="6" s="1"/>
  <c r="J12" i="6" s="1"/>
  <c r="K12" i="6" s="1"/>
  <c r="L12" i="6" s="1"/>
  <c r="M12" i="6" s="1"/>
  <c r="N12" i="6" s="1"/>
  <c r="O12" i="6" s="1"/>
  <c r="P12" i="6" s="1"/>
  <c r="Q12" i="6" s="1"/>
  <c r="F6" i="6"/>
  <c r="G6" i="6" s="1"/>
  <c r="H6" i="6" s="1"/>
  <c r="I6" i="6" s="1"/>
  <c r="J6" i="6" s="1"/>
  <c r="K6" i="6" s="1"/>
  <c r="L6" i="6" s="1"/>
  <c r="M6" i="6" s="1"/>
  <c r="N6" i="6" s="1"/>
  <c r="O6" i="6" s="1"/>
  <c r="P6" i="6" s="1"/>
  <c r="Q6" i="6" s="1"/>
  <c r="E27" i="6"/>
  <c r="H17" i="4" l="1"/>
  <c r="H19" i="4"/>
  <c r="H18" i="4"/>
  <c r="H16" i="4"/>
  <c r="N33" i="3" l="1"/>
  <c r="M25" i="8"/>
  <c r="K11" i="4" l="1"/>
  <c r="D35" i="6" l="1"/>
  <c r="D25" i="6"/>
  <c r="D26" i="6"/>
  <c r="D27" i="6"/>
  <c r="D28" i="6"/>
  <c r="D29" i="6"/>
  <c r="D30" i="6"/>
  <c r="D31" i="6"/>
  <c r="D32" i="6"/>
  <c r="D33" i="6"/>
  <c r="D34" i="6"/>
  <c r="D24" i="6"/>
  <c r="G58" i="4"/>
  <c r="C22" i="8"/>
  <c r="D13" i="6" l="1"/>
  <c r="S13" i="6"/>
  <c r="D15" i="6"/>
  <c r="S15" i="6"/>
  <c r="D11" i="6"/>
  <c r="S11" i="6"/>
  <c r="D7" i="6"/>
  <c r="S7" i="6"/>
  <c r="D14" i="6"/>
  <c r="S14" i="6"/>
  <c r="D10" i="6"/>
  <c r="S10" i="6"/>
  <c r="D17" i="6"/>
  <c r="S17" i="6"/>
  <c r="D6" i="6"/>
  <c r="S6" i="6"/>
  <c r="D9" i="6"/>
  <c r="S9" i="6"/>
  <c r="D16" i="6"/>
  <c r="S16" i="6"/>
  <c r="D12" i="6"/>
  <c r="S12" i="6"/>
  <c r="D8" i="6"/>
  <c r="S8" i="6"/>
  <c r="Z24" i="4"/>
  <c r="K20" i="4" s="1"/>
  <c r="O13" i="3" l="1"/>
  <c r="Z17" i="3"/>
  <c r="Y17" i="3"/>
  <c r="X17" i="3"/>
  <c r="W17" i="3"/>
  <c r="V17" i="3"/>
  <c r="U17" i="3"/>
  <c r="T17" i="3"/>
  <c r="S17" i="3"/>
  <c r="R17" i="3"/>
  <c r="Q17" i="3"/>
  <c r="P17" i="3"/>
  <c r="Z16" i="3"/>
  <c r="Y16" i="3"/>
  <c r="X16" i="3"/>
  <c r="W16" i="3"/>
  <c r="V16" i="3"/>
  <c r="U16" i="3"/>
  <c r="T16" i="3"/>
  <c r="S16" i="3"/>
  <c r="R16" i="3"/>
  <c r="Q16" i="3"/>
  <c r="P16" i="3"/>
  <c r="Z15" i="3"/>
  <c r="Y15" i="3"/>
  <c r="X15" i="3"/>
  <c r="W15" i="3"/>
  <c r="V15" i="3"/>
  <c r="U15" i="3"/>
  <c r="T15" i="3"/>
  <c r="S15" i="3"/>
  <c r="R15" i="3"/>
  <c r="Q15" i="3"/>
  <c r="P15" i="3"/>
  <c r="Z14" i="3"/>
  <c r="Y14" i="3"/>
  <c r="X14" i="3"/>
  <c r="W14" i="3"/>
  <c r="V14" i="3"/>
  <c r="U14" i="3"/>
  <c r="T14" i="3"/>
  <c r="S14" i="3"/>
  <c r="R14" i="3"/>
  <c r="Q14" i="3"/>
  <c r="P14" i="3"/>
  <c r="Z13" i="3"/>
  <c r="Y13" i="3"/>
  <c r="X13" i="3"/>
  <c r="W13" i="3"/>
  <c r="V13" i="3"/>
  <c r="U13" i="3"/>
  <c r="T13" i="3"/>
  <c r="S13" i="3"/>
  <c r="R13" i="3"/>
  <c r="Q13" i="3"/>
  <c r="P13" i="3"/>
  <c r="O17" i="3"/>
  <c r="O16" i="3"/>
  <c r="O15" i="3"/>
  <c r="O14" i="3"/>
  <c r="N5" i="3"/>
  <c r="E23" i="6"/>
  <c r="X10" i="4"/>
  <c r="X11" i="4"/>
  <c r="X12" i="4"/>
  <c r="X13" i="4"/>
  <c r="X14" i="4"/>
  <c r="X15" i="4"/>
  <c r="X16" i="4"/>
  <c r="X17" i="4"/>
  <c r="X20" i="4"/>
  <c r="X19" i="4"/>
  <c r="X18" i="4"/>
  <c r="X21" i="4"/>
  <c r="S23" i="4"/>
  <c r="K33" i="4"/>
  <c r="D29" i="8"/>
  <c r="H27" i="4"/>
  <c r="H26" i="4"/>
  <c r="H15" i="4"/>
  <c r="H22" i="4" s="1"/>
  <c r="J6" i="4" l="1"/>
  <c r="DY3" i="5"/>
  <c r="U26" i="4"/>
  <c r="S18" i="3"/>
  <c r="W18" i="3"/>
  <c r="P18" i="3"/>
  <c r="T18" i="3"/>
  <c r="X18" i="3"/>
  <c r="Q18" i="3"/>
  <c r="U18" i="3"/>
  <c r="Y18" i="3"/>
  <c r="R18" i="3"/>
  <c r="V18" i="3"/>
  <c r="Z18" i="3"/>
  <c r="O18" i="3"/>
  <c r="D34" i="8" l="1"/>
  <c r="C35" i="8"/>
  <c r="C36" i="8"/>
  <c r="C37" i="8"/>
  <c r="C38" i="8"/>
  <c r="C39" i="8"/>
  <c r="C40" i="8"/>
  <c r="C42" i="8"/>
  <c r="C44" i="8"/>
  <c r="C20" i="8"/>
  <c r="C21" i="8"/>
  <c r="C24" i="8"/>
  <c r="C34" i="8" s="1"/>
  <c r="C5" i="8"/>
  <c r="C6" i="8"/>
  <c r="C7" i="8"/>
  <c r="C9" i="8"/>
  <c r="C16" i="8"/>
  <c r="C18" i="8"/>
  <c r="A43" i="6"/>
  <c r="A44" i="6"/>
  <c r="A45" i="6"/>
  <c r="A46" i="6"/>
  <c r="A47" i="6"/>
  <c r="A48" i="6"/>
  <c r="A49" i="6"/>
  <c r="A50" i="6"/>
  <c r="A51" i="6"/>
  <c r="A52" i="6"/>
  <c r="A53" i="6"/>
  <c r="A54" i="6"/>
  <c r="A42" i="6"/>
  <c r="H6" i="4"/>
  <c r="AC21" i="6" l="1"/>
  <c r="AO21" i="6" s="1"/>
  <c r="BA21" i="6" s="1"/>
  <c r="BM21" i="6" s="1"/>
  <c r="BY21" i="6" s="1"/>
  <c r="CK21" i="6" s="1"/>
  <c r="CW21" i="6" s="1"/>
  <c r="DI21" i="6" s="1"/>
  <c r="DU21" i="6" s="1"/>
  <c r="EG21" i="6" s="1"/>
  <c r="AB21" i="6"/>
  <c r="AN21" i="6" s="1"/>
  <c r="AZ21" i="6" s="1"/>
  <c r="BL21" i="6" s="1"/>
  <c r="BX21" i="6" s="1"/>
  <c r="CJ21" i="6" s="1"/>
  <c r="CV21" i="6" s="1"/>
  <c r="DH21" i="6" s="1"/>
  <c r="DT21" i="6" s="1"/>
  <c r="EF21" i="6" s="1"/>
  <c r="AA21" i="6"/>
  <c r="AM21" i="6" s="1"/>
  <c r="AY21" i="6" s="1"/>
  <c r="BK21" i="6" s="1"/>
  <c r="BW21" i="6" s="1"/>
  <c r="CI21" i="6" s="1"/>
  <c r="CU21" i="6" s="1"/>
  <c r="DG21" i="6" s="1"/>
  <c r="DS21" i="6" s="1"/>
  <c r="EE21" i="6" s="1"/>
  <c r="Z21" i="6"/>
  <c r="AL21" i="6" s="1"/>
  <c r="AX21" i="6" s="1"/>
  <c r="BJ21" i="6" s="1"/>
  <c r="BV21" i="6" s="1"/>
  <c r="CH21" i="6" s="1"/>
  <c r="CT21" i="6" s="1"/>
  <c r="DF21" i="6" s="1"/>
  <c r="DR21" i="6" s="1"/>
  <c r="ED21" i="6" s="1"/>
  <c r="Y21" i="6"/>
  <c r="AK21" i="6" s="1"/>
  <c r="AW21" i="6" s="1"/>
  <c r="BI21" i="6" s="1"/>
  <c r="BU21" i="6" s="1"/>
  <c r="CG21" i="6" s="1"/>
  <c r="CS21" i="6" s="1"/>
  <c r="DE21" i="6" s="1"/>
  <c r="DQ21" i="6" s="1"/>
  <c r="EC21" i="6" s="1"/>
  <c r="X21" i="6"/>
  <c r="AJ21" i="6" s="1"/>
  <c r="AV21" i="6" s="1"/>
  <c r="BH21" i="6" s="1"/>
  <c r="BT21" i="6" s="1"/>
  <c r="CF21" i="6" s="1"/>
  <c r="CR21" i="6" s="1"/>
  <c r="DD21" i="6" s="1"/>
  <c r="DP21" i="6" s="1"/>
  <c r="EB21" i="6" s="1"/>
  <c r="W21" i="6"/>
  <c r="AI21" i="6" s="1"/>
  <c r="AU21" i="6" s="1"/>
  <c r="BG21" i="6" s="1"/>
  <c r="BS21" i="6" s="1"/>
  <c r="CE21" i="6" s="1"/>
  <c r="CQ21" i="6" s="1"/>
  <c r="DC21" i="6" s="1"/>
  <c r="DO21" i="6" s="1"/>
  <c r="EA21" i="6" s="1"/>
  <c r="V21" i="6"/>
  <c r="AH21" i="6" s="1"/>
  <c r="AT21" i="6" s="1"/>
  <c r="BF21" i="6" s="1"/>
  <c r="BR21" i="6" s="1"/>
  <c r="CD21" i="6" s="1"/>
  <c r="CP21" i="6" s="1"/>
  <c r="DB21" i="6" s="1"/>
  <c r="DN21" i="6" s="1"/>
  <c r="DZ21" i="6" s="1"/>
  <c r="U21" i="6"/>
  <c r="AG21" i="6" s="1"/>
  <c r="AS21" i="6" s="1"/>
  <c r="BE21" i="6" s="1"/>
  <c r="BQ21" i="6" s="1"/>
  <c r="CC21" i="6" s="1"/>
  <c r="CO21" i="6" s="1"/>
  <c r="DA21" i="6" s="1"/>
  <c r="DM21" i="6" s="1"/>
  <c r="DY21" i="6" s="1"/>
  <c r="T21" i="6"/>
  <c r="AF21" i="6" s="1"/>
  <c r="AR21" i="6" s="1"/>
  <c r="BD21" i="6" s="1"/>
  <c r="BP21" i="6" s="1"/>
  <c r="CB21" i="6" s="1"/>
  <c r="CN21" i="6" s="1"/>
  <c r="CZ21" i="6" s="1"/>
  <c r="DL21" i="6" s="1"/>
  <c r="DX21" i="6" s="1"/>
  <c r="S21" i="6"/>
  <c r="AE21" i="6" s="1"/>
  <c r="AQ21" i="6" s="1"/>
  <c r="BC21" i="6" s="1"/>
  <c r="BO21" i="6" s="1"/>
  <c r="CA21" i="6" s="1"/>
  <c r="CM21" i="6" s="1"/>
  <c r="CY21" i="6" s="1"/>
  <c r="DK21" i="6" s="1"/>
  <c r="DW21" i="6" s="1"/>
  <c r="R21" i="6"/>
  <c r="EQ21" i="6" l="1"/>
  <c r="EE37" i="6"/>
  <c r="EE38" i="6" s="1"/>
  <c r="EE39" i="6" s="1"/>
  <c r="EL21" i="6"/>
  <c r="DZ37" i="6"/>
  <c r="DZ38" i="6" s="1"/>
  <c r="DZ39" i="6" s="1"/>
  <c r="EP21" i="6"/>
  <c r="ED37" i="6"/>
  <c r="ED38" i="6" s="1"/>
  <c r="ED39" i="6" s="1"/>
  <c r="EI21" i="6"/>
  <c r="DW37" i="6"/>
  <c r="DW38" i="6" s="1"/>
  <c r="DW39" i="6" s="1"/>
  <c r="EJ21" i="6"/>
  <c r="DX37" i="6"/>
  <c r="DX38" i="6" s="1"/>
  <c r="DX39" i="6" s="1"/>
  <c r="EN21" i="6"/>
  <c r="EB37" i="6"/>
  <c r="EB38" i="6" s="1"/>
  <c r="EB39" i="6" s="1"/>
  <c r="ER21" i="6"/>
  <c r="EF37" i="6"/>
  <c r="EF38" i="6" s="1"/>
  <c r="EF39" i="6" s="1"/>
  <c r="EM21" i="6"/>
  <c r="EA37" i="6"/>
  <c r="EA38" i="6" s="1"/>
  <c r="EA39" i="6" s="1"/>
  <c r="EK21" i="6"/>
  <c r="DY37" i="6"/>
  <c r="DY38" i="6" s="1"/>
  <c r="DY39" i="6" s="1"/>
  <c r="EO21" i="6"/>
  <c r="EC37" i="6"/>
  <c r="EC38" i="6" s="1"/>
  <c r="EC39" i="6" s="1"/>
  <c r="ES21" i="6"/>
  <c r="EG37" i="6"/>
  <c r="EG38" i="6" s="1"/>
  <c r="EG39" i="6" s="1"/>
  <c r="E37" i="6"/>
  <c r="E38" i="6" s="1"/>
  <c r="E39" i="6" s="1"/>
  <c r="AD21" i="6"/>
  <c r="FD21" i="6" l="1"/>
  <c r="ER37" i="6"/>
  <c r="ER38" i="6" s="1"/>
  <c r="ER39" i="6" s="1"/>
  <c r="FA21" i="6"/>
  <c r="EO37" i="6"/>
  <c r="EO38" i="6" s="1"/>
  <c r="EO39" i="6" s="1"/>
  <c r="EZ21" i="6"/>
  <c r="EN37" i="6"/>
  <c r="EN38" i="6" s="1"/>
  <c r="EN39" i="6" s="1"/>
  <c r="EX21" i="6"/>
  <c r="EL37" i="6"/>
  <c r="EL38" i="6" s="1"/>
  <c r="EL39" i="6" s="1"/>
  <c r="FE21" i="6"/>
  <c r="ES37" i="6"/>
  <c r="ES38" i="6" s="1"/>
  <c r="ES39" i="6" s="1"/>
  <c r="EY21" i="6"/>
  <c r="EM39" i="6"/>
  <c r="EM37" i="6"/>
  <c r="EM38" i="6" s="1"/>
  <c r="EU21" i="6"/>
  <c r="EI37" i="6"/>
  <c r="EI38" i="6" s="1"/>
  <c r="EI39" i="6" s="1"/>
  <c r="FB21" i="6"/>
  <c r="EP37" i="6"/>
  <c r="EP38" i="6" s="1"/>
  <c r="EP39" i="6" s="1"/>
  <c r="EW21" i="6"/>
  <c r="EK37" i="6"/>
  <c r="EK38" i="6" s="1"/>
  <c r="EK39" i="6" s="1"/>
  <c r="EV21" i="6"/>
  <c r="EJ37" i="6"/>
  <c r="EJ38" i="6" s="1"/>
  <c r="EJ39" i="6" s="1"/>
  <c r="FC21" i="6"/>
  <c r="EQ37" i="6"/>
  <c r="EQ38" i="6" s="1"/>
  <c r="EQ39" i="6" s="1"/>
  <c r="O11" i="4"/>
  <c r="AP21" i="6"/>
  <c r="BB21" i="6" s="1"/>
  <c r="BN21" i="6" s="1"/>
  <c r="BZ21" i="6" s="1"/>
  <c r="CL21" i="6" s="1"/>
  <c r="CX21" i="6" s="1"/>
  <c r="DJ21" i="6" s="1"/>
  <c r="DV21" i="6" s="1"/>
  <c r="FC37" i="6" l="1"/>
  <c r="FC38" i="6" s="1"/>
  <c r="FC39" i="6" s="1"/>
  <c r="EU37" i="6"/>
  <c r="EU38" i="6" s="1"/>
  <c r="EU39" i="6" s="1"/>
  <c r="EZ37" i="6"/>
  <c r="EZ38" i="6" s="1"/>
  <c r="EZ39" i="6" s="1"/>
  <c r="EH21" i="6"/>
  <c r="DV37" i="6"/>
  <c r="DV38" i="6" s="1"/>
  <c r="DV39" i="6" s="1"/>
  <c r="EV37" i="6"/>
  <c r="EV38" i="6" s="1"/>
  <c r="EV39" i="6" s="1"/>
  <c r="EY37" i="6"/>
  <c r="EY38" i="6" s="1"/>
  <c r="EY39" i="6" s="1"/>
  <c r="FA37" i="6"/>
  <c r="FA38" i="6" s="1"/>
  <c r="FA39" i="6" s="1"/>
  <c r="FB37" i="6"/>
  <c r="FB38" i="6" s="1"/>
  <c r="FB39" i="6" s="1"/>
  <c r="EX37" i="6"/>
  <c r="EX38" i="6" s="1"/>
  <c r="EX39" i="6" s="1"/>
  <c r="EW37" i="6"/>
  <c r="EW38" i="6" s="1"/>
  <c r="EW39" i="6" s="1"/>
  <c r="FE37" i="6"/>
  <c r="FE38" i="6" s="1"/>
  <c r="FE39" i="6" s="1"/>
  <c r="FD37" i="6"/>
  <c r="FD38" i="6" s="1"/>
  <c r="FD39" i="6" s="1"/>
  <c r="L16" i="3"/>
  <c r="C14" i="8" s="1"/>
  <c r="L17" i="3"/>
  <c r="C15" i="8" s="1"/>
  <c r="L13" i="3"/>
  <c r="L14" i="3"/>
  <c r="C12" i="8" s="1"/>
  <c r="L15" i="3"/>
  <c r="C13" i="8" s="1"/>
  <c r="L12" i="3"/>
  <c r="C10" i="8" s="1"/>
  <c r="K29" i="4"/>
  <c r="ET21" i="6" l="1"/>
  <c r="EH37" i="6"/>
  <c r="EH38" i="6" s="1"/>
  <c r="EH39" i="6" s="1"/>
  <c r="N34" i="3"/>
  <c r="ET37" i="6" l="1"/>
  <c r="ET38" i="6" s="1"/>
  <c r="ET39" i="6" s="1"/>
  <c r="C5" i="2"/>
  <c r="C4" i="2"/>
  <c r="B6" i="2"/>
  <c r="B3" i="2"/>
  <c r="B4" i="2"/>
  <c r="B5" i="2"/>
  <c r="B2" i="2"/>
  <c r="Q12" i="3" l="1"/>
  <c r="O4" i="3"/>
  <c r="O33" i="3" s="1"/>
  <c r="AL3" i="3"/>
  <c r="AK3" i="3"/>
  <c r="AJ3" i="3"/>
  <c r="AI3" i="3"/>
  <c r="AH3" i="3"/>
  <c r="AG3" i="3"/>
  <c r="AF3" i="3"/>
  <c r="AE3" i="3"/>
  <c r="AD3" i="3"/>
  <c r="AC3" i="3"/>
  <c r="AB3" i="3"/>
  <c r="AA3" i="3"/>
  <c r="AD16" i="3" l="1"/>
  <c r="AD17" i="3"/>
  <c r="AD15" i="3"/>
  <c r="AD13" i="3"/>
  <c r="AD14" i="3"/>
  <c r="AA17" i="3"/>
  <c r="AA15" i="3"/>
  <c r="AA16" i="3"/>
  <c r="AA14" i="3"/>
  <c r="AA13" i="3"/>
  <c r="AE17" i="3"/>
  <c r="AE15" i="3"/>
  <c r="AE16" i="3"/>
  <c r="AE13" i="3"/>
  <c r="AE14" i="3"/>
  <c r="AI17" i="3"/>
  <c r="AI15" i="3"/>
  <c r="AI16" i="3"/>
  <c r="AI14" i="3"/>
  <c r="AI13" i="3"/>
  <c r="AB15" i="3"/>
  <c r="AB16" i="3"/>
  <c r="AB17" i="3"/>
  <c r="AB14" i="3"/>
  <c r="AB13" i="3"/>
  <c r="AF15" i="3"/>
  <c r="AF16" i="3"/>
  <c r="AF17" i="3"/>
  <c r="AF13" i="3"/>
  <c r="AF14" i="3"/>
  <c r="AJ15" i="3"/>
  <c r="AJ16" i="3"/>
  <c r="AJ17" i="3"/>
  <c r="AJ14" i="3"/>
  <c r="AJ13" i="3"/>
  <c r="AC15" i="3"/>
  <c r="AC16" i="3"/>
  <c r="AC17" i="3"/>
  <c r="AC13" i="3"/>
  <c r="AC14" i="3"/>
  <c r="AG15" i="3"/>
  <c r="AG16" i="3"/>
  <c r="AG17" i="3"/>
  <c r="AG13" i="3"/>
  <c r="AG14" i="3"/>
  <c r="AK15" i="3"/>
  <c r="AK16" i="3"/>
  <c r="AK17" i="3"/>
  <c r="AK13" i="3"/>
  <c r="AK14" i="3"/>
  <c r="AH16" i="3"/>
  <c r="AH17" i="3"/>
  <c r="AH15" i="3"/>
  <c r="AH13" i="3"/>
  <c r="AH14" i="3"/>
  <c r="AL16" i="3"/>
  <c r="AL17" i="3"/>
  <c r="AL15" i="3"/>
  <c r="AL13" i="3"/>
  <c r="AL14" i="3"/>
  <c r="O34" i="3"/>
  <c r="AN3" i="3"/>
  <c r="P4" i="3"/>
  <c r="P33" i="3" s="1"/>
  <c r="AR3" i="3"/>
  <c r="AV3" i="3"/>
  <c r="AM3" i="3"/>
  <c r="AQ3" i="3"/>
  <c r="AU3" i="3"/>
  <c r="AO3" i="3"/>
  <c r="AS3" i="3"/>
  <c r="AW3" i="3"/>
  <c r="AP3" i="3"/>
  <c r="AT3" i="3"/>
  <c r="AX3" i="3"/>
  <c r="N35" i="3"/>
  <c r="N36" i="3" s="1"/>
  <c r="AI18" i="3" l="1"/>
  <c r="AD18" i="3"/>
  <c r="AU17" i="3"/>
  <c r="AU15" i="3"/>
  <c r="AU16" i="3"/>
  <c r="AU14" i="3"/>
  <c r="AU13" i="3"/>
  <c r="AX16" i="3"/>
  <c r="AX17" i="3"/>
  <c r="AX15" i="3"/>
  <c r="AX13" i="3"/>
  <c r="AX14" i="3"/>
  <c r="AS15" i="3"/>
  <c r="AS16" i="3"/>
  <c r="AS17" i="3"/>
  <c r="AS13" i="3"/>
  <c r="AS14" i="3"/>
  <c r="AM17" i="3"/>
  <c r="AM15" i="3"/>
  <c r="AM16" i="3"/>
  <c r="AM13" i="3"/>
  <c r="AM14" i="3"/>
  <c r="AN15" i="3"/>
  <c r="AN16" i="3"/>
  <c r="AN17" i="3"/>
  <c r="AN13" i="3"/>
  <c r="AN14" i="3"/>
  <c r="AB18" i="3"/>
  <c r="AT16" i="3"/>
  <c r="AT17" i="3"/>
  <c r="AT15" i="3"/>
  <c r="AT13" i="3"/>
  <c r="AT14" i="3"/>
  <c r="AO15" i="3"/>
  <c r="AO16" i="3"/>
  <c r="AO17" i="3"/>
  <c r="AO13" i="3"/>
  <c r="AO14" i="3"/>
  <c r="AV15" i="3"/>
  <c r="AV16" i="3"/>
  <c r="AV17" i="3"/>
  <c r="AV13" i="3"/>
  <c r="AV14" i="3"/>
  <c r="AH18" i="3"/>
  <c r="AG18" i="3"/>
  <c r="AE18" i="3"/>
  <c r="AA18" i="3"/>
  <c r="AP16" i="3"/>
  <c r="AP17" i="3"/>
  <c r="AP15" i="3"/>
  <c r="AP13" i="3"/>
  <c r="AP14" i="3"/>
  <c r="AW15" i="3"/>
  <c r="AW16" i="3"/>
  <c r="AW17" i="3"/>
  <c r="AW13" i="3"/>
  <c r="AW14" i="3"/>
  <c r="AQ17" i="3"/>
  <c r="AQ15" i="3"/>
  <c r="AQ16" i="3"/>
  <c r="AQ14" i="3"/>
  <c r="AQ13" i="3"/>
  <c r="AK18" i="3"/>
  <c r="AC18" i="3"/>
  <c r="AF18" i="3"/>
  <c r="AR15" i="3"/>
  <c r="AR16" i="3"/>
  <c r="AR17" i="3"/>
  <c r="AR14" i="3"/>
  <c r="AR13" i="3"/>
  <c r="AL18" i="3"/>
  <c r="AJ18" i="3"/>
  <c r="F23" i="6"/>
  <c r="O5" i="3"/>
  <c r="AZ3" i="3"/>
  <c r="P34" i="3"/>
  <c r="P35" i="3"/>
  <c r="Q4" i="3"/>
  <c r="Q33" i="3" s="1"/>
  <c r="BJ3" i="3"/>
  <c r="BA3" i="3"/>
  <c r="BB3" i="3"/>
  <c r="BI3" i="3"/>
  <c r="BG3" i="3"/>
  <c r="BH3" i="3"/>
  <c r="AY3" i="3"/>
  <c r="BF3" i="3"/>
  <c r="BE3" i="3"/>
  <c r="O35" i="3"/>
  <c r="BC3" i="3"/>
  <c r="BD3" i="3"/>
  <c r="AR18" i="3" l="1"/>
  <c r="AQ18" i="3"/>
  <c r="AO18" i="3"/>
  <c r="BD15" i="3"/>
  <c r="BD16" i="3"/>
  <c r="BD17" i="3"/>
  <c r="BD14" i="3"/>
  <c r="BD13" i="3"/>
  <c r="BF16" i="3"/>
  <c r="BF17" i="3"/>
  <c r="BF15" i="3"/>
  <c r="BF13" i="3"/>
  <c r="BF14" i="3"/>
  <c r="BI15" i="3"/>
  <c r="BI16" i="3"/>
  <c r="BI17" i="3"/>
  <c r="BI13" i="3"/>
  <c r="BI14" i="3"/>
  <c r="AW18" i="3"/>
  <c r="AN18" i="3"/>
  <c r="AS18" i="3"/>
  <c r="BC17" i="3"/>
  <c r="BC15" i="3"/>
  <c r="BC16" i="3"/>
  <c r="BC14" i="3"/>
  <c r="BC13" i="3"/>
  <c r="AY17" i="3"/>
  <c r="AY15" i="3"/>
  <c r="AY16" i="3"/>
  <c r="AY13" i="3"/>
  <c r="AY14" i="3"/>
  <c r="BB16" i="3"/>
  <c r="BB17" i="3"/>
  <c r="BB15" i="3"/>
  <c r="BB13" i="3"/>
  <c r="BB14" i="3"/>
  <c r="AM18" i="3"/>
  <c r="AX18" i="3"/>
  <c r="AU18" i="3"/>
  <c r="BH15" i="3"/>
  <c r="BH16" i="3"/>
  <c r="BH17" i="3"/>
  <c r="BH13" i="3"/>
  <c r="BH14" i="3"/>
  <c r="BA15" i="3"/>
  <c r="BA16" i="3"/>
  <c r="BA17" i="3"/>
  <c r="BA13" i="3"/>
  <c r="BA14" i="3"/>
  <c r="F43" i="6"/>
  <c r="F42" i="6"/>
  <c r="F54" i="6"/>
  <c r="F53" i="6"/>
  <c r="F51" i="6"/>
  <c r="F50" i="6"/>
  <c r="F52" i="6"/>
  <c r="F49" i="6"/>
  <c r="F47" i="6"/>
  <c r="F46" i="6"/>
  <c r="F48" i="6"/>
  <c r="F45" i="6"/>
  <c r="F44" i="6"/>
  <c r="BE15" i="3"/>
  <c r="BE16" i="3"/>
  <c r="BE17" i="3"/>
  <c r="BE13" i="3"/>
  <c r="BE14" i="3"/>
  <c r="BG17" i="3"/>
  <c r="BG15" i="3"/>
  <c r="BG16" i="3"/>
  <c r="BG13" i="3"/>
  <c r="BG14" i="3"/>
  <c r="BJ16" i="3"/>
  <c r="BJ17" i="3"/>
  <c r="BJ15" i="3"/>
  <c r="BJ13" i="3"/>
  <c r="BJ14" i="3"/>
  <c r="AZ15" i="3"/>
  <c r="AZ16" i="3"/>
  <c r="AZ17" i="3"/>
  <c r="AZ13" i="3"/>
  <c r="AZ14" i="3"/>
  <c r="AP18" i="3"/>
  <c r="AV18" i="3"/>
  <c r="AT18" i="3"/>
  <c r="O36" i="3"/>
  <c r="E56" i="6"/>
  <c r="G23" i="6"/>
  <c r="P5" i="3"/>
  <c r="Q34" i="3"/>
  <c r="BL3" i="3"/>
  <c r="P36" i="3"/>
  <c r="R4" i="3"/>
  <c r="BQ3" i="3"/>
  <c r="BS3" i="3"/>
  <c r="BU3" i="3"/>
  <c r="BN3" i="3"/>
  <c r="BM3" i="3"/>
  <c r="BR3" i="3"/>
  <c r="BV3" i="3"/>
  <c r="BT3" i="3"/>
  <c r="BP3" i="3"/>
  <c r="BO3" i="3"/>
  <c r="BK3" i="3"/>
  <c r="BE18" i="3" l="1"/>
  <c r="BF18" i="3"/>
  <c r="BP15" i="3"/>
  <c r="BP16" i="3"/>
  <c r="BP17" i="3"/>
  <c r="BP14" i="3"/>
  <c r="BP13" i="3"/>
  <c r="BM15" i="3"/>
  <c r="BM16" i="3"/>
  <c r="BM17" i="3"/>
  <c r="BM13" i="3"/>
  <c r="BM14" i="3"/>
  <c r="BQ15" i="3"/>
  <c r="BQ16" i="3"/>
  <c r="BQ17" i="3"/>
  <c r="BQ13" i="3"/>
  <c r="BQ14" i="3"/>
  <c r="BT15" i="3"/>
  <c r="BT16" i="3"/>
  <c r="BT17" i="3"/>
  <c r="BT14" i="3"/>
  <c r="BT13" i="3"/>
  <c r="BN16" i="3"/>
  <c r="BN17" i="3"/>
  <c r="BN15" i="3"/>
  <c r="BN13" i="3"/>
  <c r="BN14" i="3"/>
  <c r="S4" i="3"/>
  <c r="S33" i="3" s="1"/>
  <c r="R33" i="3"/>
  <c r="R35" i="3" s="1"/>
  <c r="BV16" i="3"/>
  <c r="BV17" i="3"/>
  <c r="BV15" i="3"/>
  <c r="BV13" i="3"/>
  <c r="BV14" i="3"/>
  <c r="BU15" i="3"/>
  <c r="BU16" i="3"/>
  <c r="BU17" i="3"/>
  <c r="BU13" i="3"/>
  <c r="BU14" i="3"/>
  <c r="BO17" i="3"/>
  <c r="BO15" i="3"/>
  <c r="BO16" i="3"/>
  <c r="BO13" i="3"/>
  <c r="BO14" i="3"/>
  <c r="BR16" i="3"/>
  <c r="BR17" i="3"/>
  <c r="BR15" i="3"/>
  <c r="BR13" i="3"/>
  <c r="BR14" i="3"/>
  <c r="BS17" i="3"/>
  <c r="BS15" i="3"/>
  <c r="BS16" i="3"/>
  <c r="BS14" i="3"/>
  <c r="BS13" i="3"/>
  <c r="BL15" i="3"/>
  <c r="BL16" i="3"/>
  <c r="BL17" i="3"/>
  <c r="BL14" i="3"/>
  <c r="BL13" i="3"/>
  <c r="BG18" i="3"/>
  <c r="BB18" i="3"/>
  <c r="BC18" i="3"/>
  <c r="BI18" i="3"/>
  <c r="AZ18" i="3"/>
  <c r="BA18" i="3"/>
  <c r="BK17" i="3"/>
  <c r="BK15" i="3"/>
  <c r="BK16" i="3"/>
  <c r="BK14" i="3"/>
  <c r="BK13" i="3"/>
  <c r="G43" i="6"/>
  <c r="G42" i="6"/>
  <c r="G53" i="6"/>
  <c r="G54" i="6"/>
  <c r="G52" i="6"/>
  <c r="G51" i="6"/>
  <c r="G50" i="6"/>
  <c r="G48" i="6"/>
  <c r="G49" i="6"/>
  <c r="G47" i="6"/>
  <c r="G46" i="6"/>
  <c r="G45" i="6"/>
  <c r="G44" i="6"/>
  <c r="BJ18" i="3"/>
  <c r="BH18" i="3"/>
  <c r="AY18" i="3"/>
  <c r="BD18" i="3"/>
  <c r="F56" i="6"/>
  <c r="O23" i="3" s="1"/>
  <c r="O24" i="3" s="1"/>
  <c r="H23" i="6"/>
  <c r="Q5" i="3"/>
  <c r="S34" i="3"/>
  <c r="R34" i="3"/>
  <c r="BX3" i="3"/>
  <c r="Q35" i="3"/>
  <c r="CA3" i="3"/>
  <c r="CB3" i="3"/>
  <c r="CD3" i="3"/>
  <c r="BY3" i="3"/>
  <c r="BZ3" i="3"/>
  <c r="CG3" i="3"/>
  <c r="CE3" i="3"/>
  <c r="CH3" i="3"/>
  <c r="BW3" i="3"/>
  <c r="T4" i="3"/>
  <c r="T33" i="3" s="1"/>
  <c r="CF3" i="3"/>
  <c r="CC3" i="3"/>
  <c r="BP18" i="3" l="1"/>
  <c r="BL18" i="3"/>
  <c r="BK18" i="3"/>
  <c r="BR18" i="3"/>
  <c r="BU18" i="3"/>
  <c r="BN18" i="3"/>
  <c r="BQ18" i="3"/>
  <c r="CF15" i="3"/>
  <c r="CF16" i="3"/>
  <c r="CF17" i="3"/>
  <c r="CF14" i="3"/>
  <c r="CF13" i="3"/>
  <c r="CE17" i="3"/>
  <c r="CE15" i="3"/>
  <c r="CE16" i="3"/>
  <c r="CE13" i="3"/>
  <c r="CE14" i="3"/>
  <c r="CD16" i="3"/>
  <c r="CD17" i="3"/>
  <c r="CD15" i="3"/>
  <c r="CD13" i="3"/>
  <c r="CD14" i="3"/>
  <c r="BX15" i="3"/>
  <c r="BX16" i="3"/>
  <c r="BX17" i="3"/>
  <c r="BX14" i="3"/>
  <c r="BX13" i="3"/>
  <c r="CG15" i="3"/>
  <c r="CG16" i="3"/>
  <c r="CG17" i="3"/>
  <c r="CG13" i="3"/>
  <c r="CG14" i="3"/>
  <c r="CB15" i="3"/>
  <c r="CB16" i="3"/>
  <c r="CB17" i="3"/>
  <c r="CB13" i="3"/>
  <c r="CB14" i="3"/>
  <c r="BS18" i="3"/>
  <c r="BT18" i="3"/>
  <c r="CC15" i="3"/>
  <c r="CC16" i="3"/>
  <c r="CC17" i="3"/>
  <c r="CC13" i="3"/>
  <c r="CC14" i="3"/>
  <c r="CH16" i="3"/>
  <c r="CH17" i="3"/>
  <c r="CH15" i="3"/>
  <c r="CH13" i="3"/>
  <c r="CH14" i="3"/>
  <c r="BY15" i="3"/>
  <c r="BY16" i="3"/>
  <c r="BY17" i="3"/>
  <c r="BY13" i="3"/>
  <c r="BY14" i="3"/>
  <c r="H42" i="6"/>
  <c r="H43" i="6"/>
  <c r="H53" i="6"/>
  <c r="H54" i="6"/>
  <c r="H51" i="6"/>
  <c r="H50" i="6"/>
  <c r="H49" i="6"/>
  <c r="H52" i="6"/>
  <c r="H48" i="6"/>
  <c r="H46" i="6"/>
  <c r="H47" i="6"/>
  <c r="H45" i="6"/>
  <c r="H44" i="6"/>
  <c r="BW17" i="3"/>
  <c r="BW15" i="3"/>
  <c r="BW16" i="3"/>
  <c r="BW14" i="3"/>
  <c r="BW13" i="3"/>
  <c r="BZ16" i="3"/>
  <c r="BZ17" i="3"/>
  <c r="BZ15" i="3"/>
  <c r="BZ13" i="3"/>
  <c r="BZ14" i="3"/>
  <c r="CA17" i="3"/>
  <c r="CA15" i="3"/>
  <c r="CA16" i="3"/>
  <c r="CA14" i="3"/>
  <c r="CA13" i="3"/>
  <c r="BO18" i="3"/>
  <c r="BV18" i="3"/>
  <c r="BM18" i="3"/>
  <c r="Q36" i="3"/>
  <c r="G56" i="6"/>
  <c r="P23" i="3" s="1"/>
  <c r="I23" i="6"/>
  <c r="R5" i="3"/>
  <c r="R36" i="3"/>
  <c r="CJ3" i="3"/>
  <c r="T34" i="3"/>
  <c r="U4" i="3"/>
  <c r="U33" i="3" s="1"/>
  <c r="S35" i="3"/>
  <c r="S36" i="3" s="1"/>
  <c r="CI3" i="3"/>
  <c r="CQ3" i="3"/>
  <c r="CL3" i="3"/>
  <c r="CK3" i="3"/>
  <c r="CP3" i="3"/>
  <c r="CO3" i="3"/>
  <c r="CR3" i="3"/>
  <c r="CS3" i="3"/>
  <c r="CM3" i="3"/>
  <c r="CT3" i="3"/>
  <c r="CN3" i="3"/>
  <c r="CF18" i="3" l="1"/>
  <c r="CA18" i="3"/>
  <c r="CT23" i="3"/>
  <c r="CT16" i="3"/>
  <c r="CT17" i="3"/>
  <c r="CT15" i="3"/>
  <c r="CT13" i="3"/>
  <c r="CT14" i="3"/>
  <c r="CS23" i="3"/>
  <c r="CS15" i="3"/>
  <c r="CS16" i="3"/>
  <c r="CS17" i="3"/>
  <c r="CS13" i="3"/>
  <c r="CS14" i="3"/>
  <c r="CK23" i="3"/>
  <c r="CK15" i="3"/>
  <c r="CK16" i="3"/>
  <c r="CK17" i="3"/>
  <c r="CK13" i="3"/>
  <c r="CK14" i="3"/>
  <c r="CN23" i="3"/>
  <c r="CN15" i="3"/>
  <c r="CN16" i="3"/>
  <c r="CN17" i="3"/>
  <c r="CN14" i="3"/>
  <c r="CN13" i="3"/>
  <c r="CR23" i="3"/>
  <c r="CR15" i="3"/>
  <c r="CR16" i="3"/>
  <c r="CR17" i="3"/>
  <c r="CR14" i="3"/>
  <c r="CR13" i="3"/>
  <c r="CL23" i="3"/>
  <c r="CL16" i="3"/>
  <c r="CL17" i="3"/>
  <c r="CL15" i="3"/>
  <c r="CL13" i="3"/>
  <c r="CL14" i="3"/>
  <c r="BW18" i="3"/>
  <c r="BY18" i="3"/>
  <c r="CB18" i="3"/>
  <c r="CE18" i="3"/>
  <c r="CO23" i="3"/>
  <c r="CO15" i="3"/>
  <c r="CO16" i="3"/>
  <c r="CO17" i="3"/>
  <c r="CO13" i="3"/>
  <c r="CO14" i="3"/>
  <c r="CQ23" i="3"/>
  <c r="CQ17" i="3"/>
  <c r="CQ15" i="3"/>
  <c r="CQ16" i="3"/>
  <c r="CQ13" i="3"/>
  <c r="CQ14" i="3"/>
  <c r="I42" i="6"/>
  <c r="I43" i="6"/>
  <c r="I54" i="6"/>
  <c r="I53" i="6"/>
  <c r="I52" i="6"/>
  <c r="I51" i="6"/>
  <c r="I50" i="6"/>
  <c r="I49" i="6"/>
  <c r="I48" i="6"/>
  <c r="I47" i="6"/>
  <c r="I46" i="6"/>
  <c r="I45" i="6"/>
  <c r="I44" i="6"/>
  <c r="BZ18" i="3"/>
  <c r="CM23" i="3"/>
  <c r="CM17" i="3"/>
  <c r="CM15" i="3"/>
  <c r="CM16" i="3"/>
  <c r="CM14" i="3"/>
  <c r="CM13" i="3"/>
  <c r="CP23" i="3"/>
  <c r="CP16" i="3"/>
  <c r="CP17" i="3"/>
  <c r="CP15" i="3"/>
  <c r="CP13" i="3"/>
  <c r="CP14" i="3"/>
  <c r="CI23" i="3"/>
  <c r="CI17" i="3"/>
  <c r="CI15" i="3"/>
  <c r="CI16" i="3"/>
  <c r="CI14" i="3"/>
  <c r="CI13" i="3"/>
  <c r="CJ23" i="3"/>
  <c r="CJ15" i="3"/>
  <c r="CJ16" i="3"/>
  <c r="CJ17" i="3"/>
  <c r="CJ14" i="3"/>
  <c r="CJ13" i="3"/>
  <c r="CH18" i="3"/>
  <c r="CG18" i="3"/>
  <c r="CD18" i="3"/>
  <c r="CC18" i="3"/>
  <c r="BX18" i="3"/>
  <c r="H56" i="6"/>
  <c r="Q23" i="3" s="1"/>
  <c r="J23" i="6"/>
  <c r="S5" i="3"/>
  <c r="CV3" i="3"/>
  <c r="U34" i="3"/>
  <c r="DB3" i="3"/>
  <c r="DC3" i="3"/>
  <c r="T35" i="3"/>
  <c r="CZ3" i="3"/>
  <c r="DF3" i="3"/>
  <c r="DE3" i="3"/>
  <c r="CW3" i="3"/>
  <c r="CX3" i="3"/>
  <c r="V4" i="3"/>
  <c r="V33" i="3" s="1"/>
  <c r="CY3" i="3"/>
  <c r="CU3" i="3"/>
  <c r="DD3" i="3"/>
  <c r="DA3" i="3"/>
  <c r="CJ18" i="3" l="1"/>
  <c r="CP18" i="3"/>
  <c r="CI18" i="3"/>
  <c r="CM18" i="3"/>
  <c r="CL18" i="3"/>
  <c r="CS18" i="3"/>
  <c r="DD23" i="3"/>
  <c r="DD15" i="3"/>
  <c r="DD16" i="3"/>
  <c r="DD17" i="3"/>
  <c r="DD14" i="3"/>
  <c r="DD13" i="3"/>
  <c r="CX23" i="3"/>
  <c r="CX16" i="3"/>
  <c r="CX17" i="3"/>
  <c r="CX15" i="3"/>
  <c r="CX13" i="3"/>
  <c r="CX14" i="3"/>
  <c r="CZ23" i="3"/>
  <c r="CZ15" i="3"/>
  <c r="CZ16" i="3"/>
  <c r="CZ17" i="3"/>
  <c r="CZ14" i="3"/>
  <c r="CZ13" i="3"/>
  <c r="CO18" i="3"/>
  <c r="CN18" i="3"/>
  <c r="CK18" i="3"/>
  <c r="DF23" i="3"/>
  <c r="DF16" i="3"/>
  <c r="DF17" i="3"/>
  <c r="DF15" i="3"/>
  <c r="DF13" i="3"/>
  <c r="DF14" i="3"/>
  <c r="DB23" i="3"/>
  <c r="DB16" i="3"/>
  <c r="DB17" i="3"/>
  <c r="DB15" i="3"/>
  <c r="DB13" i="3"/>
  <c r="DB14" i="3"/>
  <c r="CU23" i="3"/>
  <c r="CU17" i="3"/>
  <c r="CU15" i="3"/>
  <c r="CU16" i="3"/>
  <c r="CU14" i="3"/>
  <c r="CU13" i="3"/>
  <c r="CW23" i="3"/>
  <c r="CW15" i="3"/>
  <c r="CW16" i="3"/>
  <c r="CW17" i="3"/>
  <c r="CW13" i="3"/>
  <c r="CW14" i="3"/>
  <c r="CV23" i="3"/>
  <c r="CV15" i="3"/>
  <c r="CV16" i="3"/>
  <c r="CV17" i="3"/>
  <c r="CV14" i="3"/>
  <c r="CV13" i="3"/>
  <c r="CQ18" i="3"/>
  <c r="CR18" i="3"/>
  <c r="CY23" i="3"/>
  <c r="CY17" i="3"/>
  <c r="CY15" i="3"/>
  <c r="CY16" i="3"/>
  <c r="CY14" i="3"/>
  <c r="CY13" i="3"/>
  <c r="DE23" i="3"/>
  <c r="DE15" i="3"/>
  <c r="DE16" i="3"/>
  <c r="DE17" i="3"/>
  <c r="DE13" i="3"/>
  <c r="DE14" i="3"/>
  <c r="DC23" i="3"/>
  <c r="DC17" i="3"/>
  <c r="DC15" i="3"/>
  <c r="DC16" i="3"/>
  <c r="DC14" i="3"/>
  <c r="DC13" i="3"/>
  <c r="CT18" i="3"/>
  <c r="DA23" i="3"/>
  <c r="DA15" i="3"/>
  <c r="DA16" i="3"/>
  <c r="DA17" i="3"/>
  <c r="DA13" i="3"/>
  <c r="DA14" i="3"/>
  <c r="J43" i="6"/>
  <c r="J42" i="6"/>
  <c r="J53" i="6"/>
  <c r="J54" i="6"/>
  <c r="J52" i="6"/>
  <c r="J51" i="6"/>
  <c r="J50" i="6"/>
  <c r="J47" i="6"/>
  <c r="J49" i="6"/>
  <c r="J48" i="6"/>
  <c r="J46" i="6"/>
  <c r="J45" i="6"/>
  <c r="J44" i="6"/>
  <c r="T36" i="3"/>
  <c r="I56" i="6"/>
  <c r="R23" i="3" s="1"/>
  <c r="K23" i="6"/>
  <c r="T5" i="3"/>
  <c r="DH3" i="3"/>
  <c r="V34" i="3"/>
  <c r="DM3" i="3"/>
  <c r="DP3" i="3"/>
  <c r="U35" i="3"/>
  <c r="U36" i="3" s="1"/>
  <c r="DI3" i="3"/>
  <c r="DQ3" i="3"/>
  <c r="DO3" i="3"/>
  <c r="W4" i="3"/>
  <c r="W33" i="3" s="1"/>
  <c r="DN3" i="3"/>
  <c r="DK3" i="3"/>
  <c r="DJ3" i="3"/>
  <c r="DG3" i="3"/>
  <c r="DR3" i="3"/>
  <c r="DL3" i="3"/>
  <c r="DC18" i="3" l="1"/>
  <c r="DF18" i="3"/>
  <c r="DA18" i="3"/>
  <c r="DE18" i="3"/>
  <c r="DJ23" i="3"/>
  <c r="DJ16" i="3"/>
  <c r="DJ17" i="3"/>
  <c r="DJ15" i="3"/>
  <c r="DJ13" i="3"/>
  <c r="DJ14" i="3"/>
  <c r="DO23" i="3"/>
  <c r="DO17" i="3"/>
  <c r="DO15" i="3"/>
  <c r="DO16" i="3"/>
  <c r="DO14" i="3"/>
  <c r="DO13" i="3"/>
  <c r="DP23" i="3"/>
  <c r="DP15" i="3"/>
  <c r="DP16" i="3"/>
  <c r="DP17" i="3"/>
  <c r="DP14" i="3"/>
  <c r="DP13" i="3"/>
  <c r="CV18" i="3"/>
  <c r="CW18" i="3"/>
  <c r="CU18" i="3"/>
  <c r="DB18" i="3"/>
  <c r="DD18" i="3"/>
  <c r="DG23" i="3"/>
  <c r="DG17" i="3"/>
  <c r="DG15" i="3"/>
  <c r="M13" i="8" s="1"/>
  <c r="DG16" i="3"/>
  <c r="DG14" i="3"/>
  <c r="M12" i="8" s="1"/>
  <c r="DG13" i="3"/>
  <c r="DH23" i="3"/>
  <c r="DH15" i="3"/>
  <c r="DH16" i="3"/>
  <c r="DH17" i="3"/>
  <c r="DH14" i="3"/>
  <c r="DH13" i="3"/>
  <c r="DL23" i="3"/>
  <c r="DL15" i="3"/>
  <c r="DL16" i="3"/>
  <c r="DL17" i="3"/>
  <c r="DL14" i="3"/>
  <c r="DL13" i="3"/>
  <c r="K43" i="6"/>
  <c r="K42" i="6"/>
  <c r="K54" i="6"/>
  <c r="K52" i="6"/>
  <c r="K53" i="6"/>
  <c r="K51" i="6"/>
  <c r="K50" i="6"/>
  <c r="K48" i="6"/>
  <c r="K49" i="6"/>
  <c r="K47" i="6"/>
  <c r="K46" i="6"/>
  <c r="K45" i="6"/>
  <c r="K44" i="6"/>
  <c r="CY18" i="3"/>
  <c r="DK23" i="3"/>
  <c r="DK17" i="3"/>
  <c r="DK15" i="3"/>
  <c r="DK16" i="3"/>
  <c r="DK14" i="3"/>
  <c r="DK13" i="3"/>
  <c r="DQ23" i="3"/>
  <c r="DQ15" i="3"/>
  <c r="DQ16" i="3"/>
  <c r="DQ17" i="3"/>
  <c r="DQ13" i="3"/>
  <c r="DQ14" i="3"/>
  <c r="DM23" i="3"/>
  <c r="DM15" i="3"/>
  <c r="DM16" i="3"/>
  <c r="DM17" i="3"/>
  <c r="DM13" i="3"/>
  <c r="DM14" i="3"/>
  <c r="DR23" i="3"/>
  <c r="DR16" i="3"/>
  <c r="DR17" i="3"/>
  <c r="DR14" i="3"/>
  <c r="DR15" i="3"/>
  <c r="DR13" i="3"/>
  <c r="DN23" i="3"/>
  <c r="DN16" i="3"/>
  <c r="DN17" i="3"/>
  <c r="DN15" i="3"/>
  <c r="DN13" i="3"/>
  <c r="DN14" i="3"/>
  <c r="DI23" i="3"/>
  <c r="DI15" i="3"/>
  <c r="DI16" i="3"/>
  <c r="DI17" i="3"/>
  <c r="DI13" i="3"/>
  <c r="DI14" i="3"/>
  <c r="CZ18" i="3"/>
  <c r="CX18" i="3"/>
  <c r="J56" i="6"/>
  <c r="S23" i="3" s="1"/>
  <c r="L23" i="6"/>
  <c r="U5" i="3"/>
  <c r="W34" i="3"/>
  <c r="DT3" i="3"/>
  <c r="DU3" i="3"/>
  <c r="ED3" i="3"/>
  <c r="DZ3" i="3"/>
  <c r="X4" i="3"/>
  <c r="X33" i="3" s="1"/>
  <c r="DV3" i="3"/>
  <c r="DW3" i="3"/>
  <c r="EC3" i="3"/>
  <c r="DY3" i="3"/>
  <c r="DX3" i="3"/>
  <c r="DS3" i="3"/>
  <c r="V35" i="3"/>
  <c r="V36" i="3" s="1"/>
  <c r="EA3" i="3"/>
  <c r="EB3" i="3"/>
  <c r="DK18" i="3" l="1"/>
  <c r="DS23" i="3"/>
  <c r="DS17" i="3"/>
  <c r="DS15" i="3"/>
  <c r="DS16" i="3"/>
  <c r="DS14" i="3"/>
  <c r="DS13" i="3"/>
  <c r="L14" i="8"/>
  <c r="L12" i="8"/>
  <c r="G14" i="8"/>
  <c r="DW23" i="3"/>
  <c r="DW17" i="3"/>
  <c r="DW15" i="3"/>
  <c r="DW16" i="3"/>
  <c r="DW14" i="3"/>
  <c r="DW13" i="3"/>
  <c r="ED23" i="3"/>
  <c r="ED16" i="3"/>
  <c r="ED17" i="3"/>
  <c r="ED14" i="3"/>
  <c r="ED15" i="3"/>
  <c r="ED13" i="3"/>
  <c r="F14" i="8"/>
  <c r="F13" i="8"/>
  <c r="F15" i="8"/>
  <c r="F12" i="8"/>
  <c r="G15" i="8"/>
  <c r="F10" i="8"/>
  <c r="K10" i="8"/>
  <c r="I10" i="8"/>
  <c r="N10" i="8"/>
  <c r="E11" i="8"/>
  <c r="E15" i="8"/>
  <c r="L10" i="8"/>
  <c r="E13" i="8"/>
  <c r="J10" i="8"/>
  <c r="F11" i="8"/>
  <c r="E14" i="8"/>
  <c r="E12" i="8"/>
  <c r="M10" i="8"/>
  <c r="G10" i="8"/>
  <c r="G13" i="8"/>
  <c r="H10" i="8"/>
  <c r="H11" i="8"/>
  <c r="H14" i="8"/>
  <c r="G12" i="8"/>
  <c r="G11" i="8"/>
  <c r="E10" i="8"/>
  <c r="EB23" i="3"/>
  <c r="EB15" i="3"/>
  <c r="EB16" i="3"/>
  <c r="EB17" i="3"/>
  <c r="EB14" i="3"/>
  <c r="EB13" i="3"/>
  <c r="K12" i="8"/>
  <c r="J15" i="8"/>
  <c r="L13" i="8"/>
  <c r="H12" i="8"/>
  <c r="L15" i="8"/>
  <c r="K14" i="8"/>
  <c r="I11" i="8"/>
  <c r="EA23" i="3"/>
  <c r="EA17" i="3"/>
  <c r="EA15" i="3"/>
  <c r="EA16" i="3"/>
  <c r="EA14" i="3"/>
  <c r="EA13" i="3"/>
  <c r="DY23" i="3"/>
  <c r="DY15" i="3"/>
  <c r="DY16" i="3"/>
  <c r="DY17" i="3"/>
  <c r="DY14" i="3"/>
  <c r="DY13" i="3"/>
  <c r="DT23" i="3"/>
  <c r="DT15" i="3"/>
  <c r="DT16" i="3"/>
  <c r="DT17" i="3"/>
  <c r="DT14" i="3"/>
  <c r="DT13" i="3"/>
  <c r="J13" i="8"/>
  <c r="E16" i="8"/>
  <c r="H15" i="8"/>
  <c r="DN18" i="3"/>
  <c r="J12" i="8"/>
  <c r="DH18" i="3"/>
  <c r="K15" i="8"/>
  <c r="L11" i="8"/>
  <c r="DO18" i="3"/>
  <c r="DJ18" i="3"/>
  <c r="DX23" i="3"/>
  <c r="DX15" i="3"/>
  <c r="DX16" i="3"/>
  <c r="DX17" i="3"/>
  <c r="DX14" i="3"/>
  <c r="DX13" i="3"/>
  <c r="DV23" i="3"/>
  <c r="DV16" i="3"/>
  <c r="DV17" i="3"/>
  <c r="DV14" i="3"/>
  <c r="DV15" i="3"/>
  <c r="DV13" i="3"/>
  <c r="DU23" i="3"/>
  <c r="DU15" i="3"/>
  <c r="DU16" i="3"/>
  <c r="DU17" i="3"/>
  <c r="DU14" i="3"/>
  <c r="DU13" i="3"/>
  <c r="L42" i="6"/>
  <c r="L43" i="6"/>
  <c r="L53" i="6"/>
  <c r="L54" i="6"/>
  <c r="L51" i="6"/>
  <c r="L50" i="6"/>
  <c r="L52" i="6"/>
  <c r="L49" i="6"/>
  <c r="L46" i="6"/>
  <c r="L47" i="6"/>
  <c r="L48" i="6"/>
  <c r="L44" i="6"/>
  <c r="L45" i="6"/>
  <c r="M11" i="8"/>
  <c r="EC23" i="3"/>
  <c r="EC15" i="3"/>
  <c r="EC16" i="3"/>
  <c r="EC17" i="3"/>
  <c r="EC13" i="3"/>
  <c r="EC14" i="3"/>
  <c r="DZ23" i="3"/>
  <c r="DZ16" i="3"/>
  <c r="DZ17" i="3"/>
  <c r="DZ14" i="3"/>
  <c r="DZ15" i="3"/>
  <c r="DZ13" i="3"/>
  <c r="M14" i="8"/>
  <c r="M15" i="8"/>
  <c r="I15" i="8"/>
  <c r="K13" i="8"/>
  <c r="DI18" i="3"/>
  <c r="DQ18" i="3"/>
  <c r="DL18" i="3"/>
  <c r="DG18" i="3"/>
  <c r="I13" i="8"/>
  <c r="DP18" i="3"/>
  <c r="J11" i="8"/>
  <c r="I14" i="8"/>
  <c r="DR18" i="3"/>
  <c r="DM18" i="3"/>
  <c r="K11" i="8"/>
  <c r="J14" i="8"/>
  <c r="H13" i="8"/>
  <c r="I12" i="8"/>
  <c r="K56" i="6"/>
  <c r="T23" i="3" s="1"/>
  <c r="M23" i="6"/>
  <c r="V5" i="3"/>
  <c r="X34" i="3"/>
  <c r="Y4" i="3"/>
  <c r="Y33" i="3" s="1"/>
  <c r="W35" i="3"/>
  <c r="W36" i="3" s="1"/>
  <c r="N12" i="8" l="1"/>
  <c r="DS18" i="3"/>
  <c r="N13" i="8"/>
  <c r="EA18" i="3"/>
  <c r="N14" i="8"/>
  <c r="N15" i="8"/>
  <c r="N11" i="8"/>
  <c r="DV18" i="3"/>
  <c r="DT18" i="3"/>
  <c r="EB18" i="3"/>
  <c r="DZ18" i="3"/>
  <c r="EC18" i="3"/>
  <c r="DU18" i="3"/>
  <c r="ED18" i="3"/>
  <c r="M43" i="6"/>
  <c r="M42" i="6"/>
  <c r="M54" i="6"/>
  <c r="M53" i="6"/>
  <c r="M52" i="6"/>
  <c r="M51" i="6"/>
  <c r="M50" i="6"/>
  <c r="M49" i="6"/>
  <c r="M48" i="6"/>
  <c r="M47" i="6"/>
  <c r="M46" i="6"/>
  <c r="M45" i="6"/>
  <c r="M44" i="6"/>
  <c r="DX18" i="3"/>
  <c r="DY18" i="3"/>
  <c r="DW18" i="3"/>
  <c r="L56" i="6"/>
  <c r="U23" i="3" s="1"/>
  <c r="N23" i="6"/>
  <c r="W5" i="3"/>
  <c r="Y34" i="3"/>
  <c r="Z4" i="3"/>
  <c r="X35" i="3"/>
  <c r="X36" i="3" s="1"/>
  <c r="N43" i="6" l="1"/>
  <c r="N42" i="6"/>
  <c r="N53" i="6"/>
  <c r="N54" i="6"/>
  <c r="N52" i="6"/>
  <c r="N49" i="6"/>
  <c r="N51" i="6"/>
  <c r="N50" i="6"/>
  <c r="N48" i="6"/>
  <c r="N47" i="6"/>
  <c r="N46" i="6"/>
  <c r="N45" i="6"/>
  <c r="N44" i="6"/>
  <c r="M56" i="6"/>
  <c r="V23" i="3" s="1"/>
  <c r="O23" i="6"/>
  <c r="X5" i="3"/>
  <c r="AA4" i="3"/>
  <c r="AA33" i="3" s="1"/>
  <c r="Y35" i="3"/>
  <c r="Y36" i="3" s="1"/>
  <c r="O42" i="6" l="1"/>
  <c r="O43" i="6"/>
  <c r="O54" i="6"/>
  <c r="O53" i="6"/>
  <c r="O49" i="6"/>
  <c r="O52" i="6"/>
  <c r="O51" i="6"/>
  <c r="O50" i="6"/>
  <c r="O48" i="6"/>
  <c r="O47" i="6"/>
  <c r="O46" i="6"/>
  <c r="O45" i="6"/>
  <c r="O44" i="6"/>
  <c r="N56" i="6"/>
  <c r="W23" i="3" s="1"/>
  <c r="P23" i="6"/>
  <c r="Y5" i="3"/>
  <c r="AA34" i="3"/>
  <c r="AB4" i="3"/>
  <c r="AB33" i="3" s="1"/>
  <c r="P42" i="6" l="1"/>
  <c r="P43" i="6"/>
  <c r="P54" i="6"/>
  <c r="P53" i="6"/>
  <c r="P52" i="6"/>
  <c r="P51" i="6"/>
  <c r="P50" i="6"/>
  <c r="P48" i="6"/>
  <c r="P47" i="6"/>
  <c r="P45" i="6"/>
  <c r="P49" i="6"/>
  <c r="P46" i="6"/>
  <c r="P44" i="6"/>
  <c r="O56" i="6"/>
  <c r="X23" i="3" s="1"/>
  <c r="Q23" i="6"/>
  <c r="Z5" i="3"/>
  <c r="AB34" i="3"/>
  <c r="AC4" i="3"/>
  <c r="AC33" i="3" s="1"/>
  <c r="AA35" i="3"/>
  <c r="Q43" i="6" l="1"/>
  <c r="Q42" i="6"/>
  <c r="Q54" i="6"/>
  <c r="Q53" i="6"/>
  <c r="Q52" i="6"/>
  <c r="Q51" i="6"/>
  <c r="Q50" i="6"/>
  <c r="Q49" i="6"/>
  <c r="Q48" i="6"/>
  <c r="Q47" i="6"/>
  <c r="Q46" i="6"/>
  <c r="Q45" i="6"/>
  <c r="Q44" i="6"/>
  <c r="AA36" i="3"/>
  <c r="P56" i="6"/>
  <c r="Y23" i="3" s="1"/>
  <c r="R23" i="6"/>
  <c r="AA5" i="3"/>
  <c r="AC34" i="3"/>
  <c r="AB35" i="3"/>
  <c r="AB36" i="3" s="1"/>
  <c r="AD4" i="3"/>
  <c r="AD33" i="3" s="1"/>
  <c r="R43" i="6" l="1"/>
  <c r="R42" i="6"/>
  <c r="R53" i="6"/>
  <c r="R54" i="6"/>
  <c r="R52" i="6"/>
  <c r="R51" i="6"/>
  <c r="R50" i="6"/>
  <c r="R49" i="6"/>
  <c r="R46" i="6"/>
  <c r="R48" i="6"/>
  <c r="R47" i="6"/>
  <c r="R45" i="6"/>
  <c r="R44" i="6"/>
  <c r="Q56" i="6"/>
  <c r="Z23" i="3" s="1"/>
  <c r="S23" i="6"/>
  <c r="AB5" i="3"/>
  <c r="AD34" i="3"/>
  <c r="AC35" i="3"/>
  <c r="AC36" i="3" s="1"/>
  <c r="AE4" i="3"/>
  <c r="AE33" i="3" s="1"/>
  <c r="S42" i="6" l="1"/>
  <c r="S43" i="6"/>
  <c r="S53" i="6"/>
  <c r="S54" i="6"/>
  <c r="S51" i="6"/>
  <c r="S50" i="6"/>
  <c r="S52" i="6"/>
  <c r="S49" i="6"/>
  <c r="S47" i="6"/>
  <c r="S46" i="6"/>
  <c r="S48" i="6"/>
  <c r="S45" i="6"/>
  <c r="S44" i="6"/>
  <c r="R56" i="6"/>
  <c r="AA23" i="3" s="1"/>
  <c r="T23" i="6"/>
  <c r="AC5" i="3"/>
  <c r="AE34" i="3"/>
  <c r="AF4" i="3"/>
  <c r="AF33" i="3" s="1"/>
  <c r="AD35" i="3"/>
  <c r="AD36" i="3" s="1"/>
  <c r="T42" i="6" l="1"/>
  <c r="T43" i="6"/>
  <c r="T53" i="6"/>
  <c r="T54" i="6"/>
  <c r="T52" i="6"/>
  <c r="T51" i="6"/>
  <c r="T50" i="6"/>
  <c r="T49" i="6"/>
  <c r="T47" i="6"/>
  <c r="T46" i="6"/>
  <c r="T48" i="6"/>
  <c r="T44" i="6"/>
  <c r="T45" i="6"/>
  <c r="S56" i="6"/>
  <c r="AB23" i="3" s="1"/>
  <c r="U23" i="6"/>
  <c r="AD5" i="3"/>
  <c r="AF34" i="3"/>
  <c r="AE35" i="3"/>
  <c r="AE36" i="3" s="1"/>
  <c r="AG4" i="3"/>
  <c r="AG33" i="3" s="1"/>
  <c r="U43" i="6" l="1"/>
  <c r="U42" i="6"/>
  <c r="U54" i="6"/>
  <c r="U53" i="6"/>
  <c r="U52" i="6"/>
  <c r="U51" i="6"/>
  <c r="U50" i="6"/>
  <c r="U49" i="6"/>
  <c r="U47" i="6"/>
  <c r="U46" i="6"/>
  <c r="U45" i="6"/>
  <c r="U48" i="6"/>
  <c r="U44" i="6"/>
  <c r="T56" i="6"/>
  <c r="AC23" i="3" s="1"/>
  <c r="V23" i="6"/>
  <c r="AE5" i="3"/>
  <c r="AG34" i="3"/>
  <c r="AH4" i="3"/>
  <c r="AH33" i="3" s="1"/>
  <c r="AF35" i="3"/>
  <c r="AF36" i="3" s="1"/>
  <c r="V43" i="6" l="1"/>
  <c r="V42" i="6"/>
  <c r="V54" i="6"/>
  <c r="V53" i="6"/>
  <c r="V51" i="6"/>
  <c r="V50" i="6"/>
  <c r="V52" i="6"/>
  <c r="V49" i="6"/>
  <c r="V46" i="6"/>
  <c r="V48" i="6"/>
  <c r="V47" i="6"/>
  <c r="V45" i="6"/>
  <c r="V44" i="6"/>
  <c r="U56" i="6"/>
  <c r="AD23" i="3" s="1"/>
  <c r="W23" i="6"/>
  <c r="AF5" i="3"/>
  <c r="AH34" i="3"/>
  <c r="AG35" i="3"/>
  <c r="AG36" i="3" s="1"/>
  <c r="AI4" i="3"/>
  <c r="AI33" i="3" s="1"/>
  <c r="W43" i="6" l="1"/>
  <c r="W42" i="6"/>
  <c r="W54" i="6"/>
  <c r="W53" i="6"/>
  <c r="W52" i="6"/>
  <c r="W51" i="6"/>
  <c r="W50" i="6"/>
  <c r="W48" i="6"/>
  <c r="W49" i="6"/>
  <c r="W47" i="6"/>
  <c r="W46" i="6"/>
  <c r="W45" i="6"/>
  <c r="W44" i="6"/>
  <c r="V56" i="6"/>
  <c r="AE23" i="3" s="1"/>
  <c r="X23" i="6"/>
  <c r="AG5" i="3"/>
  <c r="AI34" i="3"/>
  <c r="AH35" i="3"/>
  <c r="AH36" i="3" s="1"/>
  <c r="AJ4" i="3"/>
  <c r="AJ33" i="3" s="1"/>
  <c r="X42" i="6" l="1"/>
  <c r="X43" i="6"/>
  <c r="X53" i="6"/>
  <c r="X54" i="6"/>
  <c r="X51" i="6"/>
  <c r="X50" i="6"/>
  <c r="X49" i="6"/>
  <c r="X52" i="6"/>
  <c r="X46" i="6"/>
  <c r="X48" i="6"/>
  <c r="X47" i="6"/>
  <c r="X45" i="6"/>
  <c r="X44" i="6"/>
  <c r="W56" i="6"/>
  <c r="AF23" i="3" s="1"/>
  <c r="Y23" i="6"/>
  <c r="AH5" i="3"/>
  <c r="AJ34" i="3"/>
  <c r="AI35" i="3"/>
  <c r="AI36" i="3" s="1"/>
  <c r="AK4" i="3"/>
  <c r="AK33" i="3" s="1"/>
  <c r="Y42" i="6" l="1"/>
  <c r="Y43" i="6"/>
  <c r="Y54" i="6"/>
  <c r="Y53" i="6"/>
  <c r="Y51" i="6"/>
  <c r="Y50" i="6"/>
  <c r="Y49" i="6"/>
  <c r="Y48" i="6"/>
  <c r="Y52" i="6"/>
  <c r="Y47" i="6"/>
  <c r="Y46" i="6"/>
  <c r="Y45" i="6"/>
  <c r="Y44" i="6"/>
  <c r="Z23" i="6"/>
  <c r="X56" i="6"/>
  <c r="AG23" i="3" s="1"/>
  <c r="AI5" i="3"/>
  <c r="AK34" i="3"/>
  <c r="AJ35" i="3"/>
  <c r="AJ36" i="3" s="1"/>
  <c r="AL4" i="3"/>
  <c r="Z43" i="6" l="1"/>
  <c r="Z42" i="6"/>
  <c r="Z54" i="6"/>
  <c r="Z53" i="6"/>
  <c r="Z51" i="6"/>
  <c r="Z50" i="6"/>
  <c r="Z52" i="6"/>
  <c r="Z48" i="6"/>
  <c r="Z49" i="6"/>
  <c r="Z47" i="6"/>
  <c r="Z46" i="6"/>
  <c r="Z45" i="6"/>
  <c r="Z44" i="6"/>
  <c r="AA23" i="6"/>
  <c r="Y56" i="6"/>
  <c r="AH23" i="3" s="1"/>
  <c r="AJ5" i="3"/>
  <c r="AK35" i="3"/>
  <c r="AK36" i="3" s="1"/>
  <c r="AM4" i="3"/>
  <c r="AM33" i="3" s="1"/>
  <c r="AA43" i="6" l="1"/>
  <c r="AA42" i="6"/>
  <c r="AA53" i="6"/>
  <c r="AA54" i="6"/>
  <c r="AA52" i="6"/>
  <c r="AA51" i="6"/>
  <c r="AA50" i="6"/>
  <c r="AA49" i="6"/>
  <c r="AA48" i="6"/>
  <c r="AA47" i="6"/>
  <c r="AA46" i="6"/>
  <c r="AA45" i="6"/>
  <c r="AA44" i="6"/>
  <c r="AB23" i="6"/>
  <c r="Z56" i="6"/>
  <c r="AI23" i="3" s="1"/>
  <c r="AK5" i="3"/>
  <c r="AM34" i="3"/>
  <c r="AN4" i="3"/>
  <c r="AN33" i="3" s="1"/>
  <c r="AB42" i="6" l="1"/>
  <c r="AB43" i="6"/>
  <c r="AB53" i="6"/>
  <c r="AB54" i="6"/>
  <c r="AB51" i="6"/>
  <c r="AB50" i="6"/>
  <c r="AB48" i="6"/>
  <c r="AB52" i="6"/>
  <c r="AB49" i="6"/>
  <c r="AB47" i="6"/>
  <c r="AB46" i="6"/>
  <c r="AB44" i="6"/>
  <c r="AB45" i="6"/>
  <c r="AC23" i="6"/>
  <c r="AA56" i="6"/>
  <c r="AJ23" i="3" s="1"/>
  <c r="AL5" i="3"/>
  <c r="AN34" i="3"/>
  <c r="AO4" i="3"/>
  <c r="AO33" i="3" s="1"/>
  <c r="AM35" i="3"/>
  <c r="AC43" i="6" l="1"/>
  <c r="AC42" i="6"/>
  <c r="AC54" i="6"/>
  <c r="AC53" i="6"/>
  <c r="AC52" i="6"/>
  <c r="AC51" i="6"/>
  <c r="AC50" i="6"/>
  <c r="AC49" i="6"/>
  <c r="AC48" i="6"/>
  <c r="AC47" i="6"/>
  <c r="AC46" i="6"/>
  <c r="AC45" i="6"/>
  <c r="AC44" i="6"/>
  <c r="AM36" i="3"/>
  <c r="AD23" i="6"/>
  <c r="AB56" i="6"/>
  <c r="AK23" i="3" s="1"/>
  <c r="AM5" i="3"/>
  <c r="AO34" i="3"/>
  <c r="AN35" i="3"/>
  <c r="AN36" i="3" s="1"/>
  <c r="AP4" i="3"/>
  <c r="AP33" i="3" s="1"/>
  <c r="AD43" i="6" l="1"/>
  <c r="AD42" i="6"/>
  <c r="AD54" i="6"/>
  <c r="AD53" i="6"/>
  <c r="AD51" i="6"/>
  <c r="AD50" i="6"/>
  <c r="AD52" i="6"/>
  <c r="AD49" i="6"/>
  <c r="AD48" i="6"/>
  <c r="AD47" i="6"/>
  <c r="AD46" i="6"/>
  <c r="AD45" i="6"/>
  <c r="AD44" i="6"/>
  <c r="AC56" i="6"/>
  <c r="AL23" i="3" s="1"/>
  <c r="AE23" i="6"/>
  <c r="AN5" i="3"/>
  <c r="AP34" i="3"/>
  <c r="AQ4" i="3"/>
  <c r="AQ33" i="3" s="1"/>
  <c r="AO35" i="3"/>
  <c r="AO36" i="3" s="1"/>
  <c r="AE42" i="6" l="1"/>
  <c r="AE43" i="6"/>
  <c r="AE54" i="6"/>
  <c r="AE53" i="6"/>
  <c r="AE52" i="6"/>
  <c r="AE51" i="6"/>
  <c r="AE50" i="6"/>
  <c r="AE49" i="6"/>
  <c r="AE48" i="6"/>
  <c r="AE47" i="6"/>
  <c r="AE46" i="6"/>
  <c r="AE45" i="6"/>
  <c r="AE44" i="6"/>
  <c r="AD56" i="6"/>
  <c r="AM23" i="3" s="1"/>
  <c r="AF23" i="6"/>
  <c r="AO5" i="3"/>
  <c r="AQ34" i="3"/>
  <c r="AP35" i="3"/>
  <c r="AP36" i="3" s="1"/>
  <c r="AR4" i="3"/>
  <c r="AR33" i="3" s="1"/>
  <c r="AF42" i="6" l="1"/>
  <c r="AF43" i="6"/>
  <c r="AF54" i="6"/>
  <c r="AF53" i="6"/>
  <c r="AF52" i="6"/>
  <c r="AF51" i="6"/>
  <c r="AF50" i="6"/>
  <c r="AF47" i="6"/>
  <c r="AF45" i="6"/>
  <c r="AF48" i="6"/>
  <c r="AF46" i="6"/>
  <c r="AF49" i="6"/>
  <c r="AF44" i="6"/>
  <c r="AG23" i="6"/>
  <c r="AE56" i="6"/>
  <c r="AN23" i="3" s="1"/>
  <c r="AP5" i="3"/>
  <c r="AR34" i="3"/>
  <c r="AS4" i="3"/>
  <c r="AS33" i="3" s="1"/>
  <c r="AQ35" i="3"/>
  <c r="AQ36" i="3" s="1"/>
  <c r="AG43" i="6" l="1"/>
  <c r="AG42" i="6"/>
  <c r="AG54" i="6"/>
  <c r="AG53" i="6"/>
  <c r="AG52" i="6"/>
  <c r="AG51" i="6"/>
  <c r="AG50" i="6"/>
  <c r="AG49" i="6"/>
  <c r="AG48" i="6"/>
  <c r="AG47" i="6"/>
  <c r="AG46" i="6"/>
  <c r="AG45" i="6"/>
  <c r="AG44" i="6"/>
  <c r="AH23" i="6"/>
  <c r="AF56" i="6"/>
  <c r="AO23" i="3" s="1"/>
  <c r="AQ5" i="3"/>
  <c r="AS34" i="3"/>
  <c r="AT4" i="3"/>
  <c r="AT33" i="3" s="1"/>
  <c r="AR35" i="3"/>
  <c r="AR36" i="3" s="1"/>
  <c r="AH43" i="6" l="1"/>
  <c r="AH42" i="6"/>
  <c r="AH53" i="6"/>
  <c r="AH54" i="6"/>
  <c r="AH52" i="6"/>
  <c r="AH51" i="6"/>
  <c r="AH50" i="6"/>
  <c r="AH46" i="6"/>
  <c r="AH49" i="6"/>
  <c r="AH47" i="6"/>
  <c r="AH48" i="6"/>
  <c r="AH45" i="6"/>
  <c r="AH44" i="6"/>
  <c r="AI23" i="6"/>
  <c r="AG56" i="6"/>
  <c r="AP23" i="3" s="1"/>
  <c r="AR5" i="3"/>
  <c r="AT34" i="3"/>
  <c r="AS35" i="3"/>
  <c r="AS36" i="3" s="1"/>
  <c r="AU4" i="3"/>
  <c r="AU33" i="3" s="1"/>
  <c r="AI42" i="6" l="1"/>
  <c r="AI43" i="6"/>
  <c r="AI54" i="6"/>
  <c r="AI53" i="6"/>
  <c r="AI52" i="6"/>
  <c r="AI49" i="6"/>
  <c r="AI51" i="6"/>
  <c r="AI50" i="6"/>
  <c r="AI47" i="6"/>
  <c r="AI46" i="6"/>
  <c r="AI48" i="6"/>
  <c r="AI44" i="6"/>
  <c r="AI45" i="6"/>
  <c r="AJ23" i="6"/>
  <c r="AH56" i="6"/>
  <c r="AQ23" i="3" s="1"/>
  <c r="AS5" i="3"/>
  <c r="AU34" i="3"/>
  <c r="AT35" i="3"/>
  <c r="AT36" i="3" s="1"/>
  <c r="AV4" i="3"/>
  <c r="AV33" i="3" s="1"/>
  <c r="AJ42" i="6" l="1"/>
  <c r="AJ43" i="6"/>
  <c r="AJ53" i="6"/>
  <c r="AJ54" i="6"/>
  <c r="AJ52" i="6"/>
  <c r="AJ51" i="6"/>
  <c r="AJ50" i="6"/>
  <c r="AJ49" i="6"/>
  <c r="AJ48" i="6"/>
  <c r="AJ47" i="6"/>
  <c r="AJ46" i="6"/>
  <c r="AJ45" i="6"/>
  <c r="AJ44" i="6"/>
  <c r="AK23" i="6"/>
  <c r="AI56" i="6"/>
  <c r="AR23" i="3" s="1"/>
  <c r="AT5" i="3"/>
  <c r="AV34" i="3"/>
  <c r="AU35" i="3"/>
  <c r="AU36" i="3" s="1"/>
  <c r="AW4" i="3"/>
  <c r="AW33" i="3" s="1"/>
  <c r="AK43" i="6" l="1"/>
  <c r="AK42" i="6"/>
  <c r="AK54" i="6"/>
  <c r="AK53" i="6"/>
  <c r="AK52" i="6"/>
  <c r="AK51" i="6"/>
  <c r="AK50" i="6"/>
  <c r="AK49" i="6"/>
  <c r="AK47" i="6"/>
  <c r="AK46" i="6"/>
  <c r="AK45" i="6"/>
  <c r="AK48" i="6"/>
  <c r="AK44" i="6"/>
  <c r="AL23" i="6"/>
  <c r="AJ56" i="6"/>
  <c r="AS23" i="3" s="1"/>
  <c r="AU5" i="3"/>
  <c r="AW34" i="3"/>
  <c r="AV35" i="3"/>
  <c r="AV36" i="3" s="1"/>
  <c r="AX4" i="3"/>
  <c r="AL43" i="6" l="1"/>
  <c r="AL42" i="6"/>
  <c r="AL54" i="6"/>
  <c r="AL53" i="6"/>
  <c r="AL51" i="6"/>
  <c r="AL50" i="6"/>
  <c r="AL52" i="6"/>
  <c r="AL49" i="6"/>
  <c r="AL46" i="6"/>
  <c r="AL45" i="6"/>
  <c r="AL48" i="6"/>
  <c r="AL47" i="6"/>
  <c r="AL44" i="6"/>
  <c r="AM23" i="6"/>
  <c r="AK56" i="6"/>
  <c r="AT23" i="3" s="1"/>
  <c r="AV5" i="3"/>
  <c r="AY4" i="3"/>
  <c r="AY33" i="3" s="1"/>
  <c r="AW35" i="3"/>
  <c r="AW36" i="3" s="1"/>
  <c r="AM43" i="6" l="1"/>
  <c r="AM42" i="6"/>
  <c r="AM53" i="6"/>
  <c r="AM54" i="6"/>
  <c r="AM52" i="6"/>
  <c r="AM51" i="6"/>
  <c r="AM50" i="6"/>
  <c r="AM48" i="6"/>
  <c r="AM49" i="6"/>
  <c r="AM47" i="6"/>
  <c r="AM46" i="6"/>
  <c r="AM45" i="6"/>
  <c r="AM44" i="6"/>
  <c r="AL56" i="6"/>
  <c r="AU23" i="3" s="1"/>
  <c r="AN23" i="6"/>
  <c r="AW5" i="3"/>
  <c r="AY34" i="3"/>
  <c r="AZ4" i="3"/>
  <c r="AZ33" i="3" s="1"/>
  <c r="AN42" i="6" l="1"/>
  <c r="AN43" i="6"/>
  <c r="AN53" i="6"/>
  <c r="AN54" i="6"/>
  <c r="AN51" i="6"/>
  <c r="AN50" i="6"/>
  <c r="AN49" i="6"/>
  <c r="AN52" i="6"/>
  <c r="AN48" i="6"/>
  <c r="AN46" i="6"/>
  <c r="AN47" i="6"/>
  <c r="AN45" i="6"/>
  <c r="AN44" i="6"/>
  <c r="AO23" i="6"/>
  <c r="AM56" i="6"/>
  <c r="AV23" i="3" s="1"/>
  <c r="AX5" i="3"/>
  <c r="AZ34" i="3"/>
  <c r="AY35" i="3"/>
  <c r="BA4" i="3"/>
  <c r="BA33" i="3" s="1"/>
  <c r="AO42" i="6" l="1"/>
  <c r="AO43" i="6"/>
  <c r="AO54" i="6"/>
  <c r="AO53" i="6"/>
  <c r="AO52" i="6"/>
  <c r="AO51" i="6"/>
  <c r="AO50" i="6"/>
  <c r="AO49" i="6"/>
  <c r="AO48" i="6"/>
  <c r="AO47" i="6"/>
  <c r="AO46" i="6"/>
  <c r="AO45" i="6"/>
  <c r="AO44" i="6"/>
  <c r="AP23" i="6"/>
  <c r="AN56" i="6"/>
  <c r="AW23" i="3" s="1"/>
  <c r="AY36" i="3"/>
  <c r="AY5" i="3"/>
  <c r="BA34" i="3"/>
  <c r="BB4" i="3"/>
  <c r="BB33" i="3" s="1"/>
  <c r="AZ35" i="3"/>
  <c r="AZ36" i="3" s="1"/>
  <c r="AP43" i="6" l="1"/>
  <c r="AP42" i="6"/>
  <c r="AP54" i="6"/>
  <c r="AP53" i="6"/>
  <c r="AP52" i="6"/>
  <c r="AP51" i="6"/>
  <c r="AP50" i="6"/>
  <c r="AP49" i="6"/>
  <c r="AP48" i="6"/>
  <c r="AP47" i="6"/>
  <c r="AP46" i="6"/>
  <c r="AP45" i="6"/>
  <c r="AP44" i="6"/>
  <c r="AO56" i="6"/>
  <c r="AX23" i="3" s="1"/>
  <c r="AQ23" i="6"/>
  <c r="AZ5" i="3"/>
  <c r="BB34" i="3"/>
  <c r="BC4" i="3"/>
  <c r="BC33" i="3" s="1"/>
  <c r="BA35" i="3"/>
  <c r="BA36" i="3" s="1"/>
  <c r="AQ43" i="6" l="1"/>
  <c r="AQ42" i="6"/>
  <c r="AQ54" i="6"/>
  <c r="AQ53" i="6"/>
  <c r="AQ51" i="6"/>
  <c r="AQ50" i="6"/>
  <c r="AQ52" i="6"/>
  <c r="AQ49" i="6"/>
  <c r="AQ48" i="6"/>
  <c r="AQ47" i="6"/>
  <c r="AQ46" i="6"/>
  <c r="AQ45" i="6"/>
  <c r="AQ44" i="6"/>
  <c r="AP56" i="6"/>
  <c r="AY23" i="3" s="1"/>
  <c r="AR23" i="6"/>
  <c r="BA5" i="3"/>
  <c r="BC34" i="3"/>
  <c r="BD4" i="3"/>
  <c r="BD33" i="3" s="1"/>
  <c r="BB35" i="3"/>
  <c r="BB36" i="3" s="1"/>
  <c r="AR42" i="6" l="1"/>
  <c r="AR43" i="6"/>
  <c r="AR53" i="6"/>
  <c r="AR54" i="6"/>
  <c r="AR51" i="6"/>
  <c r="AR50" i="6"/>
  <c r="AR52" i="6"/>
  <c r="AR49" i="6"/>
  <c r="AR48" i="6"/>
  <c r="AR46" i="6"/>
  <c r="AR47" i="6"/>
  <c r="AR44" i="6"/>
  <c r="AR45" i="6"/>
  <c r="AS23" i="6"/>
  <c r="AQ56" i="6"/>
  <c r="AZ23" i="3" s="1"/>
  <c r="BB5" i="3"/>
  <c r="BD34" i="3"/>
  <c r="BC35" i="3"/>
  <c r="BC36" i="3" s="1"/>
  <c r="BE4" i="3"/>
  <c r="BE33" i="3" s="1"/>
  <c r="AS43" i="6" l="1"/>
  <c r="AS42" i="6"/>
  <c r="AS54" i="6"/>
  <c r="AS53" i="6"/>
  <c r="AS52" i="6"/>
  <c r="AS51" i="6"/>
  <c r="AS50" i="6"/>
  <c r="AS49" i="6"/>
  <c r="AS48" i="6"/>
  <c r="AS47" i="6"/>
  <c r="AS46" i="6"/>
  <c r="AS45" i="6"/>
  <c r="AS44" i="6"/>
  <c r="AT23" i="6"/>
  <c r="AR56" i="6"/>
  <c r="BA23" i="3" s="1"/>
  <c r="BC5" i="3"/>
  <c r="BE34" i="3"/>
  <c r="BD35" i="3"/>
  <c r="BD36" i="3" s="1"/>
  <c r="BF4" i="3"/>
  <c r="BF33" i="3" s="1"/>
  <c r="AT43" i="6" l="1"/>
  <c r="AT42" i="6"/>
  <c r="AT54" i="6"/>
  <c r="AT53" i="6"/>
  <c r="AT52" i="6"/>
  <c r="AT49" i="6"/>
  <c r="AT51" i="6"/>
  <c r="AT50" i="6"/>
  <c r="AT48" i="6"/>
  <c r="AT47" i="6"/>
  <c r="AT45" i="6"/>
  <c r="AT46" i="6"/>
  <c r="AT44" i="6"/>
  <c r="AU23" i="6"/>
  <c r="AS56" i="6"/>
  <c r="BB23" i="3" s="1"/>
  <c r="BD5" i="3"/>
  <c r="BF34" i="3"/>
  <c r="BE35" i="3"/>
  <c r="BE36" i="3" s="1"/>
  <c r="BG4" i="3"/>
  <c r="BG33" i="3" s="1"/>
  <c r="AU42" i="6" l="1"/>
  <c r="AU43" i="6"/>
  <c r="AU54" i="6"/>
  <c r="AU53" i="6"/>
  <c r="AU49" i="6"/>
  <c r="AU52" i="6"/>
  <c r="AU51" i="6"/>
  <c r="AU50" i="6"/>
  <c r="AU48" i="6"/>
  <c r="AU47" i="6"/>
  <c r="AU46" i="6"/>
  <c r="AU45" i="6"/>
  <c r="AU44" i="6"/>
  <c r="AV23" i="6"/>
  <c r="AT56" i="6"/>
  <c r="BC23" i="3" s="1"/>
  <c r="BE5" i="3"/>
  <c r="BG34" i="3"/>
  <c r="BF35" i="3"/>
  <c r="BF36" i="3" s="1"/>
  <c r="BH4" i="3"/>
  <c r="BH33" i="3" s="1"/>
  <c r="AV42" i="6" l="1"/>
  <c r="AV43" i="6"/>
  <c r="AV54" i="6"/>
  <c r="AV53" i="6"/>
  <c r="AV52" i="6"/>
  <c r="AV51" i="6"/>
  <c r="AV50" i="6"/>
  <c r="AV48" i="6"/>
  <c r="AV47" i="6"/>
  <c r="AV45" i="6"/>
  <c r="AV49" i="6"/>
  <c r="AV46" i="6"/>
  <c r="AV44" i="6"/>
  <c r="AU56" i="6"/>
  <c r="BD23" i="3" s="1"/>
  <c r="AW23" i="6"/>
  <c r="BF5" i="3"/>
  <c r="BH34" i="3"/>
  <c r="BG35" i="3"/>
  <c r="BG36" i="3" s="1"/>
  <c r="BI4" i="3"/>
  <c r="BI33" i="3" s="1"/>
  <c r="AW43" i="6" l="1"/>
  <c r="AW42" i="6"/>
  <c r="AW54" i="6"/>
  <c r="AW53" i="6"/>
  <c r="AW52" i="6"/>
  <c r="AW51" i="6"/>
  <c r="AW50" i="6"/>
  <c r="AW49" i="6"/>
  <c r="AW48" i="6"/>
  <c r="AW47" i="6"/>
  <c r="AW46" i="6"/>
  <c r="AW45" i="6"/>
  <c r="AW44" i="6"/>
  <c r="AX23" i="6"/>
  <c r="AV56" i="6"/>
  <c r="BE23" i="3" s="1"/>
  <c r="BG5" i="3"/>
  <c r="BI34" i="3"/>
  <c r="BH35" i="3"/>
  <c r="BH36" i="3" s="1"/>
  <c r="BJ4" i="3"/>
  <c r="AX43" i="6" l="1"/>
  <c r="AX42" i="6"/>
  <c r="AX54" i="6"/>
  <c r="AX53" i="6"/>
  <c r="AX52" i="6"/>
  <c r="AX51" i="6"/>
  <c r="AX50" i="6"/>
  <c r="AX49" i="6"/>
  <c r="AX47" i="6"/>
  <c r="AX46" i="6"/>
  <c r="AX48" i="6"/>
  <c r="AX44" i="6"/>
  <c r="AX45" i="6"/>
  <c r="AY23" i="6"/>
  <c r="AW56" i="6"/>
  <c r="BF23" i="3" s="1"/>
  <c r="BH5" i="3"/>
  <c r="BK4" i="3"/>
  <c r="BK33" i="3" s="1"/>
  <c r="BI35" i="3"/>
  <c r="BI36" i="3" s="1"/>
  <c r="AY42" i="6" l="1"/>
  <c r="AY43" i="6"/>
  <c r="AY53" i="6"/>
  <c r="AY54" i="6"/>
  <c r="AY51" i="6"/>
  <c r="AY50" i="6"/>
  <c r="AY52" i="6"/>
  <c r="AY49" i="6"/>
  <c r="AY47" i="6"/>
  <c r="AY46" i="6"/>
  <c r="AY48" i="6"/>
  <c r="AY45" i="6"/>
  <c r="AY44" i="6"/>
  <c r="AZ23" i="6"/>
  <c r="AX56" i="6"/>
  <c r="BG23" i="3" s="1"/>
  <c r="BI5" i="3"/>
  <c r="BK34" i="3"/>
  <c r="BL4" i="3"/>
  <c r="BL33" i="3" s="1"/>
  <c r="AZ42" i="6" l="1"/>
  <c r="AZ43" i="6"/>
  <c r="AZ53" i="6"/>
  <c r="AZ54" i="6"/>
  <c r="AZ52" i="6"/>
  <c r="AZ49" i="6"/>
  <c r="AZ51" i="6"/>
  <c r="AZ50" i="6"/>
  <c r="AZ48" i="6"/>
  <c r="AZ47" i="6"/>
  <c r="AZ46" i="6"/>
  <c r="AZ44" i="6"/>
  <c r="AZ45" i="6"/>
  <c r="AY56" i="6"/>
  <c r="BH23" i="3" s="1"/>
  <c r="BA23" i="6"/>
  <c r="BJ5" i="3"/>
  <c r="BL34" i="3"/>
  <c r="BM4" i="3"/>
  <c r="BM33" i="3" s="1"/>
  <c r="BK35" i="3"/>
  <c r="BA43" i="6" l="1"/>
  <c r="BA42" i="6"/>
  <c r="BA54" i="6"/>
  <c r="BA53" i="6"/>
  <c r="BA52" i="6"/>
  <c r="BA51" i="6"/>
  <c r="BA50" i="6"/>
  <c r="BA49" i="6"/>
  <c r="BA47" i="6"/>
  <c r="BA46" i="6"/>
  <c r="BA45" i="6"/>
  <c r="BA48" i="6"/>
  <c r="BA44" i="6"/>
  <c r="BB23" i="6"/>
  <c r="AZ56" i="6"/>
  <c r="BI23" i="3" s="1"/>
  <c r="BK36" i="3"/>
  <c r="BK5" i="3"/>
  <c r="BM34" i="3"/>
  <c r="BL35" i="3"/>
  <c r="BL36" i="3" s="1"/>
  <c r="BN4" i="3"/>
  <c r="BN33" i="3" s="1"/>
  <c r="BB43" i="6" l="1"/>
  <c r="BB42" i="6"/>
  <c r="BB54" i="6"/>
  <c r="BB53" i="6"/>
  <c r="BB51" i="6"/>
  <c r="BB50" i="6"/>
  <c r="BB52" i="6"/>
  <c r="BB49" i="6"/>
  <c r="BB47" i="6"/>
  <c r="BB46" i="6"/>
  <c r="BB45" i="6"/>
  <c r="BB48" i="6"/>
  <c r="BB44" i="6"/>
  <c r="BC23" i="6"/>
  <c r="BA56" i="6"/>
  <c r="BJ23" i="3" s="1"/>
  <c r="BL5" i="3"/>
  <c r="BN34" i="3"/>
  <c r="BO4" i="3"/>
  <c r="BO33" i="3" s="1"/>
  <c r="BM35" i="3"/>
  <c r="BM36" i="3" s="1"/>
  <c r="BC43" i="6" l="1"/>
  <c r="BC42" i="6"/>
  <c r="BC53" i="6"/>
  <c r="BC54" i="6"/>
  <c r="BC52" i="6"/>
  <c r="BC51" i="6"/>
  <c r="BC50" i="6"/>
  <c r="BC48" i="6"/>
  <c r="BC49" i="6"/>
  <c r="BC47" i="6"/>
  <c r="BC46" i="6"/>
  <c r="BC45" i="6"/>
  <c r="BC44" i="6"/>
  <c r="BD23" i="6"/>
  <c r="BB56" i="6"/>
  <c r="BK23" i="3" s="1"/>
  <c r="BM5" i="3"/>
  <c r="BO34" i="3"/>
  <c r="BN35" i="3"/>
  <c r="BN36" i="3" s="1"/>
  <c r="BP4" i="3"/>
  <c r="BP33" i="3" s="1"/>
  <c r="BD42" i="6" l="1"/>
  <c r="BD43" i="6"/>
  <c r="BD53" i="6"/>
  <c r="BD54" i="6"/>
  <c r="BD51" i="6"/>
  <c r="BD50" i="6"/>
  <c r="BD52" i="6"/>
  <c r="BD49" i="6"/>
  <c r="BD46" i="6"/>
  <c r="BD48" i="6"/>
  <c r="BD47" i="6"/>
  <c r="BD45" i="6"/>
  <c r="BD44" i="6"/>
  <c r="BE23" i="6"/>
  <c r="BC56" i="6"/>
  <c r="BL23" i="3" s="1"/>
  <c r="BN5" i="3"/>
  <c r="BP34" i="3"/>
  <c r="BO35" i="3"/>
  <c r="BO36" i="3" s="1"/>
  <c r="BQ4" i="3"/>
  <c r="BQ33" i="3" s="1"/>
  <c r="BE42" i="6" l="1"/>
  <c r="BE43" i="6"/>
  <c r="BE54" i="6"/>
  <c r="BE53" i="6"/>
  <c r="BE52" i="6"/>
  <c r="BE51" i="6"/>
  <c r="BE50" i="6"/>
  <c r="BE49" i="6"/>
  <c r="BE48" i="6"/>
  <c r="BE47" i="6"/>
  <c r="BE46" i="6"/>
  <c r="BE45" i="6"/>
  <c r="BE44" i="6"/>
  <c r="BD56" i="6"/>
  <c r="BM23" i="3" s="1"/>
  <c r="BF23" i="6"/>
  <c r="BO5" i="3"/>
  <c r="BQ34" i="3"/>
  <c r="BP35" i="3"/>
  <c r="BP36" i="3" s="1"/>
  <c r="BR4" i="3"/>
  <c r="BR33" i="3" s="1"/>
  <c r="BF43" i="6" l="1"/>
  <c r="BF42" i="6"/>
  <c r="BF53" i="6"/>
  <c r="BF54" i="6"/>
  <c r="BF52" i="6"/>
  <c r="BF51" i="6"/>
  <c r="BF50" i="6"/>
  <c r="BF47" i="6"/>
  <c r="BF48" i="6"/>
  <c r="BF49" i="6"/>
  <c r="BF46" i="6"/>
  <c r="BF44" i="6"/>
  <c r="BF45" i="6"/>
  <c r="BG23" i="6"/>
  <c r="BE56" i="6"/>
  <c r="BN23" i="3" s="1"/>
  <c r="BP5" i="3"/>
  <c r="BR34" i="3"/>
  <c r="BS4" i="3"/>
  <c r="BS33" i="3" s="1"/>
  <c r="BQ35" i="3"/>
  <c r="BQ36" i="3" s="1"/>
  <c r="BG43" i="6" l="1"/>
  <c r="BG42" i="6"/>
  <c r="BG54" i="6"/>
  <c r="BG52" i="6"/>
  <c r="BG53" i="6"/>
  <c r="BG51" i="6"/>
  <c r="BG50" i="6"/>
  <c r="BG48" i="6"/>
  <c r="BG47" i="6"/>
  <c r="BG46" i="6"/>
  <c r="BG49" i="6"/>
  <c r="BG45" i="6"/>
  <c r="BG44" i="6"/>
  <c r="BH23" i="6"/>
  <c r="BF56" i="6"/>
  <c r="BO23" i="3" s="1"/>
  <c r="BQ5" i="3"/>
  <c r="BS34" i="3"/>
  <c r="BR35" i="3"/>
  <c r="BR36" i="3" s="1"/>
  <c r="BT4" i="3"/>
  <c r="BT33" i="3" s="1"/>
  <c r="BH42" i="6" l="1"/>
  <c r="BH43" i="6"/>
  <c r="BH53" i="6"/>
  <c r="BH54" i="6"/>
  <c r="BH51" i="6"/>
  <c r="BH50" i="6"/>
  <c r="BH52" i="6"/>
  <c r="BH49" i="6"/>
  <c r="BH46" i="6"/>
  <c r="BH47" i="6"/>
  <c r="BH48" i="6"/>
  <c r="BH44" i="6"/>
  <c r="BH45" i="6"/>
  <c r="BG56" i="6"/>
  <c r="BP23" i="3" s="1"/>
  <c r="BI23" i="6"/>
  <c r="BR5" i="3"/>
  <c r="BT34" i="3"/>
  <c r="BU4" i="3"/>
  <c r="BU33" i="3" s="1"/>
  <c r="BS35" i="3"/>
  <c r="BS36" i="3" s="1"/>
  <c r="BI43" i="6" l="1"/>
  <c r="BI42" i="6"/>
  <c r="BI54" i="6"/>
  <c r="BI53" i="6"/>
  <c r="BI52" i="6"/>
  <c r="BI51" i="6"/>
  <c r="BI50" i="6"/>
  <c r="BI49" i="6"/>
  <c r="BI48" i="6"/>
  <c r="BI47" i="6"/>
  <c r="BI46" i="6"/>
  <c r="BI45" i="6"/>
  <c r="BI44" i="6"/>
  <c r="BJ23" i="6"/>
  <c r="BH56" i="6"/>
  <c r="BQ23" i="3" s="1"/>
  <c r="BS5" i="3"/>
  <c r="BU34" i="3"/>
  <c r="BT35" i="3"/>
  <c r="BT36" i="3" s="1"/>
  <c r="BV4" i="3"/>
  <c r="BJ43" i="6" l="1"/>
  <c r="BJ42" i="6"/>
  <c r="BJ53" i="6"/>
  <c r="BJ54" i="6"/>
  <c r="BJ52" i="6"/>
  <c r="BJ49" i="6"/>
  <c r="BJ51" i="6"/>
  <c r="BJ50" i="6"/>
  <c r="BJ48" i="6"/>
  <c r="BJ47" i="6"/>
  <c r="BJ46" i="6"/>
  <c r="BJ45" i="6"/>
  <c r="BJ44" i="6"/>
  <c r="BK23" i="6"/>
  <c r="BI56" i="6"/>
  <c r="BR23" i="3" s="1"/>
  <c r="BT5" i="3"/>
  <c r="BW4" i="3"/>
  <c r="BW33" i="3" s="1"/>
  <c r="BU35" i="3"/>
  <c r="BU36" i="3" s="1"/>
  <c r="BK42" i="6" l="1"/>
  <c r="BK43" i="6"/>
  <c r="BK54" i="6"/>
  <c r="BK53" i="6"/>
  <c r="BK52" i="6"/>
  <c r="BK51" i="6"/>
  <c r="BK50" i="6"/>
  <c r="BK49" i="6"/>
  <c r="BK48" i="6"/>
  <c r="BK47" i="6"/>
  <c r="BK46" i="6"/>
  <c r="BK45" i="6"/>
  <c r="BK44" i="6"/>
  <c r="BL23" i="6"/>
  <c r="BJ56" i="6"/>
  <c r="BS23" i="3" s="1"/>
  <c r="BU5" i="3"/>
  <c r="BW34" i="3"/>
  <c r="BX4" i="3"/>
  <c r="BX33" i="3" s="1"/>
  <c r="BL42" i="6" l="1"/>
  <c r="BL43" i="6"/>
  <c r="BL54" i="6"/>
  <c r="BL53" i="6"/>
  <c r="BL52" i="6"/>
  <c r="BL48" i="6"/>
  <c r="BL51" i="6"/>
  <c r="BL50" i="6"/>
  <c r="BL49" i="6"/>
  <c r="BL47" i="6"/>
  <c r="BL46" i="6"/>
  <c r="BL45" i="6"/>
  <c r="BL44" i="6"/>
  <c r="BM23" i="6"/>
  <c r="BK56" i="6"/>
  <c r="BT23" i="3" s="1"/>
  <c r="BV5" i="3"/>
  <c r="BX34" i="3"/>
  <c r="BW35" i="3"/>
  <c r="BY4" i="3"/>
  <c r="BY33" i="3" s="1"/>
  <c r="BM43" i="6" l="1"/>
  <c r="BM42" i="6"/>
  <c r="BM54" i="6"/>
  <c r="BM53" i="6"/>
  <c r="BM52" i="6"/>
  <c r="BM51" i="6"/>
  <c r="BM50" i="6"/>
  <c r="BM49" i="6"/>
  <c r="BM48" i="6"/>
  <c r="BM47" i="6"/>
  <c r="BM46" i="6"/>
  <c r="BM45" i="6"/>
  <c r="BM44" i="6"/>
  <c r="BL56" i="6"/>
  <c r="BU23" i="3" s="1"/>
  <c r="BN23" i="6"/>
  <c r="BW36" i="3"/>
  <c r="BW5" i="3"/>
  <c r="BY34" i="3"/>
  <c r="BX35" i="3"/>
  <c r="BX36" i="3" s="1"/>
  <c r="BZ4" i="3"/>
  <c r="BZ33" i="3" s="1"/>
  <c r="BN43" i="6" l="1"/>
  <c r="BN42" i="6"/>
  <c r="BN53" i="6"/>
  <c r="BN54" i="6"/>
  <c r="BN52" i="6"/>
  <c r="BN51" i="6"/>
  <c r="BN50" i="6"/>
  <c r="BN46" i="6"/>
  <c r="BN49" i="6"/>
  <c r="BN48" i="6"/>
  <c r="BN47" i="6"/>
  <c r="BN44" i="6"/>
  <c r="BN45" i="6"/>
  <c r="BM56" i="6"/>
  <c r="BV23" i="3" s="1"/>
  <c r="BO23" i="6"/>
  <c r="BX5" i="3"/>
  <c r="BZ34" i="3"/>
  <c r="CA4" i="3"/>
  <c r="CA33" i="3" s="1"/>
  <c r="BY35" i="3"/>
  <c r="BY36" i="3" s="1"/>
  <c r="BO42" i="6" l="1"/>
  <c r="BO43" i="6"/>
  <c r="BO53" i="6"/>
  <c r="BO54" i="6"/>
  <c r="BO49" i="6"/>
  <c r="BO51" i="6"/>
  <c r="BO50" i="6"/>
  <c r="BO52" i="6"/>
  <c r="BO47" i="6"/>
  <c r="BO46" i="6"/>
  <c r="BO48" i="6"/>
  <c r="BO44" i="6"/>
  <c r="BO45" i="6"/>
  <c r="BP23" i="6"/>
  <c r="BN56" i="6"/>
  <c r="BW23" i="3" s="1"/>
  <c r="BY5" i="3"/>
  <c r="CA34" i="3"/>
  <c r="BZ35" i="3"/>
  <c r="BZ36" i="3" s="1"/>
  <c r="CB4" i="3"/>
  <c r="CB33" i="3" s="1"/>
  <c r="BP42" i="6" l="1"/>
  <c r="BP43" i="6"/>
  <c r="BP53" i="6"/>
  <c r="BP54" i="6"/>
  <c r="BP52" i="6"/>
  <c r="BP51" i="6"/>
  <c r="BP50" i="6"/>
  <c r="BP49" i="6"/>
  <c r="BP47" i="6"/>
  <c r="BP48" i="6"/>
  <c r="BP46" i="6"/>
  <c r="BP45" i="6"/>
  <c r="BP44" i="6"/>
  <c r="BQ23" i="6"/>
  <c r="BO56" i="6"/>
  <c r="BX23" i="3" s="1"/>
  <c r="BZ5" i="3"/>
  <c r="CB34" i="3"/>
  <c r="CC4" i="3"/>
  <c r="CC33" i="3" s="1"/>
  <c r="CA35" i="3"/>
  <c r="BQ43" i="6" l="1"/>
  <c r="BQ42" i="6"/>
  <c r="BQ54" i="6"/>
  <c r="BQ53" i="6"/>
  <c r="BQ52" i="6"/>
  <c r="BQ51" i="6"/>
  <c r="BQ50" i="6"/>
  <c r="BQ49" i="6"/>
  <c r="BQ47" i="6"/>
  <c r="BQ46" i="6"/>
  <c r="BQ45" i="6"/>
  <c r="BQ48" i="6"/>
  <c r="BQ44" i="6"/>
  <c r="BR23" i="6"/>
  <c r="BP56" i="6"/>
  <c r="BY23" i="3" s="1"/>
  <c r="CA36" i="3"/>
  <c r="CA5" i="3"/>
  <c r="CC34" i="3"/>
  <c r="CB35" i="3"/>
  <c r="CB36" i="3" s="1"/>
  <c r="CD4" i="3"/>
  <c r="CD33" i="3" s="1"/>
  <c r="BR43" i="6" l="1"/>
  <c r="BR42" i="6"/>
  <c r="BR54" i="6"/>
  <c r="BR53" i="6"/>
  <c r="BR51" i="6"/>
  <c r="BR50" i="6"/>
  <c r="BR52" i="6"/>
  <c r="BR49" i="6"/>
  <c r="BR46" i="6"/>
  <c r="BR48" i="6"/>
  <c r="BR47" i="6"/>
  <c r="BR45" i="6"/>
  <c r="BR44" i="6"/>
  <c r="BS23" i="6"/>
  <c r="BQ56" i="6"/>
  <c r="BZ23" i="3" s="1"/>
  <c r="CB5" i="3"/>
  <c r="CD34" i="3"/>
  <c r="CE4" i="3"/>
  <c r="CE33" i="3" s="1"/>
  <c r="CC35" i="3"/>
  <c r="CC36" i="3" s="1"/>
  <c r="BS43" i="6" l="1"/>
  <c r="BS42" i="6"/>
  <c r="BS54" i="6"/>
  <c r="BS53" i="6"/>
  <c r="BS51" i="6"/>
  <c r="BS50" i="6"/>
  <c r="BS48" i="6"/>
  <c r="BS52" i="6"/>
  <c r="BS49" i="6"/>
  <c r="BS47" i="6"/>
  <c r="BS46" i="6"/>
  <c r="BS45" i="6"/>
  <c r="BS44" i="6"/>
  <c r="BT23" i="6"/>
  <c r="BR56" i="6"/>
  <c r="CA23" i="3" s="1"/>
  <c r="CC5" i="3"/>
  <c r="CE34" i="3"/>
  <c r="CD35" i="3"/>
  <c r="CD36" i="3" s="1"/>
  <c r="CF4" i="3"/>
  <c r="CF33" i="3" s="1"/>
  <c r="BT42" i="6" l="1"/>
  <c r="BT43" i="6"/>
  <c r="BT53" i="6"/>
  <c r="BT54" i="6"/>
  <c r="BT51" i="6"/>
  <c r="BT50" i="6"/>
  <c r="BT49" i="6"/>
  <c r="BT52" i="6"/>
  <c r="BT48" i="6"/>
  <c r="BT47" i="6"/>
  <c r="BT46" i="6"/>
  <c r="BT45" i="6"/>
  <c r="BT44" i="6"/>
  <c r="BU23" i="6"/>
  <c r="BS56" i="6"/>
  <c r="CB23" i="3" s="1"/>
  <c r="CD5" i="3"/>
  <c r="CF34" i="3"/>
  <c r="CG4" i="3"/>
  <c r="CG33" i="3" s="1"/>
  <c r="CE35" i="3"/>
  <c r="CE36" i="3" s="1"/>
  <c r="BU42" i="6" l="1"/>
  <c r="BU43" i="6"/>
  <c r="BU54" i="6"/>
  <c r="BU53" i="6"/>
  <c r="BU52" i="6"/>
  <c r="BU51" i="6"/>
  <c r="BU50" i="6"/>
  <c r="BU49" i="6"/>
  <c r="BU48" i="6"/>
  <c r="BU47" i="6"/>
  <c r="BU46" i="6"/>
  <c r="BU45" i="6"/>
  <c r="BU44" i="6"/>
  <c r="BV23" i="6"/>
  <c r="BT56" i="6"/>
  <c r="CC23" i="3" s="1"/>
  <c r="CE5" i="3"/>
  <c r="CG34" i="3"/>
  <c r="CF35" i="3"/>
  <c r="CF36" i="3" s="1"/>
  <c r="CH4" i="3"/>
  <c r="BV43" i="6" l="1"/>
  <c r="BV42" i="6"/>
  <c r="BV54" i="6"/>
  <c r="BV53" i="6"/>
  <c r="BV51" i="6"/>
  <c r="BV50" i="6"/>
  <c r="BV52" i="6"/>
  <c r="BV49" i="6"/>
  <c r="BV48" i="6"/>
  <c r="BV47" i="6"/>
  <c r="BV46" i="6"/>
  <c r="BV45" i="6"/>
  <c r="BV44" i="6"/>
  <c r="BW23" i="6"/>
  <c r="BU56" i="6"/>
  <c r="CD23" i="3" s="1"/>
  <c r="CF5" i="3"/>
  <c r="CI4" i="3"/>
  <c r="CI33" i="3" s="1"/>
  <c r="CG35" i="3"/>
  <c r="CG36" i="3" s="1"/>
  <c r="BW43" i="6" l="1"/>
  <c r="BW42" i="6"/>
  <c r="BW53" i="6"/>
  <c r="BW54" i="6"/>
  <c r="BW51" i="6"/>
  <c r="BW50" i="6"/>
  <c r="BW52" i="6"/>
  <c r="BW49" i="6"/>
  <c r="BW48" i="6"/>
  <c r="BW47" i="6"/>
  <c r="BW46" i="6"/>
  <c r="BW45" i="6"/>
  <c r="BW44" i="6"/>
  <c r="BX23" i="6"/>
  <c r="BV56" i="6"/>
  <c r="CE23" i="3" s="1"/>
  <c r="CG5" i="3"/>
  <c r="CI34" i="3"/>
  <c r="CJ4" i="3"/>
  <c r="CJ33" i="3" s="1"/>
  <c r="BX42" i="6" l="1"/>
  <c r="BX43" i="6"/>
  <c r="BX53" i="6"/>
  <c r="BX54" i="6"/>
  <c r="BX51" i="6"/>
  <c r="BX50" i="6"/>
  <c r="BX52" i="6"/>
  <c r="BX48" i="6"/>
  <c r="BX47" i="6"/>
  <c r="BX46" i="6"/>
  <c r="BX49" i="6"/>
  <c r="BX44" i="6"/>
  <c r="BX45" i="6"/>
  <c r="BY23" i="6"/>
  <c r="BW56" i="6"/>
  <c r="CF23" i="3" s="1"/>
  <c r="CH5" i="3"/>
  <c r="CJ34" i="3"/>
  <c r="CK4" i="3"/>
  <c r="CK33" i="3" s="1"/>
  <c r="CI35" i="3"/>
  <c r="BY43" i="6" l="1"/>
  <c r="BY42" i="6"/>
  <c r="BY54" i="6"/>
  <c r="BY53" i="6"/>
  <c r="BY52" i="6"/>
  <c r="BY51" i="6"/>
  <c r="BY50" i="6"/>
  <c r="BY49" i="6"/>
  <c r="BY48" i="6"/>
  <c r="BY47" i="6"/>
  <c r="BY46" i="6"/>
  <c r="BY45" i="6"/>
  <c r="BY44" i="6"/>
  <c r="BZ23" i="6"/>
  <c r="BX56" i="6"/>
  <c r="CG23" i="3" s="1"/>
  <c r="CI36" i="3"/>
  <c r="CI5" i="3"/>
  <c r="CK34" i="3"/>
  <c r="CJ35" i="3"/>
  <c r="CJ36" i="3" s="1"/>
  <c r="CL4" i="3"/>
  <c r="CL33" i="3" s="1"/>
  <c r="BZ43" i="6" l="1"/>
  <c r="BZ42" i="6"/>
  <c r="BZ53" i="6"/>
  <c r="BZ54" i="6"/>
  <c r="BZ51" i="6"/>
  <c r="BZ50" i="6"/>
  <c r="BZ52" i="6"/>
  <c r="BZ49" i="6"/>
  <c r="BZ48" i="6"/>
  <c r="BZ47" i="6"/>
  <c r="BZ46" i="6"/>
  <c r="BZ45" i="6"/>
  <c r="BZ44" i="6"/>
  <c r="BY56" i="6"/>
  <c r="CH23" i="3" s="1"/>
  <c r="CA23" i="6"/>
  <c r="CJ5" i="3"/>
  <c r="CL34" i="3"/>
  <c r="CK35" i="3"/>
  <c r="CK36" i="3" s="1"/>
  <c r="CM4" i="3"/>
  <c r="CM33" i="3" s="1"/>
  <c r="CA42" i="6" l="1"/>
  <c r="CA43" i="6"/>
  <c r="CA54" i="6"/>
  <c r="CA53" i="6"/>
  <c r="CA52" i="6"/>
  <c r="CA51" i="6"/>
  <c r="CA50" i="6"/>
  <c r="CA48" i="6"/>
  <c r="CA47" i="6"/>
  <c r="CA46" i="6"/>
  <c r="CA45" i="6"/>
  <c r="CA49" i="6"/>
  <c r="CA44" i="6"/>
  <c r="CB23" i="6"/>
  <c r="BZ56" i="6"/>
  <c r="CK5" i="3"/>
  <c r="CM34" i="3"/>
  <c r="CL35" i="3"/>
  <c r="CL36" i="3" s="1"/>
  <c r="CN4" i="3"/>
  <c r="CN33" i="3" s="1"/>
  <c r="CB42" i="6" l="1"/>
  <c r="CB43" i="6"/>
  <c r="CB54" i="6"/>
  <c r="CB53" i="6"/>
  <c r="CB52" i="6"/>
  <c r="CB51" i="6"/>
  <c r="CB50" i="6"/>
  <c r="CB49" i="6"/>
  <c r="CB48" i="6"/>
  <c r="CB47" i="6"/>
  <c r="CB45" i="6"/>
  <c r="CB46" i="6"/>
  <c r="CB44" i="6"/>
  <c r="CC23" i="6"/>
  <c r="CA56" i="6"/>
  <c r="CL5" i="3"/>
  <c r="CN34" i="3"/>
  <c r="CM35" i="3"/>
  <c r="CM36" i="3" s="1"/>
  <c r="CO4" i="3"/>
  <c r="CO33" i="3" s="1"/>
  <c r="CC43" i="6" l="1"/>
  <c r="CC42" i="6"/>
  <c r="CC54" i="6"/>
  <c r="CC53" i="6"/>
  <c r="CC52" i="6"/>
  <c r="CC51" i="6"/>
  <c r="CC50" i="6"/>
  <c r="CC49" i="6"/>
  <c r="CC48" i="6"/>
  <c r="CC47" i="6"/>
  <c r="CC46" i="6"/>
  <c r="CC45" i="6"/>
  <c r="CC44" i="6"/>
  <c r="CD23" i="6"/>
  <c r="CB56" i="6"/>
  <c r="CM5" i="3"/>
  <c r="CO34" i="3"/>
  <c r="CN35" i="3"/>
  <c r="CN36" i="3" s="1"/>
  <c r="CP4" i="3"/>
  <c r="CP33" i="3" s="1"/>
  <c r="CD43" i="6" l="1"/>
  <c r="CD42" i="6"/>
  <c r="CD54" i="6"/>
  <c r="CD53" i="6"/>
  <c r="CD52" i="6"/>
  <c r="CD51" i="6"/>
  <c r="CD50" i="6"/>
  <c r="CD49" i="6"/>
  <c r="CD46" i="6"/>
  <c r="CD47" i="6"/>
  <c r="CD48" i="6"/>
  <c r="CD45" i="6"/>
  <c r="CD44" i="6"/>
  <c r="CC56" i="6"/>
  <c r="CE23" i="6"/>
  <c r="CN5" i="3"/>
  <c r="CP34" i="3"/>
  <c r="CQ4" i="3"/>
  <c r="CQ33" i="3" s="1"/>
  <c r="CO35" i="3"/>
  <c r="CO36" i="3" s="1"/>
  <c r="CE42" i="6" l="1"/>
  <c r="CE43" i="6"/>
  <c r="CE54" i="6"/>
  <c r="CE53" i="6"/>
  <c r="CE52" i="6"/>
  <c r="CE51" i="6"/>
  <c r="CE50" i="6"/>
  <c r="CE49" i="6"/>
  <c r="CE47" i="6"/>
  <c r="CE46" i="6"/>
  <c r="CE48" i="6"/>
  <c r="CE45" i="6"/>
  <c r="CE44" i="6"/>
  <c r="Y12" i="4"/>
  <c r="U8" i="6" s="1"/>
  <c r="Y16" i="4"/>
  <c r="U12" i="6" s="1"/>
  <c r="Y20" i="4"/>
  <c r="U16" i="6" s="1"/>
  <c r="Y18" i="4"/>
  <c r="U14" i="6" s="1"/>
  <c r="Y22" i="4"/>
  <c r="Y13" i="4"/>
  <c r="U9" i="6" s="1"/>
  <c r="Y17" i="4"/>
  <c r="U13" i="6" s="1"/>
  <c r="Y10" i="4"/>
  <c r="U6" i="6" s="1"/>
  <c r="Y11" i="4"/>
  <c r="U7" i="6" s="1"/>
  <c r="Y15" i="4"/>
  <c r="U11" i="6" s="1"/>
  <c r="Y19" i="4"/>
  <c r="U15" i="6" s="1"/>
  <c r="Y21" i="4"/>
  <c r="U17" i="6" s="1"/>
  <c r="Y14" i="4"/>
  <c r="U10" i="6" s="1"/>
  <c r="CD56" i="6"/>
  <c r="CF23" i="6"/>
  <c r="CO5" i="3"/>
  <c r="CQ34" i="3"/>
  <c r="CP35" i="3"/>
  <c r="CP36" i="3" s="1"/>
  <c r="CR4" i="3"/>
  <c r="CR33" i="3" s="1"/>
  <c r="V12" i="6" l="1"/>
  <c r="F30" i="6"/>
  <c r="G30" i="6"/>
  <c r="H30" i="6"/>
  <c r="I30" i="6"/>
  <c r="J30" i="6"/>
  <c r="K30" i="6"/>
  <c r="L30" i="6"/>
  <c r="M30" i="6"/>
  <c r="N30" i="6"/>
  <c r="O30" i="6"/>
  <c r="P30" i="6"/>
  <c r="Q30" i="6"/>
  <c r="V8" i="6"/>
  <c r="W8" i="6" s="1"/>
  <c r="X8" i="6" s="1"/>
  <c r="Y8" i="6" s="1"/>
  <c r="Z8" i="6" s="1"/>
  <c r="AA8" i="6" s="1"/>
  <c r="AB8" i="6" s="1"/>
  <c r="AC8" i="6" s="1"/>
  <c r="AD8" i="6" s="1"/>
  <c r="AE8" i="6" s="1"/>
  <c r="AF8" i="6" s="1"/>
  <c r="F26" i="6"/>
  <c r="G26" i="6"/>
  <c r="H26" i="6"/>
  <c r="I26" i="6"/>
  <c r="J26" i="6"/>
  <c r="K26" i="6"/>
  <c r="L26" i="6"/>
  <c r="M26" i="6"/>
  <c r="N26" i="6"/>
  <c r="O26" i="6"/>
  <c r="P26" i="6"/>
  <c r="Q26" i="6"/>
  <c r="V16" i="6"/>
  <c r="W16" i="6" s="1"/>
  <c r="X16" i="6" s="1"/>
  <c r="Y16" i="6" s="1"/>
  <c r="Z16" i="6" s="1"/>
  <c r="AA16" i="6" s="1"/>
  <c r="AB16" i="6" s="1"/>
  <c r="AC16" i="6" s="1"/>
  <c r="AD16" i="6" s="1"/>
  <c r="AE16" i="6" s="1"/>
  <c r="AF16" i="6" s="1"/>
  <c r="F34" i="6"/>
  <c r="G34" i="6"/>
  <c r="H34" i="6"/>
  <c r="I34" i="6"/>
  <c r="J34" i="6"/>
  <c r="K34" i="6"/>
  <c r="L34" i="6"/>
  <c r="M34" i="6"/>
  <c r="V10" i="6"/>
  <c r="F28" i="6"/>
  <c r="G28" i="6"/>
  <c r="H28" i="6"/>
  <c r="I28" i="6"/>
  <c r="J28" i="6"/>
  <c r="K28" i="6"/>
  <c r="L28" i="6"/>
  <c r="M28" i="6"/>
  <c r="N28" i="6"/>
  <c r="O28" i="6"/>
  <c r="P28" i="6"/>
  <c r="Q28" i="6"/>
  <c r="V17" i="6"/>
  <c r="W17" i="6" s="1"/>
  <c r="X17" i="6" s="1"/>
  <c r="Y17" i="6" s="1"/>
  <c r="Z17" i="6" s="1"/>
  <c r="AA17" i="6" s="1"/>
  <c r="AB17" i="6" s="1"/>
  <c r="AC17" i="6" s="1"/>
  <c r="AD17" i="6" s="1"/>
  <c r="AE17" i="6" s="1"/>
  <c r="AF17" i="6" s="1"/>
  <c r="F35" i="6"/>
  <c r="G35" i="6"/>
  <c r="H35" i="6"/>
  <c r="I35" i="6"/>
  <c r="V15" i="6"/>
  <c r="W15" i="6" s="1"/>
  <c r="X15" i="6" s="1"/>
  <c r="Y15" i="6" s="1"/>
  <c r="Z15" i="6" s="1"/>
  <c r="AA15" i="6" s="1"/>
  <c r="AB15" i="6" s="1"/>
  <c r="AC15" i="6" s="1"/>
  <c r="AD15" i="6" s="1"/>
  <c r="AE15" i="6" s="1"/>
  <c r="AF15" i="6" s="1"/>
  <c r="F33" i="6"/>
  <c r="G33" i="6"/>
  <c r="H33" i="6"/>
  <c r="I33" i="6"/>
  <c r="J33" i="6"/>
  <c r="K33" i="6"/>
  <c r="L33" i="6"/>
  <c r="M33" i="6"/>
  <c r="N33" i="6"/>
  <c r="O33" i="6"/>
  <c r="P33" i="6"/>
  <c r="Q33" i="6"/>
  <c r="V7" i="6"/>
  <c r="W7" i="6" s="1"/>
  <c r="X7" i="6" s="1"/>
  <c r="Y7" i="6" s="1"/>
  <c r="Z7" i="6" s="1"/>
  <c r="AA7" i="6" s="1"/>
  <c r="AB7" i="6" s="1"/>
  <c r="AC7" i="6" s="1"/>
  <c r="AD7" i="6" s="1"/>
  <c r="AE7" i="6" s="1"/>
  <c r="AF7" i="6" s="1"/>
  <c r="F25" i="6"/>
  <c r="G25" i="6"/>
  <c r="H25" i="6"/>
  <c r="I25" i="6"/>
  <c r="J25" i="6"/>
  <c r="K25" i="6"/>
  <c r="L25" i="6"/>
  <c r="M25" i="6"/>
  <c r="V6" i="6"/>
  <c r="W6" i="6" s="1"/>
  <c r="X6" i="6" s="1"/>
  <c r="Y6" i="6" s="1"/>
  <c r="Z6" i="6" s="1"/>
  <c r="AA6" i="6" s="1"/>
  <c r="AB6" i="6" s="1"/>
  <c r="AC6" i="6" s="1"/>
  <c r="AD6" i="6" s="1"/>
  <c r="AE6" i="6" s="1"/>
  <c r="AF6" i="6" s="1"/>
  <c r="F24" i="6"/>
  <c r="G24" i="6"/>
  <c r="H24" i="6"/>
  <c r="I24" i="6"/>
  <c r="V13" i="6"/>
  <c r="Z31" i="6" s="1"/>
  <c r="F31" i="6"/>
  <c r="G31" i="6"/>
  <c r="H31" i="6"/>
  <c r="I31" i="6"/>
  <c r="J31" i="6"/>
  <c r="K31" i="6"/>
  <c r="L31" i="6"/>
  <c r="M31" i="6"/>
  <c r="N31" i="6"/>
  <c r="O31" i="6"/>
  <c r="P31" i="6"/>
  <c r="Q31" i="6"/>
  <c r="V9" i="6"/>
  <c r="AA27" i="6" s="1"/>
  <c r="F27" i="6"/>
  <c r="G27" i="6"/>
  <c r="H27" i="6"/>
  <c r="I27" i="6"/>
  <c r="J27" i="6"/>
  <c r="K27" i="6"/>
  <c r="L27" i="6"/>
  <c r="M27" i="6"/>
  <c r="N27" i="6"/>
  <c r="O27" i="6"/>
  <c r="P27" i="6"/>
  <c r="Q27" i="6"/>
  <c r="V11" i="6"/>
  <c r="F29" i="6"/>
  <c r="G29" i="6"/>
  <c r="H29" i="6"/>
  <c r="I29" i="6"/>
  <c r="J29" i="6"/>
  <c r="K29" i="6"/>
  <c r="L29" i="6"/>
  <c r="M29" i="6"/>
  <c r="N29" i="6"/>
  <c r="O29" i="6"/>
  <c r="P29" i="6"/>
  <c r="Q29" i="6"/>
  <c r="V14" i="6"/>
  <c r="W32" i="6" s="1"/>
  <c r="F32" i="6"/>
  <c r="G32" i="6"/>
  <c r="H32" i="6"/>
  <c r="I32" i="6"/>
  <c r="J32" i="6"/>
  <c r="K32" i="6"/>
  <c r="L32" i="6"/>
  <c r="M32" i="6"/>
  <c r="N32" i="6"/>
  <c r="O32" i="6"/>
  <c r="P32" i="6"/>
  <c r="Q32" i="6"/>
  <c r="CF42" i="6"/>
  <c r="CF43" i="6"/>
  <c r="CF53" i="6"/>
  <c r="CF54" i="6"/>
  <c r="CF52" i="6"/>
  <c r="CF51" i="6"/>
  <c r="CF50" i="6"/>
  <c r="CF49" i="6"/>
  <c r="CF48" i="6"/>
  <c r="CF47" i="6"/>
  <c r="CF46" i="6"/>
  <c r="CF44" i="6"/>
  <c r="CF45" i="6"/>
  <c r="N34" i="6"/>
  <c r="O34" i="6"/>
  <c r="P34" i="6"/>
  <c r="Q34" i="6"/>
  <c r="Z28" i="6"/>
  <c r="AA28" i="6"/>
  <c r="AB28" i="6"/>
  <c r="AC28" i="6"/>
  <c r="N25" i="6"/>
  <c r="O25" i="6"/>
  <c r="P25" i="6"/>
  <c r="Q25" i="6"/>
  <c r="J35" i="6"/>
  <c r="K35" i="6"/>
  <c r="L35" i="6"/>
  <c r="M35" i="6"/>
  <c r="N35" i="6"/>
  <c r="O35" i="6"/>
  <c r="P35" i="6"/>
  <c r="Q35" i="6"/>
  <c r="J24" i="6"/>
  <c r="K24" i="6"/>
  <c r="L24" i="6"/>
  <c r="M24" i="6"/>
  <c r="N24" i="6"/>
  <c r="O24" i="6"/>
  <c r="P24" i="6"/>
  <c r="Q24" i="6"/>
  <c r="CE56" i="6"/>
  <c r="CN24" i="3" s="1"/>
  <c r="CG23" i="6"/>
  <c r="CP5" i="3"/>
  <c r="CR34" i="3"/>
  <c r="CQ35" i="3"/>
  <c r="CQ36" i="3" s="1"/>
  <c r="CS4" i="3"/>
  <c r="CS33" i="3" s="1"/>
  <c r="AA31" i="6" l="1"/>
  <c r="AC31" i="6"/>
  <c r="AB31" i="6"/>
  <c r="AC33" i="6"/>
  <c r="AA33" i="6"/>
  <c r="AB33" i="6"/>
  <c r="Z33" i="6"/>
  <c r="V32" i="6"/>
  <c r="Y33" i="6"/>
  <c r="X33" i="6"/>
  <c r="W33" i="6"/>
  <c r="V33" i="6"/>
  <c r="U33" i="6"/>
  <c r="T26" i="6"/>
  <c r="U26" i="6"/>
  <c r="S26" i="6"/>
  <c r="T33" i="6"/>
  <c r="R26" i="6"/>
  <c r="AC32" i="6"/>
  <c r="AB32" i="6"/>
  <c r="Z32" i="6"/>
  <c r="AA32" i="6"/>
  <c r="Y32" i="6"/>
  <c r="X32" i="6"/>
  <c r="S33" i="6"/>
  <c r="AC27" i="6"/>
  <c r="W11" i="6"/>
  <c r="R29" i="6"/>
  <c r="S29" i="6"/>
  <c r="T29" i="6"/>
  <c r="U29" i="6"/>
  <c r="V29" i="6"/>
  <c r="W29" i="6"/>
  <c r="X29" i="6"/>
  <c r="Y29" i="6"/>
  <c r="Z29" i="6"/>
  <c r="AA29" i="6"/>
  <c r="AB29" i="6"/>
  <c r="AC29" i="6"/>
  <c r="AB26" i="6"/>
  <c r="AB27" i="6"/>
  <c r="W14" i="6"/>
  <c r="X14" i="6" s="1"/>
  <c r="Y14" i="6" s="1"/>
  <c r="Z14" i="6" s="1"/>
  <c r="AA14" i="6" s="1"/>
  <c r="AB14" i="6" s="1"/>
  <c r="AC14" i="6" s="1"/>
  <c r="AD14" i="6" s="1"/>
  <c r="AE14" i="6" s="1"/>
  <c r="AF14" i="6" s="1"/>
  <c r="R32" i="6"/>
  <c r="S32" i="6"/>
  <c r="T32" i="6"/>
  <c r="U32" i="6"/>
  <c r="AA26" i="6"/>
  <c r="W9" i="6"/>
  <c r="X9" i="6" s="1"/>
  <c r="Y9" i="6" s="1"/>
  <c r="Z9" i="6" s="1"/>
  <c r="AA9" i="6" s="1"/>
  <c r="AB9" i="6" s="1"/>
  <c r="AC9" i="6" s="1"/>
  <c r="AD9" i="6" s="1"/>
  <c r="AE9" i="6" s="1"/>
  <c r="AF9" i="6" s="1"/>
  <c r="R27" i="6"/>
  <c r="S27" i="6"/>
  <c r="T27" i="6"/>
  <c r="U27" i="6"/>
  <c r="Z27" i="6"/>
  <c r="AC26" i="6"/>
  <c r="Z26" i="6"/>
  <c r="Y26" i="6"/>
  <c r="Y27" i="6"/>
  <c r="X26" i="6"/>
  <c r="X27" i="6"/>
  <c r="W10" i="6"/>
  <c r="X10" i="6" s="1"/>
  <c r="Y10" i="6" s="1"/>
  <c r="Z10" i="6" s="1"/>
  <c r="AA10" i="6" s="1"/>
  <c r="AB10" i="6" s="1"/>
  <c r="AC10" i="6" s="1"/>
  <c r="AD10" i="6" s="1"/>
  <c r="AE10" i="6" s="1"/>
  <c r="AF10" i="6" s="1"/>
  <c r="R28" i="6"/>
  <c r="S28" i="6"/>
  <c r="T28" i="6"/>
  <c r="U28" i="6"/>
  <c r="V28" i="6"/>
  <c r="W28" i="6"/>
  <c r="X28" i="6"/>
  <c r="Y28" i="6"/>
  <c r="W26" i="6"/>
  <c r="W27" i="6"/>
  <c r="V26" i="6"/>
  <c r="V27" i="6"/>
  <c r="R33" i="6"/>
  <c r="W13" i="6"/>
  <c r="X13" i="6" s="1"/>
  <c r="Y13" i="6" s="1"/>
  <c r="Z13" i="6" s="1"/>
  <c r="AA13" i="6" s="1"/>
  <c r="AB13" i="6" s="1"/>
  <c r="AC13" i="6" s="1"/>
  <c r="AD13" i="6" s="1"/>
  <c r="AE13" i="6" s="1"/>
  <c r="AF13" i="6" s="1"/>
  <c r="R31" i="6"/>
  <c r="S31" i="6"/>
  <c r="T31" i="6"/>
  <c r="U31" i="6"/>
  <c r="V31" i="6"/>
  <c r="W31" i="6"/>
  <c r="X31" i="6"/>
  <c r="Y31" i="6"/>
  <c r="W12" i="6"/>
  <c r="R30" i="6"/>
  <c r="S30" i="6"/>
  <c r="T30" i="6"/>
  <c r="U30" i="6"/>
  <c r="V30" i="6"/>
  <c r="W30" i="6"/>
  <c r="X30" i="6"/>
  <c r="Y30" i="6"/>
  <c r="Z30" i="6"/>
  <c r="AA30" i="6"/>
  <c r="AB30" i="6"/>
  <c r="AC30" i="6"/>
  <c r="CG43" i="6"/>
  <c r="CG42" i="6"/>
  <c r="CG54" i="6"/>
  <c r="CG53" i="6"/>
  <c r="CG52" i="6"/>
  <c r="CG51" i="6"/>
  <c r="CG50" i="6"/>
  <c r="CG49" i="6"/>
  <c r="CG47" i="6"/>
  <c r="CG46" i="6"/>
  <c r="CG45" i="6"/>
  <c r="CG48" i="6"/>
  <c r="CG44" i="6"/>
  <c r="P24" i="3"/>
  <c r="Q24" i="3"/>
  <c r="R24" i="3"/>
  <c r="S24" i="3"/>
  <c r="T24" i="3"/>
  <c r="U24" i="3"/>
  <c r="V24" i="3"/>
  <c r="W24" i="3"/>
  <c r="X24" i="3"/>
  <c r="Y24" i="3"/>
  <c r="Z24" i="3"/>
  <c r="AA24" i="3"/>
  <c r="AB24" i="3"/>
  <c r="AC24" i="3"/>
  <c r="AD24" i="3"/>
  <c r="AE24" i="3"/>
  <c r="AF24" i="3"/>
  <c r="AG24" i="3"/>
  <c r="AH24" i="3"/>
  <c r="AI24" i="3"/>
  <c r="AJ24" i="3"/>
  <c r="AK24" i="3"/>
  <c r="AL24" i="3"/>
  <c r="AM24" i="3"/>
  <c r="AN24" i="3"/>
  <c r="AO24" i="3"/>
  <c r="AP24" i="3"/>
  <c r="AQ24" i="3"/>
  <c r="AR24" i="3"/>
  <c r="AS24" i="3"/>
  <c r="AT24" i="3"/>
  <c r="AU24" i="3"/>
  <c r="AV24" i="3"/>
  <c r="AW24" i="3"/>
  <c r="AX24" i="3"/>
  <c r="AY24" i="3"/>
  <c r="AZ24" i="3"/>
  <c r="BA24" i="3"/>
  <c r="BB24" i="3"/>
  <c r="BC24" i="3"/>
  <c r="BD24" i="3"/>
  <c r="BE24" i="3"/>
  <c r="BF24" i="3"/>
  <c r="BG24" i="3"/>
  <c r="BH24" i="3"/>
  <c r="BI24" i="3"/>
  <c r="BJ24" i="3"/>
  <c r="BK24" i="3"/>
  <c r="BL24" i="3"/>
  <c r="BM24" i="3"/>
  <c r="BN24" i="3"/>
  <c r="BO24" i="3"/>
  <c r="BP24" i="3"/>
  <c r="BQ24" i="3"/>
  <c r="BR24" i="3"/>
  <c r="BS24" i="3"/>
  <c r="BT24" i="3"/>
  <c r="BU24" i="3"/>
  <c r="BV24" i="3"/>
  <c r="BW24" i="3"/>
  <c r="BX24" i="3"/>
  <c r="BY24" i="3"/>
  <c r="BZ24" i="3"/>
  <c r="CA24" i="3"/>
  <c r="CB24" i="3"/>
  <c r="CC24" i="3"/>
  <c r="CD24" i="3"/>
  <c r="CE24" i="3"/>
  <c r="CF24" i="3"/>
  <c r="CG24" i="3"/>
  <c r="CH24" i="3"/>
  <c r="CI24" i="3"/>
  <c r="CJ24" i="3"/>
  <c r="CK24" i="3"/>
  <c r="CL24" i="3"/>
  <c r="CM24" i="3"/>
  <c r="R35" i="6"/>
  <c r="S35" i="6"/>
  <c r="T35" i="6"/>
  <c r="U35" i="6"/>
  <c r="V35" i="6"/>
  <c r="W35" i="6"/>
  <c r="X35" i="6"/>
  <c r="Y35" i="6"/>
  <c r="Z35" i="6"/>
  <c r="AA35" i="6"/>
  <c r="AB35" i="6"/>
  <c r="AC35" i="6"/>
  <c r="AH24" i="6"/>
  <c r="R24" i="6"/>
  <c r="S24" i="6"/>
  <c r="T24" i="6"/>
  <c r="U24" i="6"/>
  <c r="V24" i="6"/>
  <c r="W24" i="6"/>
  <c r="X24" i="6"/>
  <c r="Y24" i="6"/>
  <c r="Z24" i="6"/>
  <c r="AA24" i="6"/>
  <c r="AB24" i="6"/>
  <c r="AC24" i="6"/>
  <c r="R34" i="6"/>
  <c r="S34" i="6"/>
  <c r="T34" i="6"/>
  <c r="U34" i="6"/>
  <c r="V34" i="6"/>
  <c r="W34" i="6"/>
  <c r="X34" i="6"/>
  <c r="Y34" i="6"/>
  <c r="Z34" i="6"/>
  <c r="AA34" i="6"/>
  <c r="AB34" i="6"/>
  <c r="AC34" i="6"/>
  <c r="AD26" i="6"/>
  <c r="AE26" i="6"/>
  <c r="AF26" i="6"/>
  <c r="AG26" i="6"/>
  <c r="AH26" i="6"/>
  <c r="AI26" i="6"/>
  <c r="AJ26" i="6"/>
  <c r="AK26" i="6"/>
  <c r="AL26" i="6"/>
  <c r="AM26" i="6"/>
  <c r="AN26" i="6"/>
  <c r="AO26" i="6"/>
  <c r="AD33" i="6"/>
  <c r="AE33" i="6"/>
  <c r="AF33" i="6"/>
  <c r="AG33" i="6"/>
  <c r="AH33" i="6"/>
  <c r="AI33" i="6"/>
  <c r="AJ33" i="6"/>
  <c r="AK33" i="6"/>
  <c r="AL33" i="6"/>
  <c r="AM33" i="6"/>
  <c r="AN33" i="6"/>
  <c r="AO33" i="6"/>
  <c r="R25" i="6"/>
  <c r="S25" i="6"/>
  <c r="T25" i="6"/>
  <c r="U25" i="6"/>
  <c r="V25" i="6"/>
  <c r="W25" i="6"/>
  <c r="X25" i="6"/>
  <c r="Y25" i="6"/>
  <c r="Z25" i="6"/>
  <c r="AA25" i="6"/>
  <c r="AB25" i="6"/>
  <c r="AC25" i="6"/>
  <c r="CH23" i="6"/>
  <c r="CF56" i="6"/>
  <c r="CO24" i="3" s="1"/>
  <c r="CQ5" i="3"/>
  <c r="CS34" i="3"/>
  <c r="CR35" i="3"/>
  <c r="CR36" i="3" s="1"/>
  <c r="CT4" i="3"/>
  <c r="AK32" i="6" l="1"/>
  <c r="AI32" i="6"/>
  <c r="AJ32" i="6"/>
  <c r="AG32" i="6"/>
  <c r="AD32" i="6"/>
  <c r="AF32" i="6"/>
  <c r="AE32" i="6"/>
  <c r="AH32" i="6"/>
  <c r="AL32" i="6"/>
  <c r="AK31" i="6"/>
  <c r="AG31" i="6"/>
  <c r="AO28" i="6"/>
  <c r="AI31" i="6"/>
  <c r="AF31" i="6"/>
  <c r="AN28" i="6"/>
  <c r="AJ31" i="6"/>
  <c r="AH31" i="6"/>
  <c r="AE31" i="6"/>
  <c r="AM28" i="6"/>
  <c r="AL28" i="6"/>
  <c r="AK28" i="6"/>
  <c r="AD31" i="6"/>
  <c r="AK27" i="6"/>
  <c r="AL27" i="6"/>
  <c r="AJ27" i="6"/>
  <c r="AJ28" i="6"/>
  <c r="AI28" i="6"/>
  <c r="AN27" i="6"/>
  <c r="AI27" i="6"/>
  <c r="AH27" i="6"/>
  <c r="AH28" i="6"/>
  <c r="AO27" i="6"/>
  <c r="AG27" i="6"/>
  <c r="AO31" i="6"/>
  <c r="AG28" i="6"/>
  <c r="AO32" i="6"/>
  <c r="AF27" i="6"/>
  <c r="AN31" i="6"/>
  <c r="AF28" i="6"/>
  <c r="AN32" i="6"/>
  <c r="AE27" i="6"/>
  <c r="AM31" i="6"/>
  <c r="AE28" i="6"/>
  <c r="AM32" i="6"/>
  <c r="AD27" i="6"/>
  <c r="AL31" i="6"/>
  <c r="AD28" i="6"/>
  <c r="X12" i="6"/>
  <c r="AK30" i="6"/>
  <c r="AL30" i="6"/>
  <c r="AM30" i="6"/>
  <c r="AH30" i="6"/>
  <c r="AN30" i="6"/>
  <c r="AO30" i="6"/>
  <c r="AG30" i="6"/>
  <c r="AE30" i="6"/>
  <c r="AF30" i="6"/>
  <c r="AD30" i="6"/>
  <c r="AI30" i="6"/>
  <c r="AJ30" i="6"/>
  <c r="AM27" i="6"/>
  <c r="X11" i="6"/>
  <c r="AO29" i="6"/>
  <c r="AL29" i="6"/>
  <c r="AI29" i="6"/>
  <c r="AD29" i="6"/>
  <c r="AE29" i="6"/>
  <c r="AJ29" i="6"/>
  <c r="AF29" i="6"/>
  <c r="AG29" i="6"/>
  <c r="AK29" i="6"/>
  <c r="AH29" i="6"/>
  <c r="AM29" i="6"/>
  <c r="AN29" i="6"/>
  <c r="CH43" i="6"/>
  <c r="CH42" i="6"/>
  <c r="CH54" i="6"/>
  <c r="CH53" i="6"/>
  <c r="CH51" i="6"/>
  <c r="CH50" i="6"/>
  <c r="CH52" i="6"/>
  <c r="CH49" i="6"/>
  <c r="CH46" i="6"/>
  <c r="CH48" i="6"/>
  <c r="CH47" i="6"/>
  <c r="CH44" i="6"/>
  <c r="CH45" i="6"/>
  <c r="AD25" i="6"/>
  <c r="AE25" i="6"/>
  <c r="AF25" i="6"/>
  <c r="AG25" i="6"/>
  <c r="AH25" i="6"/>
  <c r="AI25" i="6"/>
  <c r="AJ25" i="6"/>
  <c r="AK25" i="6"/>
  <c r="AL25" i="6"/>
  <c r="AM25" i="6"/>
  <c r="AN25" i="6"/>
  <c r="AO25" i="6"/>
  <c r="AP27" i="6"/>
  <c r="AQ27" i="6"/>
  <c r="AR27" i="6"/>
  <c r="AS27" i="6"/>
  <c r="AT27" i="6"/>
  <c r="AU27" i="6"/>
  <c r="AV27" i="6"/>
  <c r="AW27" i="6"/>
  <c r="AX27" i="6"/>
  <c r="AY27" i="6"/>
  <c r="AZ27" i="6"/>
  <c r="BA27" i="6"/>
  <c r="AP32" i="6"/>
  <c r="AQ32" i="6"/>
  <c r="AR32" i="6"/>
  <c r="AS32" i="6"/>
  <c r="AT32" i="6"/>
  <c r="AU32" i="6"/>
  <c r="AV32" i="6"/>
  <c r="AW32" i="6"/>
  <c r="AX32" i="6"/>
  <c r="AY32" i="6"/>
  <c r="AZ32" i="6"/>
  <c r="BA32" i="6"/>
  <c r="AP26" i="6"/>
  <c r="AQ26" i="6"/>
  <c r="AR26" i="6"/>
  <c r="AS26" i="6"/>
  <c r="AT26" i="6"/>
  <c r="AU26" i="6"/>
  <c r="AV26" i="6"/>
  <c r="AW26" i="6"/>
  <c r="AX26" i="6"/>
  <c r="AY26" i="6"/>
  <c r="AZ26" i="6"/>
  <c r="BA26" i="6"/>
  <c r="AP28" i="6"/>
  <c r="AQ28" i="6"/>
  <c r="AR28" i="6"/>
  <c r="AS28" i="6"/>
  <c r="AT28" i="6"/>
  <c r="AU28" i="6"/>
  <c r="AV28" i="6"/>
  <c r="AW28" i="6"/>
  <c r="AX28" i="6"/>
  <c r="AY28" i="6"/>
  <c r="AZ28" i="6"/>
  <c r="BA28" i="6"/>
  <c r="AD24" i="6"/>
  <c r="AE24" i="6"/>
  <c r="AF24" i="6"/>
  <c r="AG24" i="6"/>
  <c r="AI24" i="6"/>
  <c r="AJ24" i="6"/>
  <c r="AK24" i="6"/>
  <c r="AL24" i="6"/>
  <c r="AM24" i="6"/>
  <c r="AN24" i="6"/>
  <c r="AO24" i="6"/>
  <c r="AD34" i="6"/>
  <c r="AE34" i="6"/>
  <c r="AF34" i="6"/>
  <c r="AG34" i="6"/>
  <c r="AH34" i="6"/>
  <c r="AI34" i="6"/>
  <c r="AJ34" i="6"/>
  <c r="AK34" i="6"/>
  <c r="AL34" i="6"/>
  <c r="AM34" i="6"/>
  <c r="AN34" i="6"/>
  <c r="AO34" i="6"/>
  <c r="AP33" i="6"/>
  <c r="AQ33" i="6"/>
  <c r="AR33" i="6"/>
  <c r="AS33" i="6"/>
  <c r="AT33" i="6"/>
  <c r="AU33" i="6"/>
  <c r="AV33" i="6"/>
  <c r="AW33" i="6"/>
  <c r="AX33" i="6"/>
  <c r="AY33" i="6"/>
  <c r="AZ33" i="6"/>
  <c r="BA33" i="6"/>
  <c r="AP31" i="6"/>
  <c r="AQ31" i="6"/>
  <c r="AR31" i="6"/>
  <c r="AS31" i="6"/>
  <c r="AT31" i="6"/>
  <c r="AU31" i="6"/>
  <c r="AV31" i="6"/>
  <c r="AW31" i="6"/>
  <c r="AX31" i="6"/>
  <c r="AY31" i="6"/>
  <c r="AZ31" i="6"/>
  <c r="BA31" i="6"/>
  <c r="AD35" i="6"/>
  <c r="AE35" i="6"/>
  <c r="AF35" i="6"/>
  <c r="AG35" i="6"/>
  <c r="AH35" i="6"/>
  <c r="AI35" i="6"/>
  <c r="AJ35" i="6"/>
  <c r="AK35" i="6"/>
  <c r="AL35" i="6"/>
  <c r="AM35" i="6"/>
  <c r="AN35" i="6"/>
  <c r="AO35" i="6"/>
  <c r="CI23" i="6"/>
  <c r="CG56" i="6"/>
  <c r="CP24" i="3" s="1"/>
  <c r="CR5" i="3"/>
  <c r="CS35" i="3"/>
  <c r="CS36" i="3" s="1"/>
  <c r="CU4" i="3"/>
  <c r="CU33" i="3" s="1"/>
  <c r="Y11" i="6" l="1"/>
  <c r="AR29" i="6"/>
  <c r="AW29" i="6"/>
  <c r="AX29" i="6"/>
  <c r="BA29" i="6"/>
  <c r="AP29" i="6"/>
  <c r="AT29" i="6"/>
  <c r="AQ29" i="6"/>
  <c r="AS29" i="6"/>
  <c r="AU29" i="6"/>
  <c r="AY29" i="6"/>
  <c r="AZ29" i="6"/>
  <c r="AV29" i="6"/>
  <c r="Y12" i="6"/>
  <c r="AP30" i="6"/>
  <c r="AQ30" i="6"/>
  <c r="AR30" i="6"/>
  <c r="AX30" i="6"/>
  <c r="AZ30" i="6"/>
  <c r="AV30" i="6"/>
  <c r="AS30" i="6"/>
  <c r="AT30" i="6"/>
  <c r="AU30" i="6"/>
  <c r="AY30" i="6"/>
  <c r="AW30" i="6"/>
  <c r="BA30" i="6"/>
  <c r="CI43" i="6"/>
  <c r="CI42" i="6"/>
  <c r="CI53" i="6"/>
  <c r="CI54" i="6"/>
  <c r="CI52" i="6"/>
  <c r="CI51" i="6"/>
  <c r="CI50" i="6"/>
  <c r="CI48" i="6"/>
  <c r="CI49" i="6"/>
  <c r="CI47" i="6"/>
  <c r="CI46" i="6"/>
  <c r="CI45" i="6"/>
  <c r="CI44" i="6"/>
  <c r="AP24" i="6"/>
  <c r="AQ24" i="6"/>
  <c r="AR24" i="6"/>
  <c r="AS24" i="6"/>
  <c r="AT24" i="6"/>
  <c r="AU24" i="6"/>
  <c r="AV24" i="6"/>
  <c r="AW24" i="6"/>
  <c r="AX24" i="6"/>
  <c r="AY24" i="6"/>
  <c r="AZ24" i="6"/>
  <c r="BA24" i="6"/>
  <c r="BB33" i="6"/>
  <c r="BC33" i="6"/>
  <c r="BD33" i="6"/>
  <c r="BE33" i="6"/>
  <c r="BF33" i="6"/>
  <c r="BG33" i="6"/>
  <c r="BH33" i="6"/>
  <c r="BI33" i="6"/>
  <c r="BJ33" i="6"/>
  <c r="BK33" i="6"/>
  <c r="BL33" i="6"/>
  <c r="BM33" i="6"/>
  <c r="BB32" i="6"/>
  <c r="BC32" i="6"/>
  <c r="BD32" i="6"/>
  <c r="BE32" i="6"/>
  <c r="BF32" i="6"/>
  <c r="BG32" i="6"/>
  <c r="BH32" i="6"/>
  <c r="BI32" i="6"/>
  <c r="BJ32" i="6"/>
  <c r="BK32" i="6"/>
  <c r="BL32" i="6"/>
  <c r="BM32" i="6"/>
  <c r="BB31" i="6"/>
  <c r="BC31" i="6"/>
  <c r="BD31" i="6"/>
  <c r="BE31" i="6"/>
  <c r="BF31" i="6"/>
  <c r="BG31" i="6"/>
  <c r="BH31" i="6"/>
  <c r="BI31" i="6"/>
  <c r="BJ31" i="6"/>
  <c r="BK31" i="6"/>
  <c r="BL31" i="6"/>
  <c r="BM31" i="6"/>
  <c r="BB27" i="6"/>
  <c r="BC27" i="6"/>
  <c r="BD27" i="6"/>
  <c r="BE27" i="6"/>
  <c r="BF27" i="6"/>
  <c r="BG27" i="6"/>
  <c r="BH27" i="6"/>
  <c r="BI27" i="6"/>
  <c r="BJ27" i="6"/>
  <c r="BK27" i="6"/>
  <c r="BL27" i="6"/>
  <c r="BM27" i="6"/>
  <c r="BB26" i="6"/>
  <c r="BC26" i="6"/>
  <c r="BD26" i="6"/>
  <c r="BE26" i="6"/>
  <c r="BF26" i="6"/>
  <c r="BG26" i="6"/>
  <c r="BH26" i="6"/>
  <c r="BI26" i="6"/>
  <c r="BJ26" i="6"/>
  <c r="BK26" i="6"/>
  <c r="BL26" i="6"/>
  <c r="BM26" i="6"/>
  <c r="AP35" i="6"/>
  <c r="AQ35" i="6"/>
  <c r="AR35" i="6"/>
  <c r="AS35" i="6"/>
  <c r="AT35" i="6"/>
  <c r="AU35" i="6"/>
  <c r="AV35" i="6"/>
  <c r="AW35" i="6"/>
  <c r="AX35" i="6"/>
  <c r="AY35" i="6"/>
  <c r="AZ35" i="6"/>
  <c r="BA35" i="6"/>
  <c r="AP34" i="6"/>
  <c r="AQ34" i="6"/>
  <c r="AR34" i="6"/>
  <c r="AS34" i="6"/>
  <c r="AT34" i="6"/>
  <c r="AU34" i="6"/>
  <c r="AV34" i="6"/>
  <c r="AW34" i="6"/>
  <c r="AX34" i="6"/>
  <c r="AY34" i="6"/>
  <c r="AZ34" i="6"/>
  <c r="BA34" i="6"/>
  <c r="BB28" i="6"/>
  <c r="BC28" i="6"/>
  <c r="BD28" i="6"/>
  <c r="BE28" i="6"/>
  <c r="BF28" i="6"/>
  <c r="BG28" i="6"/>
  <c r="BH28" i="6"/>
  <c r="BI28" i="6"/>
  <c r="BJ28" i="6"/>
  <c r="BK28" i="6"/>
  <c r="BL28" i="6"/>
  <c r="BM28" i="6"/>
  <c r="AP25" i="6"/>
  <c r="AQ25" i="6"/>
  <c r="AR25" i="6"/>
  <c r="AS25" i="6"/>
  <c r="AT25" i="6"/>
  <c r="AU25" i="6"/>
  <c r="AV25" i="6"/>
  <c r="AW25" i="6"/>
  <c r="AX25" i="6"/>
  <c r="AY25" i="6"/>
  <c r="AZ25" i="6"/>
  <c r="BA25" i="6"/>
  <c r="CJ23" i="6"/>
  <c r="CH56" i="6"/>
  <c r="CQ24" i="3" s="1"/>
  <c r="CS5" i="3"/>
  <c r="CU34" i="3"/>
  <c r="CV4" i="3"/>
  <c r="CV33" i="3" s="1"/>
  <c r="Z12" i="6" l="1"/>
  <c r="BD30" i="6"/>
  <c r="BI30" i="6"/>
  <c r="BK30" i="6"/>
  <c r="BM30" i="6"/>
  <c r="BB30" i="6"/>
  <c r="BG30" i="6"/>
  <c r="BC30" i="6"/>
  <c r="BJ30" i="6"/>
  <c r="BE30" i="6"/>
  <c r="BF30" i="6"/>
  <c r="BH30" i="6"/>
  <c r="BL30" i="6"/>
  <c r="Z11" i="6"/>
  <c r="BK29" i="6"/>
  <c r="BI29" i="6"/>
  <c r="BL29" i="6"/>
  <c r="BM29" i="6"/>
  <c r="BF29" i="6"/>
  <c r="BB29" i="6"/>
  <c r="BC29" i="6"/>
  <c r="BE29" i="6"/>
  <c r="BG29" i="6"/>
  <c r="BJ29" i="6"/>
  <c r="BD29" i="6"/>
  <c r="BH29" i="6"/>
  <c r="CJ42" i="6"/>
  <c r="CJ43" i="6"/>
  <c r="CJ53" i="6"/>
  <c r="CJ54" i="6"/>
  <c r="CJ51" i="6"/>
  <c r="CJ50" i="6"/>
  <c r="CJ49" i="6"/>
  <c r="CJ52" i="6"/>
  <c r="CJ48" i="6"/>
  <c r="CJ46" i="6"/>
  <c r="CJ47" i="6"/>
  <c r="CJ45" i="6"/>
  <c r="CJ44" i="6"/>
  <c r="CJ28" i="6"/>
  <c r="BN28" i="6"/>
  <c r="BO28" i="6"/>
  <c r="BP28" i="6"/>
  <c r="BQ28" i="6"/>
  <c r="BR28" i="6"/>
  <c r="BS28" i="6"/>
  <c r="BT28" i="6"/>
  <c r="BU28" i="6"/>
  <c r="BV28" i="6"/>
  <c r="BW28" i="6"/>
  <c r="BX28" i="6"/>
  <c r="BY28" i="6"/>
  <c r="BN26" i="6"/>
  <c r="BO26" i="6"/>
  <c r="BP26" i="6"/>
  <c r="BQ26" i="6"/>
  <c r="BR26" i="6"/>
  <c r="BS26" i="6"/>
  <c r="BT26" i="6"/>
  <c r="BU26" i="6"/>
  <c r="BV26" i="6"/>
  <c r="BW26" i="6"/>
  <c r="BX26" i="6"/>
  <c r="BY26" i="6"/>
  <c r="CJ32" i="6"/>
  <c r="BN32" i="6"/>
  <c r="BO32" i="6"/>
  <c r="BP32" i="6"/>
  <c r="BQ32" i="6"/>
  <c r="BR32" i="6"/>
  <c r="BS32" i="6"/>
  <c r="BT32" i="6"/>
  <c r="BU32" i="6"/>
  <c r="BV32" i="6"/>
  <c r="BW32" i="6"/>
  <c r="BX32" i="6"/>
  <c r="BY32" i="6"/>
  <c r="CJ26" i="6"/>
  <c r="BB34" i="6"/>
  <c r="BC34" i="6"/>
  <c r="BD34" i="6"/>
  <c r="BE34" i="6"/>
  <c r="BF34" i="6"/>
  <c r="BG34" i="6"/>
  <c r="BH34" i="6"/>
  <c r="BI34" i="6"/>
  <c r="BJ34" i="6"/>
  <c r="BK34" i="6"/>
  <c r="BL34" i="6"/>
  <c r="BM34" i="6"/>
  <c r="BN27" i="6"/>
  <c r="BO27" i="6"/>
  <c r="BP27" i="6"/>
  <c r="BQ27" i="6"/>
  <c r="BR27" i="6"/>
  <c r="BS27" i="6"/>
  <c r="BT27" i="6"/>
  <c r="BU27" i="6"/>
  <c r="BV27" i="6"/>
  <c r="BW27" i="6"/>
  <c r="BX27" i="6"/>
  <c r="BY27" i="6"/>
  <c r="BB35" i="6"/>
  <c r="BC35" i="6"/>
  <c r="BD35" i="6"/>
  <c r="BE35" i="6"/>
  <c r="BF35" i="6"/>
  <c r="BG35" i="6"/>
  <c r="BH35" i="6"/>
  <c r="BI35" i="6"/>
  <c r="BJ35" i="6"/>
  <c r="BK35" i="6"/>
  <c r="BL35" i="6"/>
  <c r="BM35" i="6"/>
  <c r="BN33" i="6"/>
  <c r="BO33" i="6"/>
  <c r="BP33" i="6"/>
  <c r="BQ33" i="6"/>
  <c r="BR33" i="6"/>
  <c r="BS33" i="6"/>
  <c r="BT33" i="6"/>
  <c r="BU33" i="6"/>
  <c r="BV33" i="6"/>
  <c r="BW33" i="6"/>
  <c r="BX33" i="6"/>
  <c r="BY33" i="6"/>
  <c r="BB25" i="6"/>
  <c r="BC25" i="6"/>
  <c r="BD25" i="6"/>
  <c r="BE25" i="6"/>
  <c r="BF25" i="6"/>
  <c r="BG25" i="6"/>
  <c r="BH25" i="6"/>
  <c r="BI25" i="6"/>
  <c r="BJ25" i="6"/>
  <c r="BK25" i="6"/>
  <c r="BL25" i="6"/>
  <c r="BM25" i="6"/>
  <c r="CJ31" i="6"/>
  <c r="BN31" i="6"/>
  <c r="BO31" i="6"/>
  <c r="BP31" i="6"/>
  <c r="BQ31" i="6"/>
  <c r="BR31" i="6"/>
  <c r="BS31" i="6"/>
  <c r="BT31" i="6"/>
  <c r="BU31" i="6"/>
  <c r="BV31" i="6"/>
  <c r="BW31" i="6"/>
  <c r="BX31" i="6"/>
  <c r="BY31" i="6"/>
  <c r="BB24" i="6"/>
  <c r="BC24" i="6"/>
  <c r="BD24" i="6"/>
  <c r="BE24" i="6"/>
  <c r="BF24" i="6"/>
  <c r="BG24" i="6"/>
  <c r="BH24" i="6"/>
  <c r="BI24" i="6"/>
  <c r="BJ24" i="6"/>
  <c r="BK24" i="6"/>
  <c r="BL24" i="6"/>
  <c r="BM24" i="6"/>
  <c r="CI56" i="6"/>
  <c r="CR24" i="3" s="1"/>
  <c r="CK23" i="6"/>
  <c r="CT5" i="3"/>
  <c r="CV34" i="3"/>
  <c r="CW4" i="3"/>
  <c r="CW33" i="3" s="1"/>
  <c r="CU35" i="3"/>
  <c r="AA11" i="6" l="1"/>
  <c r="BO29" i="6"/>
  <c r="BR29" i="6"/>
  <c r="BS29" i="6"/>
  <c r="BT29" i="6"/>
  <c r="BU29" i="6"/>
  <c r="BV29" i="6"/>
  <c r="BX29" i="6"/>
  <c r="BP29" i="6"/>
  <c r="BQ29" i="6"/>
  <c r="BN29" i="6"/>
  <c r="BW29" i="6"/>
  <c r="BY29" i="6"/>
  <c r="AA12" i="6"/>
  <c r="BN30" i="6"/>
  <c r="BX30" i="6"/>
  <c r="BO30" i="6"/>
  <c r="BP30" i="6"/>
  <c r="BQ30" i="6"/>
  <c r="BY30" i="6"/>
  <c r="BR30" i="6"/>
  <c r="BV30" i="6"/>
  <c r="BS30" i="6"/>
  <c r="BU30" i="6"/>
  <c r="BT30" i="6"/>
  <c r="BW30" i="6"/>
  <c r="CK42" i="6"/>
  <c r="CK43" i="6"/>
  <c r="CK54" i="6"/>
  <c r="CK53" i="6"/>
  <c r="CK52" i="6"/>
  <c r="CK51" i="6"/>
  <c r="CK50" i="6"/>
  <c r="CK49" i="6"/>
  <c r="CK48" i="6"/>
  <c r="CK47" i="6"/>
  <c r="CK46" i="6"/>
  <c r="CK45" i="6"/>
  <c r="CK44" i="6"/>
  <c r="BZ33" i="6"/>
  <c r="CA33" i="6"/>
  <c r="CB33" i="6"/>
  <c r="CC33" i="6"/>
  <c r="CD33" i="6"/>
  <c r="CE33" i="6"/>
  <c r="CF33" i="6"/>
  <c r="CG33" i="6"/>
  <c r="CH33" i="6"/>
  <c r="CI33" i="6"/>
  <c r="CK24" i="6"/>
  <c r="BN24" i="6"/>
  <c r="BO24" i="6"/>
  <c r="BP24" i="6"/>
  <c r="BQ24" i="6"/>
  <c r="BR24" i="6"/>
  <c r="BS24" i="6"/>
  <c r="BT24" i="6"/>
  <c r="BU24" i="6"/>
  <c r="BV24" i="6"/>
  <c r="BW24" i="6"/>
  <c r="BX24" i="6"/>
  <c r="BY24" i="6"/>
  <c r="CJ33" i="6"/>
  <c r="BZ32" i="6"/>
  <c r="CA32" i="6"/>
  <c r="CB32" i="6"/>
  <c r="CC32" i="6"/>
  <c r="CD32" i="6"/>
  <c r="CE32" i="6"/>
  <c r="CF32" i="6"/>
  <c r="CG32" i="6"/>
  <c r="CH32" i="6"/>
  <c r="CI32" i="6"/>
  <c r="BZ31" i="6"/>
  <c r="CA31" i="6"/>
  <c r="CB31" i="6"/>
  <c r="CC31" i="6"/>
  <c r="CD31" i="6"/>
  <c r="CE31" i="6"/>
  <c r="CF31" i="6"/>
  <c r="CG31" i="6"/>
  <c r="CH31" i="6"/>
  <c r="CI31" i="6"/>
  <c r="BZ27" i="6"/>
  <c r="CA27" i="6"/>
  <c r="CB27" i="6"/>
  <c r="CC27" i="6"/>
  <c r="CD27" i="6"/>
  <c r="CE27" i="6"/>
  <c r="CF27" i="6"/>
  <c r="CG27" i="6"/>
  <c r="CH27" i="6"/>
  <c r="CI27" i="6"/>
  <c r="BZ26" i="6"/>
  <c r="CA26" i="6"/>
  <c r="CB26" i="6"/>
  <c r="CC26" i="6"/>
  <c r="CD26" i="6"/>
  <c r="CE26" i="6"/>
  <c r="CF26" i="6"/>
  <c r="CG26" i="6"/>
  <c r="CH26" i="6"/>
  <c r="CI26" i="6"/>
  <c r="CK33" i="6"/>
  <c r="CK32" i="6"/>
  <c r="CK31" i="6"/>
  <c r="CK29" i="6"/>
  <c r="CK28" i="6"/>
  <c r="CK27" i="6"/>
  <c r="CK26" i="6"/>
  <c r="CK25" i="6"/>
  <c r="BN25" i="6"/>
  <c r="BO25" i="6"/>
  <c r="BP25" i="6"/>
  <c r="BQ25" i="6"/>
  <c r="BR25" i="6"/>
  <c r="BS25" i="6"/>
  <c r="BT25" i="6"/>
  <c r="BU25" i="6"/>
  <c r="BV25" i="6"/>
  <c r="BW25" i="6"/>
  <c r="BX25" i="6"/>
  <c r="BY25" i="6"/>
  <c r="BN35" i="6"/>
  <c r="BO35" i="6"/>
  <c r="BP35" i="6"/>
  <c r="BQ35" i="6"/>
  <c r="BR35" i="6"/>
  <c r="BS35" i="6"/>
  <c r="BT35" i="6"/>
  <c r="BU35" i="6"/>
  <c r="BV35" i="6"/>
  <c r="BW35" i="6"/>
  <c r="BX35" i="6"/>
  <c r="BY35" i="6"/>
  <c r="CK34" i="6"/>
  <c r="BN34" i="6"/>
  <c r="BO34" i="6"/>
  <c r="BP34" i="6"/>
  <c r="BQ34" i="6"/>
  <c r="BR34" i="6"/>
  <c r="BS34" i="6"/>
  <c r="BT34" i="6"/>
  <c r="BU34" i="6"/>
  <c r="BV34" i="6"/>
  <c r="BW34" i="6"/>
  <c r="BX34" i="6"/>
  <c r="BY34" i="6"/>
  <c r="CJ27" i="6"/>
  <c r="BZ28" i="6"/>
  <c r="CA28" i="6"/>
  <c r="CB28" i="6"/>
  <c r="CC28" i="6"/>
  <c r="CD28" i="6"/>
  <c r="CE28" i="6"/>
  <c r="CF28" i="6"/>
  <c r="CG28" i="6"/>
  <c r="CH28" i="6"/>
  <c r="CI28" i="6"/>
  <c r="CL23" i="6"/>
  <c r="CJ56" i="6"/>
  <c r="CS24" i="3" s="1"/>
  <c r="CU36" i="3"/>
  <c r="CU5" i="3"/>
  <c r="CW34" i="3"/>
  <c r="CV35" i="3"/>
  <c r="CV36" i="3" s="1"/>
  <c r="CX4" i="3"/>
  <c r="CX33" i="3" s="1"/>
  <c r="AB12" i="6" l="1"/>
  <c r="AC12" i="6" s="1"/>
  <c r="AD12" i="6" s="1"/>
  <c r="AE12" i="6" s="1"/>
  <c r="AF12" i="6" s="1"/>
  <c r="CI30" i="6"/>
  <c r="CH30" i="6"/>
  <c r="CD30" i="6"/>
  <c r="CA30" i="6"/>
  <c r="CJ30" i="6"/>
  <c r="CC30" i="6"/>
  <c r="BZ30" i="6"/>
  <c r="CE30" i="6"/>
  <c r="CG30" i="6"/>
  <c r="CB30" i="6"/>
  <c r="CF30" i="6"/>
  <c r="CK30" i="6"/>
  <c r="AB11" i="6"/>
  <c r="AC11" i="6" s="1"/>
  <c r="AD11" i="6" s="1"/>
  <c r="AE11" i="6" s="1"/>
  <c r="AF11" i="6" s="1"/>
  <c r="CI29" i="6"/>
  <c r="CC29" i="6"/>
  <c r="CD29" i="6"/>
  <c r="CA29" i="6"/>
  <c r="CE29" i="6"/>
  <c r="CF29" i="6"/>
  <c r="CG29" i="6"/>
  <c r="CH29" i="6"/>
  <c r="CJ29" i="6"/>
  <c r="CB29" i="6"/>
  <c r="BZ29" i="6"/>
  <c r="CL43" i="6"/>
  <c r="CL42" i="6"/>
  <c r="CL53" i="6"/>
  <c r="CL54" i="6"/>
  <c r="CL52" i="6"/>
  <c r="CL51" i="6"/>
  <c r="CL50" i="6"/>
  <c r="CL48" i="6"/>
  <c r="CL47" i="6"/>
  <c r="CL45" i="6"/>
  <c r="CL49" i="6"/>
  <c r="CL46" i="6"/>
  <c r="CL44" i="6"/>
  <c r="BZ35" i="6"/>
  <c r="CA35" i="6"/>
  <c r="CB35" i="6"/>
  <c r="CC35" i="6"/>
  <c r="CD35" i="6"/>
  <c r="CE35" i="6"/>
  <c r="CF35" i="6"/>
  <c r="CG35" i="6"/>
  <c r="CH35" i="6"/>
  <c r="CI35" i="6"/>
  <c r="CJ35" i="6"/>
  <c r="BZ24" i="6"/>
  <c r="CA24" i="6"/>
  <c r="CB24" i="6"/>
  <c r="CC24" i="6"/>
  <c r="CD24" i="6"/>
  <c r="CE24" i="6"/>
  <c r="CF24" i="6"/>
  <c r="CG24" i="6"/>
  <c r="CH24" i="6"/>
  <c r="CI24" i="6"/>
  <c r="CJ24" i="6"/>
  <c r="CL33" i="6"/>
  <c r="CL32" i="6"/>
  <c r="CL30" i="6"/>
  <c r="CL26" i="6"/>
  <c r="CL27" i="6"/>
  <c r="CL31" i="6"/>
  <c r="CL28" i="6"/>
  <c r="BZ25" i="6"/>
  <c r="CA25" i="6"/>
  <c r="CB25" i="6"/>
  <c r="CC25" i="6"/>
  <c r="CD25" i="6"/>
  <c r="CE25" i="6"/>
  <c r="CF25" i="6"/>
  <c r="CG25" i="6"/>
  <c r="CH25" i="6"/>
  <c r="CI25" i="6"/>
  <c r="CJ25" i="6"/>
  <c r="CK35" i="6"/>
  <c r="BZ34" i="6"/>
  <c r="CA34" i="6"/>
  <c r="CB34" i="6"/>
  <c r="CC34" i="6"/>
  <c r="CD34" i="6"/>
  <c r="CE34" i="6"/>
  <c r="CF34" i="6"/>
  <c r="CG34" i="6"/>
  <c r="CH34" i="6"/>
  <c r="CI34" i="6"/>
  <c r="CJ34" i="6"/>
  <c r="CM23" i="6"/>
  <c r="CK56" i="6"/>
  <c r="CT24" i="3" s="1"/>
  <c r="CV5" i="3"/>
  <c r="CX34" i="3"/>
  <c r="CW35" i="3"/>
  <c r="CW36" i="3" s="1"/>
  <c r="CY4" i="3"/>
  <c r="CY33" i="3" s="1"/>
  <c r="CL29" i="6" l="1"/>
  <c r="CM43" i="6"/>
  <c r="CM42" i="6"/>
  <c r="CM54" i="6"/>
  <c r="CM53" i="6"/>
  <c r="CM51" i="6"/>
  <c r="CM50" i="6"/>
  <c r="CM52" i="6"/>
  <c r="CM49" i="6"/>
  <c r="CM48" i="6"/>
  <c r="CM47" i="6"/>
  <c r="CM46" i="6"/>
  <c r="CM45" i="6"/>
  <c r="CM44" i="6"/>
  <c r="CL35" i="6"/>
  <c r="CN23" i="6"/>
  <c r="CL24" i="6"/>
  <c r="CL25" i="6"/>
  <c r="CM35" i="6"/>
  <c r="CM34" i="6"/>
  <c r="CM33" i="6"/>
  <c r="CM32" i="6"/>
  <c r="CM31" i="6"/>
  <c r="CM30" i="6"/>
  <c r="CM29" i="6"/>
  <c r="CM28" i="6"/>
  <c r="CM27" i="6"/>
  <c r="CM26" i="6"/>
  <c r="CM25" i="6"/>
  <c r="CM24" i="6"/>
  <c r="CL34" i="6"/>
  <c r="CL56" i="6"/>
  <c r="CU24" i="3" s="1"/>
  <c r="CW5" i="3"/>
  <c r="CY34" i="3"/>
  <c r="CZ4" i="3"/>
  <c r="CZ33" i="3" s="1"/>
  <c r="CX35" i="3"/>
  <c r="CX36" i="3" s="1"/>
  <c r="CN35" i="6" l="1"/>
  <c r="CN42" i="6"/>
  <c r="CN43" i="6"/>
  <c r="CN53" i="6"/>
  <c r="CN54" i="6"/>
  <c r="CN51" i="6"/>
  <c r="CN50" i="6"/>
  <c r="CN52" i="6"/>
  <c r="CN49" i="6"/>
  <c r="CN46" i="6"/>
  <c r="CN48" i="6"/>
  <c r="CN47" i="6"/>
  <c r="CN44" i="6"/>
  <c r="CN45" i="6"/>
  <c r="CN25" i="6"/>
  <c r="CM56" i="6"/>
  <c r="CN29" i="6"/>
  <c r="CO23" i="6"/>
  <c r="CN32" i="6"/>
  <c r="CN24" i="6"/>
  <c r="CN28" i="6"/>
  <c r="CN34" i="6"/>
  <c r="CN26" i="6"/>
  <c r="CN31" i="6"/>
  <c r="CN33" i="6"/>
  <c r="CN27" i="6"/>
  <c r="CN30" i="6"/>
  <c r="CV24" i="3"/>
  <c r="CX5" i="3"/>
  <c r="CZ34" i="3"/>
  <c r="CY35" i="3"/>
  <c r="CY36" i="3" s="1"/>
  <c r="DA4" i="3"/>
  <c r="DA33" i="3" s="1"/>
  <c r="CO35" i="6" l="1"/>
  <c r="CO43" i="6"/>
  <c r="CO42" i="6"/>
  <c r="CO54" i="6"/>
  <c r="CO53" i="6"/>
  <c r="CO52" i="6"/>
  <c r="CO51" i="6"/>
  <c r="CO50" i="6"/>
  <c r="CO49" i="6"/>
  <c r="CO48" i="6"/>
  <c r="CO47" i="6"/>
  <c r="CO46" i="6"/>
  <c r="CO45" i="6"/>
  <c r="CO44" i="6"/>
  <c r="CO31" i="6"/>
  <c r="CO24" i="6"/>
  <c r="CO28" i="6"/>
  <c r="CO25" i="6"/>
  <c r="CO29" i="6"/>
  <c r="CO33" i="6"/>
  <c r="CO34" i="6"/>
  <c r="CP23" i="6"/>
  <c r="CO26" i="6"/>
  <c r="CO32" i="6"/>
  <c r="CO27" i="6"/>
  <c r="CO30" i="6"/>
  <c r="CN56" i="6"/>
  <c r="CW24" i="3" s="1"/>
  <c r="CY5" i="3"/>
  <c r="DA34" i="3"/>
  <c r="CZ35" i="3"/>
  <c r="CZ36" i="3" s="1"/>
  <c r="DB4" i="3"/>
  <c r="DB33" i="3" s="1"/>
  <c r="CP35" i="6" l="1"/>
  <c r="CP43" i="6"/>
  <c r="CP42" i="6"/>
  <c r="CP53" i="6"/>
  <c r="CP54" i="6"/>
  <c r="CP52" i="6"/>
  <c r="CP49" i="6"/>
  <c r="CP51" i="6"/>
  <c r="CP50" i="6"/>
  <c r="CP48" i="6"/>
  <c r="CP47" i="6"/>
  <c r="CP45" i="6"/>
  <c r="CP46" i="6"/>
  <c r="CP44" i="6"/>
  <c r="CP31" i="6"/>
  <c r="CP24" i="6"/>
  <c r="CP29" i="6"/>
  <c r="CP34" i="6"/>
  <c r="CP27" i="6"/>
  <c r="CP25" i="6"/>
  <c r="CP30" i="6"/>
  <c r="CO56" i="6"/>
  <c r="CQ23" i="6"/>
  <c r="CP28" i="6"/>
  <c r="CP26" i="6"/>
  <c r="CP32" i="6"/>
  <c r="CP33" i="6"/>
  <c r="CX24" i="3"/>
  <c r="CZ5" i="3"/>
  <c r="DB34" i="3"/>
  <c r="DA35" i="3"/>
  <c r="DA36" i="3" s="1"/>
  <c r="DC4" i="3"/>
  <c r="DC33" i="3" s="1"/>
  <c r="CQ33" i="6" l="1"/>
  <c r="CQ42" i="6"/>
  <c r="CQ43" i="6"/>
  <c r="CQ54" i="6"/>
  <c r="CQ53" i="6"/>
  <c r="CQ52" i="6"/>
  <c r="CQ51" i="6"/>
  <c r="CQ50" i="6"/>
  <c r="CQ48" i="6"/>
  <c r="CQ49" i="6"/>
  <c r="CQ47" i="6"/>
  <c r="CQ46" i="6"/>
  <c r="CQ45" i="6"/>
  <c r="CQ44" i="6"/>
  <c r="CQ31" i="6"/>
  <c r="CR23" i="6"/>
  <c r="CR31" i="6" s="1"/>
  <c r="CQ26" i="6"/>
  <c r="CQ28" i="6"/>
  <c r="CQ34" i="6"/>
  <c r="CP56" i="6"/>
  <c r="CY24" i="3" s="1"/>
  <c r="CQ24" i="6"/>
  <c r="CQ30" i="6"/>
  <c r="CQ35" i="6"/>
  <c r="CQ27" i="6"/>
  <c r="CQ32" i="6"/>
  <c r="CQ25" i="6"/>
  <c r="CQ29" i="6"/>
  <c r="DA5" i="3"/>
  <c r="DC34" i="3"/>
  <c r="DD4" i="3"/>
  <c r="DD33" i="3" s="1"/>
  <c r="DB35" i="3"/>
  <c r="DB36" i="3" s="1"/>
  <c r="CS23" i="6" l="1"/>
  <c r="CS51" i="6" s="1"/>
  <c r="CR24" i="6"/>
  <c r="CR33" i="6"/>
  <c r="CR25" i="6"/>
  <c r="CR32" i="6"/>
  <c r="CR30" i="6"/>
  <c r="CR26" i="6"/>
  <c r="CR34" i="6"/>
  <c r="CR27" i="6"/>
  <c r="CR28" i="6"/>
  <c r="CR29" i="6"/>
  <c r="CR35" i="6"/>
  <c r="CS43" i="6"/>
  <c r="CS42" i="6"/>
  <c r="CS54" i="6"/>
  <c r="CS53" i="6"/>
  <c r="CS52" i="6"/>
  <c r="CS50" i="6"/>
  <c r="CS49" i="6"/>
  <c r="CS48" i="6"/>
  <c r="CS47" i="6"/>
  <c r="CS46" i="6"/>
  <c r="CS45" i="6"/>
  <c r="CS44" i="6"/>
  <c r="CR42" i="6"/>
  <c r="CR43" i="6"/>
  <c r="CR54" i="6"/>
  <c r="CR53" i="6"/>
  <c r="CR52" i="6"/>
  <c r="CR51" i="6"/>
  <c r="CR50" i="6"/>
  <c r="CR46" i="6"/>
  <c r="CR47" i="6"/>
  <c r="CR45" i="6"/>
  <c r="CR49" i="6"/>
  <c r="CR48" i="6"/>
  <c r="CR44" i="6"/>
  <c r="CQ56" i="6"/>
  <c r="CZ24" i="3" s="1"/>
  <c r="CS35" i="6"/>
  <c r="CS34" i="6"/>
  <c r="CS33" i="6"/>
  <c r="CS32" i="6"/>
  <c r="CS30" i="6"/>
  <c r="CS31" i="6"/>
  <c r="CS29" i="6"/>
  <c r="CS28" i="6"/>
  <c r="CS27" i="6"/>
  <c r="CS26" i="6"/>
  <c r="CS25" i="6"/>
  <c r="CS24" i="6"/>
  <c r="CT23" i="6"/>
  <c r="DB5" i="3"/>
  <c r="DD34" i="3"/>
  <c r="DC35" i="3"/>
  <c r="DC36" i="3" s="1"/>
  <c r="DE4" i="3"/>
  <c r="DE33" i="3" s="1"/>
  <c r="CR56" i="6" l="1"/>
  <c r="CT43" i="6"/>
  <c r="CT42" i="6"/>
  <c r="CT53" i="6"/>
  <c r="CT54" i="6"/>
  <c r="CT52" i="6"/>
  <c r="CT51" i="6"/>
  <c r="CT50" i="6"/>
  <c r="CT47" i="6"/>
  <c r="CT46" i="6"/>
  <c r="CT45" i="6"/>
  <c r="CT49" i="6"/>
  <c r="CT48" i="6"/>
  <c r="CT44" i="6"/>
  <c r="DA24" i="3"/>
  <c r="CT35" i="6"/>
  <c r="CT34" i="6"/>
  <c r="CT33" i="6"/>
  <c r="CT31" i="6"/>
  <c r="CT32" i="6"/>
  <c r="CT30" i="6"/>
  <c r="CT27" i="6"/>
  <c r="CT25" i="6"/>
  <c r="CT24" i="6"/>
  <c r="CT28" i="6"/>
  <c r="CT29" i="6"/>
  <c r="CT26" i="6"/>
  <c r="CS56" i="6"/>
  <c r="DB24" i="3" s="1"/>
  <c r="CU23" i="6"/>
  <c r="DC5" i="3"/>
  <c r="DE34" i="3"/>
  <c r="DF4" i="3"/>
  <c r="DD35" i="3"/>
  <c r="DD36" i="3" s="1"/>
  <c r="CU42" i="6" l="1"/>
  <c r="CU43" i="6"/>
  <c r="CU53" i="6"/>
  <c r="CU54" i="6"/>
  <c r="CU52" i="6"/>
  <c r="CU51" i="6"/>
  <c r="CU50" i="6"/>
  <c r="CU47" i="6"/>
  <c r="CU46" i="6"/>
  <c r="CU48" i="6"/>
  <c r="CU49" i="6"/>
  <c r="CU44" i="6"/>
  <c r="CU45" i="6"/>
  <c r="CU35" i="6"/>
  <c r="CU34" i="6"/>
  <c r="CU33" i="6"/>
  <c r="CU32" i="6"/>
  <c r="CU31" i="6"/>
  <c r="CU30" i="6"/>
  <c r="CU29" i="6"/>
  <c r="CU28" i="6"/>
  <c r="CU27" i="6"/>
  <c r="CU26" i="6"/>
  <c r="CU25" i="6"/>
  <c r="CU24" i="6"/>
  <c r="CT56" i="6"/>
  <c r="DC24" i="3" s="1"/>
  <c r="CV23" i="6"/>
  <c r="DD5" i="3"/>
  <c r="DE35" i="3"/>
  <c r="DE36" i="3" s="1"/>
  <c r="DG4" i="3"/>
  <c r="DG33" i="3" s="1"/>
  <c r="CV42" i="6" l="1"/>
  <c r="CV43" i="6"/>
  <c r="CV53" i="6"/>
  <c r="CV54" i="6"/>
  <c r="CV52" i="6"/>
  <c r="CV49" i="6"/>
  <c r="CV48" i="6"/>
  <c r="CV51" i="6"/>
  <c r="CV50" i="6"/>
  <c r="CV47" i="6"/>
  <c r="CV46" i="6"/>
  <c r="CV45" i="6"/>
  <c r="CV44" i="6"/>
  <c r="CV34" i="6"/>
  <c r="CV33" i="6"/>
  <c r="CV32" i="6"/>
  <c r="CV30" i="6"/>
  <c r="CV31" i="6"/>
  <c r="CV28" i="6"/>
  <c r="CV27" i="6"/>
  <c r="CV26" i="6"/>
  <c r="CV35" i="6"/>
  <c r="CV29" i="6"/>
  <c r="CV25" i="6"/>
  <c r="CV24" i="6"/>
  <c r="CU56" i="6"/>
  <c r="DD24" i="3" s="1"/>
  <c r="CW23" i="6"/>
  <c r="DE5" i="3"/>
  <c r="DG34" i="3"/>
  <c r="DH4" i="3"/>
  <c r="DH33" i="3" s="1"/>
  <c r="CW43" i="6" l="1"/>
  <c r="CW42" i="6"/>
  <c r="CW54" i="6"/>
  <c r="CW53" i="6"/>
  <c r="CW52" i="6"/>
  <c r="CW51" i="6"/>
  <c r="CW50" i="6"/>
  <c r="CW49" i="6"/>
  <c r="CW47" i="6"/>
  <c r="CW46" i="6"/>
  <c r="CW45" i="6"/>
  <c r="CW48" i="6"/>
  <c r="CW44" i="6"/>
  <c r="CW35" i="6"/>
  <c r="CW34" i="6"/>
  <c r="CW33" i="6"/>
  <c r="CW32" i="6"/>
  <c r="CW31" i="6"/>
  <c r="CW30" i="6"/>
  <c r="CW29" i="6"/>
  <c r="CW28" i="6"/>
  <c r="CW27" i="6"/>
  <c r="CW26" i="6"/>
  <c r="CW25" i="6"/>
  <c r="CW24" i="6"/>
  <c r="CV56" i="6"/>
  <c r="DE24" i="3" s="1"/>
  <c r="CX23" i="6"/>
  <c r="DF5" i="3"/>
  <c r="DH34" i="3"/>
  <c r="DI4" i="3"/>
  <c r="DI33" i="3" s="1"/>
  <c r="DG35" i="3"/>
  <c r="CX43" i="6" l="1"/>
  <c r="CX42" i="6"/>
  <c r="CX54" i="6"/>
  <c r="CX53" i="6"/>
  <c r="CX51" i="6"/>
  <c r="CX50" i="6"/>
  <c r="CX52" i="6"/>
  <c r="CX49" i="6"/>
  <c r="CX47" i="6"/>
  <c r="CX46" i="6"/>
  <c r="CX48" i="6"/>
  <c r="CX45" i="6"/>
  <c r="CX44" i="6"/>
  <c r="CX35" i="6"/>
  <c r="CX34" i="6"/>
  <c r="CX32" i="6"/>
  <c r="CX31" i="6"/>
  <c r="CX29" i="6"/>
  <c r="CX30" i="6"/>
  <c r="CX28" i="6"/>
  <c r="CX25" i="6"/>
  <c r="CX24" i="6"/>
  <c r="CX27" i="6"/>
  <c r="CX33" i="6"/>
  <c r="CX26" i="6"/>
  <c r="DG36" i="3"/>
  <c r="CW56" i="6"/>
  <c r="DF24" i="3" s="1"/>
  <c r="CY23" i="6"/>
  <c r="DG5" i="3"/>
  <c r="DI34" i="3"/>
  <c r="DH35" i="3"/>
  <c r="DH36" i="3" s="1"/>
  <c r="DJ4" i="3"/>
  <c r="DJ33" i="3" s="1"/>
  <c r="CY43" i="6" l="1"/>
  <c r="CY42" i="6"/>
  <c r="CY54" i="6"/>
  <c r="CY53" i="6"/>
  <c r="CY51" i="6"/>
  <c r="CY50" i="6"/>
  <c r="CY49" i="6"/>
  <c r="CY48" i="6"/>
  <c r="CY52" i="6"/>
  <c r="CY47" i="6"/>
  <c r="CY46" i="6"/>
  <c r="CY45" i="6"/>
  <c r="CY44" i="6"/>
  <c r="CY35" i="6"/>
  <c r="CY34" i="6"/>
  <c r="CY33" i="6"/>
  <c r="CY32" i="6"/>
  <c r="CY31" i="6"/>
  <c r="CY30" i="6"/>
  <c r="CY29" i="6"/>
  <c r="CY28" i="6"/>
  <c r="CY27" i="6"/>
  <c r="CY26" i="6"/>
  <c r="CY25" i="6"/>
  <c r="CY24" i="6"/>
  <c r="CX56" i="6"/>
  <c r="DG24" i="3" s="1"/>
  <c r="CZ23" i="6"/>
  <c r="DH5" i="3"/>
  <c r="DJ34" i="3"/>
  <c r="DK4" i="3"/>
  <c r="DK33" i="3" s="1"/>
  <c r="DI35" i="3"/>
  <c r="DI36" i="3" s="1"/>
  <c r="CZ42" i="6" l="1"/>
  <c r="CZ43" i="6"/>
  <c r="CZ53" i="6"/>
  <c r="CZ54" i="6"/>
  <c r="CZ51" i="6"/>
  <c r="CZ50" i="6"/>
  <c r="CZ52" i="6"/>
  <c r="CZ49" i="6"/>
  <c r="CZ46" i="6"/>
  <c r="CZ48" i="6"/>
  <c r="CZ47" i="6"/>
  <c r="CZ45" i="6"/>
  <c r="CZ44" i="6"/>
  <c r="CZ35" i="6"/>
  <c r="CZ33" i="6"/>
  <c r="CZ32" i="6"/>
  <c r="CZ30" i="6"/>
  <c r="CZ31" i="6"/>
  <c r="CZ28" i="6"/>
  <c r="CZ27" i="6"/>
  <c r="CZ26" i="6"/>
  <c r="CZ34" i="6"/>
  <c r="CZ29" i="6"/>
  <c r="CZ25" i="6"/>
  <c r="CZ24" i="6"/>
  <c r="CY56" i="6"/>
  <c r="DH24" i="3" s="1"/>
  <c r="DA23" i="6"/>
  <c r="DI5" i="3"/>
  <c r="DK34" i="3"/>
  <c r="DJ35" i="3"/>
  <c r="DJ36" i="3" s="1"/>
  <c r="DL4" i="3"/>
  <c r="DL33" i="3" s="1"/>
  <c r="DA42" i="6" l="1"/>
  <c r="DA43" i="6"/>
  <c r="DA54" i="6"/>
  <c r="DA53" i="6"/>
  <c r="DA52" i="6"/>
  <c r="DA51" i="6"/>
  <c r="DA50" i="6"/>
  <c r="DA49" i="6"/>
  <c r="DA48" i="6"/>
  <c r="DA47" i="6"/>
  <c r="DA46" i="6"/>
  <c r="DA45" i="6"/>
  <c r="DA44" i="6"/>
  <c r="DA35" i="6"/>
  <c r="DA34" i="6"/>
  <c r="DA33" i="6"/>
  <c r="DA32" i="6"/>
  <c r="DA30" i="6"/>
  <c r="DA29" i="6"/>
  <c r="DA31" i="6"/>
  <c r="DA28" i="6"/>
  <c r="DA27" i="6"/>
  <c r="DA26" i="6"/>
  <c r="DA25" i="6"/>
  <c r="DA24" i="6"/>
  <c r="CZ56" i="6"/>
  <c r="DI24" i="3" s="1"/>
  <c r="DB23" i="6"/>
  <c r="DJ5" i="3"/>
  <c r="DL34" i="3"/>
  <c r="DM4" i="3"/>
  <c r="DM33" i="3" s="1"/>
  <c r="DK35" i="3"/>
  <c r="DK36" i="3" s="1"/>
  <c r="DB43" i="6" l="1"/>
  <c r="DB42" i="6"/>
  <c r="DB54" i="6"/>
  <c r="DB53" i="6"/>
  <c r="DB52" i="6"/>
  <c r="DB51" i="6"/>
  <c r="DB50" i="6"/>
  <c r="DB47" i="6"/>
  <c r="DB49" i="6"/>
  <c r="DB48" i="6"/>
  <c r="DB46" i="6"/>
  <c r="DB45" i="6"/>
  <c r="DB44" i="6"/>
  <c r="DB35" i="6"/>
  <c r="DB34" i="6"/>
  <c r="DB33" i="6"/>
  <c r="DB32" i="6"/>
  <c r="DB31" i="6"/>
  <c r="DB30" i="6"/>
  <c r="DB25" i="6"/>
  <c r="DB24" i="6"/>
  <c r="DB29" i="6"/>
  <c r="DB26" i="6"/>
  <c r="DB27" i="6"/>
  <c r="DB28" i="6"/>
  <c r="DA56" i="6"/>
  <c r="DJ24" i="3" s="1"/>
  <c r="DC23" i="6"/>
  <c r="DK5" i="3"/>
  <c r="DM34" i="3"/>
  <c r="DL35" i="3"/>
  <c r="DL36" i="3" s="1"/>
  <c r="DN4" i="3"/>
  <c r="DN33" i="3" s="1"/>
  <c r="DC43" i="6" l="1"/>
  <c r="DC42" i="6"/>
  <c r="DC53" i="6"/>
  <c r="DC54" i="6"/>
  <c r="DC52" i="6"/>
  <c r="DC51" i="6"/>
  <c r="DC50" i="6"/>
  <c r="DC49" i="6"/>
  <c r="DC48" i="6"/>
  <c r="DC47" i="6"/>
  <c r="DC46" i="6"/>
  <c r="DC45" i="6"/>
  <c r="DC44" i="6"/>
  <c r="DC35" i="6"/>
  <c r="DC34" i="6"/>
  <c r="DC33" i="6"/>
  <c r="DC32" i="6"/>
  <c r="DC31" i="6"/>
  <c r="DC30" i="6"/>
  <c r="DC29" i="6"/>
  <c r="DC28" i="6"/>
  <c r="DC27" i="6"/>
  <c r="DC26" i="6"/>
  <c r="DC25" i="6"/>
  <c r="DC24" i="6"/>
  <c r="DB56" i="6"/>
  <c r="DK24" i="3" s="1"/>
  <c r="DD23" i="6"/>
  <c r="DL5" i="3"/>
  <c r="DN34" i="3"/>
  <c r="DO4" i="3"/>
  <c r="DO33" i="3" s="1"/>
  <c r="DM35" i="3"/>
  <c r="DM36" i="3" s="1"/>
  <c r="DD42" i="6" l="1"/>
  <c r="DD43" i="6"/>
  <c r="DD53" i="6"/>
  <c r="DD54" i="6"/>
  <c r="DD51" i="6"/>
  <c r="DD50" i="6"/>
  <c r="DD49" i="6"/>
  <c r="DD52" i="6"/>
  <c r="DD48" i="6"/>
  <c r="DD47" i="6"/>
  <c r="DD46" i="6"/>
  <c r="DD44" i="6"/>
  <c r="DD45" i="6"/>
  <c r="DD33" i="6"/>
  <c r="DD32" i="6"/>
  <c r="DD35" i="6"/>
  <c r="DD34" i="6"/>
  <c r="DD30" i="6"/>
  <c r="DD31" i="6"/>
  <c r="DD28" i="6"/>
  <c r="DD27" i="6"/>
  <c r="DD26" i="6"/>
  <c r="DD29" i="6"/>
  <c r="DD25" i="6"/>
  <c r="DD24" i="6"/>
  <c r="DC56" i="6"/>
  <c r="DL24" i="3" s="1"/>
  <c r="DE23" i="6"/>
  <c r="DM5" i="3"/>
  <c r="DO34" i="3"/>
  <c r="DN35" i="3"/>
  <c r="DN36" i="3" s="1"/>
  <c r="DP4" i="3"/>
  <c r="DP33" i="3" s="1"/>
  <c r="DE43" i="6" l="1"/>
  <c r="DE42" i="6"/>
  <c r="DE54" i="6"/>
  <c r="DE53" i="6"/>
  <c r="DE52" i="6"/>
  <c r="DE51" i="6"/>
  <c r="DE50" i="6"/>
  <c r="DE49" i="6"/>
  <c r="DE48" i="6"/>
  <c r="DE47" i="6"/>
  <c r="DE46" i="6"/>
  <c r="DE45" i="6"/>
  <c r="DE44" i="6"/>
  <c r="DE35" i="6"/>
  <c r="DE34" i="6"/>
  <c r="DE33" i="6"/>
  <c r="DE31" i="6"/>
  <c r="DE32" i="6"/>
  <c r="DE30" i="6"/>
  <c r="DE29" i="6"/>
  <c r="DE28" i="6"/>
  <c r="DE27" i="6"/>
  <c r="DE26" i="6"/>
  <c r="DE25" i="6"/>
  <c r="DE24" i="6"/>
  <c r="DD56" i="6"/>
  <c r="DM24" i="3" s="1"/>
  <c r="DF23" i="6"/>
  <c r="DN5" i="3"/>
  <c r="DP34" i="3"/>
  <c r="DQ4" i="3"/>
  <c r="DQ33" i="3" s="1"/>
  <c r="DO35" i="3"/>
  <c r="DO36" i="3" s="1"/>
  <c r="DF43" i="6" l="1"/>
  <c r="DF42" i="6"/>
  <c r="DF54" i="6"/>
  <c r="DF53" i="6"/>
  <c r="DF52" i="6"/>
  <c r="DF49" i="6"/>
  <c r="DF51" i="6"/>
  <c r="DF50" i="6"/>
  <c r="DF48" i="6"/>
  <c r="DF47" i="6"/>
  <c r="DF46" i="6"/>
  <c r="DF45" i="6"/>
  <c r="DF44" i="6"/>
  <c r="DF35" i="6"/>
  <c r="DF34" i="6"/>
  <c r="DF32" i="6"/>
  <c r="DF31" i="6"/>
  <c r="DF33" i="6"/>
  <c r="DF30" i="6"/>
  <c r="DF29" i="6"/>
  <c r="DF26" i="6"/>
  <c r="DF25" i="6"/>
  <c r="DF24" i="6"/>
  <c r="DF27" i="6"/>
  <c r="DF28" i="6"/>
  <c r="DE56" i="6"/>
  <c r="DN24" i="3" s="1"/>
  <c r="DG23" i="6"/>
  <c r="DO5" i="3"/>
  <c r="DQ34" i="3"/>
  <c r="DP35" i="3"/>
  <c r="DP36" i="3" s="1"/>
  <c r="DR4" i="3"/>
  <c r="DR33" i="3" s="1"/>
  <c r="DG42" i="6" l="1"/>
  <c r="DG43" i="6"/>
  <c r="DG54" i="6"/>
  <c r="DG53" i="6"/>
  <c r="DG52" i="6"/>
  <c r="DG51" i="6"/>
  <c r="DG50" i="6"/>
  <c r="DG48" i="6"/>
  <c r="DG49" i="6"/>
  <c r="DG47" i="6"/>
  <c r="DG46" i="6"/>
  <c r="DG45" i="6"/>
  <c r="DG44" i="6"/>
  <c r="DG35" i="6"/>
  <c r="DG34" i="6"/>
  <c r="DG33" i="6"/>
  <c r="DG32" i="6"/>
  <c r="DG31" i="6"/>
  <c r="DG30" i="6"/>
  <c r="DG29" i="6"/>
  <c r="DG28" i="6"/>
  <c r="DG27" i="6"/>
  <c r="DG26" i="6"/>
  <c r="DG25" i="6"/>
  <c r="DG24" i="6"/>
  <c r="DF56" i="6"/>
  <c r="DO24" i="3" s="1"/>
  <c r="DH23" i="6"/>
  <c r="DP5" i="3"/>
  <c r="DS4" i="3"/>
  <c r="DS33" i="3" s="1"/>
  <c r="DQ35" i="3"/>
  <c r="DQ36" i="3" s="1"/>
  <c r="DH42" i="6" l="1"/>
  <c r="DH43" i="6"/>
  <c r="DH54" i="6"/>
  <c r="DH53" i="6"/>
  <c r="DH52" i="6"/>
  <c r="DH51" i="6"/>
  <c r="DH50" i="6"/>
  <c r="DH49" i="6"/>
  <c r="DH48" i="6"/>
  <c r="DH47" i="6"/>
  <c r="DH45" i="6"/>
  <c r="DH46" i="6"/>
  <c r="DH44" i="6"/>
  <c r="DH35" i="6"/>
  <c r="DH34" i="6"/>
  <c r="DH32" i="6"/>
  <c r="DH33" i="6"/>
  <c r="DH30" i="6"/>
  <c r="DH31" i="6"/>
  <c r="DH28" i="6"/>
  <c r="DH27" i="6"/>
  <c r="DH26" i="6"/>
  <c r="DH29" i="6"/>
  <c r="DH25" i="6"/>
  <c r="DH24" i="6"/>
  <c r="DG56" i="6"/>
  <c r="DP24" i="3" s="1"/>
  <c r="DI23" i="6"/>
  <c r="DQ5" i="3"/>
  <c r="DS34" i="3"/>
  <c r="DT4" i="3"/>
  <c r="DT33" i="3" s="1"/>
  <c r="DI43" i="6" l="1"/>
  <c r="DI42" i="6"/>
  <c r="DI54" i="6"/>
  <c r="DI53" i="6"/>
  <c r="DI52" i="6"/>
  <c r="DI51" i="6"/>
  <c r="DI50" i="6"/>
  <c r="DI49" i="6"/>
  <c r="DI48" i="6"/>
  <c r="DI47" i="6"/>
  <c r="DI46" i="6"/>
  <c r="DI45" i="6"/>
  <c r="DI44" i="6"/>
  <c r="DI35" i="6"/>
  <c r="DI34" i="6"/>
  <c r="DI33" i="6"/>
  <c r="DI32" i="6"/>
  <c r="DI30" i="6"/>
  <c r="DI29" i="6"/>
  <c r="DI31" i="6"/>
  <c r="DI28" i="6"/>
  <c r="DI27" i="6"/>
  <c r="DI26" i="6"/>
  <c r="DI25" i="6"/>
  <c r="DI24" i="6"/>
  <c r="DH56" i="6"/>
  <c r="DQ24" i="3" s="1"/>
  <c r="DJ23" i="6"/>
  <c r="DR5" i="3"/>
  <c r="DT34" i="3"/>
  <c r="DU4" i="3"/>
  <c r="DU33" i="3" s="1"/>
  <c r="DS35" i="3"/>
  <c r="DS36" i="3" s="1"/>
  <c r="DJ43" i="6" l="1"/>
  <c r="DJ42" i="6"/>
  <c r="DJ54" i="6"/>
  <c r="DJ53" i="6"/>
  <c r="DJ52" i="6"/>
  <c r="DJ51" i="6"/>
  <c r="DJ50" i="6"/>
  <c r="DJ49" i="6"/>
  <c r="DJ46" i="6"/>
  <c r="DJ48" i="6"/>
  <c r="DJ47" i="6"/>
  <c r="DJ45" i="6"/>
  <c r="DJ44" i="6"/>
  <c r="DJ35" i="6"/>
  <c r="DJ34" i="6"/>
  <c r="DJ33" i="6"/>
  <c r="DJ31" i="6"/>
  <c r="DJ32" i="6"/>
  <c r="DJ30" i="6"/>
  <c r="DJ29" i="6"/>
  <c r="DJ27" i="6"/>
  <c r="DJ25" i="6"/>
  <c r="DJ24" i="6"/>
  <c r="DJ26" i="6"/>
  <c r="DJ28" i="6"/>
  <c r="DI56" i="6"/>
  <c r="DR24" i="3" s="1"/>
  <c r="DK23" i="6"/>
  <c r="DS5" i="3"/>
  <c r="DT5" i="3" s="1"/>
  <c r="DU5" i="3" s="1"/>
  <c r="DV5" i="3" s="1"/>
  <c r="DW5" i="3" s="1"/>
  <c r="DX5" i="3" s="1"/>
  <c r="DY5" i="3" s="1"/>
  <c r="DZ5" i="3" s="1"/>
  <c r="EA5" i="3" s="1"/>
  <c r="EB5" i="3" s="1"/>
  <c r="EC5" i="3" s="1"/>
  <c r="ED5" i="3" s="1"/>
  <c r="DU34" i="3"/>
  <c r="DT35" i="3"/>
  <c r="DT36" i="3" s="1"/>
  <c r="DV4" i="3"/>
  <c r="DV33" i="3" s="1"/>
  <c r="DK42" i="6" l="1"/>
  <c r="DK43" i="6"/>
  <c r="DK54" i="6"/>
  <c r="DK53" i="6"/>
  <c r="DK52" i="6"/>
  <c r="DK51" i="6"/>
  <c r="DK50" i="6"/>
  <c r="DK47" i="6"/>
  <c r="DK46" i="6"/>
  <c r="DK49" i="6"/>
  <c r="DK48" i="6"/>
  <c r="DK45" i="6"/>
  <c r="DK44" i="6"/>
  <c r="DK35" i="6"/>
  <c r="DK34" i="6"/>
  <c r="DK33" i="6"/>
  <c r="DK32" i="6"/>
  <c r="DK31" i="6"/>
  <c r="DK30" i="6"/>
  <c r="DK29" i="6"/>
  <c r="DK28" i="6"/>
  <c r="DK27" i="6"/>
  <c r="DK26" i="6"/>
  <c r="DK25" i="6"/>
  <c r="DK24" i="6"/>
  <c r="F16" i="8"/>
  <c r="G16" i="8"/>
  <c r="H16" i="8"/>
  <c r="I16" i="8"/>
  <c r="J16" i="8"/>
  <c r="K16" i="8"/>
  <c r="L16" i="8"/>
  <c r="M16" i="8"/>
  <c r="N16" i="8"/>
  <c r="DJ56" i="6"/>
  <c r="DS24" i="3" s="1"/>
  <c r="DL23" i="6"/>
  <c r="DV34" i="3"/>
  <c r="DU35" i="3"/>
  <c r="DU36" i="3" s="1"/>
  <c r="DW4" i="3"/>
  <c r="DW33" i="3" s="1"/>
  <c r="DL42" i="6" l="1"/>
  <c r="DL43" i="6"/>
  <c r="DL53" i="6"/>
  <c r="DL54" i="6"/>
  <c r="DL52" i="6"/>
  <c r="DL49" i="6"/>
  <c r="DL51" i="6"/>
  <c r="DL50" i="6"/>
  <c r="DL48" i="6"/>
  <c r="DL47" i="6"/>
  <c r="DL46" i="6"/>
  <c r="DL44" i="6"/>
  <c r="DL45" i="6"/>
  <c r="DL34" i="6"/>
  <c r="DL33" i="6"/>
  <c r="DL35" i="6"/>
  <c r="DL32" i="6"/>
  <c r="DL30" i="6"/>
  <c r="DL31" i="6"/>
  <c r="DL28" i="6"/>
  <c r="DL27" i="6"/>
  <c r="DL26" i="6"/>
  <c r="DL29" i="6"/>
  <c r="DL25" i="6"/>
  <c r="DL24" i="6"/>
  <c r="DK56" i="6"/>
  <c r="DT24" i="3" s="1"/>
  <c r="DM23" i="6"/>
  <c r="DW34" i="3"/>
  <c r="DV35" i="3"/>
  <c r="DV36" i="3" s="1"/>
  <c r="DX4" i="3"/>
  <c r="DX33" i="3" s="1"/>
  <c r="DM43" i="6" l="1"/>
  <c r="DM42" i="6"/>
  <c r="DM54" i="6"/>
  <c r="DM53" i="6"/>
  <c r="DM52" i="6"/>
  <c r="DM51" i="6"/>
  <c r="DM50" i="6"/>
  <c r="DM49" i="6"/>
  <c r="DM47" i="6"/>
  <c r="DM46" i="6"/>
  <c r="DM45" i="6"/>
  <c r="DM48" i="6"/>
  <c r="DM44" i="6"/>
  <c r="DM35" i="6"/>
  <c r="DM34" i="6"/>
  <c r="DM33" i="6"/>
  <c r="DM32" i="6"/>
  <c r="DM31" i="6"/>
  <c r="DM30" i="6"/>
  <c r="DM29" i="6"/>
  <c r="DM28" i="6"/>
  <c r="DM27" i="6"/>
  <c r="DM26" i="6"/>
  <c r="DM25" i="6"/>
  <c r="DM24" i="6"/>
  <c r="DR35" i="3"/>
  <c r="DL56" i="6"/>
  <c r="DU24" i="3" s="1"/>
  <c r="DN23" i="6"/>
  <c r="DX34" i="3"/>
  <c r="DY4" i="3"/>
  <c r="DY33" i="3" s="1"/>
  <c r="DW35" i="3"/>
  <c r="DW36" i="3" s="1"/>
  <c r="DN43" i="6" l="1"/>
  <c r="DN42" i="6"/>
  <c r="DN54" i="6"/>
  <c r="DN53" i="6"/>
  <c r="DN51" i="6"/>
  <c r="DN50" i="6"/>
  <c r="DN52" i="6"/>
  <c r="DN49" i="6"/>
  <c r="DN46" i="6"/>
  <c r="DN48" i="6"/>
  <c r="DN47" i="6"/>
  <c r="DN45" i="6"/>
  <c r="DN44" i="6"/>
  <c r="DN35" i="6"/>
  <c r="DN34" i="6"/>
  <c r="DN32" i="6"/>
  <c r="DN31" i="6"/>
  <c r="DN33" i="6"/>
  <c r="DN29" i="6"/>
  <c r="DN28" i="6"/>
  <c r="DN25" i="6"/>
  <c r="DN24" i="6"/>
  <c r="DN27" i="6"/>
  <c r="DN26" i="6"/>
  <c r="DN30" i="6"/>
  <c r="M37" i="8"/>
  <c r="DM56" i="6"/>
  <c r="DV24" i="3" s="1"/>
  <c r="DO23" i="6"/>
  <c r="DY34" i="3"/>
  <c r="DX35" i="3"/>
  <c r="DX36" i="3" s="1"/>
  <c r="DZ4" i="3"/>
  <c r="DZ33" i="3" s="1"/>
  <c r="DO43" i="6" l="1"/>
  <c r="DO42" i="6"/>
  <c r="DO53" i="6"/>
  <c r="DO54" i="6"/>
  <c r="DO52" i="6"/>
  <c r="DO51" i="6"/>
  <c r="DO50" i="6"/>
  <c r="DO48" i="6"/>
  <c r="DO49" i="6"/>
  <c r="DO47" i="6"/>
  <c r="DO46" i="6"/>
  <c r="DO45" i="6"/>
  <c r="DO44" i="6"/>
  <c r="DO35" i="6"/>
  <c r="DO34" i="6"/>
  <c r="DO33" i="6"/>
  <c r="DO32" i="6"/>
  <c r="DO31" i="6"/>
  <c r="DO30" i="6"/>
  <c r="DO29" i="6"/>
  <c r="DO28" i="6"/>
  <c r="DO27" i="6"/>
  <c r="DO26" i="6"/>
  <c r="DO25" i="6"/>
  <c r="DO24" i="6"/>
  <c r="DN56" i="6"/>
  <c r="DW24" i="3" s="1"/>
  <c r="DP23" i="6"/>
  <c r="DZ34" i="3"/>
  <c r="EA4" i="3"/>
  <c r="EA33" i="3" s="1"/>
  <c r="DY35" i="3"/>
  <c r="DY36" i="3" s="1"/>
  <c r="DP42" i="6" l="1"/>
  <c r="DP43" i="6"/>
  <c r="DP53" i="6"/>
  <c r="DP54" i="6"/>
  <c r="DP51" i="6"/>
  <c r="DP50" i="6"/>
  <c r="DP52" i="6"/>
  <c r="DP49" i="6"/>
  <c r="DP48" i="6"/>
  <c r="DP46" i="6"/>
  <c r="DP47" i="6"/>
  <c r="DP45" i="6"/>
  <c r="DP44" i="6"/>
  <c r="DP35" i="6"/>
  <c r="DP33" i="6"/>
  <c r="DP30" i="6"/>
  <c r="DP34" i="6"/>
  <c r="DP32" i="6"/>
  <c r="DP31" i="6"/>
  <c r="DP28" i="6"/>
  <c r="DP27" i="6"/>
  <c r="DP26" i="6"/>
  <c r="DP29" i="6"/>
  <c r="DP25" i="6"/>
  <c r="DP24" i="6"/>
  <c r="DO56" i="6"/>
  <c r="DX24" i="3" s="1"/>
  <c r="DQ23" i="6"/>
  <c r="EA34" i="3"/>
  <c r="DZ35" i="3"/>
  <c r="DZ36" i="3" s="1"/>
  <c r="EB4" i="3"/>
  <c r="EB33" i="3" s="1"/>
  <c r="DQ42" i="6" l="1"/>
  <c r="DQ43" i="6"/>
  <c r="DQ54" i="6"/>
  <c r="DQ53" i="6"/>
  <c r="DQ52" i="6"/>
  <c r="DQ51" i="6"/>
  <c r="DQ50" i="6"/>
  <c r="DQ49" i="6"/>
  <c r="DQ48" i="6"/>
  <c r="DQ47" i="6"/>
  <c r="DQ46" i="6"/>
  <c r="DQ45" i="6"/>
  <c r="DQ44" i="6"/>
  <c r="DQ35" i="6"/>
  <c r="DQ34" i="6"/>
  <c r="DQ33" i="6"/>
  <c r="DQ32" i="6"/>
  <c r="DQ30" i="6"/>
  <c r="DQ29" i="6"/>
  <c r="DQ28" i="6"/>
  <c r="DQ27" i="6"/>
  <c r="DQ26" i="6"/>
  <c r="DQ25" i="6"/>
  <c r="DQ24" i="6"/>
  <c r="DQ31" i="6"/>
  <c r="DP56" i="6"/>
  <c r="DY24" i="3" s="1"/>
  <c r="DR23" i="6"/>
  <c r="EB34" i="3"/>
  <c r="EC4" i="3"/>
  <c r="EC33" i="3" s="1"/>
  <c r="EA35" i="3"/>
  <c r="EA36" i="3" s="1"/>
  <c r="DR43" i="6" l="1"/>
  <c r="DR42" i="6"/>
  <c r="DR53" i="6"/>
  <c r="DR54" i="6"/>
  <c r="DR51" i="6"/>
  <c r="DR50" i="6"/>
  <c r="DR52" i="6"/>
  <c r="DR48" i="6"/>
  <c r="DR49" i="6"/>
  <c r="DR47" i="6"/>
  <c r="DR46" i="6"/>
  <c r="DR45" i="6"/>
  <c r="DR44" i="6"/>
  <c r="DR35" i="6"/>
  <c r="DR34" i="6"/>
  <c r="DR33" i="6"/>
  <c r="DR32" i="6"/>
  <c r="DR31" i="6"/>
  <c r="DR30" i="6"/>
  <c r="DR25" i="6"/>
  <c r="DR24" i="6"/>
  <c r="DR26" i="6"/>
  <c r="DR27" i="6"/>
  <c r="DR29" i="6"/>
  <c r="DR28" i="6"/>
  <c r="DQ56" i="6"/>
  <c r="DZ24" i="3" s="1"/>
  <c r="DS23" i="6"/>
  <c r="EC34" i="3"/>
  <c r="EB35" i="3"/>
  <c r="EB36" i="3" s="1"/>
  <c r="ED4" i="3"/>
  <c r="DS43" i="6" l="1"/>
  <c r="DS42" i="6"/>
  <c r="DS54" i="6"/>
  <c r="DS53" i="6"/>
  <c r="DS52" i="6"/>
  <c r="DS51" i="6"/>
  <c r="DS50" i="6"/>
  <c r="DS48" i="6"/>
  <c r="DS47" i="6"/>
  <c r="DS46" i="6"/>
  <c r="DS49" i="6"/>
  <c r="DS45" i="6"/>
  <c r="DS44" i="6"/>
  <c r="DS35" i="6"/>
  <c r="DS34" i="6"/>
  <c r="DS33" i="6"/>
  <c r="DS32" i="6"/>
  <c r="DS31" i="6"/>
  <c r="DS30" i="6"/>
  <c r="DS29" i="6"/>
  <c r="DS28" i="6"/>
  <c r="DS27" i="6"/>
  <c r="DS26" i="6"/>
  <c r="DS25" i="6"/>
  <c r="DS24" i="6"/>
  <c r="DR56" i="6"/>
  <c r="EA24" i="3" s="1"/>
  <c r="DT23" i="6"/>
  <c r="EC35" i="3"/>
  <c r="EC36" i="3" s="1"/>
  <c r="DT42" i="6" l="1"/>
  <c r="DT43" i="6"/>
  <c r="DT53" i="6"/>
  <c r="DT54" i="6"/>
  <c r="DT51" i="6"/>
  <c r="DT50" i="6"/>
  <c r="DT52" i="6"/>
  <c r="DT49" i="6"/>
  <c r="DT46" i="6"/>
  <c r="DT47" i="6"/>
  <c r="DT48" i="6"/>
  <c r="DT44" i="6"/>
  <c r="DT45" i="6"/>
  <c r="DT35" i="6"/>
  <c r="DT33" i="6"/>
  <c r="DT32" i="6"/>
  <c r="DT34" i="6"/>
  <c r="DT30" i="6"/>
  <c r="DT31" i="6"/>
  <c r="DT28" i="6"/>
  <c r="DT27" i="6"/>
  <c r="DT26" i="6"/>
  <c r="DT29" i="6"/>
  <c r="DT25" i="6"/>
  <c r="DT24" i="6"/>
  <c r="DS56" i="6"/>
  <c r="EB24" i="3" s="1"/>
  <c r="DU23" i="6"/>
  <c r="DU43" i="6" l="1"/>
  <c r="DU42" i="6"/>
  <c r="DU54" i="6"/>
  <c r="DU53" i="6"/>
  <c r="DU52" i="6"/>
  <c r="DU51" i="6"/>
  <c r="DU50" i="6"/>
  <c r="DU49" i="6"/>
  <c r="DU48" i="6"/>
  <c r="DU47" i="6"/>
  <c r="DU46" i="6"/>
  <c r="DU45" i="6"/>
  <c r="DU44" i="6"/>
  <c r="DU35" i="6"/>
  <c r="DU34" i="6"/>
  <c r="DU33" i="6"/>
  <c r="DU32" i="6"/>
  <c r="DU31" i="6"/>
  <c r="DU30" i="6"/>
  <c r="DU29" i="6"/>
  <c r="DU28" i="6"/>
  <c r="DU27" i="6"/>
  <c r="DU26" i="6"/>
  <c r="DU25" i="6"/>
  <c r="DU24" i="6"/>
  <c r="DT56" i="6"/>
  <c r="EC24" i="3" s="1"/>
  <c r="DV23" i="6"/>
  <c r="DV43" i="6" l="1"/>
  <c r="DV42" i="6"/>
  <c r="DV53" i="6"/>
  <c r="DV54" i="6"/>
  <c r="DV51" i="6"/>
  <c r="DV50" i="6"/>
  <c r="DV52" i="6"/>
  <c r="DV49" i="6"/>
  <c r="DV48" i="6"/>
  <c r="DV47" i="6"/>
  <c r="DV46" i="6"/>
  <c r="DV45" i="6"/>
  <c r="DV44" i="6"/>
  <c r="DV35" i="6"/>
  <c r="DV34" i="6"/>
  <c r="DV32" i="6"/>
  <c r="DV31" i="6"/>
  <c r="DV33" i="6"/>
  <c r="DV30" i="6"/>
  <c r="DV29" i="6"/>
  <c r="DV26" i="6"/>
  <c r="DV25" i="6"/>
  <c r="DV24" i="6"/>
  <c r="DV27" i="6"/>
  <c r="DV28" i="6"/>
  <c r="DU56" i="6"/>
  <c r="DW23" i="6"/>
  <c r="DW42" i="6" l="1"/>
  <c r="DW43" i="6"/>
  <c r="DW54" i="6"/>
  <c r="DW53" i="6"/>
  <c r="DW52" i="6"/>
  <c r="DW51" i="6"/>
  <c r="DW50" i="6"/>
  <c r="DW49" i="6"/>
  <c r="DW48" i="6"/>
  <c r="DW47" i="6"/>
  <c r="DW46" i="6"/>
  <c r="DW45" i="6"/>
  <c r="DW44" i="6"/>
  <c r="DW35" i="6"/>
  <c r="DW34" i="6"/>
  <c r="DW33" i="6"/>
  <c r="DW32" i="6"/>
  <c r="DW31" i="6"/>
  <c r="DW30" i="6"/>
  <c r="DW29" i="6"/>
  <c r="DW28" i="6"/>
  <c r="DW27" i="6"/>
  <c r="DW26" i="6"/>
  <c r="DW25" i="6"/>
  <c r="DW24" i="6"/>
  <c r="E21" i="8"/>
  <c r="F21" i="8"/>
  <c r="G21" i="8"/>
  <c r="H21" i="8"/>
  <c r="I21" i="8"/>
  <c r="J21" i="8"/>
  <c r="K21" i="8"/>
  <c r="L21" i="8"/>
  <c r="M21" i="8"/>
  <c r="DV56" i="6"/>
  <c r="DX23" i="6"/>
  <c r="DX42" i="6" l="1"/>
  <c r="DX43" i="6"/>
  <c r="DX54" i="6"/>
  <c r="DX53" i="6"/>
  <c r="DX52" i="6"/>
  <c r="DX49" i="6"/>
  <c r="DX51" i="6"/>
  <c r="DX50" i="6"/>
  <c r="DX47" i="6"/>
  <c r="DX46" i="6"/>
  <c r="DX45" i="6"/>
  <c r="DX48" i="6"/>
  <c r="DX44" i="6"/>
  <c r="DX35" i="6"/>
  <c r="DX34" i="6"/>
  <c r="DX32" i="6"/>
  <c r="DX33" i="6"/>
  <c r="DX30" i="6"/>
  <c r="DX31" i="6"/>
  <c r="DX28" i="6"/>
  <c r="DX27" i="6"/>
  <c r="DX26" i="6"/>
  <c r="DX29" i="6"/>
  <c r="DX25" i="6"/>
  <c r="DX24" i="6"/>
  <c r="N21" i="8"/>
  <c r="ED24" i="3"/>
  <c r="G22" i="8" s="1"/>
  <c r="DW56" i="6"/>
  <c r="DY23" i="6"/>
  <c r="DY43" i="6" l="1"/>
  <c r="DY42" i="6"/>
  <c r="DY54" i="6"/>
  <c r="DY53" i="6"/>
  <c r="DY52" i="6"/>
  <c r="DY51" i="6"/>
  <c r="DY50" i="6"/>
  <c r="DY49" i="6"/>
  <c r="DY48" i="6"/>
  <c r="DY47" i="6"/>
  <c r="DY46" i="6"/>
  <c r="DY45" i="6"/>
  <c r="DY44" i="6"/>
  <c r="DY35" i="6"/>
  <c r="DY34" i="6"/>
  <c r="DY33" i="6"/>
  <c r="DY32" i="6"/>
  <c r="DY30" i="6"/>
  <c r="DY29" i="6"/>
  <c r="DY31" i="6"/>
  <c r="DY28" i="6"/>
  <c r="DY27" i="6"/>
  <c r="DY26" i="6"/>
  <c r="DY25" i="6"/>
  <c r="DY24" i="6"/>
  <c r="M24" i="3"/>
  <c r="E22" i="8"/>
  <c r="F22" i="8"/>
  <c r="H22" i="8"/>
  <c r="I22" i="8"/>
  <c r="J22" i="8"/>
  <c r="K22" i="8"/>
  <c r="L22" i="8"/>
  <c r="M22" i="8"/>
  <c r="N22" i="8"/>
  <c r="DX56" i="6"/>
  <c r="DZ23" i="6"/>
  <c r="DZ43" i="6" l="1"/>
  <c r="DZ42" i="6"/>
  <c r="DZ53" i="6"/>
  <c r="DZ54" i="6"/>
  <c r="DZ52" i="6"/>
  <c r="DZ51" i="6"/>
  <c r="DZ50" i="6"/>
  <c r="DZ46" i="6"/>
  <c r="DZ49" i="6"/>
  <c r="DZ47" i="6"/>
  <c r="DZ48" i="6"/>
  <c r="DZ45" i="6"/>
  <c r="DZ44" i="6"/>
  <c r="DZ35" i="6"/>
  <c r="DZ34" i="6"/>
  <c r="DZ33" i="6"/>
  <c r="DZ31" i="6"/>
  <c r="DZ32" i="6"/>
  <c r="DZ30" i="6"/>
  <c r="DZ27" i="6"/>
  <c r="DZ25" i="6"/>
  <c r="DZ24" i="6"/>
  <c r="DZ28" i="6"/>
  <c r="DZ26" i="6"/>
  <c r="DZ29" i="6"/>
  <c r="DY56" i="6"/>
  <c r="EA23" i="6"/>
  <c r="EA42" i="6" l="1"/>
  <c r="EA43" i="6"/>
  <c r="EA53" i="6"/>
  <c r="EA54" i="6"/>
  <c r="EA49" i="6"/>
  <c r="EA51" i="6"/>
  <c r="EA50" i="6"/>
  <c r="EA52" i="6"/>
  <c r="EA47" i="6"/>
  <c r="EA46" i="6"/>
  <c r="EA48" i="6"/>
  <c r="EA44" i="6"/>
  <c r="EA45" i="6"/>
  <c r="EA35" i="6"/>
  <c r="EA34" i="6"/>
  <c r="EA33" i="6"/>
  <c r="EA32" i="6"/>
  <c r="EA31" i="6"/>
  <c r="EA30" i="6"/>
  <c r="EA29" i="6"/>
  <c r="EA28" i="6"/>
  <c r="EA27" i="6"/>
  <c r="EA26" i="6"/>
  <c r="EA25" i="6"/>
  <c r="EA24" i="6"/>
  <c r="DZ56" i="6"/>
  <c r="EB23" i="6"/>
  <c r="EB42" i="6" l="1"/>
  <c r="EB43" i="6"/>
  <c r="EB53" i="6"/>
  <c r="EB54" i="6"/>
  <c r="EB52" i="6"/>
  <c r="EB49" i="6"/>
  <c r="EB51" i="6"/>
  <c r="EB50" i="6"/>
  <c r="EB47" i="6"/>
  <c r="EB44" i="6"/>
  <c r="EB48" i="6"/>
  <c r="EB46" i="6"/>
  <c r="EB45" i="6"/>
  <c r="EB34" i="6"/>
  <c r="EB33" i="6"/>
  <c r="EB32" i="6"/>
  <c r="EB30" i="6"/>
  <c r="EB35" i="6"/>
  <c r="EB31" i="6"/>
  <c r="EB28" i="6"/>
  <c r="EB27" i="6"/>
  <c r="EB26" i="6"/>
  <c r="EB29" i="6"/>
  <c r="EB25" i="6"/>
  <c r="EB24" i="6"/>
  <c r="EA56" i="6"/>
  <c r="EC23" i="6"/>
  <c r="EC43" i="6" l="1"/>
  <c r="EC42" i="6"/>
  <c r="EC54" i="6"/>
  <c r="EC53" i="6"/>
  <c r="EC52" i="6"/>
  <c r="EC51" i="6"/>
  <c r="EC50" i="6"/>
  <c r="EC49" i="6"/>
  <c r="EC47" i="6"/>
  <c r="EC46" i="6"/>
  <c r="EC45" i="6"/>
  <c r="EC48" i="6"/>
  <c r="EC44" i="6"/>
  <c r="EC35" i="6"/>
  <c r="EC34" i="6"/>
  <c r="EC33" i="6"/>
  <c r="EC32" i="6"/>
  <c r="EC31" i="6"/>
  <c r="EC30" i="6"/>
  <c r="EC29" i="6"/>
  <c r="EC28" i="6"/>
  <c r="EC27" i="6"/>
  <c r="EC26" i="6"/>
  <c r="EC25" i="6"/>
  <c r="EC24" i="6"/>
  <c r="M39" i="8"/>
  <c r="EB56" i="6"/>
  <c r="ED23" i="6"/>
  <c r="ED43" i="6" l="1"/>
  <c r="ED42" i="6"/>
  <c r="ED54" i="6"/>
  <c r="ED53" i="6"/>
  <c r="ED51" i="6"/>
  <c r="ED50" i="6"/>
  <c r="ED52" i="6"/>
  <c r="ED49" i="6"/>
  <c r="ED46" i="6"/>
  <c r="ED48" i="6"/>
  <c r="ED47" i="6"/>
  <c r="ED45" i="6"/>
  <c r="ED44" i="6"/>
  <c r="ED35" i="6"/>
  <c r="ED34" i="6"/>
  <c r="ED32" i="6"/>
  <c r="ED31" i="6"/>
  <c r="ED29" i="6"/>
  <c r="ED33" i="6"/>
  <c r="ED28" i="6"/>
  <c r="ED25" i="6"/>
  <c r="ED24" i="6"/>
  <c r="ED30" i="6"/>
  <c r="ED26" i="6"/>
  <c r="ED27" i="6"/>
  <c r="EC56" i="6"/>
  <c r="EE23" i="6"/>
  <c r="EE43" i="6" l="1"/>
  <c r="EE42" i="6"/>
  <c r="EE54" i="6"/>
  <c r="EE53" i="6"/>
  <c r="EE51" i="6"/>
  <c r="EE50" i="6"/>
  <c r="EE48" i="6"/>
  <c r="EE52" i="6"/>
  <c r="EE49" i="6"/>
  <c r="EE47" i="6"/>
  <c r="EE46" i="6"/>
  <c r="EE45" i="6"/>
  <c r="EE44" i="6"/>
  <c r="EE35" i="6"/>
  <c r="EE34" i="6"/>
  <c r="EE33" i="6"/>
  <c r="EE32" i="6"/>
  <c r="EE31" i="6"/>
  <c r="EE30" i="6"/>
  <c r="EE29" i="6"/>
  <c r="EE28" i="6"/>
  <c r="EE27" i="6"/>
  <c r="EE26" i="6"/>
  <c r="EE25" i="6"/>
  <c r="EE24" i="6"/>
  <c r="ED56" i="6"/>
  <c r="EF23" i="6"/>
  <c r="EF42" i="6" l="1"/>
  <c r="EF43" i="6"/>
  <c r="EF53" i="6"/>
  <c r="EF54" i="6"/>
  <c r="EF51" i="6"/>
  <c r="EF50" i="6"/>
  <c r="EF48" i="6"/>
  <c r="EF52" i="6"/>
  <c r="EF49" i="6"/>
  <c r="EF46" i="6"/>
  <c r="EF47" i="6"/>
  <c r="EF45" i="6"/>
  <c r="EF44" i="6"/>
  <c r="EF35" i="6"/>
  <c r="EF33" i="6"/>
  <c r="EF34" i="6"/>
  <c r="EF30" i="6"/>
  <c r="EF31" i="6"/>
  <c r="EF28" i="6"/>
  <c r="EF27" i="6"/>
  <c r="EF26" i="6"/>
  <c r="EF29" i="6"/>
  <c r="EF25" i="6"/>
  <c r="EF24" i="6"/>
  <c r="EF32" i="6"/>
  <c r="EE56" i="6"/>
  <c r="EG23" i="6"/>
  <c r="EG42" i="6" l="1"/>
  <c r="EG43" i="6"/>
  <c r="EG54" i="6"/>
  <c r="EG53" i="6"/>
  <c r="EG52" i="6"/>
  <c r="EG51" i="6"/>
  <c r="EG50" i="6"/>
  <c r="EG49" i="6"/>
  <c r="EG48" i="6"/>
  <c r="EG47" i="6"/>
  <c r="EG46" i="6"/>
  <c r="EG45" i="6"/>
  <c r="EG44" i="6"/>
  <c r="EG35" i="6"/>
  <c r="EG34" i="6"/>
  <c r="EG33" i="6"/>
  <c r="EG32" i="6"/>
  <c r="EG30" i="6"/>
  <c r="EG29" i="6"/>
  <c r="EG31" i="6"/>
  <c r="EG28" i="6"/>
  <c r="EG27" i="6"/>
  <c r="EG26" i="6"/>
  <c r="EG25" i="6"/>
  <c r="EG24" i="6"/>
  <c r="EF56" i="6"/>
  <c r="EH23" i="6"/>
  <c r="EH43" i="6" l="1"/>
  <c r="EH42" i="6"/>
  <c r="EH54" i="6"/>
  <c r="EH53" i="6"/>
  <c r="EH52" i="6"/>
  <c r="EH51" i="6"/>
  <c r="EH50" i="6"/>
  <c r="EH49" i="6"/>
  <c r="EH48" i="6"/>
  <c r="EH47" i="6"/>
  <c r="EH45" i="6"/>
  <c r="EH46" i="6"/>
  <c r="EH44" i="6"/>
  <c r="EH35" i="6"/>
  <c r="EH33" i="6"/>
  <c r="EH34" i="6"/>
  <c r="EH32" i="6"/>
  <c r="EH31" i="6"/>
  <c r="EH30" i="6"/>
  <c r="EH25" i="6"/>
  <c r="EH24" i="6"/>
  <c r="EH29" i="6"/>
  <c r="EH26" i="6"/>
  <c r="EH27" i="6"/>
  <c r="EH28" i="6"/>
  <c r="EG56" i="6"/>
  <c r="EI23" i="6"/>
  <c r="EI43" i="6" l="1"/>
  <c r="EI42" i="6"/>
  <c r="EI53" i="6"/>
  <c r="EI54" i="6"/>
  <c r="EI51" i="6"/>
  <c r="EI50" i="6"/>
  <c r="EI52" i="6"/>
  <c r="EI48" i="6"/>
  <c r="EI49" i="6"/>
  <c r="EI47" i="6"/>
  <c r="EI46" i="6"/>
  <c r="EI44" i="6"/>
  <c r="EI45" i="6"/>
  <c r="EI35" i="6"/>
  <c r="EI34" i="6"/>
  <c r="EI33" i="6"/>
  <c r="EI32" i="6"/>
  <c r="EI31" i="6"/>
  <c r="EI30" i="6"/>
  <c r="EI29" i="6"/>
  <c r="EI28" i="6"/>
  <c r="EI27" i="6"/>
  <c r="EI26" i="6"/>
  <c r="EI25" i="6"/>
  <c r="EI24" i="6"/>
  <c r="EH56" i="6"/>
  <c r="EJ23" i="6"/>
  <c r="EJ42" i="6" l="1"/>
  <c r="EJ43" i="6"/>
  <c r="EJ53" i="6"/>
  <c r="EJ54" i="6"/>
  <c r="EJ51" i="6"/>
  <c r="EJ50" i="6"/>
  <c r="EJ49" i="6"/>
  <c r="EJ52" i="6"/>
  <c r="EJ48" i="6"/>
  <c r="EJ47" i="6"/>
  <c r="EJ46" i="6"/>
  <c r="EJ44" i="6"/>
  <c r="EJ45" i="6"/>
  <c r="EJ32" i="6"/>
  <c r="EJ33" i="6"/>
  <c r="EJ35" i="6"/>
  <c r="EJ34" i="6"/>
  <c r="EJ30" i="6"/>
  <c r="EJ31" i="6"/>
  <c r="EJ28" i="6"/>
  <c r="EJ27" i="6"/>
  <c r="EJ26" i="6"/>
  <c r="EJ29" i="6"/>
  <c r="EJ25" i="6"/>
  <c r="EJ24" i="6"/>
  <c r="EI56" i="6"/>
  <c r="EK23" i="6"/>
  <c r="EK43" i="6" l="1"/>
  <c r="EK42" i="6"/>
  <c r="EK54" i="6"/>
  <c r="EK53" i="6"/>
  <c r="EK52" i="6"/>
  <c r="EK51" i="6"/>
  <c r="EK50" i="6"/>
  <c r="EK49" i="6"/>
  <c r="EK48" i="6"/>
  <c r="EK47" i="6"/>
  <c r="EK46" i="6"/>
  <c r="EK45" i="6"/>
  <c r="EK44" i="6"/>
  <c r="EK35" i="6"/>
  <c r="EK34" i="6"/>
  <c r="EK33" i="6"/>
  <c r="EK31" i="6"/>
  <c r="EK32" i="6"/>
  <c r="EK30" i="6"/>
  <c r="EK29" i="6"/>
  <c r="EK28" i="6"/>
  <c r="EK27" i="6"/>
  <c r="EK26" i="6"/>
  <c r="EK25" i="6"/>
  <c r="EK24" i="6"/>
  <c r="EJ56" i="6"/>
  <c r="EL23" i="6"/>
  <c r="EL43" i="6" l="1"/>
  <c r="EL42" i="6"/>
  <c r="EL54" i="6"/>
  <c r="EL53" i="6"/>
  <c r="EL52" i="6"/>
  <c r="EL49" i="6"/>
  <c r="EL51" i="6"/>
  <c r="EL50" i="6"/>
  <c r="EL48" i="6"/>
  <c r="EL47" i="6"/>
  <c r="EL45" i="6"/>
  <c r="EL46" i="6"/>
  <c r="EL44" i="6"/>
  <c r="EL35" i="6"/>
  <c r="EL34" i="6"/>
  <c r="EL33" i="6"/>
  <c r="EL32" i="6"/>
  <c r="EL31" i="6"/>
  <c r="EL30" i="6"/>
  <c r="EL29" i="6"/>
  <c r="EL26" i="6"/>
  <c r="EL25" i="6"/>
  <c r="EL24" i="6"/>
  <c r="EL27" i="6"/>
  <c r="EL28" i="6"/>
  <c r="EK56" i="6"/>
  <c r="EM23" i="6"/>
  <c r="EM42" i="6" l="1"/>
  <c r="EM43" i="6"/>
  <c r="EM54" i="6"/>
  <c r="EM53" i="6"/>
  <c r="EM52" i="6"/>
  <c r="EM49" i="6"/>
  <c r="EM51" i="6"/>
  <c r="EM50" i="6"/>
  <c r="EM48" i="6"/>
  <c r="EM47" i="6"/>
  <c r="EM46" i="6"/>
  <c r="EM45" i="6"/>
  <c r="EM44" i="6"/>
  <c r="EM35" i="6"/>
  <c r="EM34" i="6"/>
  <c r="EM33" i="6"/>
  <c r="EM32" i="6"/>
  <c r="EM31" i="6"/>
  <c r="EM30" i="6"/>
  <c r="EM29" i="6"/>
  <c r="EM28" i="6"/>
  <c r="EM27" i="6"/>
  <c r="EM26" i="6"/>
  <c r="EM25" i="6"/>
  <c r="EM24" i="6"/>
  <c r="EL56" i="6"/>
  <c r="EN23" i="6"/>
  <c r="EN42" i="6" l="1"/>
  <c r="EN43" i="6"/>
  <c r="EN54" i="6"/>
  <c r="EN53" i="6"/>
  <c r="EN52" i="6"/>
  <c r="EN51" i="6"/>
  <c r="EN50" i="6"/>
  <c r="EN47" i="6"/>
  <c r="EN45" i="6"/>
  <c r="EN48" i="6"/>
  <c r="EN46" i="6"/>
  <c r="EN49" i="6"/>
  <c r="EN44" i="6"/>
  <c r="EN35" i="6"/>
  <c r="EN33" i="6"/>
  <c r="EN34" i="6"/>
  <c r="EN32" i="6"/>
  <c r="EN30" i="6"/>
  <c r="EN31" i="6"/>
  <c r="EN28" i="6"/>
  <c r="EN27" i="6"/>
  <c r="EN26" i="6"/>
  <c r="EN29" i="6"/>
  <c r="EN25" i="6"/>
  <c r="EN24" i="6"/>
  <c r="EM56" i="6"/>
  <c r="EO23" i="6"/>
  <c r="EO43" i="6" l="1"/>
  <c r="EO42" i="6"/>
  <c r="EO54" i="6"/>
  <c r="EO53" i="6"/>
  <c r="EO52" i="6"/>
  <c r="EO51" i="6"/>
  <c r="EO50" i="6"/>
  <c r="EO49" i="6"/>
  <c r="EO48" i="6"/>
  <c r="EO47" i="6"/>
  <c r="EO46" i="6"/>
  <c r="EO45" i="6"/>
  <c r="EO44" i="6"/>
  <c r="EO35" i="6"/>
  <c r="EO34" i="6"/>
  <c r="EO33" i="6"/>
  <c r="EO32" i="6"/>
  <c r="EO30" i="6"/>
  <c r="EO29" i="6"/>
  <c r="EO31" i="6"/>
  <c r="EO28" i="6"/>
  <c r="EO27" i="6"/>
  <c r="EO26" i="6"/>
  <c r="EO25" i="6"/>
  <c r="EO24" i="6"/>
  <c r="EN56" i="6"/>
  <c r="EP23" i="6"/>
  <c r="EP43" i="6" l="1"/>
  <c r="EP42" i="6"/>
  <c r="EP54" i="6"/>
  <c r="EP53" i="6"/>
  <c r="EP52" i="6"/>
  <c r="EP51" i="6"/>
  <c r="EP50" i="6"/>
  <c r="EP49" i="6"/>
  <c r="EP47" i="6"/>
  <c r="EP46" i="6"/>
  <c r="EP45" i="6"/>
  <c r="EP48" i="6"/>
  <c r="EP44" i="6"/>
  <c r="EP35" i="6"/>
  <c r="EP33" i="6"/>
  <c r="EP34" i="6"/>
  <c r="EP31" i="6"/>
  <c r="EP32" i="6"/>
  <c r="EP30" i="6"/>
  <c r="EP29" i="6"/>
  <c r="EP27" i="6"/>
  <c r="EP25" i="6"/>
  <c r="EP24" i="6"/>
  <c r="EP28" i="6"/>
  <c r="EP26" i="6"/>
  <c r="EO56" i="6"/>
  <c r="EQ23" i="6"/>
  <c r="EQ42" i="6" l="1"/>
  <c r="EQ43" i="6"/>
  <c r="EQ54" i="6"/>
  <c r="EQ53" i="6"/>
  <c r="EQ52" i="6"/>
  <c r="EQ51" i="6"/>
  <c r="EQ50" i="6"/>
  <c r="EQ49" i="6"/>
  <c r="EQ47" i="6"/>
  <c r="EQ46" i="6"/>
  <c r="EQ48" i="6"/>
  <c r="EQ45" i="6"/>
  <c r="EQ44" i="6"/>
  <c r="EQ35" i="6"/>
  <c r="EQ34" i="6"/>
  <c r="EQ33" i="6"/>
  <c r="EQ32" i="6"/>
  <c r="EQ31" i="6"/>
  <c r="EQ30" i="6"/>
  <c r="EQ29" i="6"/>
  <c r="EQ28" i="6"/>
  <c r="EQ27" i="6"/>
  <c r="EQ26" i="6"/>
  <c r="EQ25" i="6"/>
  <c r="EQ24" i="6"/>
  <c r="EP56" i="6"/>
  <c r="ER23" i="6"/>
  <c r="ER42" i="6" l="1"/>
  <c r="ER43" i="6"/>
  <c r="ER53" i="6"/>
  <c r="ER54" i="6"/>
  <c r="ER52" i="6"/>
  <c r="ER49" i="6"/>
  <c r="ER51" i="6"/>
  <c r="ER50" i="6"/>
  <c r="ER48" i="6"/>
  <c r="ER47" i="6"/>
  <c r="ER44" i="6"/>
  <c r="ER46" i="6"/>
  <c r="ER45" i="6"/>
  <c r="ER35" i="6"/>
  <c r="ER34" i="6"/>
  <c r="ER32" i="6"/>
  <c r="ER30" i="6"/>
  <c r="ER33" i="6"/>
  <c r="ER31" i="6"/>
  <c r="ER28" i="6"/>
  <c r="ER27" i="6"/>
  <c r="ER26" i="6"/>
  <c r="ER29" i="6"/>
  <c r="ER25" i="6"/>
  <c r="ER24" i="6"/>
  <c r="EQ56" i="6"/>
  <c r="ES23" i="6"/>
  <c r="ES43" i="6" l="1"/>
  <c r="ES42" i="6"/>
  <c r="ES54" i="6"/>
  <c r="ES53" i="6"/>
  <c r="ES52" i="6"/>
  <c r="ES51" i="6"/>
  <c r="ES50" i="6"/>
  <c r="ES49" i="6"/>
  <c r="ES47" i="6"/>
  <c r="ES46" i="6"/>
  <c r="ES45" i="6"/>
  <c r="ES48" i="6"/>
  <c r="ES44" i="6"/>
  <c r="ES35" i="6"/>
  <c r="ES34" i="6"/>
  <c r="ES33" i="6"/>
  <c r="ES32" i="6"/>
  <c r="ES31" i="6"/>
  <c r="ES30" i="6"/>
  <c r="ES29" i="6"/>
  <c r="ES28" i="6"/>
  <c r="ES27" i="6"/>
  <c r="ES26" i="6"/>
  <c r="ES25" i="6"/>
  <c r="ES24" i="6"/>
  <c r="ER56" i="6"/>
  <c r="ET23" i="6"/>
  <c r="ET43" i="6" l="1"/>
  <c r="ET42" i="6"/>
  <c r="ET54" i="6"/>
  <c r="ET53" i="6"/>
  <c r="ET51" i="6"/>
  <c r="ET50" i="6"/>
  <c r="ET52" i="6"/>
  <c r="ET49" i="6"/>
  <c r="ET47" i="6"/>
  <c r="ET46" i="6"/>
  <c r="ET45" i="6"/>
  <c r="ET48" i="6"/>
  <c r="ET44" i="6"/>
  <c r="ET35" i="6"/>
  <c r="ET34" i="6"/>
  <c r="ET33" i="6"/>
  <c r="ET32" i="6"/>
  <c r="ET31" i="6"/>
  <c r="ET29" i="6"/>
  <c r="ET28" i="6"/>
  <c r="ET25" i="6"/>
  <c r="ET24" i="6"/>
  <c r="ET30" i="6"/>
  <c r="ET27" i="6"/>
  <c r="ET26" i="6"/>
  <c r="ES56" i="6"/>
  <c r="EU23" i="6"/>
  <c r="EU43" i="6" l="1"/>
  <c r="EU42" i="6"/>
  <c r="EU53" i="6"/>
  <c r="EU54" i="6"/>
  <c r="EU51" i="6"/>
  <c r="EU50" i="6"/>
  <c r="EU48" i="6"/>
  <c r="EU52" i="6"/>
  <c r="EU49" i="6"/>
  <c r="EU47" i="6"/>
  <c r="EU46" i="6"/>
  <c r="EU45" i="6"/>
  <c r="EU44" i="6"/>
  <c r="EU35" i="6"/>
  <c r="EU34" i="6"/>
  <c r="EU33" i="6"/>
  <c r="EU32" i="6"/>
  <c r="EU31" i="6"/>
  <c r="EU30" i="6"/>
  <c r="EU29" i="6"/>
  <c r="EU28" i="6"/>
  <c r="EU27" i="6"/>
  <c r="EU26" i="6"/>
  <c r="EU25" i="6"/>
  <c r="EU24" i="6"/>
  <c r="ET56" i="6"/>
  <c r="EV23" i="6"/>
  <c r="EV42" i="6" l="1"/>
  <c r="EV43" i="6"/>
  <c r="EV53" i="6"/>
  <c r="EV54" i="6"/>
  <c r="EV51" i="6"/>
  <c r="EV50" i="6"/>
  <c r="EV52" i="6"/>
  <c r="EV49" i="6"/>
  <c r="EV48" i="6"/>
  <c r="EV46" i="6"/>
  <c r="EV47" i="6"/>
  <c r="EV45" i="6"/>
  <c r="EV44" i="6"/>
  <c r="EV35" i="6"/>
  <c r="EV32" i="6"/>
  <c r="EV33" i="6"/>
  <c r="EV30" i="6"/>
  <c r="EV34" i="6"/>
  <c r="EV31" i="6"/>
  <c r="EV28" i="6"/>
  <c r="EV27" i="6"/>
  <c r="EV26" i="6"/>
  <c r="EV29" i="6"/>
  <c r="EV25" i="6"/>
  <c r="EV24" i="6"/>
  <c r="EU56" i="6"/>
  <c r="EW23" i="6"/>
  <c r="EW42" i="6" l="1"/>
  <c r="EW43" i="6"/>
  <c r="EW54" i="6"/>
  <c r="EW53" i="6"/>
  <c r="EW52" i="6"/>
  <c r="EW51" i="6"/>
  <c r="EW50" i="6"/>
  <c r="EW49" i="6"/>
  <c r="EW48" i="6"/>
  <c r="EW47" i="6"/>
  <c r="EW46" i="6"/>
  <c r="EW45" i="6"/>
  <c r="EW44" i="6"/>
  <c r="EW35" i="6"/>
  <c r="EW34" i="6"/>
  <c r="EW33" i="6"/>
  <c r="EW32" i="6"/>
  <c r="EW30" i="6"/>
  <c r="EW29" i="6"/>
  <c r="EW28" i="6"/>
  <c r="EW27" i="6"/>
  <c r="EW26" i="6"/>
  <c r="EW31" i="6"/>
  <c r="EW25" i="6"/>
  <c r="EW24" i="6"/>
  <c r="EV56" i="6"/>
  <c r="EX23" i="6"/>
  <c r="EX43" i="6" l="1"/>
  <c r="EX42" i="6"/>
  <c r="EX53" i="6"/>
  <c r="EX54" i="6"/>
  <c r="EX52" i="6"/>
  <c r="EX51" i="6"/>
  <c r="EX50" i="6"/>
  <c r="EX47" i="6"/>
  <c r="EX48" i="6"/>
  <c r="EX49" i="6"/>
  <c r="EX46" i="6"/>
  <c r="EX45" i="6"/>
  <c r="EX44" i="6"/>
  <c r="EX35" i="6"/>
  <c r="EX33" i="6"/>
  <c r="EX34" i="6"/>
  <c r="EX31" i="6"/>
  <c r="EX32" i="6"/>
  <c r="EX30" i="6"/>
  <c r="EX25" i="6"/>
  <c r="EX24" i="6"/>
  <c r="EX26" i="6"/>
  <c r="EX27" i="6"/>
  <c r="EX29" i="6"/>
  <c r="EX28" i="6"/>
  <c r="EW56" i="6"/>
  <c r="EY23" i="6"/>
  <c r="EY43" i="6" l="1"/>
  <c r="EY42" i="6"/>
  <c r="EY54" i="6"/>
  <c r="EY53" i="6"/>
  <c r="EY52" i="6"/>
  <c r="EY51" i="6"/>
  <c r="EY50" i="6"/>
  <c r="EY49" i="6"/>
  <c r="EY48" i="6"/>
  <c r="EY47" i="6"/>
  <c r="EY46" i="6"/>
  <c r="EY45" i="6"/>
  <c r="EY44" i="6"/>
  <c r="EY35" i="6"/>
  <c r="EY34" i="6"/>
  <c r="EY33" i="6"/>
  <c r="EY32" i="6"/>
  <c r="EY31" i="6"/>
  <c r="EY30" i="6"/>
  <c r="EY29" i="6"/>
  <c r="EY28" i="6"/>
  <c r="EY27" i="6"/>
  <c r="EY26" i="6"/>
  <c r="EY25" i="6"/>
  <c r="EY24" i="6"/>
  <c r="EX56" i="6"/>
  <c r="EZ23" i="6"/>
  <c r="EZ42" i="6" l="1"/>
  <c r="EZ43" i="6"/>
  <c r="EZ53" i="6"/>
  <c r="EZ54" i="6"/>
  <c r="EZ51" i="6"/>
  <c r="EZ50" i="6"/>
  <c r="EZ52" i="6"/>
  <c r="EZ48" i="6"/>
  <c r="EZ46" i="6"/>
  <c r="EZ49" i="6"/>
  <c r="EZ47" i="6"/>
  <c r="EZ44" i="6"/>
  <c r="EZ45" i="6"/>
  <c r="EZ31" i="6"/>
  <c r="EZ35" i="6"/>
  <c r="EZ33" i="6"/>
  <c r="EZ34" i="6"/>
  <c r="EZ32" i="6"/>
  <c r="EZ30" i="6"/>
  <c r="EZ28" i="6"/>
  <c r="EZ27" i="6"/>
  <c r="EZ26" i="6"/>
  <c r="EZ29" i="6"/>
  <c r="EZ25" i="6"/>
  <c r="EZ24" i="6"/>
  <c r="EY56" i="6"/>
  <c r="FA23" i="6"/>
  <c r="FA43" i="6" l="1"/>
  <c r="FA42" i="6"/>
  <c r="FA54" i="6"/>
  <c r="FA53" i="6"/>
  <c r="FA52" i="6"/>
  <c r="FA51" i="6"/>
  <c r="FA50" i="6"/>
  <c r="FA49" i="6"/>
  <c r="FA48" i="6"/>
  <c r="FA47" i="6"/>
  <c r="FA46" i="6"/>
  <c r="FA45" i="6"/>
  <c r="FA44" i="6"/>
  <c r="FA35" i="6"/>
  <c r="FA34" i="6"/>
  <c r="FA33" i="6"/>
  <c r="FA32" i="6"/>
  <c r="FA31" i="6"/>
  <c r="FA30" i="6"/>
  <c r="FA29" i="6"/>
  <c r="FA28" i="6"/>
  <c r="FA27" i="6"/>
  <c r="FA26" i="6"/>
  <c r="FA25" i="6"/>
  <c r="FA24" i="6"/>
  <c r="EZ56" i="6"/>
  <c r="FB23" i="6"/>
  <c r="FB43" i="6" l="1"/>
  <c r="FB42" i="6"/>
  <c r="FB53" i="6"/>
  <c r="FB54" i="6"/>
  <c r="FB52" i="6"/>
  <c r="FB49" i="6"/>
  <c r="FB51" i="6"/>
  <c r="FB50" i="6"/>
  <c r="FB48" i="6"/>
  <c r="FB47" i="6"/>
  <c r="FB46" i="6"/>
  <c r="FB45" i="6"/>
  <c r="FB44" i="6"/>
  <c r="FB35" i="6"/>
  <c r="FB34" i="6"/>
  <c r="FB33" i="6"/>
  <c r="FB32" i="6"/>
  <c r="FB31" i="6"/>
  <c r="FB30" i="6"/>
  <c r="FB29" i="6"/>
  <c r="FB26" i="6"/>
  <c r="FB25" i="6"/>
  <c r="FB24" i="6"/>
  <c r="FB27" i="6"/>
  <c r="FB28" i="6"/>
  <c r="FA56" i="6"/>
  <c r="FC23" i="6"/>
  <c r="FC42" i="6" l="1"/>
  <c r="FC43" i="6"/>
  <c r="FC54" i="6"/>
  <c r="FC53" i="6"/>
  <c r="FC52" i="6"/>
  <c r="FC51" i="6"/>
  <c r="FC50" i="6"/>
  <c r="FC49" i="6"/>
  <c r="FC48" i="6"/>
  <c r="FC47" i="6"/>
  <c r="FC46" i="6"/>
  <c r="FC45" i="6"/>
  <c r="FC44" i="6"/>
  <c r="FC35" i="6"/>
  <c r="FC34" i="6"/>
  <c r="FC33" i="6"/>
  <c r="FC32" i="6"/>
  <c r="FC31" i="6"/>
  <c r="FC30" i="6"/>
  <c r="FC29" i="6"/>
  <c r="FC28" i="6"/>
  <c r="FC27" i="6"/>
  <c r="FC26" i="6"/>
  <c r="FC25" i="6"/>
  <c r="FC24" i="6"/>
  <c r="FB56" i="6"/>
  <c r="FD23" i="6"/>
  <c r="FD42" i="6" l="1"/>
  <c r="FD43" i="6"/>
  <c r="FD54" i="6"/>
  <c r="FD53" i="6"/>
  <c r="FD52" i="6"/>
  <c r="FD49" i="6"/>
  <c r="FD51" i="6"/>
  <c r="FD50" i="6"/>
  <c r="FD46" i="6"/>
  <c r="FD47" i="6"/>
  <c r="FD45" i="6"/>
  <c r="FD48" i="6"/>
  <c r="FD44" i="6"/>
  <c r="FD35" i="6"/>
  <c r="FD33" i="6"/>
  <c r="FD32" i="6"/>
  <c r="FD31" i="6"/>
  <c r="FD34" i="6"/>
  <c r="FD30" i="6"/>
  <c r="FD28" i="6"/>
  <c r="FD27" i="6"/>
  <c r="FD26" i="6"/>
  <c r="FD29" i="6"/>
  <c r="FD25" i="6"/>
  <c r="FD24" i="6"/>
  <c r="FC56" i="6"/>
  <c r="FE23" i="6"/>
  <c r="FE43" i="6" l="1"/>
  <c r="FE42" i="6"/>
  <c r="FE54" i="6"/>
  <c r="B54" i="6" s="1"/>
  <c r="FE53" i="6"/>
  <c r="FE52" i="6"/>
  <c r="FE51" i="6"/>
  <c r="FE50" i="6"/>
  <c r="B50" i="6" s="1"/>
  <c r="FE49" i="6"/>
  <c r="FE48" i="6"/>
  <c r="B48" i="6" s="1"/>
  <c r="FE47" i="6"/>
  <c r="B47" i="6" s="1"/>
  <c r="FE46" i="6"/>
  <c r="B46" i="6" s="1"/>
  <c r="FE45" i="6"/>
  <c r="B45" i="6" s="1"/>
  <c r="FE44" i="6"/>
  <c r="B44" i="6" s="1"/>
  <c r="FE35" i="6"/>
  <c r="FE34" i="6"/>
  <c r="FE33" i="6"/>
  <c r="FE32" i="6"/>
  <c r="FE31" i="6"/>
  <c r="FE30" i="6"/>
  <c r="FE29" i="6"/>
  <c r="FE28" i="6"/>
  <c r="FE27" i="6"/>
  <c r="FE26" i="6"/>
  <c r="FE25" i="6"/>
  <c r="FE24" i="6"/>
  <c r="FD56" i="6"/>
  <c r="B42" i="6"/>
  <c r="B53" i="6"/>
  <c r="B52" i="6"/>
  <c r="B51" i="6"/>
  <c r="B49" i="6"/>
  <c r="B43" i="6"/>
  <c r="FE56" i="6" l="1"/>
  <c r="FH56" i="6" l="1"/>
  <c r="DR34" i="3" l="1"/>
  <c r="DR36" i="3" l="1"/>
  <c r="M38" i="8"/>
  <c r="M40" i="8" l="1"/>
  <c r="F37" i="6" l="1"/>
  <c r="G37" i="6"/>
  <c r="H37" i="6"/>
  <c r="I37" i="6"/>
  <c r="Q7" i="3" l="1"/>
  <c r="H38" i="6"/>
  <c r="H39" i="6" s="1"/>
  <c r="F3" i="5" s="1"/>
  <c r="G38" i="6"/>
  <c r="G39" i="6" s="1"/>
  <c r="E3" i="5" s="1"/>
  <c r="P7" i="3"/>
  <c r="F38" i="6"/>
  <c r="F39" i="6" s="1"/>
  <c r="D3" i="5" s="1"/>
  <c r="O7" i="3"/>
  <c r="R7" i="3"/>
  <c r="I38" i="6"/>
  <c r="I39" i="6" s="1"/>
  <c r="G3" i="5" s="1"/>
  <c r="D2" i="5" l="1"/>
  <c r="R8" i="3"/>
  <c r="R9" i="3" s="1"/>
  <c r="R20" i="3" s="1"/>
  <c r="P8" i="3"/>
  <c r="P9" i="3" s="1"/>
  <c r="P20" i="3" s="1"/>
  <c r="E2" i="5"/>
  <c r="O8" i="3"/>
  <c r="O9" i="3" s="1"/>
  <c r="G2" i="5"/>
  <c r="Q8" i="3"/>
  <c r="Q9" i="3" s="1"/>
  <c r="Q20" i="3" s="1"/>
  <c r="Q22" i="3" s="1"/>
  <c r="Q26" i="3" s="1"/>
  <c r="E4" i="5" l="1"/>
  <c r="P22" i="3"/>
  <c r="P26" i="3" s="1"/>
  <c r="F4" i="5"/>
  <c r="F2" i="5"/>
  <c r="G4" i="5"/>
  <c r="R22" i="3"/>
  <c r="R26" i="3" s="1"/>
  <c r="O20" i="3"/>
  <c r="D4" i="5" l="1"/>
  <c r="O22" i="3"/>
  <c r="O26" i="3" s="1"/>
  <c r="J37" i="6" l="1"/>
  <c r="K37" i="6"/>
  <c r="L37" i="6"/>
  <c r="M37" i="6"/>
  <c r="N37" i="6"/>
  <c r="O37" i="6"/>
  <c r="P37" i="6"/>
  <c r="Q37" i="6"/>
  <c r="O12" i="4" l="1"/>
  <c r="N38" i="6"/>
  <c r="N39" i="6" s="1"/>
  <c r="L3" i="5" s="1"/>
  <c r="W7" i="3"/>
  <c r="Y7" i="3"/>
  <c r="P38" i="6"/>
  <c r="P39" i="6" s="1"/>
  <c r="N3" i="5" s="1"/>
  <c r="L38" i="6"/>
  <c r="L39" i="6" s="1"/>
  <c r="J3" i="5" s="1"/>
  <c r="U7" i="3"/>
  <c r="O38" i="6"/>
  <c r="O39" i="6" s="1"/>
  <c r="M3" i="5" s="1"/>
  <c r="X7" i="3"/>
  <c r="S7" i="3"/>
  <c r="J38" i="6"/>
  <c r="J39" i="6" s="1"/>
  <c r="H3" i="5" s="1"/>
  <c r="T7" i="3"/>
  <c r="K38" i="6"/>
  <c r="K39" i="6" s="1"/>
  <c r="I3" i="5" s="1"/>
  <c r="Q38" i="6"/>
  <c r="Q39" i="6" s="1"/>
  <c r="O3" i="5" s="1"/>
  <c r="Z7" i="3"/>
  <c r="M38" i="6"/>
  <c r="M39" i="6" s="1"/>
  <c r="K3" i="5" s="1"/>
  <c r="V7" i="3"/>
  <c r="R37" i="6"/>
  <c r="S37" i="6"/>
  <c r="T37" i="6"/>
  <c r="U37" i="6"/>
  <c r="V37" i="6"/>
  <c r="W37" i="6"/>
  <c r="X37" i="6"/>
  <c r="Y37" i="6"/>
  <c r="Z37" i="6"/>
  <c r="AA37" i="6"/>
  <c r="AB37" i="6"/>
  <c r="AC37" i="6"/>
  <c r="O13" i="4" l="1"/>
  <c r="Z38" i="6"/>
  <c r="Z39" i="6" s="1"/>
  <c r="X3" i="5" s="1"/>
  <c r="AI7" i="3"/>
  <c r="R38" i="6"/>
  <c r="R39" i="6" s="1"/>
  <c r="P3" i="5" s="1"/>
  <c r="AA7" i="3"/>
  <c r="AC38" i="6"/>
  <c r="AC39" i="6" s="1"/>
  <c r="AA3" i="5" s="1"/>
  <c r="AL7" i="3"/>
  <c r="AJ7" i="3"/>
  <c r="AA38" i="6"/>
  <c r="AA39" i="6" s="1"/>
  <c r="Y3" i="5" s="1"/>
  <c r="W38" i="6"/>
  <c r="W39" i="6" s="1"/>
  <c r="U3" i="5" s="1"/>
  <c r="AF7" i="3"/>
  <c r="AB7" i="3"/>
  <c r="S38" i="6"/>
  <c r="S39" i="6" s="1"/>
  <c r="Q3" i="5" s="1"/>
  <c r="T8" i="3"/>
  <c r="T9" i="3" s="1"/>
  <c r="T20" i="3" s="1"/>
  <c r="X8" i="3"/>
  <c r="X9" i="3" s="1"/>
  <c r="X20" i="3" s="1"/>
  <c r="X22" i="3" s="1"/>
  <c r="X26" i="3" s="1"/>
  <c r="Y38" i="6"/>
  <c r="Y39" i="6" s="1"/>
  <c r="W3" i="5" s="1"/>
  <c r="AH7" i="3"/>
  <c r="U38" i="6"/>
  <c r="U39" i="6" s="1"/>
  <c r="S3" i="5" s="1"/>
  <c r="AD7" i="3"/>
  <c r="AD37" i="6"/>
  <c r="AE37" i="6"/>
  <c r="AF37" i="6"/>
  <c r="AG37" i="6"/>
  <c r="AH37" i="6"/>
  <c r="AI37" i="6"/>
  <c r="AJ37" i="6"/>
  <c r="AK37" i="6"/>
  <c r="AL37" i="6"/>
  <c r="AM37" i="6"/>
  <c r="AN37" i="6"/>
  <c r="AO37" i="6"/>
  <c r="U8" i="3"/>
  <c r="U9" i="3" s="1"/>
  <c r="U20" i="3" s="1"/>
  <c r="U22" i="3" s="1"/>
  <c r="U26" i="3" s="1"/>
  <c r="W8" i="3"/>
  <c r="W9" i="3" s="1"/>
  <c r="W20" i="3" s="1"/>
  <c r="W22" i="3" s="1"/>
  <c r="W26" i="3" s="1"/>
  <c r="V38" i="6"/>
  <c r="V39" i="6" s="1"/>
  <c r="T3" i="5" s="1"/>
  <c r="AE7" i="3"/>
  <c r="Z8" i="3"/>
  <c r="Z9" i="3" s="1"/>
  <c r="Z20" i="3" s="1"/>
  <c r="Z22" i="3" s="1"/>
  <c r="Z26" i="3" s="1"/>
  <c r="Y8" i="3"/>
  <c r="Y9" i="3" s="1"/>
  <c r="Y20" i="3" s="1"/>
  <c r="Y22" i="3" s="1"/>
  <c r="Y26" i="3" s="1"/>
  <c r="AK7" i="3"/>
  <c r="AB38" i="6"/>
  <c r="AB39" i="6" s="1"/>
  <c r="Z3" i="5" s="1"/>
  <c r="X38" i="6"/>
  <c r="X39" i="6" s="1"/>
  <c r="V3" i="5" s="1"/>
  <c r="AG7" i="3"/>
  <c r="T38" i="6"/>
  <c r="T39" i="6" s="1"/>
  <c r="R3" i="5" s="1"/>
  <c r="AC7" i="3"/>
  <c r="V8" i="3"/>
  <c r="V9" i="3" s="1"/>
  <c r="V20" i="3" s="1"/>
  <c r="V22" i="3" s="1"/>
  <c r="V26" i="3" s="1"/>
  <c r="I2" i="5"/>
  <c r="S8" i="3"/>
  <c r="S9" i="3" s="1"/>
  <c r="E5" i="8"/>
  <c r="O14" i="4" l="1"/>
  <c r="S20" i="3"/>
  <c r="H4" i="5" s="1"/>
  <c r="E7" i="8"/>
  <c r="E18" i="8" s="1"/>
  <c r="AL38" i="6"/>
  <c r="AL39" i="6" s="1"/>
  <c r="AJ3" i="5" s="1"/>
  <c r="AU7" i="3"/>
  <c r="AD38" i="6"/>
  <c r="AD39" i="6" s="1"/>
  <c r="AB3" i="5" s="1"/>
  <c r="AM7" i="3"/>
  <c r="AF8" i="3"/>
  <c r="AF9" i="3" s="1"/>
  <c r="AF20" i="3" s="1"/>
  <c r="AF22" i="3" s="1"/>
  <c r="AF26" i="3" s="1"/>
  <c r="AN38" i="6"/>
  <c r="AN39" i="6" s="1"/>
  <c r="AL3" i="5" s="1"/>
  <c r="AW7" i="3"/>
  <c r="AJ38" i="6"/>
  <c r="AJ39" i="6" s="1"/>
  <c r="AH3" i="5" s="1"/>
  <c r="AS7" i="3"/>
  <c r="AD8" i="3"/>
  <c r="AD9" i="3" s="1"/>
  <c r="AD20" i="3" s="1"/>
  <c r="I4" i="5"/>
  <c r="T22" i="3"/>
  <c r="T26" i="3" s="1"/>
  <c r="J4" i="5"/>
  <c r="J2" i="5"/>
  <c r="AC8" i="3"/>
  <c r="AC9" i="3" s="1"/>
  <c r="AC20" i="3" s="1"/>
  <c r="AC22" i="3" s="1"/>
  <c r="AC26" i="3" s="1"/>
  <c r="AE8" i="3"/>
  <c r="AE9" i="3" s="1"/>
  <c r="AE20" i="3" s="1"/>
  <c r="AE22" i="3" s="1"/>
  <c r="AE26" i="3" s="1"/>
  <c r="AM38" i="6"/>
  <c r="AM39" i="6" s="1"/>
  <c r="AK3" i="5" s="1"/>
  <c r="AV7" i="3"/>
  <c r="AV8" i="3" s="1"/>
  <c r="AV9" i="3" s="1"/>
  <c r="AV20" i="3" s="1"/>
  <c r="AV22" i="3" s="1"/>
  <c r="AV26" i="3" s="1"/>
  <c r="AI38" i="6"/>
  <c r="AI39" i="6" s="1"/>
  <c r="AG3" i="5" s="1"/>
  <c r="AR7" i="3"/>
  <c r="AE38" i="6"/>
  <c r="AE39" i="6" s="1"/>
  <c r="AC3" i="5" s="1"/>
  <c r="AN7" i="3"/>
  <c r="S2" i="5"/>
  <c r="N4" i="5"/>
  <c r="N2" i="5"/>
  <c r="AB8" i="3"/>
  <c r="AB9" i="3" s="1"/>
  <c r="AB20" i="3" s="1"/>
  <c r="AJ8" i="3"/>
  <c r="AJ9" i="3" s="1"/>
  <c r="AJ20" i="3" s="1"/>
  <c r="AJ22" i="3" s="1"/>
  <c r="AJ26" i="3" s="1"/>
  <c r="AA8" i="3"/>
  <c r="AA9" i="3" s="1"/>
  <c r="F5" i="8"/>
  <c r="AK8" i="3"/>
  <c r="AK9" i="3" s="1"/>
  <c r="AK20" i="3" s="1"/>
  <c r="AK22" i="3" s="1"/>
  <c r="AK26" i="3" s="1"/>
  <c r="M4" i="5"/>
  <c r="M2" i="5"/>
  <c r="AH38" i="6"/>
  <c r="AH39" i="6" s="1"/>
  <c r="AF3" i="5" s="1"/>
  <c r="AQ7" i="3"/>
  <c r="AH8" i="3"/>
  <c r="AH9" i="3" s="1"/>
  <c r="AH20" i="3" s="1"/>
  <c r="K4" i="5"/>
  <c r="K2" i="5"/>
  <c r="AL8" i="3"/>
  <c r="AL9" i="3" s="1"/>
  <c r="AL20" i="3" s="1"/>
  <c r="P2" i="5"/>
  <c r="AG8" i="3"/>
  <c r="AG9" i="3" s="1"/>
  <c r="AG20" i="3" s="1"/>
  <c r="AG22" i="3" s="1"/>
  <c r="AG26" i="3" s="1"/>
  <c r="AO38" i="6"/>
  <c r="AO39" i="6" s="1"/>
  <c r="AM3" i="5" s="1"/>
  <c r="AX7" i="3"/>
  <c r="AK38" i="6"/>
  <c r="AK39" i="6" s="1"/>
  <c r="AI3" i="5" s="1"/>
  <c r="AT7" i="3"/>
  <c r="AG38" i="6"/>
  <c r="AG39" i="6" s="1"/>
  <c r="AE3" i="5" s="1"/>
  <c r="AP7" i="3"/>
  <c r="AP37" i="6"/>
  <c r="AQ37" i="6"/>
  <c r="AR37" i="6"/>
  <c r="AS37" i="6"/>
  <c r="AT37" i="6"/>
  <c r="AU37" i="6"/>
  <c r="AV37" i="6"/>
  <c r="AW37" i="6"/>
  <c r="AX37" i="6"/>
  <c r="AY37" i="6"/>
  <c r="AZ37" i="6"/>
  <c r="BA37" i="6"/>
  <c r="W2" i="5"/>
  <c r="AI8" i="3"/>
  <c r="AI9" i="3" s="1"/>
  <c r="AI20" i="3" s="1"/>
  <c r="AI22" i="3" s="1"/>
  <c r="AI26" i="3" s="1"/>
  <c r="L4" i="5"/>
  <c r="L2" i="5"/>
  <c r="O4" i="5"/>
  <c r="O2" i="5"/>
  <c r="E6" i="8"/>
  <c r="H2" i="5"/>
  <c r="AO7" i="3"/>
  <c r="AF38" i="6"/>
  <c r="AF39" i="6" s="1"/>
  <c r="AD3" i="5" s="1"/>
  <c r="Q2" i="5"/>
  <c r="H30" i="4" l="1"/>
  <c r="K13" i="4"/>
  <c r="O15" i="4"/>
  <c r="S4" i="5"/>
  <c r="AD22" i="3"/>
  <c r="AD26" i="3" s="1"/>
  <c r="Z4" i="5"/>
  <c r="Z2" i="5"/>
  <c r="AW38" i="6"/>
  <c r="AW39" i="6" s="1"/>
  <c r="AU3" i="5" s="1"/>
  <c r="BF7" i="3"/>
  <c r="AO8" i="3"/>
  <c r="AO9" i="3" s="1"/>
  <c r="AO20" i="3" s="1"/>
  <c r="AO22" i="3" s="1"/>
  <c r="AO26" i="3" s="1"/>
  <c r="T4" i="5"/>
  <c r="T2" i="5"/>
  <c r="X4" i="5"/>
  <c r="X2" i="5"/>
  <c r="AA4" i="5"/>
  <c r="AA2" i="5"/>
  <c r="AY38" i="6"/>
  <c r="AY39" i="6" s="1"/>
  <c r="AW3" i="5" s="1"/>
  <c r="BH7" i="3"/>
  <c r="AU38" i="6"/>
  <c r="AU39" i="6" s="1"/>
  <c r="AS3" i="5" s="1"/>
  <c r="BD7" i="3"/>
  <c r="AQ38" i="6"/>
  <c r="AQ39" i="6" s="1"/>
  <c r="AO3" i="5" s="1"/>
  <c r="AZ7" i="3"/>
  <c r="AF2" i="5"/>
  <c r="AN8" i="3"/>
  <c r="AN9" i="3" s="1"/>
  <c r="AN20" i="3" s="1"/>
  <c r="AN22" i="3" s="1"/>
  <c r="AN26" i="3" s="1"/>
  <c r="AW8" i="3"/>
  <c r="AW9" i="3" s="1"/>
  <c r="AW20" i="3" s="1"/>
  <c r="AW22" i="3" s="1"/>
  <c r="AW26" i="3" s="1"/>
  <c r="AB2" i="5"/>
  <c r="R4" i="5"/>
  <c r="R2" i="5"/>
  <c r="AX38" i="6"/>
  <c r="AX39" i="6" s="1"/>
  <c r="AV3" i="5" s="1"/>
  <c r="BG7" i="3"/>
  <c r="AP38" i="6"/>
  <c r="AP39" i="6" s="1"/>
  <c r="AN3" i="5" s="1"/>
  <c r="AY7" i="3"/>
  <c r="AT8" i="3"/>
  <c r="AT9" i="3" s="1"/>
  <c r="AT20" i="3" s="1"/>
  <c r="AT22" i="3" s="1"/>
  <c r="AT26" i="3" s="1"/>
  <c r="AL22" i="3"/>
  <c r="AL26" i="3" s="1"/>
  <c r="AU8" i="3"/>
  <c r="AU9" i="3" s="1"/>
  <c r="AU20" i="3" s="1"/>
  <c r="BJ7" i="3"/>
  <c r="BA38" i="6"/>
  <c r="BA39" i="6" s="1"/>
  <c r="AY3" i="5" s="1"/>
  <c r="BB37" i="6"/>
  <c r="BC37" i="6"/>
  <c r="BD37" i="6"/>
  <c r="BE37" i="6"/>
  <c r="BF37" i="6"/>
  <c r="BG37" i="6"/>
  <c r="BH37" i="6"/>
  <c r="BI37" i="6"/>
  <c r="BJ37" i="6"/>
  <c r="BK37" i="6"/>
  <c r="BL37" i="6"/>
  <c r="BM37" i="6"/>
  <c r="Q4" i="5"/>
  <c r="AB22" i="3"/>
  <c r="AB26" i="3" s="1"/>
  <c r="AS8" i="3"/>
  <c r="AS9" i="3" s="1"/>
  <c r="AS20" i="3" s="1"/>
  <c r="V4" i="5"/>
  <c r="V2" i="5"/>
  <c r="AJ2" i="5"/>
  <c r="S22" i="3"/>
  <c r="AT38" i="6"/>
  <c r="AT39" i="6" s="1"/>
  <c r="AR3" i="5" s="1"/>
  <c r="BC7" i="3"/>
  <c r="W4" i="5"/>
  <c r="AH22" i="3"/>
  <c r="AH26" i="3" s="1"/>
  <c r="Y4" i="5"/>
  <c r="Y2" i="5"/>
  <c r="AS38" i="6"/>
  <c r="AS39" i="6" s="1"/>
  <c r="AQ3" i="5" s="1"/>
  <c r="BB7" i="3"/>
  <c r="AA20" i="3"/>
  <c r="F7" i="8"/>
  <c r="F18" i="8" s="1"/>
  <c r="AR8" i="3"/>
  <c r="AR9" i="3" s="1"/>
  <c r="AR20" i="3" s="1"/>
  <c r="AR22" i="3" s="1"/>
  <c r="AR26" i="3" s="1"/>
  <c r="U4" i="5"/>
  <c r="U2" i="5"/>
  <c r="AZ38" i="6"/>
  <c r="AZ39" i="6" s="1"/>
  <c r="AX3" i="5" s="1"/>
  <c r="BI7" i="3"/>
  <c r="AV38" i="6"/>
  <c r="AV39" i="6" s="1"/>
  <c r="AT3" i="5" s="1"/>
  <c r="BE7" i="3"/>
  <c r="AR38" i="6"/>
  <c r="AR39" i="6" s="1"/>
  <c r="AP3" i="5" s="1"/>
  <c r="BA7" i="3"/>
  <c r="AP8" i="3"/>
  <c r="AP9" i="3" s="1"/>
  <c r="AP20" i="3" s="1"/>
  <c r="AP22" i="3" s="1"/>
  <c r="AP26" i="3" s="1"/>
  <c r="AX8" i="3"/>
  <c r="AX9" i="3" s="1"/>
  <c r="AX20" i="3" s="1"/>
  <c r="AQ8" i="3"/>
  <c r="AQ9" i="3" s="1"/>
  <c r="AQ20" i="3" s="1"/>
  <c r="F6" i="8"/>
  <c r="AH2" i="5"/>
  <c r="AM8" i="3"/>
  <c r="G5" i="8"/>
  <c r="O16" i="4" l="1"/>
  <c r="AX22" i="3"/>
  <c r="AX26" i="3" s="1"/>
  <c r="G6" i="8"/>
  <c r="BA8" i="3"/>
  <c r="BA9" i="3" s="1"/>
  <c r="BA20" i="3" s="1"/>
  <c r="BA22" i="3" s="1"/>
  <c r="BA26" i="3" s="1"/>
  <c r="BB8" i="3"/>
  <c r="BB9" i="3" s="1"/>
  <c r="BB20" i="3" s="1"/>
  <c r="BB22" i="3" s="1"/>
  <c r="BB26" i="3" s="1"/>
  <c r="BL38" i="6"/>
  <c r="BL39" i="6" s="1"/>
  <c r="BJ3" i="5" s="1"/>
  <c r="BU7" i="3"/>
  <c r="BD38" i="6"/>
  <c r="BD39" i="6" s="1"/>
  <c r="BB3" i="5" s="1"/>
  <c r="BM7" i="3"/>
  <c r="AJ4" i="5"/>
  <c r="AU22" i="3"/>
  <c r="AU26" i="3" s="1"/>
  <c r="BF38" i="6"/>
  <c r="BF39" i="6" s="1"/>
  <c r="BD3" i="5" s="1"/>
  <c r="BO7" i="3"/>
  <c r="P4" i="5"/>
  <c r="AA22" i="3"/>
  <c r="S26" i="3"/>
  <c r="E20" i="8"/>
  <c r="E24" i="8" s="1"/>
  <c r="BV7" i="3"/>
  <c r="BM38" i="6"/>
  <c r="BM39" i="6" s="1"/>
  <c r="BK3" i="5" s="1"/>
  <c r="BR7" i="3"/>
  <c r="BI38" i="6"/>
  <c r="BI39" i="6" s="1"/>
  <c r="BG3" i="5" s="1"/>
  <c r="BE38" i="6"/>
  <c r="BE39" i="6" s="1"/>
  <c r="BC3" i="5" s="1"/>
  <c r="BN7" i="3"/>
  <c r="BN37" i="6"/>
  <c r="BO37" i="6"/>
  <c r="BP37" i="6"/>
  <c r="BQ37" i="6"/>
  <c r="BR37" i="6"/>
  <c r="BS37" i="6"/>
  <c r="BT37" i="6"/>
  <c r="BU37" i="6"/>
  <c r="BV37" i="6"/>
  <c r="BW37" i="6"/>
  <c r="BX37" i="6"/>
  <c r="BY37" i="6"/>
  <c r="AY8" i="3"/>
  <c r="H5" i="8"/>
  <c r="AM2" i="5"/>
  <c r="AM4" i="5"/>
  <c r="AZ8" i="3"/>
  <c r="AZ9" i="3" s="1"/>
  <c r="AZ20" i="3" s="1"/>
  <c r="AZ22" i="3" s="1"/>
  <c r="AZ26" i="3" s="1"/>
  <c r="BH8" i="3"/>
  <c r="BH9" i="3" s="1"/>
  <c r="BH20" i="3" s="1"/>
  <c r="BH22" i="3" s="1"/>
  <c r="BH26" i="3" s="1"/>
  <c r="BQ7" i="3"/>
  <c r="BH38" i="6"/>
  <c r="BH39" i="6" s="1"/>
  <c r="BF3" i="5" s="1"/>
  <c r="AN2" i="5"/>
  <c r="BF8" i="3"/>
  <c r="BF9" i="3" s="1"/>
  <c r="BF20" i="3" s="1"/>
  <c r="BF22" i="3" s="1"/>
  <c r="BF26" i="3" s="1"/>
  <c r="AM9" i="3"/>
  <c r="BK38" i="6"/>
  <c r="BK39" i="6" s="1"/>
  <c r="BI3" i="5" s="1"/>
  <c r="BT7" i="3"/>
  <c r="BG38" i="6"/>
  <c r="BG39" i="6" s="1"/>
  <c r="BE3" i="5" s="1"/>
  <c r="BP7" i="3"/>
  <c r="BC38" i="6"/>
  <c r="BC39" i="6" s="1"/>
  <c r="BA3" i="5" s="1"/>
  <c r="BL7" i="3"/>
  <c r="BJ8" i="3"/>
  <c r="BJ9" i="3" s="1"/>
  <c r="BJ20" i="3" s="1"/>
  <c r="AC4" i="5"/>
  <c r="AC2" i="5"/>
  <c r="BG8" i="3"/>
  <c r="BG9" i="3" s="1"/>
  <c r="BG20" i="3" s="1"/>
  <c r="BG22" i="3" s="1"/>
  <c r="BG26" i="3" s="1"/>
  <c r="BD8" i="3"/>
  <c r="BD9" i="3" s="1"/>
  <c r="BD20" i="3" s="1"/>
  <c r="AK4" i="5"/>
  <c r="AK2" i="5"/>
  <c r="BI8" i="3"/>
  <c r="BI9" i="3" s="1"/>
  <c r="BI20" i="3" s="1"/>
  <c r="BI22" i="3" s="1"/>
  <c r="BI26" i="3" s="1"/>
  <c r="BC8" i="3"/>
  <c r="BC9" i="3" s="1"/>
  <c r="BC20" i="3" s="1"/>
  <c r="BC22" i="3" s="1"/>
  <c r="BC26" i="3" s="1"/>
  <c r="AH4" i="5"/>
  <c r="AS22" i="3"/>
  <c r="AS26" i="3" s="1"/>
  <c r="AG4" i="5"/>
  <c r="AG2" i="5"/>
  <c r="AF4" i="5"/>
  <c r="AQ22" i="3"/>
  <c r="AQ26" i="3" s="1"/>
  <c r="BE8" i="3"/>
  <c r="BE9" i="3" s="1"/>
  <c r="BE20" i="3" s="1"/>
  <c r="BE22" i="3" s="1"/>
  <c r="BE26" i="3" s="1"/>
  <c r="BS7" i="3"/>
  <c r="BJ38" i="6"/>
  <c r="BJ39" i="6" s="1"/>
  <c r="BH3" i="5" s="1"/>
  <c r="BB38" i="6"/>
  <c r="BB39" i="6" s="1"/>
  <c r="AZ3" i="5" s="1"/>
  <c r="BK7" i="3"/>
  <c r="AD4" i="5"/>
  <c r="AD2" i="5"/>
  <c r="AL4" i="5"/>
  <c r="AL2" i="5"/>
  <c r="AE4" i="5"/>
  <c r="AE2" i="5"/>
  <c r="AS2" i="5"/>
  <c r="AI4" i="5"/>
  <c r="AI2" i="5"/>
  <c r="O17" i="4" l="1"/>
  <c r="BT8" i="3"/>
  <c r="BT9" i="3" s="1"/>
  <c r="BT20" i="3" s="1"/>
  <c r="BT22" i="3" s="1"/>
  <c r="BT26" i="3" s="1"/>
  <c r="AR4" i="5"/>
  <c r="AR2" i="5"/>
  <c r="AM20" i="3"/>
  <c r="G7" i="8"/>
  <c r="G18" i="8" s="1"/>
  <c r="AO4" i="5"/>
  <c r="AO2" i="5"/>
  <c r="H6" i="8"/>
  <c r="BR38" i="6"/>
  <c r="BR39" i="6" s="1"/>
  <c r="BP3" i="5" s="1"/>
  <c r="CA7" i="3"/>
  <c r="BM8" i="3"/>
  <c r="BM9" i="3" s="1"/>
  <c r="BM20" i="3" s="1"/>
  <c r="AZ2" i="5"/>
  <c r="AU4" i="5"/>
  <c r="AU2" i="5"/>
  <c r="BE2" i="5"/>
  <c r="BQ8" i="3"/>
  <c r="BQ9" i="3" s="1"/>
  <c r="BQ20" i="3" s="1"/>
  <c r="BQ22" i="3" s="1"/>
  <c r="BQ26" i="3" s="1"/>
  <c r="AY9" i="3"/>
  <c r="BW38" i="6"/>
  <c r="BW39" i="6" s="1"/>
  <c r="BU3" i="5" s="1"/>
  <c r="CF7" i="3"/>
  <c r="CF8" i="3" s="1"/>
  <c r="CF9" i="3" s="1"/>
  <c r="CF20" i="3" s="1"/>
  <c r="CF22" i="3" s="1"/>
  <c r="CF26" i="3" s="1"/>
  <c r="BS38" i="6"/>
  <c r="BS39" i="6" s="1"/>
  <c r="BQ3" i="5" s="1"/>
  <c r="CB7" i="3"/>
  <c r="BO38" i="6"/>
  <c r="BO39" i="6" s="1"/>
  <c r="BM3" i="5" s="1"/>
  <c r="BX7" i="3"/>
  <c r="BV8" i="3"/>
  <c r="BV9" i="3" s="1"/>
  <c r="BV20" i="3" s="1"/>
  <c r="AA26" i="3"/>
  <c r="F20" i="8"/>
  <c r="F24" i="8" s="1"/>
  <c r="BS8" i="3"/>
  <c r="BS9" i="3" s="1"/>
  <c r="BS20" i="3" s="1"/>
  <c r="BS22" i="3" s="1"/>
  <c r="BS26" i="3" s="1"/>
  <c r="AX4" i="5"/>
  <c r="AX2" i="5"/>
  <c r="AW4" i="5"/>
  <c r="AW2" i="5"/>
  <c r="AY4" i="5"/>
  <c r="AY2" i="5"/>
  <c r="BY38" i="6"/>
  <c r="BY39" i="6" s="1"/>
  <c r="BW3" i="5" s="1"/>
  <c r="CH7" i="3"/>
  <c r="BU38" i="6"/>
  <c r="BU39" i="6" s="1"/>
  <c r="BS3" i="5" s="1"/>
  <c r="CD7" i="3"/>
  <c r="BQ38" i="6"/>
  <c r="BQ39" i="6" s="1"/>
  <c r="BO3" i="5" s="1"/>
  <c r="BZ7" i="3"/>
  <c r="BZ37" i="6"/>
  <c r="CA37" i="6"/>
  <c r="CB37" i="6"/>
  <c r="CC37" i="6"/>
  <c r="CD37" i="6"/>
  <c r="CE37" i="6"/>
  <c r="CF37" i="6"/>
  <c r="CG37" i="6"/>
  <c r="CH37" i="6"/>
  <c r="CI37" i="6"/>
  <c r="CJ37" i="6"/>
  <c r="CK37" i="6"/>
  <c r="BR8" i="3"/>
  <c r="BR9" i="3" s="1"/>
  <c r="BR20" i="3" s="1"/>
  <c r="BR22" i="3" s="1"/>
  <c r="BR26" i="3" s="1"/>
  <c r="E34" i="8"/>
  <c r="BO8" i="3"/>
  <c r="BO9" i="3" s="1"/>
  <c r="BO20" i="3" s="1"/>
  <c r="BO22" i="3" s="1"/>
  <c r="BO26" i="3" s="1"/>
  <c r="BB2" i="5"/>
  <c r="AV4" i="5"/>
  <c r="AV2" i="5"/>
  <c r="AS4" i="5"/>
  <c r="BD22" i="3"/>
  <c r="BD26" i="3" s="1"/>
  <c r="BL8" i="3"/>
  <c r="BL9" i="3" s="1"/>
  <c r="BL20" i="3" s="1"/>
  <c r="BL22" i="3" s="1"/>
  <c r="BL26" i="3" s="1"/>
  <c r="BV38" i="6"/>
  <c r="BV39" i="6" s="1"/>
  <c r="BT3" i="5" s="1"/>
  <c r="CE7" i="3"/>
  <c r="BN38" i="6"/>
  <c r="BN39" i="6" s="1"/>
  <c r="BL3" i="5" s="1"/>
  <c r="BW7" i="3"/>
  <c r="BK8" i="3"/>
  <c r="I5" i="8"/>
  <c r="BJ22" i="3"/>
  <c r="BP8" i="3"/>
  <c r="BP9" i="3" s="1"/>
  <c r="BP20" i="3" s="1"/>
  <c r="AQ4" i="5"/>
  <c r="AQ2" i="5"/>
  <c r="AP4" i="5"/>
  <c r="AP2" i="5"/>
  <c r="BX38" i="6"/>
  <c r="BX39" i="6" s="1"/>
  <c r="BV3" i="5" s="1"/>
  <c r="CG7" i="3"/>
  <c r="CG8" i="3" s="1"/>
  <c r="CG9" i="3" s="1"/>
  <c r="CG20" i="3" s="1"/>
  <c r="CG22" i="3" s="1"/>
  <c r="CG26" i="3" s="1"/>
  <c r="BT38" i="6"/>
  <c r="BT39" i="6" s="1"/>
  <c r="BR3" i="5" s="1"/>
  <c r="CC7" i="3"/>
  <c r="BP38" i="6"/>
  <c r="BP39" i="6" s="1"/>
  <c r="BN3" i="5" s="1"/>
  <c r="BY7" i="3"/>
  <c r="BN8" i="3"/>
  <c r="BN9" i="3" s="1"/>
  <c r="BN20" i="3" s="1"/>
  <c r="BN22" i="3" s="1"/>
  <c r="BN26" i="3" s="1"/>
  <c r="AT4" i="5"/>
  <c r="AT2" i="5"/>
  <c r="BU8" i="3"/>
  <c r="BU9" i="3" s="1"/>
  <c r="BU20" i="3" s="1"/>
  <c r="BU22" i="3" s="1"/>
  <c r="BU26" i="3" s="1"/>
  <c r="O18" i="4" l="1"/>
  <c r="I6" i="8"/>
  <c r="BB4" i="5"/>
  <c r="BM22" i="3"/>
  <c r="BM26" i="3" s="1"/>
  <c r="BH2" i="5"/>
  <c r="BH4" i="5"/>
  <c r="CK38" i="6"/>
  <c r="CK39" i="6" s="1"/>
  <c r="CI3" i="5" s="1"/>
  <c r="CT7" i="3"/>
  <c r="CL37" i="6"/>
  <c r="CM37" i="6"/>
  <c r="CN37" i="6"/>
  <c r="CO37" i="6"/>
  <c r="CP37" i="6"/>
  <c r="CQ37" i="6"/>
  <c r="CR37" i="6"/>
  <c r="CS37" i="6"/>
  <c r="CT37" i="6"/>
  <c r="CU37" i="6"/>
  <c r="CV37" i="6"/>
  <c r="CW37" i="6"/>
  <c r="BW8" i="3"/>
  <c r="BW9" i="3" s="1"/>
  <c r="J5" i="8"/>
  <c r="BK4" i="5"/>
  <c r="BK2" i="5"/>
  <c r="BY8" i="3"/>
  <c r="BY9" i="3" s="1"/>
  <c r="BY20" i="3" s="1"/>
  <c r="BY22" i="3" s="1"/>
  <c r="BY26" i="3" s="1"/>
  <c r="BJ26" i="3"/>
  <c r="BK9" i="3"/>
  <c r="BL2" i="5"/>
  <c r="CH38" i="6"/>
  <c r="CH39" i="6" s="1"/>
  <c r="CF3" i="5" s="1"/>
  <c r="CQ7" i="3"/>
  <c r="CQ8" i="3" s="1"/>
  <c r="CQ9" i="3" s="1"/>
  <c r="CQ20" i="3" s="1"/>
  <c r="CQ22" i="3" s="1"/>
  <c r="CQ26" i="3" s="1"/>
  <c r="CD38" i="6"/>
  <c r="CD39" i="6" s="1"/>
  <c r="CB3" i="5" s="1"/>
  <c r="CM7" i="3"/>
  <c r="CM8" i="3" s="1"/>
  <c r="CM9" i="3" s="1"/>
  <c r="CM20" i="3" s="1"/>
  <c r="CM22" i="3" s="1"/>
  <c r="CM26" i="3" s="1"/>
  <c r="BZ38" i="6"/>
  <c r="BZ39" i="6" s="1"/>
  <c r="BX3" i="5" s="1"/>
  <c r="CI7" i="3"/>
  <c r="CD8" i="3"/>
  <c r="CD9" i="3" s="1"/>
  <c r="CD20" i="3" s="1"/>
  <c r="CD22" i="3" s="1"/>
  <c r="CD26" i="3" s="1"/>
  <c r="BA4" i="5"/>
  <c r="BA2" i="5"/>
  <c r="BC4" i="5"/>
  <c r="BC2" i="5"/>
  <c r="AB4" i="5"/>
  <c r="AM22" i="3"/>
  <c r="CE8" i="3"/>
  <c r="CE9" i="3" s="1"/>
  <c r="CE20" i="3" s="1"/>
  <c r="CE22" i="3" s="1"/>
  <c r="CE26" i="3" s="1"/>
  <c r="CG38" i="6"/>
  <c r="CG39" i="6" s="1"/>
  <c r="CE3" i="5" s="1"/>
  <c r="CP7" i="3"/>
  <c r="CC8" i="3"/>
  <c r="CC9" i="3" s="1"/>
  <c r="CC20" i="3" s="1"/>
  <c r="BE4" i="5"/>
  <c r="BP22" i="3"/>
  <c r="BP26" i="3" s="1"/>
  <c r="CJ38" i="6"/>
  <c r="CJ39" i="6" s="1"/>
  <c r="CH3" i="5" s="1"/>
  <c r="CS7" i="3"/>
  <c r="CS8" i="3" s="1"/>
  <c r="CS9" i="3" s="1"/>
  <c r="CS20" i="3" s="1"/>
  <c r="CS22" i="3" s="1"/>
  <c r="CS26" i="3" s="1"/>
  <c r="CF38" i="6"/>
  <c r="CF39" i="6" s="1"/>
  <c r="CD3" i="5" s="1"/>
  <c r="CO7" i="3"/>
  <c r="CB38" i="6"/>
  <c r="CB39" i="6" s="1"/>
  <c r="BZ3" i="5" s="1"/>
  <c r="CK7" i="3"/>
  <c r="BZ8" i="3"/>
  <c r="BZ9" i="3" s="1"/>
  <c r="BZ20" i="3" s="1"/>
  <c r="BZ22" i="3" s="1"/>
  <c r="BZ26" i="3" s="1"/>
  <c r="CH8" i="3"/>
  <c r="CH9" i="3" s="1"/>
  <c r="CH20" i="3" s="1"/>
  <c r="CA8" i="3"/>
  <c r="CA9" i="3" s="1"/>
  <c r="CA20" i="3" s="1"/>
  <c r="CC38" i="6"/>
  <c r="CC39" i="6" s="1"/>
  <c r="CA3" i="5" s="1"/>
  <c r="CL7" i="3"/>
  <c r="CL8" i="3" s="1"/>
  <c r="CL9" i="3" s="1"/>
  <c r="CL20" i="3" s="1"/>
  <c r="CL22" i="3" s="1"/>
  <c r="CL26" i="3" s="1"/>
  <c r="BJ4" i="5"/>
  <c r="BJ2" i="5"/>
  <c r="BV22" i="3"/>
  <c r="BV26" i="3" s="1"/>
  <c r="BX8" i="3"/>
  <c r="BX9" i="3" s="1"/>
  <c r="BX20" i="3" s="1"/>
  <c r="BX22" i="3" s="1"/>
  <c r="BX26" i="3" s="1"/>
  <c r="BF4" i="5"/>
  <c r="BF2" i="5"/>
  <c r="BG4" i="5"/>
  <c r="BG2" i="5"/>
  <c r="BD4" i="5"/>
  <c r="BD2" i="5"/>
  <c r="BR2" i="5"/>
  <c r="CI38" i="6"/>
  <c r="CI39" i="6" s="1"/>
  <c r="CG3" i="5" s="1"/>
  <c r="CR7" i="3"/>
  <c r="CR8" i="3" s="1"/>
  <c r="CR9" i="3" s="1"/>
  <c r="CR20" i="3" s="1"/>
  <c r="CR22" i="3" s="1"/>
  <c r="CR26" i="3" s="1"/>
  <c r="CE38" i="6"/>
  <c r="CE39" i="6" s="1"/>
  <c r="CC3" i="5" s="1"/>
  <c r="CN7" i="3"/>
  <c r="CA38" i="6"/>
  <c r="CA39" i="6" s="1"/>
  <c r="BY3" i="5" s="1"/>
  <c r="CJ7" i="3"/>
  <c r="BI4" i="5"/>
  <c r="BI2" i="5"/>
  <c r="F34" i="8"/>
  <c r="CB8" i="3"/>
  <c r="CB9" i="3" s="1"/>
  <c r="CB20" i="3" s="1"/>
  <c r="CB22" i="3" s="1"/>
  <c r="CB26" i="3" s="1"/>
  <c r="AY20" i="3"/>
  <c r="H7" i="8"/>
  <c r="H18" i="8" s="1"/>
  <c r="BP2" i="5"/>
  <c r="O19" i="4" l="1"/>
  <c r="CH22" i="3"/>
  <c r="CH26" i="3" s="1"/>
  <c r="BP4" i="5"/>
  <c r="CA22" i="3"/>
  <c r="CA26" i="3" s="1"/>
  <c r="BO4" i="5"/>
  <c r="BO2" i="5"/>
  <c r="BR4" i="5"/>
  <c r="CC22" i="3"/>
  <c r="CC26" i="3" s="1"/>
  <c r="CO38" i="6"/>
  <c r="CO39" i="6" s="1"/>
  <c r="CM3" i="5" s="1"/>
  <c r="CX7" i="3"/>
  <c r="CX8" i="3" s="1"/>
  <c r="CX9" i="3" s="1"/>
  <c r="CX20" i="3" s="1"/>
  <c r="CX22" i="3" s="1"/>
  <c r="CX26" i="3" s="1"/>
  <c r="AN4" i="5"/>
  <c r="AY22" i="3"/>
  <c r="CJ8" i="3"/>
  <c r="CJ9" i="3" s="1"/>
  <c r="CJ20" i="3" s="1"/>
  <c r="CJ22" i="3" s="1"/>
  <c r="CJ26" i="3" s="1"/>
  <c r="CK8" i="3"/>
  <c r="CK9" i="3" s="1"/>
  <c r="CK20" i="3" s="1"/>
  <c r="CP8" i="3"/>
  <c r="CP9" i="3" s="1"/>
  <c r="CP20" i="3" s="1"/>
  <c r="CP22" i="3" s="1"/>
  <c r="CP26" i="3" s="1"/>
  <c r="BV4" i="5"/>
  <c r="BV2" i="5"/>
  <c r="AM26" i="3"/>
  <c r="G20" i="8"/>
  <c r="G24" i="8" s="1"/>
  <c r="CI8" i="3"/>
  <c r="CI9" i="3" s="1"/>
  <c r="K5" i="8"/>
  <c r="BK20" i="3"/>
  <c r="I7" i="8"/>
  <c r="I18" i="8" s="1"/>
  <c r="CV38" i="6"/>
  <c r="CV39" i="6" s="1"/>
  <c r="CT3" i="5" s="1"/>
  <c r="DE7" i="3"/>
  <c r="CR38" i="6"/>
  <c r="CR39" i="6" s="1"/>
  <c r="CP3" i="5" s="1"/>
  <c r="DA7" i="3"/>
  <c r="CN38" i="6"/>
  <c r="CN39" i="6" s="1"/>
  <c r="CL3" i="5" s="1"/>
  <c r="CW7" i="3"/>
  <c r="CT8" i="3"/>
  <c r="CT9" i="3" s="1"/>
  <c r="CT20" i="3" s="1"/>
  <c r="CW38" i="6"/>
  <c r="CW39" i="6" s="1"/>
  <c r="CU3" i="5" s="1"/>
  <c r="DF7" i="3"/>
  <c r="CX37" i="6"/>
  <c r="CY37" i="6"/>
  <c r="CZ37" i="6"/>
  <c r="DA37" i="6"/>
  <c r="DB37" i="6"/>
  <c r="DC37" i="6"/>
  <c r="DD37" i="6"/>
  <c r="DE37" i="6"/>
  <c r="DF37" i="6"/>
  <c r="DG37" i="6"/>
  <c r="DH37" i="6"/>
  <c r="DI37" i="6"/>
  <c r="BW4" i="5"/>
  <c r="BW2" i="5"/>
  <c r="BS4" i="5"/>
  <c r="BS2" i="5"/>
  <c r="BU4" i="5"/>
  <c r="BU2" i="5"/>
  <c r="CC2" i="5"/>
  <c r="BM4" i="5"/>
  <c r="BM2" i="5"/>
  <c r="BT4" i="5"/>
  <c r="BT2" i="5"/>
  <c r="CS38" i="6"/>
  <c r="CS39" i="6" s="1"/>
  <c r="CQ3" i="5" s="1"/>
  <c r="DB7" i="3"/>
  <c r="BZ2" i="5"/>
  <c r="BX2" i="5"/>
  <c r="BW20" i="3"/>
  <c r="J7" i="8"/>
  <c r="J18" i="8" s="1"/>
  <c r="CU38" i="6"/>
  <c r="CU39" i="6" s="1"/>
  <c r="CS3" i="5" s="1"/>
  <c r="DD7" i="3"/>
  <c r="CQ38" i="6"/>
  <c r="CQ39" i="6" s="1"/>
  <c r="CO3" i="5" s="1"/>
  <c r="CZ7" i="3"/>
  <c r="CZ8" i="3" s="1"/>
  <c r="CZ9" i="3" s="1"/>
  <c r="CZ20" i="3" s="1"/>
  <c r="CZ22" i="3" s="1"/>
  <c r="CZ26" i="3" s="1"/>
  <c r="CM38" i="6"/>
  <c r="CM39" i="6" s="1"/>
  <c r="CK3" i="5" s="1"/>
  <c r="CV7" i="3"/>
  <c r="CN8" i="3"/>
  <c r="CN9" i="3" s="1"/>
  <c r="CN20" i="3" s="1"/>
  <c r="CO8" i="3"/>
  <c r="CO9" i="3" s="1"/>
  <c r="CO20" i="3" s="1"/>
  <c r="CO22" i="3" s="1"/>
  <c r="CO26" i="3" s="1"/>
  <c r="BN4" i="5"/>
  <c r="BN2" i="5"/>
  <c r="BQ4" i="5"/>
  <c r="BQ2" i="5"/>
  <c r="J6" i="8"/>
  <c r="CT38" i="6"/>
  <c r="CT39" i="6" s="1"/>
  <c r="CR3" i="5" s="1"/>
  <c r="DC7" i="3"/>
  <c r="CP38" i="6"/>
  <c r="CP39" i="6" s="1"/>
  <c r="CN3" i="5" s="1"/>
  <c r="CY7" i="3"/>
  <c r="CL38" i="6"/>
  <c r="CL39" i="6" s="1"/>
  <c r="CJ3" i="5" s="1"/>
  <c r="CU7" i="3"/>
  <c r="O20" i="4" l="1"/>
  <c r="BZ4" i="5"/>
  <c r="CK22" i="3"/>
  <c r="CK26" i="3" s="1"/>
  <c r="CU8" i="3"/>
  <c r="L5" i="8"/>
  <c r="CC4" i="5"/>
  <c r="CN22" i="3"/>
  <c r="CN26" i="3" s="1"/>
  <c r="CY38" i="6"/>
  <c r="CY39" i="6" s="1"/>
  <c r="CW3" i="5" s="1"/>
  <c r="DH7" i="3"/>
  <c r="DH8" i="3" s="1"/>
  <c r="DH9" i="3" s="1"/>
  <c r="DH20" i="3" s="1"/>
  <c r="DH22" i="3" s="1"/>
  <c r="DH26" i="3" s="1"/>
  <c r="CN2" i="5"/>
  <c r="CI2" i="5"/>
  <c r="CI4" i="5"/>
  <c r="CF4" i="5"/>
  <c r="CF2" i="5"/>
  <c r="DB8" i="3"/>
  <c r="DB9" i="3" s="1"/>
  <c r="DB20" i="3" s="1"/>
  <c r="CH4" i="5"/>
  <c r="CH2" i="5"/>
  <c r="BY4" i="5"/>
  <c r="BY2" i="5"/>
  <c r="DH38" i="6"/>
  <c r="DH39" i="6" s="1"/>
  <c r="DF3" i="5" s="1"/>
  <c r="DQ7" i="3"/>
  <c r="DQ8" i="3" s="1"/>
  <c r="DQ9" i="3" s="1"/>
  <c r="DQ20" i="3" s="1"/>
  <c r="DQ22" i="3" s="1"/>
  <c r="DQ26" i="3" s="1"/>
  <c r="DD38" i="6"/>
  <c r="DD39" i="6" s="1"/>
  <c r="DB3" i="5" s="1"/>
  <c r="DM7" i="3"/>
  <c r="CZ38" i="6"/>
  <c r="CZ39" i="6" s="1"/>
  <c r="CX3" i="5" s="1"/>
  <c r="DI7" i="3"/>
  <c r="DF8" i="3"/>
  <c r="DF9" i="3" s="1"/>
  <c r="DF20" i="3" s="1"/>
  <c r="CW8" i="3"/>
  <c r="CW9" i="3" s="1"/>
  <c r="CW20" i="3" s="1"/>
  <c r="DE8" i="3"/>
  <c r="DE9" i="3" s="1"/>
  <c r="DE20" i="3" s="1"/>
  <c r="BL4" i="5"/>
  <c r="BW22" i="3"/>
  <c r="DG38" i="6"/>
  <c r="DG39" i="6" s="1"/>
  <c r="DE3" i="5" s="1"/>
  <c r="DP7" i="3"/>
  <c r="CJ2" i="5"/>
  <c r="CR2" i="5"/>
  <c r="CV8" i="3"/>
  <c r="CV9" i="3" s="1"/>
  <c r="CV20" i="3" s="1"/>
  <c r="CV22" i="3" s="1"/>
  <c r="CV26" i="3" s="1"/>
  <c r="DD8" i="3"/>
  <c r="DD9" i="3" s="1"/>
  <c r="DD20" i="3" s="1"/>
  <c r="DD22" i="3" s="1"/>
  <c r="DD26" i="3" s="1"/>
  <c r="CD4" i="5"/>
  <c r="CD2" i="5"/>
  <c r="CA4" i="5"/>
  <c r="CA2" i="5"/>
  <c r="CG4" i="5"/>
  <c r="CG2" i="5"/>
  <c r="DF38" i="6"/>
  <c r="DF39" i="6" s="1"/>
  <c r="DD3" i="5" s="1"/>
  <c r="DO7" i="3"/>
  <c r="DB38" i="6"/>
  <c r="DB39" i="6" s="1"/>
  <c r="CZ3" i="5" s="1"/>
  <c r="DK7" i="3"/>
  <c r="CX38" i="6"/>
  <c r="CX39" i="6" s="1"/>
  <c r="CV3" i="5" s="1"/>
  <c r="DG7" i="3"/>
  <c r="CT22" i="3"/>
  <c r="CT26" i="3" s="1"/>
  <c r="DA8" i="3"/>
  <c r="DA9" i="3" s="1"/>
  <c r="DA20" i="3" s="1"/>
  <c r="CI20" i="3"/>
  <c r="K7" i="8"/>
  <c r="K18" i="8" s="1"/>
  <c r="AY26" i="3"/>
  <c r="H20" i="8"/>
  <c r="H24" i="8" s="1"/>
  <c r="DC8" i="3"/>
  <c r="DC9" i="3" s="1"/>
  <c r="DC20" i="3" s="1"/>
  <c r="CE2" i="5"/>
  <c r="CE4" i="5"/>
  <c r="DC38" i="6"/>
  <c r="DC39" i="6" s="1"/>
  <c r="DA3" i="5" s="1"/>
  <c r="DL7" i="3"/>
  <c r="DL8" i="3" s="1"/>
  <c r="DL9" i="3" s="1"/>
  <c r="DL20" i="3" s="1"/>
  <c r="DL22" i="3" s="1"/>
  <c r="DL26" i="3" s="1"/>
  <c r="CL2" i="5"/>
  <c r="G34" i="8"/>
  <c r="CY8" i="3"/>
  <c r="CY9" i="3" s="1"/>
  <c r="CY20" i="3" s="1"/>
  <c r="CB2" i="5"/>
  <c r="CB4" i="5"/>
  <c r="DI38" i="6"/>
  <c r="DI39" i="6" s="1"/>
  <c r="DG3" i="5" s="1"/>
  <c r="DR7" i="3"/>
  <c r="DE38" i="6"/>
  <c r="DE39" i="6" s="1"/>
  <c r="DC3" i="5" s="1"/>
  <c r="DN7" i="3"/>
  <c r="DA38" i="6"/>
  <c r="DA39" i="6" s="1"/>
  <c r="CY3" i="5" s="1"/>
  <c r="DJ7" i="3"/>
  <c r="DJ37" i="6"/>
  <c r="DK37" i="6"/>
  <c r="DL37" i="6"/>
  <c r="DM37" i="6"/>
  <c r="DN37" i="6"/>
  <c r="DO37" i="6"/>
  <c r="DP37" i="6"/>
  <c r="DQ37" i="6"/>
  <c r="DR37" i="6"/>
  <c r="DS37" i="6"/>
  <c r="DT37" i="6"/>
  <c r="DU37" i="6"/>
  <c r="CP2" i="5"/>
  <c r="AZ4" i="5"/>
  <c r="BK22" i="3"/>
  <c r="K6" i="8"/>
  <c r="O21" i="4" l="1"/>
  <c r="CL4" i="5"/>
  <c r="CW22" i="3"/>
  <c r="CW26" i="3" s="1"/>
  <c r="CR4" i="5"/>
  <c r="DC22" i="3"/>
  <c r="DC26" i="3" s="1"/>
  <c r="CP4" i="5"/>
  <c r="DA22" i="3"/>
  <c r="DA26" i="3" s="1"/>
  <c r="BK26" i="3"/>
  <c r="I20" i="8"/>
  <c r="I24" i="8" s="1"/>
  <c r="DU38" i="6"/>
  <c r="DU39" i="6" s="1"/>
  <c r="DS3" i="5" s="1"/>
  <c r="ED7" i="3"/>
  <c r="DQ38" i="6"/>
  <c r="DQ39" i="6" s="1"/>
  <c r="DO3" i="5" s="1"/>
  <c r="DZ7" i="3"/>
  <c r="DM38" i="6"/>
  <c r="DM39" i="6" s="1"/>
  <c r="DK3" i="5" s="1"/>
  <c r="DV7" i="3"/>
  <c r="DC2" i="5"/>
  <c r="CZ2" i="5"/>
  <c r="CX2" i="5"/>
  <c r="L6" i="8"/>
  <c r="DG8" i="3"/>
  <c r="M5" i="8"/>
  <c r="DO8" i="3"/>
  <c r="DO9" i="3" s="1"/>
  <c r="DO20" i="3" s="1"/>
  <c r="CM4" i="5"/>
  <c r="CM2" i="5"/>
  <c r="DE22" i="3"/>
  <c r="DE26" i="3" s="1"/>
  <c r="DM8" i="3"/>
  <c r="DM9" i="3" s="1"/>
  <c r="DM20" i="3" s="1"/>
  <c r="DM22" i="3" s="1"/>
  <c r="DM26" i="3" s="1"/>
  <c r="DS38" i="6"/>
  <c r="DS39" i="6" s="1"/>
  <c r="DQ3" i="5" s="1"/>
  <c r="EB7" i="3"/>
  <c r="DK38" i="6"/>
  <c r="DK39" i="6" s="1"/>
  <c r="DI3" i="5" s="1"/>
  <c r="DT7" i="3"/>
  <c r="CS4" i="5"/>
  <c r="CS2" i="5"/>
  <c r="CT2" i="5"/>
  <c r="CT4" i="5"/>
  <c r="CU4" i="5"/>
  <c r="CU2" i="5"/>
  <c r="H34" i="8"/>
  <c r="BX4" i="5"/>
  <c r="CI22" i="3"/>
  <c r="CI26" i="3" s="1"/>
  <c r="CV2" i="5"/>
  <c r="DT38" i="6"/>
  <c r="DT39" i="6" s="1"/>
  <c r="DR3" i="5" s="1"/>
  <c r="EC7" i="3"/>
  <c r="DP38" i="6"/>
  <c r="DP39" i="6" s="1"/>
  <c r="DN3" i="5" s="1"/>
  <c r="DY7" i="3"/>
  <c r="DL38" i="6"/>
  <c r="DL39" i="6" s="1"/>
  <c r="DJ3" i="5" s="1"/>
  <c r="DU7" i="3"/>
  <c r="DJ8" i="3"/>
  <c r="DJ9" i="3" s="1"/>
  <c r="DJ20" i="3" s="1"/>
  <c r="DR8" i="3"/>
  <c r="DR9" i="3" s="1"/>
  <c r="DR20" i="3" s="1"/>
  <c r="DR22" i="3" s="1"/>
  <c r="DR26" i="3" s="1"/>
  <c r="CN4" i="5"/>
  <c r="CY22" i="3"/>
  <c r="CY26" i="3" s="1"/>
  <c r="CO4" i="5"/>
  <c r="CO2" i="5"/>
  <c r="BW26" i="3"/>
  <c r="J20" i="8"/>
  <c r="J24" i="8" s="1"/>
  <c r="DF22" i="3"/>
  <c r="DF26" i="3" s="1"/>
  <c r="DB22" i="3"/>
  <c r="DB26" i="3" s="1"/>
  <c r="DO38" i="6"/>
  <c r="DO39" i="6" s="1"/>
  <c r="DM3" i="5" s="1"/>
  <c r="DX7" i="3"/>
  <c r="DR38" i="6"/>
  <c r="DR39" i="6" s="1"/>
  <c r="DP3" i="5" s="1"/>
  <c r="EA7" i="3"/>
  <c r="DN38" i="6"/>
  <c r="DN39" i="6" s="1"/>
  <c r="DL3" i="5" s="1"/>
  <c r="DW7" i="3"/>
  <c r="DJ38" i="6"/>
  <c r="DJ39" i="6" s="1"/>
  <c r="DH3" i="5" s="1"/>
  <c r="DS7" i="3"/>
  <c r="DN8" i="3"/>
  <c r="DN9" i="3" s="1"/>
  <c r="DN20" i="3" s="1"/>
  <c r="CK4" i="5"/>
  <c r="CK2" i="5"/>
  <c r="DK8" i="3"/>
  <c r="DK9" i="3" s="1"/>
  <c r="DK20" i="3" s="1"/>
  <c r="DP8" i="3"/>
  <c r="DP9" i="3" s="1"/>
  <c r="DP20" i="3" s="1"/>
  <c r="DP22" i="3" s="1"/>
  <c r="DP26" i="3" s="1"/>
  <c r="DI8" i="3"/>
  <c r="DI9" i="3" s="1"/>
  <c r="DI20" i="3" s="1"/>
  <c r="CQ4" i="5"/>
  <c r="CQ2" i="5"/>
  <c r="CU9" i="3"/>
  <c r="H25" i="8" l="1"/>
  <c r="H28" i="8" s="1"/>
  <c r="H29" i="8" s="1"/>
  <c r="K20" i="8"/>
  <c r="K24" i="8" s="1"/>
  <c r="K34" i="8" s="1"/>
  <c r="CZ4" i="5"/>
  <c r="DK22" i="3"/>
  <c r="DK26" i="3" s="1"/>
  <c r="DC4" i="5"/>
  <c r="DN22" i="3"/>
  <c r="DN26" i="3" s="1"/>
  <c r="DJ22" i="3"/>
  <c r="DJ26" i="3" s="1"/>
  <c r="CX4" i="5"/>
  <c r="DI22" i="3"/>
  <c r="DI26" i="3" s="1"/>
  <c r="DW8" i="3"/>
  <c r="DW9" i="3" s="1"/>
  <c r="DW20" i="3" s="1"/>
  <c r="DX8" i="3"/>
  <c r="DX9" i="3" s="1"/>
  <c r="DX20" i="3" s="1"/>
  <c r="DX22" i="3" s="1"/>
  <c r="DX26" i="3" s="1"/>
  <c r="M6" i="8"/>
  <c r="DS8" i="3"/>
  <c r="DS9" i="3" s="1"/>
  <c r="N5" i="8"/>
  <c r="EA8" i="3"/>
  <c r="EA9" i="3" s="1"/>
  <c r="EA20" i="3" s="1"/>
  <c r="DJ2" i="5"/>
  <c r="DD4" i="5"/>
  <c r="DD2" i="5"/>
  <c r="DT8" i="3"/>
  <c r="DT9" i="3" s="1"/>
  <c r="DT20" i="3" s="1"/>
  <c r="DT22" i="3" s="1"/>
  <c r="DT26" i="3" s="1"/>
  <c r="DH2" i="5"/>
  <c r="DP2" i="5"/>
  <c r="CW4" i="5"/>
  <c r="CW2" i="5"/>
  <c r="DY8" i="3"/>
  <c r="DY9" i="3" s="1"/>
  <c r="DY20" i="3" s="1"/>
  <c r="DG4" i="5"/>
  <c r="DG2" i="5"/>
  <c r="DG9" i="3"/>
  <c r="J34" i="8"/>
  <c r="DN2" i="5"/>
  <c r="CY4" i="5"/>
  <c r="CY2" i="5"/>
  <c r="EB8" i="3"/>
  <c r="EB9" i="3" s="1"/>
  <c r="EB20" i="3" s="1"/>
  <c r="EB22" i="3" s="1"/>
  <c r="EB26" i="3" s="1"/>
  <c r="DO22" i="3"/>
  <c r="DO26" i="3" s="1"/>
  <c r="DF4" i="5"/>
  <c r="DF2" i="5"/>
  <c r="DE2" i="5"/>
  <c r="DE4" i="5"/>
  <c r="DV8" i="3"/>
  <c r="DV9" i="3" s="1"/>
  <c r="DV20" i="3" s="1"/>
  <c r="DV22" i="3" s="1"/>
  <c r="DV26" i="3" s="1"/>
  <c r="ED8" i="3"/>
  <c r="ED9" i="3" s="1"/>
  <c r="ED20" i="3" s="1"/>
  <c r="CU20" i="3"/>
  <c r="L7" i="8"/>
  <c r="L18" i="8" s="1"/>
  <c r="DL2" i="5"/>
  <c r="DA4" i="5"/>
  <c r="DA2" i="5"/>
  <c r="DU8" i="3"/>
  <c r="DU9" i="3" s="1"/>
  <c r="DU20" i="3" s="1"/>
  <c r="EC8" i="3"/>
  <c r="EC9" i="3" s="1"/>
  <c r="EC20" i="3" s="1"/>
  <c r="EC22" i="3" s="1"/>
  <c r="EC26" i="3" s="1"/>
  <c r="DB4" i="5"/>
  <c r="DB2" i="5"/>
  <c r="DS2" i="5"/>
  <c r="DZ8" i="3"/>
  <c r="DZ9" i="3" s="1"/>
  <c r="DZ20" i="3" s="1"/>
  <c r="DZ22" i="3" s="1"/>
  <c r="DZ26" i="3" s="1"/>
  <c r="I34" i="8"/>
  <c r="AX33" i="3" l="1"/>
  <c r="AX35" i="3" s="1"/>
  <c r="G39" i="8" s="1"/>
  <c r="L25" i="8"/>
  <c r="G25" i="8"/>
  <c r="G28" i="8" s="1"/>
  <c r="G29" i="8" s="1"/>
  <c r="BJ33" i="3"/>
  <c r="DF33" i="3"/>
  <c r="DJ4" i="5"/>
  <c r="DU22" i="3"/>
  <c r="DU26" i="3" s="1"/>
  <c r="DN4" i="5"/>
  <c r="DY22" i="3"/>
  <c r="DY26" i="3" s="1"/>
  <c r="DS4" i="5"/>
  <c r="ED22" i="3"/>
  <c r="ED26" i="3" s="1"/>
  <c r="DL4" i="5"/>
  <c r="DW22" i="3"/>
  <c r="DW26" i="3" s="1"/>
  <c r="DK4" i="5"/>
  <c r="DK2" i="5"/>
  <c r="DO4" i="5"/>
  <c r="DO2" i="5"/>
  <c r="CJ4" i="5"/>
  <c r="CU22" i="3"/>
  <c r="DG20" i="3"/>
  <c r="M7" i="8"/>
  <c r="M18" i="8" s="1"/>
  <c r="DS20" i="3"/>
  <c r="EF20" i="3" s="1"/>
  <c r="CH33" i="3" s="1"/>
  <c r="N7" i="8"/>
  <c r="N18" i="8" s="1"/>
  <c r="P18" i="8" s="1"/>
  <c r="DM4" i="5"/>
  <c r="DM2" i="5"/>
  <c r="DQ4" i="5"/>
  <c r="DQ2" i="5"/>
  <c r="DI4" i="5"/>
  <c r="DI2" i="5"/>
  <c r="DR4" i="5"/>
  <c r="DR2" i="5"/>
  <c r="DP4" i="5"/>
  <c r="EA22" i="3"/>
  <c r="EA26" i="3" s="1"/>
  <c r="N6" i="8"/>
  <c r="BV33" i="3" l="1"/>
  <c r="I37" i="8" s="1"/>
  <c r="Z33" i="3"/>
  <c r="I25" i="8"/>
  <c r="I28" i="8" s="1"/>
  <c r="I29" i="8" s="1"/>
  <c r="E25" i="8"/>
  <c r="E28" i="8" s="1"/>
  <c r="E29" i="8" s="1"/>
  <c r="K25" i="8"/>
  <c r="K28" i="8" s="1"/>
  <c r="K29" i="8" s="1"/>
  <c r="F25" i="8"/>
  <c r="F28" i="8" s="1"/>
  <c r="F29" i="8" s="1"/>
  <c r="CT33" i="3"/>
  <c r="K37" i="8" s="1"/>
  <c r="AL33" i="3"/>
  <c r="G37" i="8"/>
  <c r="J25" i="8"/>
  <c r="J28" i="8" s="1"/>
  <c r="J29" i="8" s="1"/>
  <c r="N25" i="8"/>
  <c r="P17" i="8"/>
  <c r="ED33" i="3"/>
  <c r="ED35" i="3" s="1"/>
  <c r="EF19" i="3"/>
  <c r="J37" i="8"/>
  <c r="CH35" i="3"/>
  <c r="J39" i="8" s="1"/>
  <c r="DF35" i="3"/>
  <c r="L39" i="8" s="1"/>
  <c r="L37" i="8"/>
  <c r="H37" i="8"/>
  <c r="BJ35" i="3"/>
  <c r="H39" i="8" s="1"/>
  <c r="CV4" i="5"/>
  <c r="DG22" i="3"/>
  <c r="CU26" i="3"/>
  <c r="L20" i="8"/>
  <c r="L24" i="8" s="1"/>
  <c r="DH4" i="5"/>
  <c r="DS22" i="3"/>
  <c r="BV35" i="3" l="1"/>
  <c r="I39" i="8" s="1"/>
  <c r="Z35" i="3"/>
  <c r="E39" i="8" s="1"/>
  <c r="E37" i="8"/>
  <c r="CT35" i="3"/>
  <c r="K39" i="8" s="1"/>
  <c r="H46" i="4"/>
  <c r="AL35" i="3"/>
  <c r="F39" i="8" s="1"/>
  <c r="F37" i="8"/>
  <c r="N37" i="8"/>
  <c r="L34" i="8"/>
  <c r="L28" i="8"/>
  <c r="L29" i="8" s="1"/>
  <c r="DG26" i="3"/>
  <c r="M20" i="8"/>
  <c r="M24" i="8" s="1"/>
  <c r="DS26" i="3"/>
  <c r="N20" i="8"/>
  <c r="N24" i="8" s="1"/>
  <c r="N39" i="8"/>
  <c r="H49" i="4" l="1"/>
  <c r="N34" i="8"/>
  <c r="N28" i="8"/>
  <c r="N29" i="8" s="1"/>
  <c r="M34" i="8"/>
  <c r="M28" i="8"/>
  <c r="M29" i="8" s="1"/>
  <c r="D30" i="8" l="1"/>
  <c r="N31" i="8" l="1"/>
  <c r="H31" i="4"/>
  <c r="L31" i="8"/>
  <c r="K31" i="8"/>
  <c r="I31" i="8"/>
  <c r="M31" i="8"/>
  <c r="J31" i="8"/>
  <c r="H31" i="8"/>
  <c r="G31" i="8"/>
  <c r="E31" i="8"/>
  <c r="F31" i="8"/>
  <c r="C3" i="2"/>
  <c r="K21" i="4" l="1"/>
  <c r="K26" i="4"/>
  <c r="K24" i="4"/>
  <c r="F3" i="2"/>
  <c r="H3" i="2" s="1"/>
  <c r="K25" i="4"/>
  <c r="C6" i="2"/>
  <c r="K27" i="4" l="1"/>
  <c r="K30" i="4"/>
  <c r="G167" i="2"/>
  <c r="G273" i="2"/>
  <c r="G101" i="2"/>
  <c r="G298" i="2"/>
  <c r="G27" i="2"/>
  <c r="G360" i="2"/>
  <c r="G215" i="2"/>
  <c r="G241" i="2"/>
  <c r="G284" i="2"/>
  <c r="G334" i="2"/>
  <c r="G285" i="2"/>
  <c r="G231" i="2"/>
  <c r="G255" i="2"/>
  <c r="G33" i="2"/>
  <c r="G142" i="2"/>
  <c r="G338" i="2"/>
  <c r="K34" i="4"/>
  <c r="G204" i="2"/>
  <c r="G262" i="2"/>
  <c r="G294" i="2"/>
  <c r="G261" i="2"/>
  <c r="G95" i="2"/>
  <c r="G350" i="2"/>
  <c r="G309" i="2"/>
  <c r="G327" i="2"/>
  <c r="G145" i="2"/>
  <c r="G238" i="2"/>
  <c r="G349" i="2"/>
  <c r="G65" i="2"/>
  <c r="G141" i="2"/>
  <c r="G303" i="2"/>
  <c r="G105" i="2"/>
  <c r="G107" i="2"/>
  <c r="G18" i="2"/>
  <c r="G126" i="2"/>
  <c r="G361" i="2"/>
  <c r="G119" i="2"/>
  <c r="G221" i="2"/>
  <c r="G191" i="2"/>
  <c r="G171" i="2"/>
  <c r="G232" i="2"/>
  <c r="G82" i="2"/>
  <c r="G346" i="2"/>
  <c r="G108" i="2"/>
  <c r="G158" i="2"/>
  <c r="G295" i="2"/>
  <c r="G117" i="2"/>
  <c r="G50" i="2"/>
  <c r="G266" i="2"/>
  <c r="G94" i="2"/>
  <c r="G110" i="2"/>
  <c r="G177" i="2"/>
  <c r="G166" i="2"/>
  <c r="G356" i="2"/>
  <c r="G60" i="2"/>
  <c r="G286" i="2"/>
  <c r="G182" i="2"/>
  <c r="G257" i="2"/>
  <c r="G140" i="2"/>
  <c r="G288" i="2"/>
  <c r="G114" i="2"/>
  <c r="G313" i="2"/>
  <c r="G213" i="2"/>
  <c r="G307" i="2"/>
  <c r="G19" i="2"/>
  <c r="G209" i="2"/>
  <c r="G318" i="2"/>
  <c r="G103" i="2"/>
  <c r="G38" i="2"/>
  <c r="G202" i="2"/>
  <c r="G259" i="2"/>
  <c r="G22" i="2"/>
  <c r="G17" i="2"/>
  <c r="G210" i="2"/>
  <c r="G23" i="2"/>
  <c r="G99" i="2"/>
  <c r="G113" i="2"/>
  <c r="G271" i="2"/>
  <c r="G25" i="2"/>
  <c r="G4" i="2"/>
  <c r="G264" i="2"/>
  <c r="G155" i="2"/>
  <c r="G325" i="2"/>
  <c r="G260" i="2"/>
  <c r="G135" i="2"/>
  <c r="G289" i="2"/>
  <c r="G345" i="2"/>
  <c r="G187" i="2"/>
  <c r="G274" i="2"/>
  <c r="G84" i="2"/>
  <c r="G41" i="2"/>
  <c r="G234" i="2"/>
  <c r="G336" i="2"/>
  <c r="G123" i="2"/>
  <c r="G159" i="2"/>
  <c r="G321" i="2"/>
  <c r="G329" i="2"/>
  <c r="G332" i="2"/>
  <c r="G120" i="2"/>
  <c r="G71" i="2"/>
  <c r="G98" i="2"/>
  <c r="G43" i="2"/>
  <c r="G304" i="2"/>
  <c r="G263" i="2"/>
  <c r="G246" i="2"/>
  <c r="G344" i="2"/>
  <c r="G287" i="2"/>
  <c r="G190" i="2"/>
  <c r="G125" i="2"/>
  <c r="G147" i="2"/>
  <c r="G227" i="2"/>
  <c r="G39" i="2"/>
  <c r="G315" i="2"/>
  <c r="G245" i="2"/>
  <c r="G323" i="2"/>
  <c r="G63" i="2"/>
  <c r="G102" i="2"/>
  <c r="G186" i="2"/>
  <c r="G299" i="2"/>
  <c r="G15" i="2"/>
  <c r="G296" i="2"/>
  <c r="G337" i="2"/>
  <c r="G328" i="2"/>
  <c r="G172" i="2"/>
  <c r="G277" i="2"/>
  <c r="G180" i="2"/>
  <c r="G249" i="2"/>
  <c r="G291" i="2"/>
  <c r="G196" i="2"/>
  <c r="G200" i="2"/>
  <c r="G203" i="2"/>
  <c r="G64" i="2"/>
  <c r="G239" i="2"/>
  <c r="G40" i="2"/>
  <c r="G331" i="2"/>
  <c r="G362" i="2"/>
  <c r="G104" i="2"/>
  <c r="G83" i="2"/>
  <c r="G235" i="2"/>
  <c r="G9" i="2"/>
  <c r="G37" i="2"/>
  <c r="G106" i="2"/>
  <c r="G31" i="2"/>
  <c r="G206" i="2"/>
  <c r="G10" i="2"/>
  <c r="G121" i="2"/>
  <c r="G109" i="2"/>
  <c r="G278" i="2"/>
  <c r="G170" i="2"/>
  <c r="G280" i="2"/>
  <c r="G36" i="2"/>
  <c r="G139" i="2"/>
  <c r="G335" i="2"/>
  <c r="G293" i="2"/>
  <c r="G340" i="2"/>
  <c r="G90" i="2"/>
  <c r="G112" i="2"/>
  <c r="G30" i="2"/>
  <c r="G152" i="2"/>
  <c r="G124" i="2"/>
  <c r="G207" i="2"/>
  <c r="G225" i="2"/>
  <c r="G87" i="2"/>
  <c r="G226" i="2"/>
  <c r="G122" i="2"/>
  <c r="G236" i="2"/>
  <c r="G185" i="2"/>
  <c r="G314" i="2"/>
  <c r="G194" i="2"/>
  <c r="G80" i="2"/>
  <c r="G49" i="2"/>
  <c r="G317" i="2"/>
  <c r="G32" i="2"/>
  <c r="G324" i="2"/>
  <c r="G354" i="2"/>
  <c r="G130" i="2"/>
  <c r="G301" i="2"/>
  <c r="G205" i="2"/>
  <c r="G320" i="2"/>
  <c r="G164" i="2"/>
  <c r="G220" i="2"/>
  <c r="G76" i="2"/>
  <c r="G218" i="2"/>
  <c r="G156" i="2"/>
  <c r="G228" i="2"/>
  <c r="G136" i="2"/>
  <c r="G78" i="2"/>
  <c r="G341" i="2"/>
  <c r="G256" i="2"/>
  <c r="G308" i="2"/>
  <c r="G12" i="2"/>
  <c r="G281" i="2"/>
  <c r="G269" i="2"/>
  <c r="G26" i="2"/>
  <c r="G292" i="2"/>
  <c r="G21" i="2"/>
  <c r="G16" i="2"/>
  <c r="G258" i="2"/>
  <c r="G150" i="2"/>
  <c r="G244" i="2"/>
  <c r="G133" i="2"/>
  <c r="G359" i="2"/>
  <c r="G195" i="2"/>
  <c r="G219" i="2"/>
  <c r="G53" i="2"/>
  <c r="G54" i="2"/>
  <c r="G88" i="2"/>
  <c r="G223" i="2"/>
  <c r="G247" i="2"/>
  <c r="G162" i="2"/>
  <c r="G115" i="2"/>
  <c r="G52" i="2"/>
  <c r="G85" i="2"/>
  <c r="G183" i="2"/>
  <c r="G55" i="2"/>
  <c r="G69" i="2"/>
  <c r="G153" i="2"/>
  <c r="G131" i="2"/>
  <c r="G224" i="2"/>
  <c r="G211" i="2"/>
  <c r="G14" i="2"/>
  <c r="G174" i="2"/>
  <c r="G176" i="2"/>
  <c r="G233" i="2"/>
  <c r="G74" i="2"/>
  <c r="G217" i="2"/>
  <c r="G97" i="2"/>
  <c r="G270" i="2"/>
  <c r="G48" i="2"/>
  <c r="G189" i="2"/>
  <c r="G355" i="2"/>
  <c r="G165" i="2"/>
  <c r="G178" i="2"/>
  <c r="G184" i="2"/>
  <c r="G6" i="2"/>
  <c r="G216" i="2"/>
  <c r="G198" i="2"/>
  <c r="G242" i="2"/>
  <c r="G72" i="2"/>
  <c r="G240" i="2"/>
  <c r="G351" i="2"/>
  <c r="G42" i="2"/>
  <c r="G276" i="2"/>
  <c r="G128" i="2"/>
  <c r="G75" i="2"/>
  <c r="G275" i="2"/>
  <c r="G34" i="2"/>
  <c r="G214" i="2"/>
  <c r="G319" i="2"/>
  <c r="G310" i="2"/>
  <c r="G35" i="2"/>
  <c r="G143" i="2"/>
  <c r="G73" i="2"/>
  <c r="G44" i="2"/>
  <c r="G151" i="2"/>
  <c r="G20" i="2"/>
  <c r="G77" i="2"/>
  <c r="G357" i="2"/>
  <c r="G306" i="2"/>
  <c r="G197" i="2"/>
  <c r="G7" i="2"/>
  <c r="G333" i="2"/>
  <c r="G251" i="2"/>
  <c r="G229" i="2"/>
  <c r="G51" i="2"/>
  <c r="G134" i="2"/>
  <c r="G353" i="2"/>
  <c r="G3" i="2"/>
  <c r="I3" i="2" s="1"/>
  <c r="J3" i="2" s="1"/>
  <c r="F4" i="2" s="1"/>
  <c r="H4" i="2" s="1"/>
  <c r="G13" i="2"/>
  <c r="G96" i="2"/>
  <c r="G29" i="2"/>
  <c r="G300" i="2"/>
  <c r="G208" i="2"/>
  <c r="G302" i="2"/>
  <c r="G163" i="2"/>
  <c r="G11" i="2"/>
  <c r="G100" i="2"/>
  <c r="G116" i="2"/>
  <c r="G267" i="2"/>
  <c r="G62" i="2"/>
  <c r="G230" i="2"/>
  <c r="G272" i="2"/>
  <c r="G322" i="2"/>
  <c r="G342" i="2"/>
  <c r="G250" i="2"/>
  <c r="G46" i="2"/>
  <c r="G279" i="2"/>
  <c r="G311" i="2"/>
  <c r="G92" i="2"/>
  <c r="G175" i="2"/>
  <c r="G144" i="2"/>
  <c r="G79" i="2"/>
  <c r="G252" i="2"/>
  <c r="G222" i="2"/>
  <c r="G326" i="2"/>
  <c r="G138" i="2"/>
  <c r="G86" i="2"/>
  <c r="G265" i="2"/>
  <c r="G199" i="2"/>
  <c r="G132" i="2"/>
  <c r="G61" i="2"/>
  <c r="G68" i="2"/>
  <c r="G59" i="2"/>
  <c r="G45" i="2"/>
  <c r="G243" i="2"/>
  <c r="G330" i="2"/>
  <c r="G58" i="2"/>
  <c r="G339" i="2"/>
  <c r="G160" i="2"/>
  <c r="G282" i="2"/>
  <c r="G168" i="2"/>
  <c r="G161" i="2"/>
  <c r="G146" i="2"/>
  <c r="G24" i="2"/>
  <c r="G201" i="2"/>
  <c r="G129" i="2"/>
  <c r="G154" i="2"/>
  <c r="G157" i="2"/>
  <c r="G254" i="2"/>
  <c r="G148" i="2"/>
  <c r="G358" i="2"/>
  <c r="G173" i="2"/>
  <c r="G57" i="2"/>
  <c r="G149" i="2"/>
  <c r="G127" i="2"/>
  <c r="G93" i="2"/>
  <c r="G312" i="2"/>
  <c r="G283" i="2"/>
  <c r="G181" i="2"/>
  <c r="G66" i="2"/>
  <c r="G192" i="2"/>
  <c r="G268" i="2"/>
  <c r="G137" i="2"/>
  <c r="G81" i="2"/>
  <c r="G290" i="2"/>
  <c r="G253" i="2"/>
  <c r="G179" i="2"/>
  <c r="G348" i="2"/>
  <c r="G188" i="2"/>
  <c r="G89" i="2"/>
  <c r="G352" i="2"/>
  <c r="G8" i="2"/>
  <c r="G316" i="2"/>
  <c r="G118" i="2"/>
  <c r="G305" i="2"/>
  <c r="G47" i="2"/>
  <c r="G347" i="2"/>
  <c r="G343" i="2"/>
  <c r="G56" i="2"/>
  <c r="G91" i="2"/>
  <c r="G111" i="2"/>
  <c r="G297" i="2"/>
  <c r="G237" i="2"/>
  <c r="G212" i="2"/>
  <c r="G70" i="2"/>
  <c r="G169" i="2"/>
  <c r="G28" i="2"/>
  <c r="G193" i="2"/>
  <c r="G248" i="2"/>
  <c r="G67" i="2"/>
  <c r="G5" i="2"/>
  <c r="I4" i="2" l="1"/>
  <c r="J4" i="2" s="1"/>
  <c r="F5" i="2" s="1"/>
  <c r="H5" i="2" s="1"/>
  <c r="I5" i="2" s="1"/>
  <c r="J5" i="2" s="1"/>
  <c r="F6" i="2" s="1"/>
  <c r="H6" i="2" s="1"/>
  <c r="I6" i="2" s="1"/>
  <c r="J6" i="2" s="1"/>
  <c r="F7" i="2" s="1"/>
  <c r="H7" i="2" s="1"/>
  <c r="I7" i="2" s="1"/>
  <c r="J7" i="2" s="1"/>
  <c r="F8" i="2" s="1"/>
  <c r="H8" i="2" s="1"/>
  <c r="I8" i="2" s="1"/>
  <c r="J8" i="2" s="1"/>
  <c r="F9" i="2" s="1"/>
  <c r="H9" i="2" s="1"/>
  <c r="I9" i="2" s="1"/>
  <c r="J9" i="2" s="1"/>
  <c r="F10" i="2" s="1"/>
  <c r="H10" i="2" s="1"/>
  <c r="I10" i="2" s="1"/>
  <c r="J10" i="2" s="1"/>
  <c r="F11" i="2" s="1"/>
  <c r="H11" i="2" s="1"/>
  <c r="I11" i="2" s="1"/>
  <c r="J11" i="2" s="1"/>
  <c r="F12" i="2" s="1"/>
  <c r="H12" i="2" s="1"/>
  <c r="I12" i="2" s="1"/>
  <c r="J12" i="2" s="1"/>
  <c r="F13" i="2" s="1"/>
  <c r="H13" i="2" s="1"/>
  <c r="I13" i="2" s="1"/>
  <c r="J13" i="2" s="1"/>
  <c r="F14" i="2" s="1"/>
  <c r="H14" i="2" s="1"/>
  <c r="I14" i="2" s="1"/>
  <c r="J14" i="2" s="1"/>
  <c r="F15" i="2" s="1"/>
  <c r="H15" i="2" s="1"/>
  <c r="I15" i="2" s="1"/>
  <c r="J15" i="2" s="1"/>
  <c r="F16" i="2" s="1"/>
  <c r="H16" i="2" s="1"/>
  <c r="I16" i="2" s="1"/>
  <c r="J16" i="2" s="1"/>
  <c r="F17" i="2" s="1"/>
  <c r="H17" i="2" s="1"/>
  <c r="I17" i="2" s="1"/>
  <c r="J17" i="2" s="1"/>
  <c r="F18" i="2" s="1"/>
  <c r="H18" i="2" s="1"/>
  <c r="I18" i="2" s="1"/>
  <c r="J18" i="2" s="1"/>
  <c r="F19" i="2" s="1"/>
  <c r="H19" i="2" s="1"/>
  <c r="I19" i="2" s="1"/>
  <c r="J19" i="2" s="1"/>
  <c r="F20" i="2" s="1"/>
  <c r="H20" i="2" s="1"/>
  <c r="I20" i="2" s="1"/>
  <c r="J20" i="2" s="1"/>
  <c r="F21" i="2" s="1"/>
  <c r="H21" i="2" s="1"/>
  <c r="I21" i="2" s="1"/>
  <c r="J21" i="2" s="1"/>
  <c r="F22" i="2" s="1"/>
  <c r="H22" i="2" s="1"/>
  <c r="I22" i="2" s="1"/>
  <c r="J22" i="2" s="1"/>
  <c r="F23" i="2" s="1"/>
  <c r="H23" i="2" s="1"/>
  <c r="I23" i="2" s="1"/>
  <c r="J23" i="2" s="1"/>
  <c r="F24" i="2" s="1"/>
  <c r="H24" i="2" s="1"/>
  <c r="I24" i="2" s="1"/>
  <c r="J24" i="2" s="1"/>
  <c r="F25" i="2" s="1"/>
  <c r="H25" i="2" s="1"/>
  <c r="I25" i="2" s="1"/>
  <c r="J25" i="2" s="1"/>
  <c r="F26" i="2" s="1"/>
  <c r="H26" i="2" s="1"/>
  <c r="I26" i="2" s="1"/>
  <c r="J26" i="2" s="1"/>
  <c r="F27" i="2" s="1"/>
  <c r="H27" i="2" s="1"/>
  <c r="I27" i="2" s="1"/>
  <c r="J27" i="2" s="1"/>
  <c r="F28" i="2" s="1"/>
  <c r="H28" i="2" s="1"/>
  <c r="I28" i="2" s="1"/>
  <c r="J28" i="2" s="1"/>
  <c r="F29" i="2" s="1"/>
  <c r="H29" i="2" s="1"/>
  <c r="I29" i="2" s="1"/>
  <c r="J29" i="2" s="1"/>
  <c r="F30" i="2" s="1"/>
  <c r="H30" i="2" s="1"/>
  <c r="I30" i="2" s="1"/>
  <c r="J30" i="2" s="1"/>
  <c r="F31" i="2" s="1"/>
  <c r="H31" i="2" s="1"/>
  <c r="I31" i="2" s="1"/>
  <c r="J31" i="2" s="1"/>
  <c r="F32" i="2" s="1"/>
  <c r="H32" i="2" s="1"/>
  <c r="I32" i="2" s="1"/>
  <c r="J32" i="2" s="1"/>
  <c r="F33" i="2" s="1"/>
  <c r="H33" i="2" s="1"/>
  <c r="I33" i="2" s="1"/>
  <c r="J33" i="2" s="1"/>
  <c r="F34" i="2" s="1"/>
  <c r="H34" i="2" s="1"/>
  <c r="I34" i="2" s="1"/>
  <c r="J34" i="2" s="1"/>
  <c r="F35" i="2" s="1"/>
  <c r="H35" i="2" s="1"/>
  <c r="I35" i="2" s="1"/>
  <c r="J35" i="2" s="1"/>
  <c r="F36" i="2" s="1"/>
  <c r="H36" i="2" s="1"/>
  <c r="I36" i="2" s="1"/>
  <c r="J36" i="2" s="1"/>
  <c r="F37" i="2" s="1"/>
  <c r="H37" i="2" s="1"/>
  <c r="I37" i="2" s="1"/>
  <c r="J37" i="2" s="1"/>
  <c r="F38" i="2" s="1"/>
  <c r="H38" i="2" s="1"/>
  <c r="I38" i="2" s="1"/>
  <c r="J38" i="2" s="1"/>
  <c r="F39" i="2" s="1"/>
  <c r="H39" i="2" s="1"/>
  <c r="I39" i="2" s="1"/>
  <c r="J39" i="2" s="1"/>
  <c r="F40" i="2" s="1"/>
  <c r="H40" i="2" s="1"/>
  <c r="I40" i="2" s="1"/>
  <c r="J40" i="2" s="1"/>
  <c r="F41" i="2" s="1"/>
  <c r="H41" i="2" s="1"/>
  <c r="I41" i="2" s="1"/>
  <c r="J41" i="2" s="1"/>
  <c r="F42" i="2" s="1"/>
  <c r="H42" i="2" s="1"/>
  <c r="I42" i="2" s="1"/>
  <c r="J42" i="2" s="1"/>
  <c r="F43" i="2" s="1"/>
  <c r="H43" i="2" s="1"/>
  <c r="I43" i="2" s="1"/>
  <c r="J43" i="2" s="1"/>
  <c r="F44" i="2" s="1"/>
  <c r="H44" i="2" s="1"/>
  <c r="I44" i="2" s="1"/>
  <c r="J44" i="2" s="1"/>
  <c r="F45" i="2" s="1"/>
  <c r="H45" i="2" s="1"/>
  <c r="I45" i="2" s="1"/>
  <c r="J45" i="2" s="1"/>
  <c r="F46" i="2" s="1"/>
  <c r="H46" i="2" s="1"/>
  <c r="I46" i="2" s="1"/>
  <c r="J46" i="2" s="1"/>
  <c r="F47" i="2" s="1"/>
  <c r="H47" i="2" s="1"/>
  <c r="I47" i="2" s="1"/>
  <c r="J47" i="2" s="1"/>
  <c r="F48" i="2" s="1"/>
  <c r="H48" i="2" s="1"/>
  <c r="I48" i="2" s="1"/>
  <c r="J48" i="2" s="1"/>
  <c r="F49" i="2" s="1"/>
  <c r="H49" i="2" s="1"/>
  <c r="I49" i="2" s="1"/>
  <c r="J49" i="2" s="1"/>
  <c r="F50" i="2" s="1"/>
  <c r="H50" i="2" s="1"/>
  <c r="I50" i="2" s="1"/>
  <c r="J50" i="2" s="1"/>
  <c r="F51" i="2" s="1"/>
  <c r="H51" i="2" s="1"/>
  <c r="I51" i="2" s="1"/>
  <c r="J51" i="2" s="1"/>
  <c r="F52" i="2" s="1"/>
  <c r="H52" i="2" s="1"/>
  <c r="I52" i="2" s="1"/>
  <c r="J52" i="2" s="1"/>
  <c r="F53" i="2" s="1"/>
  <c r="H53" i="2" s="1"/>
  <c r="I53" i="2" s="1"/>
  <c r="J53" i="2" s="1"/>
  <c r="F54" i="2" s="1"/>
  <c r="H54" i="2" s="1"/>
  <c r="I54" i="2" s="1"/>
  <c r="J54" i="2" s="1"/>
  <c r="F55" i="2" s="1"/>
  <c r="H55" i="2" s="1"/>
  <c r="I55" i="2" s="1"/>
  <c r="J55" i="2" s="1"/>
  <c r="F56" i="2" s="1"/>
  <c r="H56" i="2" s="1"/>
  <c r="I56" i="2" s="1"/>
  <c r="J56" i="2" s="1"/>
  <c r="F57" i="2" s="1"/>
  <c r="H57" i="2" s="1"/>
  <c r="I57" i="2" s="1"/>
  <c r="J57" i="2" s="1"/>
  <c r="F58" i="2" s="1"/>
  <c r="H58" i="2" s="1"/>
  <c r="I58" i="2" s="1"/>
  <c r="J58" i="2" s="1"/>
  <c r="F59" i="2" s="1"/>
  <c r="H59" i="2" s="1"/>
  <c r="I59" i="2" s="1"/>
  <c r="J59" i="2" s="1"/>
  <c r="F60" i="2" s="1"/>
  <c r="H60" i="2" s="1"/>
  <c r="I60" i="2" s="1"/>
  <c r="J60" i="2" s="1"/>
  <c r="F61" i="2" s="1"/>
  <c r="H61" i="2" s="1"/>
  <c r="I61" i="2" s="1"/>
  <c r="J61" i="2" s="1"/>
  <c r="F62" i="2" s="1"/>
  <c r="H62" i="2" s="1"/>
  <c r="I62" i="2" s="1"/>
  <c r="J62" i="2" s="1"/>
  <c r="F63" i="2" s="1"/>
  <c r="H63" i="2" s="1"/>
  <c r="I63" i="2" s="1"/>
  <c r="J63" i="2" s="1"/>
  <c r="F64" i="2" s="1"/>
  <c r="H64" i="2" s="1"/>
  <c r="I64" i="2" s="1"/>
  <c r="J64" i="2" s="1"/>
  <c r="F65" i="2" s="1"/>
  <c r="H65" i="2" s="1"/>
  <c r="I65" i="2" s="1"/>
  <c r="J65" i="2" s="1"/>
  <c r="F66" i="2" s="1"/>
  <c r="H66" i="2" s="1"/>
  <c r="I66" i="2" s="1"/>
  <c r="J66" i="2" s="1"/>
  <c r="F67" i="2" s="1"/>
  <c r="H67" i="2" s="1"/>
  <c r="I67" i="2" s="1"/>
  <c r="J67" i="2" s="1"/>
  <c r="F68" i="2" s="1"/>
  <c r="H68" i="2" s="1"/>
  <c r="I68" i="2" s="1"/>
  <c r="J68" i="2" s="1"/>
  <c r="F69" i="2" s="1"/>
  <c r="H69" i="2" s="1"/>
  <c r="I69" i="2" s="1"/>
  <c r="J69" i="2" s="1"/>
  <c r="F70" i="2" s="1"/>
  <c r="H70" i="2" s="1"/>
  <c r="I70" i="2" s="1"/>
  <c r="J70" i="2" s="1"/>
  <c r="F71" i="2" s="1"/>
  <c r="H71" i="2" s="1"/>
  <c r="I71" i="2" s="1"/>
  <c r="J71" i="2" s="1"/>
  <c r="F72" i="2" s="1"/>
  <c r="H72" i="2" s="1"/>
  <c r="I72" i="2" s="1"/>
  <c r="J72" i="2" s="1"/>
  <c r="F73" i="2" s="1"/>
  <c r="H73" i="2" s="1"/>
  <c r="I73" i="2" s="1"/>
  <c r="J73" i="2" s="1"/>
  <c r="F74" i="2" s="1"/>
  <c r="H74" i="2" s="1"/>
  <c r="I74" i="2" s="1"/>
  <c r="J74" i="2" s="1"/>
  <c r="F75" i="2" s="1"/>
  <c r="H75" i="2" s="1"/>
  <c r="I75" i="2" s="1"/>
  <c r="J75" i="2" s="1"/>
  <c r="F76" i="2" s="1"/>
  <c r="H76" i="2" s="1"/>
  <c r="I76" i="2" s="1"/>
  <c r="J76" i="2" s="1"/>
  <c r="F77" i="2" s="1"/>
  <c r="H77" i="2" s="1"/>
  <c r="I77" i="2" s="1"/>
  <c r="J77" i="2" s="1"/>
  <c r="F78" i="2" s="1"/>
  <c r="H78" i="2" s="1"/>
  <c r="I78" i="2" s="1"/>
  <c r="J78" i="2" s="1"/>
  <c r="F79" i="2" s="1"/>
  <c r="H79" i="2" s="1"/>
  <c r="I79" i="2" s="1"/>
  <c r="J79" i="2" s="1"/>
  <c r="F80" i="2" s="1"/>
  <c r="H80" i="2" s="1"/>
  <c r="I80" i="2" s="1"/>
  <c r="J80" i="2" s="1"/>
  <c r="F81" i="2" s="1"/>
  <c r="H81" i="2" s="1"/>
  <c r="I81" i="2" s="1"/>
  <c r="J81" i="2" s="1"/>
  <c r="F82" i="2" s="1"/>
  <c r="H82" i="2" s="1"/>
  <c r="I82" i="2" s="1"/>
  <c r="J82" i="2" s="1"/>
  <c r="F83" i="2" s="1"/>
  <c r="H83" i="2" s="1"/>
  <c r="I83" i="2" s="1"/>
  <c r="J83" i="2" s="1"/>
  <c r="F84" i="2" s="1"/>
  <c r="H84" i="2" s="1"/>
  <c r="I84" i="2" s="1"/>
  <c r="J84" i="2" s="1"/>
  <c r="F85" i="2" s="1"/>
  <c r="H85" i="2" s="1"/>
  <c r="I85" i="2" s="1"/>
  <c r="J85" i="2" s="1"/>
  <c r="F86" i="2" s="1"/>
  <c r="H86" i="2" s="1"/>
  <c r="I86" i="2" s="1"/>
  <c r="J86" i="2" s="1"/>
  <c r="F87" i="2" s="1"/>
  <c r="H87" i="2" s="1"/>
  <c r="I87" i="2" s="1"/>
  <c r="J87" i="2" s="1"/>
  <c r="F88" i="2" s="1"/>
  <c r="H88" i="2" s="1"/>
  <c r="I88" i="2" s="1"/>
  <c r="J88" i="2" s="1"/>
  <c r="F89" i="2" s="1"/>
  <c r="H89" i="2" s="1"/>
  <c r="I89" i="2" s="1"/>
  <c r="J89" i="2" s="1"/>
  <c r="F90" i="2" s="1"/>
  <c r="H90" i="2" s="1"/>
  <c r="I90" i="2" s="1"/>
  <c r="J90" i="2" s="1"/>
  <c r="F91" i="2" s="1"/>
  <c r="H91" i="2" s="1"/>
  <c r="I91" i="2" s="1"/>
  <c r="J91" i="2" s="1"/>
  <c r="F92" i="2" s="1"/>
  <c r="H92" i="2" s="1"/>
  <c r="I92" i="2" s="1"/>
  <c r="J92" i="2" s="1"/>
  <c r="F93" i="2" s="1"/>
  <c r="H93" i="2" s="1"/>
  <c r="I93" i="2" s="1"/>
  <c r="J93" i="2" s="1"/>
  <c r="F94" i="2" s="1"/>
  <c r="H94" i="2" s="1"/>
  <c r="I94" i="2" s="1"/>
  <c r="J94" i="2" s="1"/>
  <c r="F95" i="2" s="1"/>
  <c r="H95" i="2" s="1"/>
  <c r="I95" i="2" s="1"/>
  <c r="J95" i="2" s="1"/>
  <c r="F96" i="2" s="1"/>
  <c r="H96" i="2" s="1"/>
  <c r="I96" i="2" s="1"/>
  <c r="J96" i="2" s="1"/>
  <c r="F97" i="2" s="1"/>
  <c r="H97" i="2" s="1"/>
  <c r="I97" i="2" s="1"/>
  <c r="J97" i="2" s="1"/>
  <c r="F98" i="2" s="1"/>
  <c r="H98" i="2" s="1"/>
  <c r="I98" i="2" s="1"/>
  <c r="J98" i="2" s="1"/>
  <c r="F99" i="2" s="1"/>
  <c r="H99" i="2" s="1"/>
  <c r="I99" i="2" s="1"/>
  <c r="J99" i="2" s="1"/>
  <c r="F100" i="2" s="1"/>
  <c r="H100" i="2" s="1"/>
  <c r="I100" i="2" s="1"/>
  <c r="J100" i="2" s="1"/>
  <c r="F101" i="2" s="1"/>
  <c r="H101" i="2" s="1"/>
  <c r="I101" i="2" s="1"/>
  <c r="J101" i="2" s="1"/>
  <c r="F102" i="2" s="1"/>
  <c r="H102" i="2" s="1"/>
  <c r="I102" i="2" s="1"/>
  <c r="J102" i="2" s="1"/>
  <c r="F103" i="2" s="1"/>
  <c r="H103" i="2" s="1"/>
  <c r="I103" i="2" s="1"/>
  <c r="J103" i="2" s="1"/>
  <c r="F104" i="2" s="1"/>
  <c r="H104" i="2" s="1"/>
  <c r="I104" i="2" s="1"/>
  <c r="J104" i="2" s="1"/>
  <c r="F105" i="2" s="1"/>
  <c r="H105" i="2" s="1"/>
  <c r="I105" i="2" s="1"/>
  <c r="J105" i="2" s="1"/>
  <c r="F106" i="2" s="1"/>
  <c r="H106" i="2" s="1"/>
  <c r="I106" i="2" s="1"/>
  <c r="J106" i="2" s="1"/>
  <c r="F107" i="2" s="1"/>
  <c r="H107" i="2" s="1"/>
  <c r="I107" i="2" s="1"/>
  <c r="J107" i="2" s="1"/>
  <c r="F108" i="2" s="1"/>
  <c r="H108" i="2" s="1"/>
  <c r="I108" i="2" s="1"/>
  <c r="J108" i="2" s="1"/>
  <c r="F109" i="2" s="1"/>
  <c r="H109" i="2" s="1"/>
  <c r="I109" i="2" s="1"/>
  <c r="J109" i="2" s="1"/>
  <c r="F110" i="2" s="1"/>
  <c r="H110" i="2" s="1"/>
  <c r="I110" i="2" s="1"/>
  <c r="J110" i="2" s="1"/>
  <c r="F111" i="2" s="1"/>
  <c r="H111" i="2" s="1"/>
  <c r="I111" i="2" s="1"/>
  <c r="J111" i="2" s="1"/>
  <c r="F112" i="2" s="1"/>
  <c r="H112" i="2" s="1"/>
  <c r="I112" i="2" s="1"/>
  <c r="J112" i="2" s="1"/>
  <c r="F113" i="2" s="1"/>
  <c r="H113" i="2" s="1"/>
  <c r="I113" i="2" s="1"/>
  <c r="J113" i="2" s="1"/>
  <c r="F114" i="2" s="1"/>
  <c r="H114" i="2" s="1"/>
  <c r="I114" i="2" s="1"/>
  <c r="J114" i="2" s="1"/>
  <c r="F115" i="2" s="1"/>
  <c r="H115" i="2" s="1"/>
  <c r="I115" i="2" s="1"/>
  <c r="J115" i="2" s="1"/>
  <c r="F116" i="2" s="1"/>
  <c r="H116" i="2" s="1"/>
  <c r="I116" i="2" s="1"/>
  <c r="J116" i="2" s="1"/>
  <c r="F117" i="2" s="1"/>
  <c r="H117" i="2" s="1"/>
  <c r="I117" i="2" s="1"/>
  <c r="J117" i="2" s="1"/>
  <c r="F118" i="2" s="1"/>
  <c r="H118" i="2" s="1"/>
  <c r="I118" i="2" s="1"/>
  <c r="J118" i="2" s="1"/>
  <c r="F119" i="2" s="1"/>
  <c r="H119" i="2" s="1"/>
  <c r="I119" i="2" s="1"/>
  <c r="J119" i="2" s="1"/>
  <c r="F120" i="2" s="1"/>
  <c r="H120" i="2" s="1"/>
  <c r="I120" i="2" s="1"/>
  <c r="J120" i="2" s="1"/>
  <c r="F121" i="2" s="1"/>
  <c r="H121" i="2" s="1"/>
  <c r="I121" i="2" s="1"/>
  <c r="J121" i="2" s="1"/>
  <c r="F122" i="2" s="1"/>
  <c r="H122" i="2" s="1"/>
  <c r="I122" i="2" s="1"/>
  <c r="J122" i="2" s="1"/>
  <c r="F123" i="2" s="1"/>
  <c r="H123" i="2" s="1"/>
  <c r="I123" i="2" s="1"/>
  <c r="J123" i="2" s="1"/>
  <c r="F124" i="2" s="1"/>
  <c r="H124" i="2" s="1"/>
  <c r="I124" i="2" s="1"/>
  <c r="J124" i="2" s="1"/>
  <c r="F125" i="2" s="1"/>
  <c r="H125" i="2" s="1"/>
  <c r="I125" i="2" s="1"/>
  <c r="J125" i="2" s="1"/>
  <c r="F126" i="2" s="1"/>
  <c r="H126" i="2" s="1"/>
  <c r="I126" i="2" s="1"/>
  <c r="J126" i="2" s="1"/>
  <c r="F127" i="2" s="1"/>
  <c r="H127" i="2" s="1"/>
  <c r="I127" i="2" s="1"/>
  <c r="J127" i="2" s="1"/>
  <c r="F128" i="2" s="1"/>
  <c r="H128" i="2" s="1"/>
  <c r="I128" i="2" s="1"/>
  <c r="J128" i="2" s="1"/>
  <c r="F129" i="2" s="1"/>
  <c r="H129" i="2" s="1"/>
  <c r="I129" i="2" s="1"/>
  <c r="J129" i="2" s="1"/>
  <c r="F130" i="2" s="1"/>
  <c r="H130" i="2" s="1"/>
  <c r="I130" i="2" s="1"/>
  <c r="J130" i="2" s="1"/>
  <c r="F131" i="2" s="1"/>
  <c r="H131" i="2" s="1"/>
  <c r="I131" i="2" s="1"/>
  <c r="J131" i="2" s="1"/>
  <c r="F132" i="2" s="1"/>
  <c r="H132" i="2" s="1"/>
  <c r="I132" i="2" s="1"/>
  <c r="J132" i="2" s="1"/>
  <c r="F133" i="2" s="1"/>
  <c r="H133" i="2" s="1"/>
  <c r="I133" i="2" s="1"/>
  <c r="J133" i="2" s="1"/>
  <c r="F134" i="2" s="1"/>
  <c r="H134" i="2" s="1"/>
  <c r="I134" i="2" s="1"/>
  <c r="J134" i="2" s="1"/>
  <c r="F135" i="2" s="1"/>
  <c r="H135" i="2" s="1"/>
  <c r="I135" i="2" s="1"/>
  <c r="J135" i="2" s="1"/>
  <c r="F136" i="2" s="1"/>
  <c r="H136" i="2" s="1"/>
  <c r="I136" i="2" s="1"/>
  <c r="J136" i="2" s="1"/>
  <c r="F137" i="2" s="1"/>
  <c r="H137" i="2" s="1"/>
  <c r="I137" i="2" s="1"/>
  <c r="J137" i="2" s="1"/>
  <c r="F138" i="2" s="1"/>
  <c r="H138" i="2" s="1"/>
  <c r="I138" i="2" s="1"/>
  <c r="J138" i="2" s="1"/>
  <c r="F139" i="2" s="1"/>
  <c r="H139" i="2" s="1"/>
  <c r="I139" i="2" s="1"/>
  <c r="J139" i="2" s="1"/>
  <c r="F140" i="2" s="1"/>
  <c r="H140" i="2" s="1"/>
  <c r="I140" i="2" s="1"/>
  <c r="J140" i="2" s="1"/>
  <c r="F141" i="2" s="1"/>
  <c r="H141" i="2" s="1"/>
  <c r="I141" i="2" s="1"/>
  <c r="J141" i="2" s="1"/>
  <c r="F142" i="2" s="1"/>
  <c r="H142" i="2" s="1"/>
  <c r="I142" i="2" s="1"/>
  <c r="J142" i="2" s="1"/>
  <c r="F143" i="2" s="1"/>
  <c r="H143" i="2" s="1"/>
  <c r="I143" i="2" s="1"/>
  <c r="J143" i="2" s="1"/>
  <c r="F144" i="2" s="1"/>
  <c r="H144" i="2" s="1"/>
  <c r="I144" i="2" s="1"/>
  <c r="J144" i="2" s="1"/>
  <c r="F145" i="2" s="1"/>
  <c r="H145" i="2" s="1"/>
  <c r="I145" i="2" s="1"/>
  <c r="J145" i="2" s="1"/>
  <c r="F146" i="2" s="1"/>
  <c r="H146" i="2" s="1"/>
  <c r="I146" i="2" s="1"/>
  <c r="J146" i="2" s="1"/>
  <c r="F147" i="2" s="1"/>
  <c r="H147" i="2" s="1"/>
  <c r="I147" i="2" s="1"/>
  <c r="J147" i="2" s="1"/>
  <c r="F148" i="2" s="1"/>
  <c r="H148" i="2" s="1"/>
  <c r="I148" i="2" s="1"/>
  <c r="J148" i="2" s="1"/>
  <c r="F149" i="2" s="1"/>
  <c r="H149" i="2" s="1"/>
  <c r="I149" i="2" s="1"/>
  <c r="J149" i="2" s="1"/>
  <c r="F150" i="2" s="1"/>
  <c r="H150" i="2" s="1"/>
  <c r="I150" i="2" s="1"/>
  <c r="J150" i="2" s="1"/>
  <c r="F151" i="2" s="1"/>
  <c r="H151" i="2" s="1"/>
  <c r="I151" i="2" s="1"/>
  <c r="J151" i="2" s="1"/>
  <c r="F152" i="2" s="1"/>
  <c r="H152" i="2" s="1"/>
  <c r="I152" i="2" s="1"/>
  <c r="J152" i="2" s="1"/>
  <c r="F153" i="2" s="1"/>
  <c r="H153" i="2" s="1"/>
  <c r="I153" i="2" s="1"/>
  <c r="J153" i="2" s="1"/>
  <c r="F154" i="2" s="1"/>
  <c r="H154" i="2" s="1"/>
  <c r="I154" i="2" s="1"/>
  <c r="J154" i="2" s="1"/>
  <c r="F155" i="2" s="1"/>
  <c r="H155" i="2" s="1"/>
  <c r="I155" i="2" s="1"/>
  <c r="J155" i="2" s="1"/>
  <c r="F156" i="2" s="1"/>
  <c r="H156" i="2" s="1"/>
  <c r="I156" i="2" s="1"/>
  <c r="J156" i="2" s="1"/>
  <c r="F157" i="2" s="1"/>
  <c r="H157" i="2" s="1"/>
  <c r="I157" i="2" s="1"/>
  <c r="J157" i="2" s="1"/>
  <c r="F158" i="2" s="1"/>
  <c r="H158" i="2" s="1"/>
  <c r="I158" i="2" s="1"/>
  <c r="J158" i="2" s="1"/>
  <c r="F159" i="2" s="1"/>
  <c r="H159" i="2" s="1"/>
  <c r="I159" i="2" s="1"/>
  <c r="J159" i="2" s="1"/>
  <c r="F160" i="2" s="1"/>
  <c r="H160" i="2" s="1"/>
  <c r="I160" i="2" s="1"/>
  <c r="J160" i="2" s="1"/>
  <c r="F161" i="2" s="1"/>
  <c r="H161" i="2" s="1"/>
  <c r="I161" i="2" s="1"/>
  <c r="J161" i="2" s="1"/>
  <c r="F162" i="2" s="1"/>
  <c r="H162" i="2" s="1"/>
  <c r="I162" i="2" s="1"/>
  <c r="J162" i="2" s="1"/>
  <c r="F163" i="2" s="1"/>
  <c r="H163" i="2" s="1"/>
  <c r="I163" i="2" s="1"/>
  <c r="J163" i="2" s="1"/>
  <c r="F164" i="2" s="1"/>
  <c r="H164" i="2" s="1"/>
  <c r="I164" i="2" s="1"/>
  <c r="J164" i="2" s="1"/>
  <c r="F165" i="2" s="1"/>
  <c r="H165" i="2" s="1"/>
  <c r="I165" i="2" s="1"/>
  <c r="J165" i="2" s="1"/>
  <c r="F166" i="2" s="1"/>
  <c r="H166" i="2" s="1"/>
  <c r="I166" i="2" s="1"/>
  <c r="J166" i="2" s="1"/>
  <c r="F167" i="2" s="1"/>
  <c r="H167" i="2" s="1"/>
  <c r="I167" i="2" s="1"/>
  <c r="J167" i="2" s="1"/>
  <c r="F168" i="2" s="1"/>
  <c r="H168" i="2" s="1"/>
  <c r="I168" i="2" s="1"/>
  <c r="J168" i="2" s="1"/>
  <c r="F169" i="2" s="1"/>
  <c r="H169" i="2" s="1"/>
  <c r="I169" i="2" s="1"/>
  <c r="J169" i="2" s="1"/>
  <c r="F170" i="2" s="1"/>
  <c r="H170" i="2" s="1"/>
  <c r="I170" i="2" s="1"/>
  <c r="J170" i="2" s="1"/>
  <c r="F171" i="2" s="1"/>
  <c r="H171" i="2" s="1"/>
  <c r="I171" i="2" s="1"/>
  <c r="J171" i="2" s="1"/>
  <c r="F172" i="2" s="1"/>
  <c r="H172" i="2" s="1"/>
  <c r="I172" i="2" s="1"/>
  <c r="J172" i="2" s="1"/>
  <c r="F173" i="2" s="1"/>
  <c r="H173" i="2" s="1"/>
  <c r="I173" i="2" s="1"/>
  <c r="J173" i="2" s="1"/>
  <c r="F174" i="2" s="1"/>
  <c r="H174" i="2" s="1"/>
  <c r="I174" i="2" s="1"/>
  <c r="J174" i="2" s="1"/>
  <c r="F175" i="2" s="1"/>
  <c r="H175" i="2" s="1"/>
  <c r="I175" i="2" s="1"/>
  <c r="J175" i="2" s="1"/>
  <c r="F176" i="2" s="1"/>
  <c r="H176" i="2" s="1"/>
  <c r="I176" i="2" s="1"/>
  <c r="J176" i="2" s="1"/>
  <c r="F177" i="2" s="1"/>
  <c r="H177" i="2" s="1"/>
  <c r="I177" i="2" s="1"/>
  <c r="J177" i="2" s="1"/>
  <c r="F178" i="2" s="1"/>
  <c r="H178" i="2" s="1"/>
  <c r="I178" i="2" s="1"/>
  <c r="J178" i="2" s="1"/>
  <c r="F179" i="2" s="1"/>
  <c r="H179" i="2" s="1"/>
  <c r="I179" i="2" s="1"/>
  <c r="J179" i="2" s="1"/>
  <c r="F180" i="2" s="1"/>
  <c r="H180" i="2" s="1"/>
  <c r="I180" i="2" s="1"/>
  <c r="J180" i="2" s="1"/>
  <c r="F181" i="2" s="1"/>
  <c r="H181" i="2" s="1"/>
  <c r="I181" i="2" s="1"/>
  <c r="J181" i="2" s="1"/>
  <c r="F182" i="2" s="1"/>
  <c r="H182" i="2" s="1"/>
  <c r="I182" i="2" s="1"/>
  <c r="J182" i="2" s="1"/>
  <c r="F183" i="2" s="1"/>
  <c r="H183" i="2" s="1"/>
  <c r="I183" i="2" s="1"/>
  <c r="J183" i="2" s="1"/>
  <c r="F184" i="2" s="1"/>
  <c r="H184" i="2" s="1"/>
  <c r="I184" i="2" s="1"/>
  <c r="J184" i="2" s="1"/>
  <c r="F185" i="2" s="1"/>
  <c r="H185" i="2" s="1"/>
  <c r="I185" i="2" s="1"/>
  <c r="J185" i="2" s="1"/>
  <c r="F186" i="2" s="1"/>
  <c r="H186" i="2" s="1"/>
  <c r="I186" i="2" s="1"/>
  <c r="J186" i="2" s="1"/>
  <c r="F187" i="2" s="1"/>
  <c r="H187" i="2" s="1"/>
  <c r="I187" i="2" s="1"/>
  <c r="J187" i="2" s="1"/>
  <c r="F188" i="2" s="1"/>
  <c r="H188" i="2" s="1"/>
  <c r="I188" i="2" s="1"/>
  <c r="J188" i="2" s="1"/>
  <c r="F189" i="2" s="1"/>
  <c r="H189" i="2" s="1"/>
  <c r="I189" i="2" s="1"/>
  <c r="J189" i="2" s="1"/>
  <c r="F190" i="2" s="1"/>
  <c r="H190" i="2" s="1"/>
  <c r="I190" i="2" s="1"/>
  <c r="J190" i="2" s="1"/>
  <c r="F191" i="2" s="1"/>
  <c r="H191" i="2" s="1"/>
  <c r="I191" i="2" s="1"/>
  <c r="J191" i="2" s="1"/>
  <c r="F192" i="2" s="1"/>
  <c r="H192" i="2" s="1"/>
  <c r="I192" i="2" s="1"/>
  <c r="J192" i="2" s="1"/>
  <c r="F193" i="2" s="1"/>
  <c r="H193" i="2" s="1"/>
  <c r="I193" i="2" s="1"/>
  <c r="J193" i="2" s="1"/>
  <c r="F194" i="2" s="1"/>
  <c r="H194" i="2" s="1"/>
  <c r="I194" i="2" s="1"/>
  <c r="J194" i="2" s="1"/>
  <c r="F195" i="2" s="1"/>
  <c r="H195" i="2" s="1"/>
  <c r="I195" i="2" s="1"/>
  <c r="J195" i="2" s="1"/>
  <c r="F196" i="2" s="1"/>
  <c r="H196" i="2" s="1"/>
  <c r="I196" i="2" s="1"/>
  <c r="J196" i="2" s="1"/>
  <c r="F197" i="2" s="1"/>
  <c r="H197" i="2" s="1"/>
  <c r="I197" i="2" s="1"/>
  <c r="J197" i="2" s="1"/>
  <c r="F198" i="2" s="1"/>
  <c r="H198" i="2" s="1"/>
  <c r="I198" i="2" s="1"/>
  <c r="J198" i="2" s="1"/>
  <c r="F199" i="2" s="1"/>
  <c r="H199" i="2" s="1"/>
  <c r="I199" i="2" s="1"/>
  <c r="J199" i="2" s="1"/>
  <c r="F200" i="2" s="1"/>
  <c r="H200" i="2" s="1"/>
  <c r="I200" i="2" s="1"/>
  <c r="J200" i="2" s="1"/>
  <c r="F201" i="2" s="1"/>
  <c r="H201" i="2" s="1"/>
  <c r="I201" i="2" s="1"/>
  <c r="J201" i="2" s="1"/>
  <c r="F202" i="2" s="1"/>
  <c r="H202" i="2" s="1"/>
  <c r="I202" i="2" s="1"/>
  <c r="J202" i="2" s="1"/>
  <c r="F203" i="2" s="1"/>
  <c r="H203" i="2" s="1"/>
  <c r="I203" i="2" s="1"/>
  <c r="J203" i="2" s="1"/>
  <c r="F204" i="2" s="1"/>
  <c r="H204" i="2" s="1"/>
  <c r="I204" i="2" s="1"/>
  <c r="J204" i="2" s="1"/>
  <c r="F205" i="2" s="1"/>
  <c r="H205" i="2" s="1"/>
  <c r="I205" i="2" s="1"/>
  <c r="J205" i="2" s="1"/>
  <c r="F206" i="2" s="1"/>
  <c r="H206" i="2" s="1"/>
  <c r="I206" i="2" s="1"/>
  <c r="J206" i="2" s="1"/>
  <c r="F207" i="2" s="1"/>
  <c r="H207" i="2" s="1"/>
  <c r="I207" i="2" s="1"/>
  <c r="J207" i="2" s="1"/>
  <c r="F208" i="2" s="1"/>
  <c r="H208" i="2" s="1"/>
  <c r="I208" i="2" s="1"/>
  <c r="J208" i="2" s="1"/>
  <c r="F209" i="2" s="1"/>
  <c r="H209" i="2" s="1"/>
  <c r="I209" i="2" s="1"/>
  <c r="J209" i="2" s="1"/>
  <c r="F210" i="2" s="1"/>
  <c r="H210" i="2" s="1"/>
  <c r="I210" i="2" s="1"/>
  <c r="J210" i="2" s="1"/>
  <c r="F211" i="2" s="1"/>
  <c r="H211" i="2" s="1"/>
  <c r="I211" i="2" s="1"/>
  <c r="J211" i="2" s="1"/>
  <c r="F212" i="2" s="1"/>
  <c r="H212" i="2" s="1"/>
  <c r="I212" i="2" s="1"/>
  <c r="J212" i="2" s="1"/>
  <c r="F213" i="2" s="1"/>
  <c r="H213" i="2" s="1"/>
  <c r="I213" i="2" s="1"/>
  <c r="J213" i="2" s="1"/>
  <c r="F214" i="2" s="1"/>
  <c r="H214" i="2" s="1"/>
  <c r="I214" i="2" s="1"/>
  <c r="J214" i="2" s="1"/>
  <c r="F215" i="2" s="1"/>
  <c r="H215" i="2" s="1"/>
  <c r="I215" i="2" s="1"/>
  <c r="J215" i="2" s="1"/>
  <c r="F216" i="2" s="1"/>
  <c r="H216" i="2" s="1"/>
  <c r="I216" i="2" s="1"/>
  <c r="J216" i="2" s="1"/>
  <c r="F217" i="2" s="1"/>
  <c r="H217" i="2" s="1"/>
  <c r="I217" i="2" s="1"/>
  <c r="J217" i="2" s="1"/>
  <c r="F218" i="2" s="1"/>
  <c r="H218" i="2" s="1"/>
  <c r="I218" i="2" s="1"/>
  <c r="J218" i="2" s="1"/>
  <c r="F219" i="2" s="1"/>
  <c r="H219" i="2" s="1"/>
  <c r="I219" i="2" s="1"/>
  <c r="J219" i="2" s="1"/>
  <c r="F220" i="2" s="1"/>
  <c r="H220" i="2" s="1"/>
  <c r="I220" i="2" s="1"/>
  <c r="J220" i="2" s="1"/>
  <c r="F221" i="2" s="1"/>
  <c r="H221" i="2" s="1"/>
  <c r="I221" i="2" s="1"/>
  <c r="J221" i="2" s="1"/>
  <c r="F222" i="2" s="1"/>
  <c r="H222" i="2" s="1"/>
  <c r="I222" i="2" s="1"/>
  <c r="J222" i="2" s="1"/>
  <c r="F223" i="2" s="1"/>
  <c r="H223" i="2" s="1"/>
  <c r="I223" i="2" s="1"/>
  <c r="J223" i="2" s="1"/>
  <c r="F224" i="2" s="1"/>
  <c r="H224" i="2" s="1"/>
  <c r="I224" i="2" s="1"/>
  <c r="J224" i="2" s="1"/>
  <c r="F225" i="2" s="1"/>
  <c r="H225" i="2" s="1"/>
  <c r="I225" i="2" s="1"/>
  <c r="J225" i="2" s="1"/>
  <c r="F226" i="2" s="1"/>
  <c r="H226" i="2" s="1"/>
  <c r="I226" i="2" s="1"/>
  <c r="J226" i="2" s="1"/>
  <c r="F227" i="2" s="1"/>
  <c r="H227" i="2" s="1"/>
  <c r="I227" i="2" s="1"/>
  <c r="J227" i="2" s="1"/>
  <c r="F228" i="2" s="1"/>
  <c r="H228" i="2" s="1"/>
  <c r="I228" i="2" s="1"/>
  <c r="J228" i="2" s="1"/>
  <c r="F229" i="2" s="1"/>
  <c r="H229" i="2" s="1"/>
  <c r="I229" i="2" s="1"/>
  <c r="J229" i="2" s="1"/>
  <c r="F230" i="2" s="1"/>
  <c r="H230" i="2" s="1"/>
  <c r="I230" i="2" s="1"/>
  <c r="J230" i="2" s="1"/>
  <c r="F231" i="2" s="1"/>
  <c r="H231" i="2" s="1"/>
  <c r="I231" i="2" s="1"/>
  <c r="J231" i="2" s="1"/>
  <c r="F232" i="2" s="1"/>
  <c r="H232" i="2" s="1"/>
  <c r="I232" i="2" s="1"/>
  <c r="J232" i="2" s="1"/>
  <c r="F233" i="2" s="1"/>
  <c r="H233" i="2" s="1"/>
  <c r="I233" i="2" s="1"/>
  <c r="J233" i="2" s="1"/>
  <c r="F234" i="2" s="1"/>
  <c r="H234" i="2" s="1"/>
  <c r="I234" i="2" s="1"/>
  <c r="J234" i="2" s="1"/>
  <c r="F235" i="2" s="1"/>
  <c r="H235" i="2" s="1"/>
  <c r="I235" i="2" s="1"/>
  <c r="J235" i="2" s="1"/>
  <c r="F236" i="2" s="1"/>
  <c r="H236" i="2" s="1"/>
  <c r="I236" i="2" s="1"/>
  <c r="J236" i="2" s="1"/>
  <c r="F237" i="2" s="1"/>
  <c r="H237" i="2" s="1"/>
  <c r="I237" i="2" s="1"/>
  <c r="J237" i="2" s="1"/>
  <c r="F238" i="2" s="1"/>
  <c r="H238" i="2" s="1"/>
  <c r="I238" i="2" s="1"/>
  <c r="J238" i="2" s="1"/>
  <c r="F239" i="2" s="1"/>
  <c r="H239" i="2" s="1"/>
  <c r="I239" i="2" s="1"/>
  <c r="J239" i="2" s="1"/>
  <c r="F240" i="2" s="1"/>
  <c r="H240" i="2" s="1"/>
  <c r="I240" i="2" s="1"/>
  <c r="J240" i="2" s="1"/>
  <c r="F241" i="2" s="1"/>
  <c r="H241" i="2" s="1"/>
  <c r="I241" i="2" s="1"/>
  <c r="J241" i="2" s="1"/>
  <c r="F242" i="2" s="1"/>
  <c r="H242" i="2" s="1"/>
  <c r="I242" i="2" s="1"/>
  <c r="J242" i="2" s="1"/>
  <c r="F243" i="2" s="1"/>
  <c r="H243" i="2" s="1"/>
  <c r="I243" i="2" s="1"/>
  <c r="J243" i="2" s="1"/>
  <c r="F244" i="2" s="1"/>
  <c r="H244" i="2" s="1"/>
  <c r="I244" i="2" s="1"/>
  <c r="J244" i="2" s="1"/>
  <c r="F245" i="2" s="1"/>
  <c r="H245" i="2" s="1"/>
  <c r="I245" i="2" s="1"/>
  <c r="J245" i="2" s="1"/>
  <c r="F246" i="2" s="1"/>
  <c r="H246" i="2" s="1"/>
  <c r="I246" i="2" s="1"/>
  <c r="J246" i="2" s="1"/>
  <c r="F247" i="2" s="1"/>
  <c r="H247" i="2" s="1"/>
  <c r="I247" i="2" s="1"/>
  <c r="J247" i="2" s="1"/>
  <c r="F248" i="2" s="1"/>
  <c r="H248" i="2" s="1"/>
  <c r="I248" i="2" s="1"/>
  <c r="J248" i="2" s="1"/>
  <c r="F249" i="2" s="1"/>
  <c r="H249" i="2" s="1"/>
  <c r="I249" i="2" s="1"/>
  <c r="J249" i="2" s="1"/>
  <c r="F250" i="2" s="1"/>
  <c r="H250" i="2" s="1"/>
  <c r="I250" i="2" s="1"/>
  <c r="J250" i="2" s="1"/>
  <c r="F251" i="2" s="1"/>
  <c r="H251" i="2" s="1"/>
  <c r="I251" i="2" s="1"/>
  <c r="J251" i="2" s="1"/>
  <c r="F252" i="2" s="1"/>
  <c r="H252" i="2" s="1"/>
  <c r="I252" i="2" s="1"/>
  <c r="J252" i="2" s="1"/>
  <c r="F253" i="2" s="1"/>
  <c r="H253" i="2" s="1"/>
  <c r="I253" i="2" s="1"/>
  <c r="J253" i="2" s="1"/>
  <c r="F254" i="2" s="1"/>
  <c r="H254" i="2" s="1"/>
  <c r="I254" i="2" s="1"/>
  <c r="J254" i="2" s="1"/>
  <c r="F255" i="2" s="1"/>
  <c r="H255" i="2" s="1"/>
  <c r="I255" i="2" s="1"/>
  <c r="J255" i="2" s="1"/>
  <c r="F256" i="2" s="1"/>
  <c r="H256" i="2" s="1"/>
  <c r="I256" i="2" s="1"/>
  <c r="J256" i="2" s="1"/>
  <c r="F257" i="2" s="1"/>
  <c r="H257" i="2" s="1"/>
  <c r="I257" i="2" s="1"/>
  <c r="J257" i="2" s="1"/>
  <c r="F258" i="2" s="1"/>
  <c r="H258" i="2" s="1"/>
  <c r="I258" i="2" s="1"/>
  <c r="J258" i="2" s="1"/>
  <c r="F259" i="2" s="1"/>
  <c r="H259" i="2" s="1"/>
  <c r="I259" i="2" s="1"/>
  <c r="J259" i="2" s="1"/>
  <c r="F260" i="2" s="1"/>
  <c r="H260" i="2" s="1"/>
  <c r="I260" i="2" s="1"/>
  <c r="J260" i="2" s="1"/>
  <c r="F261" i="2" s="1"/>
  <c r="H261" i="2" s="1"/>
  <c r="I261" i="2" s="1"/>
  <c r="J261" i="2" s="1"/>
  <c r="F262" i="2" s="1"/>
  <c r="H262" i="2" s="1"/>
  <c r="I262" i="2" s="1"/>
  <c r="J262" i="2" s="1"/>
  <c r="F263" i="2" s="1"/>
  <c r="H263" i="2" s="1"/>
  <c r="I263" i="2" s="1"/>
  <c r="J263" i="2" s="1"/>
  <c r="F264" i="2" s="1"/>
  <c r="H264" i="2" s="1"/>
  <c r="I264" i="2" s="1"/>
  <c r="J264" i="2" s="1"/>
  <c r="F265" i="2" s="1"/>
  <c r="H265" i="2" s="1"/>
  <c r="I265" i="2" s="1"/>
  <c r="J265" i="2" s="1"/>
  <c r="F266" i="2" s="1"/>
  <c r="H266" i="2" s="1"/>
  <c r="I266" i="2" s="1"/>
  <c r="J266" i="2" s="1"/>
  <c r="F267" i="2" s="1"/>
  <c r="H267" i="2" s="1"/>
  <c r="I267" i="2" s="1"/>
  <c r="J267" i="2" s="1"/>
  <c r="F268" i="2" s="1"/>
  <c r="H268" i="2" s="1"/>
  <c r="I268" i="2" s="1"/>
  <c r="J268" i="2" s="1"/>
  <c r="F269" i="2" s="1"/>
  <c r="H269" i="2" s="1"/>
  <c r="I269" i="2" s="1"/>
  <c r="J269" i="2" s="1"/>
  <c r="F270" i="2" s="1"/>
  <c r="H270" i="2" s="1"/>
  <c r="I270" i="2" s="1"/>
  <c r="J270" i="2" s="1"/>
  <c r="F271" i="2" s="1"/>
  <c r="H271" i="2" s="1"/>
  <c r="I271" i="2" s="1"/>
  <c r="J271" i="2" s="1"/>
  <c r="F272" i="2" s="1"/>
  <c r="H272" i="2" s="1"/>
  <c r="I272" i="2" s="1"/>
  <c r="J272" i="2" s="1"/>
  <c r="F273" i="2" s="1"/>
  <c r="H273" i="2" s="1"/>
  <c r="I273" i="2" s="1"/>
  <c r="J273" i="2" s="1"/>
  <c r="F274" i="2" s="1"/>
  <c r="H274" i="2" s="1"/>
  <c r="I274" i="2" s="1"/>
  <c r="J274" i="2" s="1"/>
  <c r="F275" i="2" s="1"/>
  <c r="H275" i="2" s="1"/>
  <c r="I275" i="2" s="1"/>
  <c r="J275" i="2" s="1"/>
  <c r="F276" i="2" s="1"/>
  <c r="H276" i="2" s="1"/>
  <c r="I276" i="2" s="1"/>
  <c r="J276" i="2" s="1"/>
  <c r="F277" i="2" s="1"/>
  <c r="H277" i="2" s="1"/>
  <c r="I277" i="2" s="1"/>
  <c r="J277" i="2" s="1"/>
  <c r="F278" i="2" s="1"/>
  <c r="H278" i="2" s="1"/>
  <c r="I278" i="2" s="1"/>
  <c r="J278" i="2" s="1"/>
  <c r="F279" i="2" s="1"/>
  <c r="H279" i="2" s="1"/>
  <c r="I279" i="2" s="1"/>
  <c r="J279" i="2" s="1"/>
  <c r="F280" i="2" s="1"/>
  <c r="H280" i="2" s="1"/>
  <c r="I280" i="2" s="1"/>
  <c r="J280" i="2" s="1"/>
  <c r="F281" i="2" s="1"/>
  <c r="H281" i="2" s="1"/>
  <c r="I281" i="2" s="1"/>
  <c r="J281" i="2" s="1"/>
  <c r="F282" i="2" s="1"/>
  <c r="H282" i="2" s="1"/>
  <c r="I282" i="2" s="1"/>
  <c r="J282" i="2" s="1"/>
  <c r="F283" i="2" s="1"/>
  <c r="H283" i="2" s="1"/>
  <c r="I283" i="2" s="1"/>
  <c r="J283" i="2" s="1"/>
  <c r="F284" i="2" s="1"/>
  <c r="H284" i="2" s="1"/>
  <c r="I284" i="2" s="1"/>
  <c r="J284" i="2" s="1"/>
  <c r="F285" i="2" s="1"/>
  <c r="H285" i="2" s="1"/>
  <c r="I285" i="2" s="1"/>
  <c r="J285" i="2" s="1"/>
  <c r="F286" i="2" s="1"/>
  <c r="H286" i="2" s="1"/>
  <c r="I286" i="2" s="1"/>
  <c r="J286" i="2" s="1"/>
  <c r="F287" i="2" s="1"/>
  <c r="H287" i="2" s="1"/>
  <c r="I287" i="2" s="1"/>
  <c r="J287" i="2" s="1"/>
  <c r="F288" i="2" s="1"/>
  <c r="H288" i="2" s="1"/>
  <c r="I288" i="2" s="1"/>
  <c r="J288" i="2" s="1"/>
  <c r="F289" i="2" s="1"/>
  <c r="H289" i="2" s="1"/>
  <c r="I289" i="2" s="1"/>
  <c r="J289" i="2" s="1"/>
  <c r="F290" i="2" s="1"/>
  <c r="H290" i="2" s="1"/>
  <c r="I290" i="2" s="1"/>
  <c r="J290" i="2" s="1"/>
  <c r="F291" i="2" s="1"/>
  <c r="H291" i="2" s="1"/>
  <c r="I291" i="2" s="1"/>
  <c r="J291" i="2" s="1"/>
  <c r="F292" i="2" s="1"/>
  <c r="H292" i="2" s="1"/>
  <c r="I292" i="2" s="1"/>
  <c r="J292" i="2" s="1"/>
  <c r="F293" i="2" s="1"/>
  <c r="H293" i="2" s="1"/>
  <c r="I293" i="2" s="1"/>
  <c r="J293" i="2" s="1"/>
  <c r="F294" i="2" s="1"/>
  <c r="H294" i="2" s="1"/>
  <c r="I294" i="2" s="1"/>
  <c r="J294" i="2" s="1"/>
  <c r="F295" i="2" s="1"/>
  <c r="H295" i="2" s="1"/>
  <c r="I295" i="2" s="1"/>
  <c r="J295" i="2" s="1"/>
  <c r="F296" i="2" s="1"/>
  <c r="H296" i="2" s="1"/>
  <c r="I296" i="2" s="1"/>
  <c r="J296" i="2" s="1"/>
  <c r="F297" i="2" s="1"/>
  <c r="H297" i="2" s="1"/>
  <c r="I297" i="2" s="1"/>
  <c r="J297" i="2" s="1"/>
  <c r="F298" i="2" s="1"/>
  <c r="H298" i="2" s="1"/>
  <c r="I298" i="2" s="1"/>
  <c r="J298" i="2" s="1"/>
  <c r="F299" i="2" s="1"/>
  <c r="H299" i="2" s="1"/>
  <c r="I299" i="2" s="1"/>
  <c r="J299" i="2" s="1"/>
  <c r="F300" i="2" s="1"/>
  <c r="H300" i="2" s="1"/>
  <c r="I300" i="2" s="1"/>
  <c r="J300" i="2" s="1"/>
  <c r="F301" i="2" s="1"/>
  <c r="H301" i="2" s="1"/>
  <c r="I301" i="2" s="1"/>
  <c r="J301" i="2" s="1"/>
  <c r="F302" i="2" s="1"/>
  <c r="H302" i="2" s="1"/>
  <c r="I302" i="2" s="1"/>
  <c r="J302" i="2" s="1"/>
  <c r="F303" i="2" s="1"/>
  <c r="H303" i="2" s="1"/>
  <c r="I303" i="2" s="1"/>
  <c r="J303" i="2" s="1"/>
  <c r="F304" i="2" s="1"/>
  <c r="H304" i="2" s="1"/>
  <c r="I304" i="2" s="1"/>
  <c r="J304" i="2" s="1"/>
  <c r="F305" i="2" s="1"/>
  <c r="H305" i="2" s="1"/>
  <c r="I305" i="2" s="1"/>
  <c r="J305" i="2" s="1"/>
  <c r="F306" i="2" s="1"/>
  <c r="H306" i="2" s="1"/>
  <c r="I306" i="2" s="1"/>
  <c r="J306" i="2" s="1"/>
  <c r="F307" i="2" s="1"/>
  <c r="H307" i="2" s="1"/>
  <c r="I307" i="2" s="1"/>
  <c r="J307" i="2" s="1"/>
  <c r="F308" i="2" s="1"/>
  <c r="H308" i="2" s="1"/>
  <c r="I308" i="2" s="1"/>
  <c r="J308" i="2" s="1"/>
  <c r="F309" i="2" s="1"/>
  <c r="H309" i="2" s="1"/>
  <c r="I309" i="2" s="1"/>
  <c r="J309" i="2" s="1"/>
  <c r="F310" i="2" s="1"/>
  <c r="H310" i="2" s="1"/>
  <c r="I310" i="2" s="1"/>
  <c r="J310" i="2" s="1"/>
  <c r="F311" i="2" s="1"/>
  <c r="AO28" i="3"/>
  <c r="DZ28" i="3"/>
  <c r="ED28" i="3"/>
  <c r="DY28" i="3"/>
  <c r="DT28" i="3"/>
  <c r="DU28" i="3"/>
  <c r="EC28" i="3"/>
  <c r="AI28" i="3"/>
  <c r="Z28" i="3"/>
  <c r="AJ28" i="3"/>
  <c r="BU28" i="3"/>
  <c r="AZ28" i="3"/>
  <c r="BB28" i="3"/>
  <c r="CP28" i="3"/>
  <c r="U28" i="3"/>
  <c r="CH28" i="3"/>
  <c r="BI28" i="3"/>
  <c r="BP28" i="3"/>
  <c r="BS28" i="3"/>
  <c r="CT28" i="3"/>
  <c r="CJ28" i="3"/>
  <c r="DD28" i="3"/>
  <c r="BD28" i="3"/>
  <c r="CA28" i="3"/>
  <c r="AX28" i="3"/>
  <c r="AN28" i="3"/>
  <c r="V28" i="3"/>
  <c r="DE28" i="3"/>
  <c r="DX28" i="3"/>
  <c r="DL28" i="3"/>
  <c r="DK28" i="3"/>
  <c r="DG28" i="3"/>
  <c r="DO28" i="3"/>
  <c r="BW28" i="3"/>
  <c r="CY28" i="3"/>
  <c r="BT28" i="3"/>
  <c r="CL28" i="3"/>
  <c r="W28" i="3"/>
  <c r="BF28" i="3"/>
  <c r="BY28" i="3"/>
  <c r="BJ28" i="3"/>
  <c r="CQ28" i="3"/>
  <c r="Q28" i="3"/>
  <c r="BQ28" i="3"/>
  <c r="S28" i="3"/>
  <c r="CW28" i="3"/>
  <c r="DA28" i="3"/>
  <c r="AM28" i="3"/>
  <c r="BG28" i="3"/>
  <c r="Y28" i="3"/>
  <c r="CS28" i="3"/>
  <c r="CI28" i="3"/>
  <c r="AC28" i="3"/>
  <c r="AS28" i="3"/>
  <c r="AP28" i="3"/>
  <c r="R28" i="3"/>
  <c r="AA28" i="3"/>
  <c r="BC28" i="3"/>
  <c r="CZ28" i="3"/>
  <c r="T28" i="3"/>
  <c r="AE28" i="3"/>
  <c r="DH28" i="3"/>
  <c r="DR28" i="3"/>
  <c r="DM28" i="3"/>
  <c r="DV28" i="3"/>
  <c r="DJ28" i="3"/>
  <c r="DI28" i="3"/>
  <c r="DS28" i="3"/>
  <c r="BM28" i="3"/>
  <c r="BX28" i="3"/>
  <c r="BL28" i="3"/>
  <c r="CB28" i="3"/>
  <c r="CN28" i="3"/>
  <c r="CR28" i="3"/>
  <c r="AF28" i="3"/>
  <c r="BE28" i="3"/>
  <c r="CK28" i="3"/>
  <c r="AH28" i="3"/>
  <c r="BR28" i="3"/>
  <c r="BV28" i="3"/>
  <c r="CD28" i="3"/>
  <c r="BZ28" i="3"/>
  <c r="AW28" i="3"/>
  <c r="BO28" i="3"/>
  <c r="CG28" i="3"/>
  <c r="P28" i="3"/>
  <c r="O28" i="3"/>
  <c r="O29" i="3" s="1"/>
  <c r="DQ28" i="3"/>
  <c r="EB28" i="3"/>
  <c r="DW28" i="3"/>
  <c r="DP28" i="3"/>
  <c r="DN28" i="3"/>
  <c r="EA28" i="3"/>
  <c r="BK28" i="3"/>
  <c r="AL28" i="3"/>
  <c r="CO28" i="3"/>
  <c r="BA28" i="3"/>
  <c r="AB28" i="3"/>
  <c r="AQ28" i="3"/>
  <c r="CU28" i="3"/>
  <c r="BH28" i="3"/>
  <c r="DB28" i="3"/>
  <c r="DF28" i="3"/>
  <c r="AT28" i="3"/>
  <c r="X28" i="3"/>
  <c r="CF28" i="3"/>
  <c r="CE28" i="3"/>
  <c r="CM28" i="3"/>
  <c r="BN28" i="3"/>
  <c r="AR28" i="3"/>
  <c r="H48" i="4"/>
  <c r="Z34" i="3" s="1"/>
  <c r="CV28" i="3"/>
  <c r="CX28" i="3"/>
  <c r="AU28" i="3"/>
  <c r="AD28" i="3"/>
  <c r="AV28" i="3"/>
  <c r="AK28" i="3"/>
  <c r="AY28" i="3"/>
  <c r="CC28" i="3"/>
  <c r="DC28" i="3"/>
  <c r="AG28" i="3"/>
  <c r="H52" i="4"/>
  <c r="N6" i="3"/>
  <c r="N37" i="3" s="1"/>
  <c r="D41" i="8"/>
  <c r="D42" i="8" s="1"/>
  <c r="E38" i="8" l="1"/>
  <c r="Z36" i="3"/>
  <c r="E40" i="8" s="1"/>
  <c r="DF34" i="3"/>
  <c r="DF36" i="3" s="1"/>
  <c r="L40" i="8" s="1"/>
  <c r="CH34" i="3"/>
  <c r="AL34" i="3"/>
  <c r="AL36" i="3" s="1"/>
  <c r="F40" i="8" s="1"/>
  <c r="AX34" i="3"/>
  <c r="BJ34" i="3"/>
  <c r="BJ36" i="3" s="1"/>
  <c r="H40" i="8" s="1"/>
  <c r="CT34" i="3"/>
  <c r="AV29" i="3"/>
  <c r="AV31" i="3"/>
  <c r="CM29" i="3"/>
  <c r="CM31" i="3"/>
  <c r="CU29" i="3"/>
  <c r="L35" i="8"/>
  <c r="L36" i="8" s="1"/>
  <c r="CU31" i="3"/>
  <c r="CO29" i="3"/>
  <c r="CO31" i="3"/>
  <c r="DQ29" i="3"/>
  <c r="DQ31" i="3"/>
  <c r="BO29" i="3"/>
  <c r="BO31" i="3"/>
  <c r="BV29" i="3"/>
  <c r="BV31" i="3"/>
  <c r="BK5" i="5" s="1"/>
  <c r="BE29" i="3"/>
  <c r="BE31" i="3"/>
  <c r="CB29" i="3"/>
  <c r="CB31" i="3"/>
  <c r="DS29" i="3"/>
  <c r="N35" i="8"/>
  <c r="N36" i="8" s="1"/>
  <c r="N45" i="8" s="1"/>
  <c r="DS31" i="3"/>
  <c r="DM29" i="3"/>
  <c r="DM31" i="3"/>
  <c r="T29" i="3"/>
  <c r="T31" i="3"/>
  <c r="R29" i="3"/>
  <c r="R31" i="3"/>
  <c r="CI29" i="3"/>
  <c r="K35" i="8"/>
  <c r="K36" i="8" s="1"/>
  <c r="CI31" i="3"/>
  <c r="AM29" i="3"/>
  <c r="G35" i="8"/>
  <c r="G36" i="8" s="1"/>
  <c r="AM31" i="3"/>
  <c r="BQ29" i="3"/>
  <c r="BQ31" i="3"/>
  <c r="BY29" i="3"/>
  <c r="BY31" i="3"/>
  <c r="BT29" i="3"/>
  <c r="BT31" i="3"/>
  <c r="DG29" i="3"/>
  <c r="M35" i="8"/>
  <c r="M36" i="8" s="1"/>
  <c r="DG31" i="3"/>
  <c r="DE29" i="3"/>
  <c r="DE31" i="3"/>
  <c r="CA29" i="3"/>
  <c r="CA31" i="3"/>
  <c r="CT29" i="3"/>
  <c r="CT31" i="3"/>
  <c r="CH29" i="3"/>
  <c r="CH31" i="3"/>
  <c r="AZ29" i="3"/>
  <c r="AZ31" i="3"/>
  <c r="AI29" i="3"/>
  <c r="AI31" i="3"/>
  <c r="DY29" i="3"/>
  <c r="DY31" i="3"/>
  <c r="CC29" i="3"/>
  <c r="CC31" i="3"/>
  <c r="AD29" i="3"/>
  <c r="AD31" i="3"/>
  <c r="CE29" i="3"/>
  <c r="CE31" i="3"/>
  <c r="DF29" i="3"/>
  <c r="DF31" i="3"/>
  <c r="AQ29" i="3"/>
  <c r="AQ31" i="3"/>
  <c r="AL29" i="3"/>
  <c r="AL31" i="3"/>
  <c r="DP29" i="3"/>
  <c r="DP31" i="3"/>
  <c r="H53" i="4"/>
  <c r="E35" i="8"/>
  <c r="E36" i="8" s="1"/>
  <c r="O31" i="3"/>
  <c r="D5" i="5" s="1"/>
  <c r="AW29" i="3"/>
  <c r="AW31" i="3"/>
  <c r="BR29" i="3"/>
  <c r="BR31" i="3"/>
  <c r="AF29" i="3"/>
  <c r="AF31" i="3"/>
  <c r="BL29" i="3"/>
  <c r="BL31" i="3"/>
  <c r="DI29" i="3"/>
  <c r="DI31" i="3"/>
  <c r="DR29" i="3"/>
  <c r="DR31" i="3"/>
  <c r="CZ29" i="3"/>
  <c r="CZ31" i="3"/>
  <c r="AP29" i="3"/>
  <c r="AP31" i="3"/>
  <c r="CS29" i="3"/>
  <c r="CS31" i="3"/>
  <c r="DA29" i="3"/>
  <c r="DA31" i="3"/>
  <c r="Q29" i="3"/>
  <c r="Q31" i="3"/>
  <c r="BF29" i="3"/>
  <c r="BF31" i="3"/>
  <c r="CY29" i="3"/>
  <c r="CY31" i="3"/>
  <c r="DK29" i="3"/>
  <c r="DK31" i="3"/>
  <c r="V29" i="3"/>
  <c r="V31" i="3"/>
  <c r="BD29" i="3"/>
  <c r="BD31" i="3"/>
  <c r="BS29" i="3"/>
  <c r="BS31" i="3"/>
  <c r="U29" i="3"/>
  <c r="U31" i="3"/>
  <c r="BU29" i="3"/>
  <c r="BU31" i="3"/>
  <c r="EC29" i="3"/>
  <c r="EC31" i="3"/>
  <c r="ED29" i="3"/>
  <c r="ED31" i="3"/>
  <c r="DS5" i="5" s="1"/>
  <c r="DC29" i="3"/>
  <c r="DC31" i="3"/>
  <c r="CV29" i="3"/>
  <c r="CV31" i="3"/>
  <c r="AT29" i="3"/>
  <c r="AT31" i="3"/>
  <c r="DN29" i="3"/>
  <c r="DN31" i="3"/>
  <c r="AY29" i="3"/>
  <c r="H35" i="8"/>
  <c r="H36" i="8" s="1"/>
  <c r="AY31" i="3"/>
  <c r="AU29" i="3"/>
  <c r="AU31" i="3"/>
  <c r="AR29" i="3"/>
  <c r="AR31" i="3"/>
  <c r="CF29" i="3"/>
  <c r="CF31" i="3"/>
  <c r="DB29" i="3"/>
  <c r="DB31" i="3"/>
  <c r="AB29" i="3"/>
  <c r="AB31" i="3"/>
  <c r="BK29" i="3"/>
  <c r="I35" i="8"/>
  <c r="I36" i="8" s="1"/>
  <c r="I45" i="8" s="1"/>
  <c r="BK31" i="3"/>
  <c r="DW29" i="3"/>
  <c r="DW31" i="3"/>
  <c r="P29" i="3"/>
  <c r="P31" i="3"/>
  <c r="BZ29" i="3"/>
  <c r="BZ31" i="3"/>
  <c r="AH29" i="3"/>
  <c r="AH31" i="3"/>
  <c r="CR29" i="3"/>
  <c r="CR31" i="3"/>
  <c r="BX29" i="3"/>
  <c r="BX31" i="3"/>
  <c r="DJ29" i="3"/>
  <c r="DJ31" i="3"/>
  <c r="DH29" i="3"/>
  <c r="DH31" i="3"/>
  <c r="BC29" i="3"/>
  <c r="BC31" i="3"/>
  <c r="AS29" i="3"/>
  <c r="AS31" i="3"/>
  <c r="Y29" i="3"/>
  <c r="Y31" i="3"/>
  <c r="CW29" i="3"/>
  <c r="CW31" i="3"/>
  <c r="CQ29" i="3"/>
  <c r="CQ31" i="3"/>
  <c r="W29" i="3"/>
  <c r="W31" i="3"/>
  <c r="BW29" i="3"/>
  <c r="J35" i="8"/>
  <c r="J36" i="8" s="1"/>
  <c r="BW31" i="3"/>
  <c r="DL29" i="3"/>
  <c r="DL31" i="3"/>
  <c r="AN29" i="3"/>
  <c r="AN31" i="3"/>
  <c r="DD29" i="3"/>
  <c r="DD31" i="3"/>
  <c r="BP29" i="3"/>
  <c r="BP31" i="3"/>
  <c r="CP29" i="3"/>
  <c r="CP31" i="3"/>
  <c r="AJ29" i="3"/>
  <c r="AJ31" i="3"/>
  <c r="DU29" i="3"/>
  <c r="DU31" i="3"/>
  <c r="DZ29" i="3"/>
  <c r="DZ31" i="3"/>
  <c r="AG29" i="3"/>
  <c r="AG31" i="3"/>
  <c r="AK29" i="3"/>
  <c r="AK31" i="3"/>
  <c r="CX29" i="3"/>
  <c r="CX31" i="3"/>
  <c r="BN29" i="3"/>
  <c r="BN31" i="3"/>
  <c r="X29" i="3"/>
  <c r="X31" i="3"/>
  <c r="BH29" i="3"/>
  <c r="BH31" i="3"/>
  <c r="BA29" i="3"/>
  <c r="BA31" i="3"/>
  <c r="EA29" i="3"/>
  <c r="EA31" i="3"/>
  <c r="EB29" i="3"/>
  <c r="EB31" i="3"/>
  <c r="CG29" i="3"/>
  <c r="CG31" i="3"/>
  <c r="CD29" i="3"/>
  <c r="CD31" i="3"/>
  <c r="CK29" i="3"/>
  <c r="CK31" i="3"/>
  <c r="CN29" i="3"/>
  <c r="CN31" i="3"/>
  <c r="BM29" i="3"/>
  <c r="BM31" i="3"/>
  <c r="DV29" i="3"/>
  <c r="DV31" i="3"/>
  <c r="AE29" i="3"/>
  <c r="AE31" i="3"/>
  <c r="AA29" i="3"/>
  <c r="F35" i="8"/>
  <c r="F36" i="8" s="1"/>
  <c r="AA31" i="3"/>
  <c r="AC29" i="3"/>
  <c r="AC31" i="3"/>
  <c r="BG29" i="3"/>
  <c r="BG31" i="3"/>
  <c r="S29" i="3"/>
  <c r="S31" i="3"/>
  <c r="BJ29" i="3"/>
  <c r="BJ31" i="3"/>
  <c r="CL29" i="3"/>
  <c r="CL31" i="3"/>
  <c r="DO29" i="3"/>
  <c r="DO31" i="3"/>
  <c r="DX29" i="3"/>
  <c r="DX31" i="3"/>
  <c r="AX29" i="3"/>
  <c r="AX31" i="3"/>
  <c r="CJ29" i="3"/>
  <c r="CJ31" i="3"/>
  <c r="BI29" i="3"/>
  <c r="BI31" i="3"/>
  <c r="BB29" i="3"/>
  <c r="BB31" i="3"/>
  <c r="Z29" i="3"/>
  <c r="Z31" i="3"/>
  <c r="DT29" i="3"/>
  <c r="DT31" i="3"/>
  <c r="AO29" i="3"/>
  <c r="AO31" i="3"/>
  <c r="H311" i="2"/>
  <c r="I311" i="2" s="1"/>
  <c r="J311" i="2" s="1"/>
  <c r="F312" i="2" s="1"/>
  <c r="K36" i="4" l="1"/>
  <c r="L38" i="8"/>
  <c r="J38" i="8"/>
  <c r="CH36" i="3"/>
  <c r="J40" i="8" s="1"/>
  <c r="J42" i="8" s="1"/>
  <c r="F38" i="8"/>
  <c r="G38" i="8"/>
  <c r="AX36" i="3"/>
  <c r="G40" i="8" s="1"/>
  <c r="G42" i="8" s="1"/>
  <c r="H38" i="8"/>
  <c r="K38" i="8"/>
  <c r="CT36" i="3"/>
  <c r="K40" i="8" s="1"/>
  <c r="K42" i="8" s="1"/>
  <c r="H45" i="8"/>
  <c r="H42" i="8"/>
  <c r="DC37" i="3"/>
  <c r="CR5" i="5"/>
  <c r="J5" i="5"/>
  <c r="U37" i="3"/>
  <c r="DK37" i="3"/>
  <c r="CZ5" i="5"/>
  <c r="DA37" i="3"/>
  <c r="CP5" i="5"/>
  <c r="DG5" i="5"/>
  <c r="DR37" i="3"/>
  <c r="BG5" i="5"/>
  <c r="BR37" i="3"/>
  <c r="DP37" i="3"/>
  <c r="DE5" i="5"/>
  <c r="BT5" i="5"/>
  <c r="CE37" i="3"/>
  <c r="AI37" i="3"/>
  <c r="X5" i="5"/>
  <c r="CV5" i="5"/>
  <c r="DG37" i="3"/>
  <c r="CI37" i="3"/>
  <c r="BX5" i="5"/>
  <c r="CU37" i="3"/>
  <c r="CJ5" i="5"/>
  <c r="DV37" i="3"/>
  <c r="DK5" i="5"/>
  <c r="BS5" i="5"/>
  <c r="CD37" i="3"/>
  <c r="X37" i="3"/>
  <c r="M5" i="5"/>
  <c r="AG37" i="3"/>
  <c r="V5" i="5"/>
  <c r="CE5" i="5"/>
  <c r="CP37" i="3"/>
  <c r="DL37" i="3"/>
  <c r="DA5" i="5"/>
  <c r="AB37" i="3"/>
  <c r="Q5" i="5"/>
  <c r="AU37" i="3"/>
  <c r="AJ5" i="5"/>
  <c r="DI5" i="5"/>
  <c r="DT37" i="3"/>
  <c r="BY5" i="5"/>
  <c r="CJ37" i="3"/>
  <c r="CA5" i="5"/>
  <c r="CL37" i="3"/>
  <c r="R5" i="5"/>
  <c r="AC37" i="3"/>
  <c r="CW37" i="3"/>
  <c r="CL5" i="5"/>
  <c r="DH37" i="3"/>
  <c r="CW5" i="5"/>
  <c r="AH37" i="3"/>
  <c r="W5" i="5"/>
  <c r="E5" i="5"/>
  <c r="P37" i="3"/>
  <c r="DN37" i="3"/>
  <c r="DC5" i="5"/>
  <c r="CV37" i="3"/>
  <c r="CK5" i="5"/>
  <c r="V37" i="3"/>
  <c r="K5" i="5"/>
  <c r="AE37" i="3"/>
  <c r="T5" i="5"/>
  <c r="BB5" i="5"/>
  <c r="BM37" i="3"/>
  <c r="CK37" i="3"/>
  <c r="BZ5" i="5"/>
  <c r="BV5" i="5"/>
  <c r="CG37" i="3"/>
  <c r="EA37" i="3"/>
  <c r="DP5" i="5"/>
  <c r="AW5" i="5"/>
  <c r="BH37" i="3"/>
  <c r="BC5" i="5"/>
  <c r="BN37" i="3"/>
  <c r="AK37" i="3"/>
  <c r="Z5" i="5"/>
  <c r="DZ37" i="3"/>
  <c r="DO5" i="5"/>
  <c r="AJ37" i="3"/>
  <c r="Y5" i="5"/>
  <c r="BE5" i="5"/>
  <c r="BP37" i="3"/>
  <c r="AN37" i="3"/>
  <c r="AC5" i="5"/>
  <c r="BL5" i="5"/>
  <c r="BW37" i="3"/>
  <c r="CQ5" i="5"/>
  <c r="DB37" i="3"/>
  <c r="AG5" i="5"/>
  <c r="AR37" i="3"/>
  <c r="AY37" i="3"/>
  <c r="AN5" i="5"/>
  <c r="BI5" i="5"/>
  <c r="BT37" i="3"/>
  <c r="BQ37" i="3"/>
  <c r="BF5" i="5"/>
  <c r="R37" i="3"/>
  <c r="G5" i="5"/>
  <c r="DM37" i="3"/>
  <c r="DB5" i="5"/>
  <c r="CB5" i="5"/>
  <c r="CM37" i="3"/>
  <c r="J45" i="8"/>
  <c r="Y37" i="3"/>
  <c r="N5" i="5"/>
  <c r="BC37" i="3"/>
  <c r="AR5" i="5"/>
  <c r="CG5" i="5"/>
  <c r="CR37" i="3"/>
  <c r="BO5" i="5"/>
  <c r="BZ37" i="3"/>
  <c r="DW37" i="3"/>
  <c r="DL5" i="5"/>
  <c r="AT37" i="3"/>
  <c r="AI5" i="5"/>
  <c r="EC37" i="3"/>
  <c r="DR5" i="5"/>
  <c r="BD37" i="3"/>
  <c r="AS5" i="5"/>
  <c r="BF37" i="3"/>
  <c r="AU5" i="5"/>
  <c r="AP37" i="3"/>
  <c r="AE5" i="5"/>
  <c r="BL37" i="3"/>
  <c r="BA5" i="5"/>
  <c r="O37" i="3"/>
  <c r="AF5" i="5"/>
  <c r="AQ37" i="3"/>
  <c r="BR5" i="5"/>
  <c r="CC37" i="3"/>
  <c r="BW5" i="5"/>
  <c r="CA37" i="3"/>
  <c r="BP5" i="5"/>
  <c r="CB37" i="3"/>
  <c r="BQ5" i="5"/>
  <c r="DQ37" i="3"/>
  <c r="DF5" i="5"/>
  <c r="DQ5" i="5"/>
  <c r="EB37" i="3"/>
  <c r="E45" i="8"/>
  <c r="E42" i="8"/>
  <c r="M45" i="8"/>
  <c r="M42" i="8"/>
  <c r="BY37" i="3"/>
  <c r="BN5" i="5"/>
  <c r="AM37" i="3"/>
  <c r="AB5" i="5"/>
  <c r="K45" i="8"/>
  <c r="T37" i="3"/>
  <c r="I5" i="5"/>
  <c r="DH5" i="5"/>
  <c r="DS37" i="3"/>
  <c r="L45" i="8"/>
  <c r="L42" i="8"/>
  <c r="AV37" i="3"/>
  <c r="AK5" i="5"/>
  <c r="AO37" i="3"/>
  <c r="AD5" i="5"/>
  <c r="O5" i="5"/>
  <c r="Z37" i="3"/>
  <c r="BI37" i="3"/>
  <c r="AX5" i="5"/>
  <c r="AM5" i="5"/>
  <c r="DO37" i="3"/>
  <c r="DD5" i="5"/>
  <c r="BJ37" i="3"/>
  <c r="AY5" i="5"/>
  <c r="AV5" i="5"/>
  <c r="BG37" i="3"/>
  <c r="P5" i="5"/>
  <c r="AA37" i="3"/>
  <c r="CQ37" i="3"/>
  <c r="CF5" i="5"/>
  <c r="DJ37" i="3"/>
  <c r="CY5" i="5"/>
  <c r="F45" i="8"/>
  <c r="F42" i="8"/>
  <c r="CC5" i="5"/>
  <c r="CN37" i="3"/>
  <c r="AP5" i="5"/>
  <c r="BA37" i="3"/>
  <c r="CM5" i="5"/>
  <c r="CX37" i="3"/>
  <c r="DJ5" i="5"/>
  <c r="DU37" i="3"/>
  <c r="CS5" i="5"/>
  <c r="DD37" i="3"/>
  <c r="BU5" i="5"/>
  <c r="CF37" i="3"/>
  <c r="AQ5" i="5"/>
  <c r="BB37" i="3"/>
  <c r="DX37" i="3"/>
  <c r="DM5" i="5"/>
  <c r="H5" i="5"/>
  <c r="S37" i="3"/>
  <c r="L5" i="5"/>
  <c r="W37" i="3"/>
  <c r="AS37" i="3"/>
  <c r="AH5" i="5"/>
  <c r="BX37" i="3"/>
  <c r="BM5" i="5"/>
  <c r="AZ5" i="5"/>
  <c r="BK37" i="3"/>
  <c r="BU37" i="3"/>
  <c r="BJ5" i="5"/>
  <c r="BH5" i="5"/>
  <c r="BS37" i="3"/>
  <c r="CN5" i="5"/>
  <c r="CY37" i="3"/>
  <c r="Q37" i="3"/>
  <c r="F5" i="5"/>
  <c r="CS37" i="3"/>
  <c r="CH5" i="5"/>
  <c r="CO5" i="5"/>
  <c r="CZ37" i="3"/>
  <c r="CX5" i="5"/>
  <c r="DI37" i="3"/>
  <c r="AF37" i="3"/>
  <c r="U5" i="5"/>
  <c r="AW37" i="3"/>
  <c r="AL5" i="5"/>
  <c r="AA5" i="5"/>
  <c r="AL37" i="3"/>
  <c r="CU5" i="5"/>
  <c r="DF37" i="3"/>
  <c r="AD37" i="3"/>
  <c r="S5" i="5"/>
  <c r="DY37" i="3"/>
  <c r="DN5" i="5"/>
  <c r="AO5" i="5"/>
  <c r="AZ37" i="3"/>
  <c r="CI5" i="5"/>
  <c r="DE37" i="3"/>
  <c r="CT5" i="5"/>
  <c r="G45" i="8"/>
  <c r="BE37" i="3"/>
  <c r="AT5" i="5"/>
  <c r="BD5" i="5"/>
  <c r="BO37" i="3"/>
  <c r="CD5" i="5"/>
  <c r="CO37" i="3"/>
  <c r="H312" i="2"/>
  <c r="I312" i="2" s="1"/>
  <c r="J312" i="2" s="1"/>
  <c r="F313" i="2" s="1"/>
  <c r="CH37" i="3" l="1"/>
  <c r="AX37" i="3"/>
  <c r="CT37" i="3"/>
  <c r="H58" i="4"/>
  <c r="H313" i="2"/>
  <c r="I313" i="2" s="1"/>
  <c r="J313" i="2" s="1"/>
  <c r="F314" i="2" s="1"/>
  <c r="H314" i="2" l="1"/>
  <c r="I314" i="2" s="1"/>
  <c r="J314" i="2" s="1"/>
  <c r="F315" i="2" s="1"/>
  <c r="H315" i="2" l="1"/>
  <c r="I315" i="2" s="1"/>
  <c r="J315" i="2" s="1"/>
  <c r="F316" i="2" s="1"/>
  <c r="H316" i="2" l="1"/>
  <c r="I316" i="2" s="1"/>
  <c r="J316" i="2" s="1"/>
  <c r="F317" i="2" s="1"/>
  <c r="H317" i="2" l="1"/>
  <c r="I317" i="2" s="1"/>
  <c r="J317" i="2" s="1"/>
  <c r="F318" i="2" s="1"/>
  <c r="H318" i="2" l="1"/>
  <c r="I318" i="2" s="1"/>
  <c r="J318" i="2" s="1"/>
  <c r="F319" i="2" s="1"/>
  <c r="H319" i="2" l="1"/>
  <c r="I319" i="2" s="1"/>
  <c r="J319" i="2" s="1"/>
  <c r="F320" i="2" s="1"/>
  <c r="H320" i="2" l="1"/>
  <c r="I320" i="2" s="1"/>
  <c r="J320" i="2" s="1"/>
  <c r="F321" i="2" s="1"/>
  <c r="H321" i="2" l="1"/>
  <c r="I321" i="2" s="1"/>
  <c r="J321" i="2" s="1"/>
  <c r="F322" i="2" s="1"/>
  <c r="H322" i="2" l="1"/>
  <c r="I322" i="2" s="1"/>
  <c r="J322" i="2" s="1"/>
  <c r="F323" i="2" s="1"/>
  <c r="H323" i="2" l="1"/>
  <c r="I323" i="2" s="1"/>
  <c r="J323" i="2" s="1"/>
  <c r="F324" i="2" s="1"/>
  <c r="H324" i="2" l="1"/>
  <c r="I324" i="2" s="1"/>
  <c r="J324" i="2" s="1"/>
  <c r="F325" i="2" s="1"/>
  <c r="H325" i="2" l="1"/>
  <c r="I325" i="2" s="1"/>
  <c r="J325" i="2" s="1"/>
  <c r="F326" i="2" s="1"/>
  <c r="H326" i="2" l="1"/>
  <c r="I326" i="2" s="1"/>
  <c r="J326" i="2" s="1"/>
  <c r="F327" i="2" s="1"/>
  <c r="H327" i="2" l="1"/>
  <c r="I327" i="2" s="1"/>
  <c r="J327" i="2" s="1"/>
  <c r="F328" i="2" s="1"/>
  <c r="H328" i="2" l="1"/>
  <c r="I328" i="2" s="1"/>
  <c r="J328" i="2" s="1"/>
  <c r="F329" i="2" s="1"/>
  <c r="H329" i="2" l="1"/>
  <c r="I329" i="2" s="1"/>
  <c r="J329" i="2" s="1"/>
  <c r="F330" i="2" s="1"/>
  <c r="H330" i="2" l="1"/>
  <c r="I330" i="2" s="1"/>
  <c r="J330" i="2" s="1"/>
  <c r="F331" i="2" s="1"/>
  <c r="H331" i="2" l="1"/>
  <c r="I331" i="2" s="1"/>
  <c r="J331" i="2" s="1"/>
  <c r="F332" i="2" s="1"/>
  <c r="H332" i="2" l="1"/>
  <c r="I332" i="2" s="1"/>
  <c r="J332" i="2" s="1"/>
  <c r="F333" i="2" s="1"/>
  <c r="H333" i="2" l="1"/>
  <c r="I333" i="2" s="1"/>
  <c r="J333" i="2" s="1"/>
  <c r="F334" i="2" s="1"/>
  <c r="H334" i="2" l="1"/>
  <c r="I334" i="2" s="1"/>
  <c r="J334" i="2" s="1"/>
  <c r="F335" i="2" s="1"/>
  <c r="H335" i="2" l="1"/>
  <c r="I335" i="2" s="1"/>
  <c r="J335" i="2" s="1"/>
  <c r="F336" i="2" s="1"/>
  <c r="H336" i="2" l="1"/>
  <c r="I336" i="2" s="1"/>
  <c r="J336" i="2" s="1"/>
  <c r="F337" i="2" s="1"/>
  <c r="H337" i="2" l="1"/>
  <c r="I337" i="2" s="1"/>
  <c r="J337" i="2" s="1"/>
  <c r="F338" i="2" s="1"/>
  <c r="H338" i="2" l="1"/>
  <c r="I338" i="2" s="1"/>
  <c r="J338" i="2" s="1"/>
  <c r="F339" i="2" s="1"/>
  <c r="H339" i="2" l="1"/>
  <c r="I339" i="2" s="1"/>
  <c r="J339" i="2" s="1"/>
  <c r="F340" i="2" s="1"/>
  <c r="H340" i="2" l="1"/>
  <c r="I340" i="2" s="1"/>
  <c r="J340" i="2" s="1"/>
  <c r="F341" i="2" s="1"/>
  <c r="H341" i="2" l="1"/>
  <c r="I341" i="2" s="1"/>
  <c r="J341" i="2" s="1"/>
  <c r="F342" i="2" s="1"/>
  <c r="H342" i="2" l="1"/>
  <c r="I342" i="2" s="1"/>
  <c r="J342" i="2" s="1"/>
  <c r="F343" i="2" s="1"/>
  <c r="H343" i="2" l="1"/>
  <c r="I343" i="2" s="1"/>
  <c r="J343" i="2" s="1"/>
  <c r="F344" i="2" s="1"/>
  <c r="H344" i="2" l="1"/>
  <c r="I344" i="2" s="1"/>
  <c r="J344" i="2" s="1"/>
  <c r="F345" i="2" s="1"/>
  <c r="H345" i="2" l="1"/>
  <c r="I345" i="2" s="1"/>
  <c r="J345" i="2" s="1"/>
  <c r="F346" i="2" s="1"/>
  <c r="H346" i="2" l="1"/>
  <c r="I346" i="2" s="1"/>
  <c r="J346" i="2" s="1"/>
  <c r="F347" i="2" s="1"/>
  <c r="H347" i="2" l="1"/>
  <c r="I347" i="2" s="1"/>
  <c r="J347" i="2" s="1"/>
  <c r="F348" i="2" s="1"/>
  <c r="H348" i="2" l="1"/>
  <c r="I348" i="2" s="1"/>
  <c r="J348" i="2" s="1"/>
  <c r="F349" i="2" s="1"/>
  <c r="H349" i="2" l="1"/>
  <c r="I349" i="2" s="1"/>
  <c r="J349" i="2" s="1"/>
  <c r="F350" i="2" s="1"/>
  <c r="H350" i="2" l="1"/>
  <c r="I350" i="2" s="1"/>
  <c r="J350" i="2" s="1"/>
  <c r="F351" i="2" s="1"/>
  <c r="H351" i="2" l="1"/>
  <c r="I351" i="2" s="1"/>
  <c r="J351" i="2" s="1"/>
  <c r="F352" i="2" s="1"/>
  <c r="H352" i="2" l="1"/>
  <c r="I352" i="2" s="1"/>
  <c r="J352" i="2" s="1"/>
  <c r="F353" i="2" s="1"/>
  <c r="H353" i="2" l="1"/>
  <c r="I353" i="2" s="1"/>
  <c r="J353" i="2" s="1"/>
  <c r="F354" i="2" s="1"/>
  <c r="H354" i="2" l="1"/>
  <c r="I354" i="2" s="1"/>
  <c r="J354" i="2" s="1"/>
  <c r="F355" i="2" s="1"/>
  <c r="H355" i="2" l="1"/>
  <c r="I355" i="2" s="1"/>
  <c r="J355" i="2" s="1"/>
  <c r="F356" i="2" s="1"/>
  <c r="H356" i="2" l="1"/>
  <c r="I356" i="2" s="1"/>
  <c r="J356" i="2" s="1"/>
  <c r="F357" i="2" s="1"/>
  <c r="H357" i="2" l="1"/>
  <c r="I357" i="2" s="1"/>
  <c r="J357" i="2" s="1"/>
  <c r="F358" i="2" s="1"/>
  <c r="H358" i="2" l="1"/>
  <c r="I358" i="2" s="1"/>
  <c r="J358" i="2" s="1"/>
  <c r="F359" i="2" s="1"/>
  <c r="H359" i="2" l="1"/>
  <c r="I359" i="2" s="1"/>
  <c r="J359" i="2" s="1"/>
  <c r="F360" i="2" s="1"/>
  <c r="H360" i="2" l="1"/>
  <c r="I360" i="2" s="1"/>
  <c r="J360" i="2" s="1"/>
  <c r="F361" i="2" s="1"/>
  <c r="H361" i="2" l="1"/>
  <c r="I361" i="2" s="1"/>
  <c r="J361" i="2" s="1"/>
  <c r="F362" i="2" s="1"/>
  <c r="H362" i="2" l="1"/>
  <c r="I362" i="2" s="1"/>
  <c r="J362" i="2" s="1"/>
  <c r="ED34" i="3" l="1"/>
  <c r="N38" i="8" s="1"/>
  <c r="ED36" i="3" l="1"/>
  <c r="H50" i="4"/>
  <c r="BV34" i="3"/>
  <c r="BV36" i="3" s="1"/>
  <c r="BV37" i="3" s="1"/>
  <c r="I38" i="8" l="1"/>
  <c r="N40" i="8"/>
  <c r="N42" i="8" s="1"/>
  <c r="ED37" i="3"/>
  <c r="N38" i="3" s="1"/>
  <c r="I40" i="8"/>
  <c r="I42" i="8" s="1"/>
  <c r="H54" i="4" l="1"/>
  <c r="N47" i="4" s="1"/>
  <c r="EF37" i="3"/>
  <c r="N39" i="3"/>
  <c r="H55" i="4" s="1"/>
  <c r="O47" i="4" s="1"/>
  <c r="H57" i="4"/>
  <c r="Q47" i="4" s="1"/>
  <c r="P42" i="8"/>
  <c r="D43" i="8"/>
  <c r="E46" i="8" s="1"/>
  <c r="D44" i="8"/>
  <c r="K46" i="8" l="1"/>
  <c r="L46" i="8"/>
  <c r="M46" i="8"/>
  <c r="N46" i="8"/>
  <c r="F46" i="8"/>
  <c r="J46" i="8"/>
  <c r="G46" i="8"/>
  <c r="H46" i="8"/>
  <c r="I46" i="8"/>
  <c r="P41" i="8"/>
  <c r="EF36" i="3"/>
  <c r="D46" i="8" l="1"/>
  <c r="H56" i="4" s="1"/>
  <c r="R47" i="4" s="1"/>
</calcChain>
</file>

<file path=xl/sharedStrings.xml><?xml version="1.0" encoding="utf-8"?>
<sst xmlns="http://schemas.openxmlformats.org/spreadsheetml/2006/main" count="274" uniqueCount="185">
  <si>
    <t>Equity In</t>
  </si>
  <si>
    <t>Loan Proceeds</t>
  </si>
  <si>
    <t>Closing Costs</t>
  </si>
  <si>
    <t>Total Equity In</t>
  </si>
  <si>
    <t>Interest Rate</t>
  </si>
  <si>
    <t>Term</t>
  </si>
  <si>
    <t>Loan Info</t>
  </si>
  <si>
    <t>Payment</t>
  </si>
  <si>
    <t>Equity Requirements</t>
  </si>
  <si>
    <t>Loan Payments</t>
  </si>
  <si>
    <t>Monthly Tax Payments</t>
  </si>
  <si>
    <t>Percent down</t>
  </si>
  <si>
    <t>Sales Price</t>
  </si>
  <si>
    <t>Loan Repayment</t>
  </si>
  <si>
    <t>Selling Costs</t>
  </si>
  <si>
    <t>Total Cash Flow</t>
  </si>
  <si>
    <t>BegBal</t>
  </si>
  <si>
    <t>Pmt</t>
  </si>
  <si>
    <t>Int</t>
  </si>
  <si>
    <t xml:space="preserve">Princ </t>
  </si>
  <si>
    <t>End Bal</t>
  </si>
  <si>
    <t>Date</t>
  </si>
  <si>
    <t>Equity Multiple</t>
  </si>
  <si>
    <t>Percent of Cost Needed for Loan</t>
  </si>
  <si>
    <t>Levered IRR</t>
  </si>
  <si>
    <t>Selling Costs (% of Sales Price @ exit)</t>
  </si>
  <si>
    <t>XIRR</t>
  </si>
  <si>
    <t>Results</t>
  </si>
  <si>
    <t>Assumptions</t>
  </si>
  <si>
    <t>Sales Price at Exit Year</t>
  </si>
  <si>
    <t>Selling Expense</t>
  </si>
  <si>
    <t>Points</t>
  </si>
  <si>
    <t>Origination Fees</t>
  </si>
  <si>
    <t>Cash Needed for Down Payment</t>
  </si>
  <si>
    <t>Cash Required if Loan has Points or Fees</t>
  </si>
  <si>
    <t>Loan Repayment Amount</t>
  </si>
  <si>
    <t>Down Payment + Closing Costs</t>
  </si>
  <si>
    <t>Total paid in Loan Payments</t>
  </si>
  <si>
    <t>Net Gain (loss)</t>
  </si>
  <si>
    <t>x</t>
  </si>
  <si>
    <t xml:space="preserve">Insurance </t>
  </si>
  <si>
    <t>One time unexpected cost in year 1</t>
  </si>
  <si>
    <t>Financing Assumptions</t>
  </si>
  <si>
    <t>Expected Average Annual Vacancy / Credit Loss</t>
  </si>
  <si>
    <t>Vacancy / Credit Loss</t>
  </si>
  <si>
    <t>Gross Rent</t>
  </si>
  <si>
    <t>Effective Income</t>
  </si>
  <si>
    <t>Hold Period</t>
  </si>
  <si>
    <t>Utilities</t>
  </si>
  <si>
    <t>Operating Expenses</t>
  </si>
  <si>
    <t>Total Operating Expenses</t>
  </si>
  <si>
    <t>Other Monthly Expense</t>
  </si>
  <si>
    <t>General Inflation Rate</t>
  </si>
  <si>
    <t>Yes</t>
  </si>
  <si>
    <t>No</t>
  </si>
  <si>
    <t>Going Out Cap Rate</t>
  </si>
  <si>
    <t>NOI</t>
  </si>
  <si>
    <t>Capital Reserve (% of Net Operating Income)</t>
  </si>
  <si>
    <t>Cash Flow from Operations</t>
  </si>
  <si>
    <t>Unit #</t>
  </si>
  <si>
    <t>SQ FT</t>
  </si>
  <si>
    <t>Rent SF</t>
  </si>
  <si>
    <t>Building</t>
  </si>
  <si>
    <t>Cost Per renovation</t>
  </si>
  <si>
    <t>Total Goss</t>
  </si>
  <si>
    <t>$PSF</t>
  </si>
  <si>
    <t>Rent at Acquisition</t>
  </si>
  <si>
    <t>Year</t>
  </si>
  <si>
    <t>Month in Year</t>
  </si>
  <si>
    <t>Renovation Expenses</t>
  </si>
  <si>
    <t>Year Complete</t>
  </si>
  <si>
    <t>Renovation Begin Date</t>
  </si>
  <si>
    <t>Date Complete</t>
  </si>
  <si>
    <t>Total Square Feet</t>
  </si>
  <si>
    <t>TTM $ PSF Gross</t>
  </si>
  <si>
    <t>Total Redevelopment Costs</t>
  </si>
  <si>
    <t>Cap Ex Reserve</t>
  </si>
  <si>
    <t>Cash Flow After Financing</t>
  </si>
  <si>
    <t>Check</t>
  </si>
  <si>
    <t>Required Unlevered Return</t>
  </si>
  <si>
    <t>Present Value</t>
  </si>
  <si>
    <t>Tax Payments</t>
  </si>
  <si>
    <t xml:space="preserve">Price Based on Required Unlevered IRR </t>
  </si>
  <si>
    <t>Unlevered Cash Flows</t>
  </si>
  <si>
    <t>Residual Sale Value</t>
  </si>
  <si>
    <t>Annual Pro Forma</t>
  </si>
  <si>
    <t>Levered Cash Flow</t>
  </si>
  <si>
    <t>Rental Gross Revenue</t>
  </si>
  <si>
    <t>Sale Proceeds</t>
  </si>
  <si>
    <t>Property Address</t>
  </si>
  <si>
    <t>Street</t>
  </si>
  <si>
    <t>City</t>
  </si>
  <si>
    <t>State</t>
  </si>
  <si>
    <t>ZIP</t>
  </si>
  <si>
    <t>Springfield</t>
  </si>
  <si>
    <t xml:space="preserve">123 Fake St. </t>
  </si>
  <si>
    <t>Units</t>
  </si>
  <si>
    <t>Studio</t>
  </si>
  <si>
    <t>1-bed</t>
  </si>
  <si>
    <t>2-bed</t>
  </si>
  <si>
    <t>3-bed</t>
  </si>
  <si>
    <t>Average SF per Unit</t>
  </si>
  <si>
    <t>Total Rentable SF</t>
  </si>
  <si>
    <t>Property Info</t>
  </si>
  <si>
    <t>Vacancy Rate</t>
  </si>
  <si>
    <t>Vacant Units</t>
  </si>
  <si>
    <t>Essential Deal Assumptions</t>
  </si>
  <si>
    <r>
      <t>Hold Period</t>
    </r>
    <r>
      <rPr>
        <b/>
        <sz val="11"/>
        <color theme="8"/>
        <rFont val="Calibri"/>
        <family val="2"/>
        <scheme val="minor"/>
      </rPr>
      <t xml:space="preserve"> (Max 10 years)</t>
    </r>
  </si>
  <si>
    <t>Amortization</t>
  </si>
  <si>
    <t>Total Building</t>
  </si>
  <si>
    <t>Property Level Assumptions</t>
  </si>
  <si>
    <t>Gross Rent Growth Assumptions</t>
  </si>
  <si>
    <t>Premium Added due to Renovation</t>
  </si>
  <si>
    <t>Duration of Rnovation (mos.)</t>
  </si>
  <si>
    <t>Unit Level Assumprions</t>
  </si>
  <si>
    <t>Going In Cap Rate (1st Year of Stabilized Rent)</t>
  </si>
  <si>
    <t>Acquisition Target Date</t>
  </si>
  <si>
    <t>Sale Proceeds after Debt Repayment</t>
  </si>
  <si>
    <t>What was paid by Investors</t>
  </si>
  <si>
    <t>Duration</t>
  </si>
  <si>
    <t>TTM Gross $PSF</t>
  </si>
  <si>
    <t>Annual % Growth</t>
  </si>
  <si>
    <t>Net Operating Income</t>
  </si>
  <si>
    <t>CFAF</t>
  </si>
  <si>
    <t>CapEX - Redevelopment</t>
  </si>
  <si>
    <t>Payout From Funds</t>
  </si>
  <si>
    <t>Price for Property</t>
  </si>
  <si>
    <t>Construction Contingency</t>
  </si>
  <si>
    <t>Market Cap Rate</t>
  </si>
  <si>
    <t>Disposition Date</t>
  </si>
  <si>
    <t>DSCR</t>
  </si>
  <si>
    <t>Minimum DSCR Realized in Pro Forma</t>
  </si>
  <si>
    <t>Unlevered Cash on Cash Return</t>
  </si>
  <si>
    <t>Levered Cash on Cash Return</t>
  </si>
  <si>
    <t>Net Gain (Loss)</t>
  </si>
  <si>
    <t>Holding Period Sensitivity Analysis</t>
  </si>
  <si>
    <t>Average Rent</t>
  </si>
  <si>
    <t>Cash Flow Check</t>
  </si>
  <si>
    <t>Monthly Rent With No Renovation</t>
  </si>
  <si>
    <t>Monthly Rent With Renovation</t>
  </si>
  <si>
    <t>Pd</t>
  </si>
  <si>
    <t>Stabilization</t>
  </si>
  <si>
    <t>NOI Growth in Following Year for Residual Value</t>
  </si>
  <si>
    <t>NOI for Resale</t>
  </si>
  <si>
    <t>Exit NOI Check</t>
  </si>
  <si>
    <t>NOI Check</t>
  </si>
  <si>
    <t>Apartment Type</t>
  </si>
  <si>
    <t>1 Bed</t>
  </si>
  <si>
    <t>2 Bed</t>
  </si>
  <si>
    <t>3 Bed</t>
  </si>
  <si>
    <t>Market Rent In Current Condition</t>
  </si>
  <si>
    <t>Choose Purchase Price</t>
  </si>
  <si>
    <t>Purchase Price Based On Market Cap Rate</t>
  </si>
  <si>
    <t>MinimumDSCR Required</t>
  </si>
  <si>
    <t>End construction</t>
  </si>
  <si>
    <t>Returns</t>
  </si>
  <si>
    <t>Type</t>
  </si>
  <si>
    <r>
      <t>=</t>
    </r>
    <r>
      <rPr>
        <sz val="11"/>
        <color rgb="FFFF0000"/>
        <rFont val="Calibri"/>
        <family val="2"/>
        <scheme val="minor"/>
      </rPr>
      <t>IF(AH$23&lt;'A&amp;Rs'!$T10,HLOOKUP(AH$21,$F$4:$Q$17,$B6)</t>
    </r>
    <r>
      <rPr>
        <sz val="11"/>
        <color theme="1"/>
        <rFont val="Calibri"/>
        <family val="2"/>
        <scheme val="minor"/>
      </rPr>
      <t>,</t>
    </r>
    <r>
      <rPr>
        <sz val="11"/>
        <color rgb="FF00B050"/>
        <rFont val="Calibri"/>
        <family val="2"/>
        <scheme val="minor"/>
      </rPr>
      <t>IF(AND(AH$23&gt;='A&amp;Rs'!$T10,AH$23&lt;'A&amp;Rs'!$V10),0</t>
    </r>
    <r>
      <rPr>
        <sz val="11"/>
        <color theme="1"/>
        <rFont val="Calibri"/>
        <family val="2"/>
        <scheme val="minor"/>
      </rPr>
      <t>,</t>
    </r>
    <r>
      <rPr>
        <sz val="11"/>
        <color rgb="FF0070C0"/>
        <rFont val="Calibri"/>
        <family val="2"/>
        <scheme val="minor"/>
      </rPr>
      <t>HLOOKUP(AH$21,$U$4:$AF$17,$B6)))</t>
    </r>
  </si>
  <si>
    <t>Purchase Price Based On DCF</t>
  </si>
  <si>
    <t>Disclaimer: This model may contain errors</t>
  </si>
  <si>
    <t>Changelog</t>
  </si>
  <si>
    <t xml:space="preserve">LEARN TO BUILD INSTITUTIONAL-QUALITY REAL ESTATE MODELS FROM SCRATCH
- CLICK HERE TO LEARN MORE - </t>
  </si>
  <si>
    <t>AdventuresinCRE.com and its affiliates do not provide tax, legal, investment, or accounting advice. This material has been prepared for informational purposes only, and is not intended to provide, and should not be relied on for, tax, legal or accounting advice. You should consult your own tax, legal and accounting advisors before engaging in any transaction. This model may contains errors. Verify all calculations being using this model to make investment decisions.</t>
  </si>
  <si>
    <t>Excel 365</t>
  </si>
  <si>
    <t>Excel 2016</t>
  </si>
  <si>
    <t>Browse our entire Library of Real Estate Models</t>
  </si>
  <si>
    <t>Excel 2013</t>
  </si>
  <si>
    <t>Compatibility</t>
  </si>
  <si>
    <t>Visit this Model's Webpage</t>
  </si>
  <si>
    <t>https://www.adventuresincre.com/</t>
  </si>
  <si>
    <t>Important Links:</t>
  </si>
  <si>
    <t>Model Resources</t>
  </si>
  <si>
    <t>MULTIFAMILY REDEVELOPMENT MODEL</t>
  </si>
  <si>
    <t>v7.0</t>
  </si>
  <si>
    <t>Added version tab for change tracking</t>
  </si>
  <si>
    <t>Author: Michael Belasco</t>
  </si>
  <si>
    <t>Adapted for use with A.CRE 'My Downloads' section</t>
  </si>
  <si>
    <t>Misc. formatting updates and enhancements</t>
  </si>
  <si>
    <t>Illinois</t>
  </si>
  <si>
    <t>v7.1</t>
  </si>
  <si>
    <t>Date Completion Formula Update (Cell X22 – A&amp;Rs Tab): Revised formula to reflect the construction completion date as one month after the final renovation is finished.</t>
  </si>
  <si>
    <t>Total Renovation Cost Formula Update (Cell Z22 – A&amp;Rs Tab): Revised formula to reflect the aggregate cost of all renovations included in the budget.</t>
  </si>
  <si>
    <t>Renovations End date</t>
  </si>
  <si>
    <t>Placeholder value updates</t>
  </si>
  <si>
    <t>Total Renovation Duration Formula Update (Cell W22 – A&amp;Rs Tab): Revised formula to calculate the total renovation period, measured in months from the start date to the completion of the last unit renovated.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</si>
</sst>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quot;$&quot;#,##0"/>
    <numFmt numFmtId="166" formatCode="0%\ &quot;Down Payment&quot;"/>
    <numFmt numFmtId="167" formatCode="General\ &quot;Years&quot;"/>
    <numFmt numFmtId="168" formatCode="&quot;Year &quot;General"/>
    <numFmt numFmtId="169" formatCode="&quot;Month&quot;\ General"/>
    <numFmt numFmtId="170" formatCode="0.000%"/>
    <numFmt numFmtId="171" formatCode="&quot;Annual Home Price Appreciation End of Year&quot;\ General"/>
    <numFmt numFmtId="172" formatCode="&quot;Rent Escalation in Year&quot;\ General"/>
    <numFmt numFmtId="173" formatCode="0.0%"/>
    <numFmt numFmtId="174" formatCode="&quot; Year&quot;\ General"/>
    <numFmt numFmtId="175" formatCode="General\ &quot;mos.&quot;"/>
    <numFmt numFmtId="176" formatCode="_(* #,##0_);_(* \(#,##0\);_(* &quot;-&quot;??_);_(@_)"/>
    <numFmt numFmtId="177" formatCode="0.00&quot;x&quot;"/>
    <numFmt numFmtId="178" formatCode="General\ &quot;SF&quot;"/>
    <numFmt numFmtId="179" formatCode="&quot;Unit&quot;\ General"/>
    <numFmt numFmtId="180" formatCode="&quot;Year&quot;\ General"/>
    <numFmt numFmtId="181" formatCode="&quot;Check&quot;_(* #,##0_);_(* \(#,##0\);_(* &quot;-&quot;??_);_(@_)"/>
    <numFmt numFmtId="182" formatCode="&quot;Year&quot;\ General\ &quot;Cash-on-Cash Return&quot;"/>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0"/>
      <name val="Calibri"/>
      <family val="2"/>
      <scheme val="minor"/>
    </font>
    <font>
      <sz val="11"/>
      <name val="Calibri"/>
      <family val="2"/>
      <scheme val="minor"/>
    </font>
    <font>
      <sz val="11"/>
      <color theme="8" tint="-0.249977111117893"/>
      <name val="Calibri"/>
      <family val="2"/>
      <scheme val="minor"/>
    </font>
    <font>
      <b/>
      <sz val="11"/>
      <color theme="8" tint="-0.249977111117893"/>
      <name val="Calibri"/>
      <family val="2"/>
      <scheme val="minor"/>
    </font>
    <font>
      <b/>
      <sz val="11"/>
      <name val="Calibri"/>
      <family val="2"/>
      <scheme val="minor"/>
    </font>
    <font>
      <sz val="11"/>
      <color theme="4" tint="-0.249977111117893"/>
      <name val="Calibri"/>
      <family val="2"/>
      <scheme val="minor"/>
    </font>
    <font>
      <sz val="11"/>
      <color theme="8"/>
      <name val="Calibri"/>
      <family val="2"/>
      <scheme val="minor"/>
    </font>
    <font>
      <b/>
      <sz val="11"/>
      <color theme="8"/>
      <name val="Calibri"/>
      <family val="2"/>
      <scheme val="minor"/>
    </font>
    <font>
      <i/>
      <sz val="11"/>
      <color theme="1"/>
      <name val="Calibri"/>
      <family val="2"/>
      <scheme val="minor"/>
    </font>
    <font>
      <sz val="11"/>
      <color theme="2" tint="-9.9978637043366805E-2"/>
      <name val="Calibri"/>
      <family val="2"/>
      <scheme val="minor"/>
    </font>
    <font>
      <sz val="11"/>
      <color rgb="FFFF0000"/>
      <name val="Calibri"/>
      <family val="2"/>
      <scheme val="minor"/>
    </font>
    <font>
      <b/>
      <sz val="30"/>
      <color theme="0"/>
      <name val="Calibri"/>
      <family val="2"/>
      <scheme val="minor"/>
    </font>
    <font>
      <sz val="11"/>
      <color rgb="FF00B050"/>
      <name val="Calibri"/>
      <family val="2"/>
      <scheme val="minor"/>
    </font>
    <font>
      <sz val="11"/>
      <color rgb="FF0070C0"/>
      <name val="Calibri"/>
      <family val="2"/>
      <scheme val="minor"/>
    </font>
    <font>
      <sz val="10"/>
      <color theme="1"/>
      <name val="Calibri"/>
      <family val="2"/>
      <scheme val="minor"/>
    </font>
    <font>
      <b/>
      <u/>
      <sz val="10"/>
      <color theme="1"/>
      <name val="Calibri"/>
      <family val="2"/>
      <scheme val="minor"/>
    </font>
    <font>
      <u/>
      <sz val="11"/>
      <color theme="10"/>
      <name val="Calibri"/>
      <family val="2"/>
      <scheme val="minor"/>
    </font>
    <font>
      <b/>
      <sz val="12"/>
      <color theme="1" tint="0.34998626667073579"/>
      <name val="Calibri"/>
      <family val="2"/>
      <scheme val="minor"/>
    </font>
    <font>
      <sz val="9"/>
      <color theme="1"/>
      <name val="Calibri"/>
      <family val="2"/>
      <scheme val="minor"/>
    </font>
    <font>
      <sz val="9"/>
      <color theme="0"/>
      <name val="Calibri"/>
      <family val="2"/>
      <scheme val="minor"/>
    </font>
    <font>
      <sz val="12"/>
      <color theme="0"/>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B606"/>
        <bgColor indexed="64"/>
      </patternFill>
    </fill>
    <fill>
      <patternFill patternType="solid">
        <fgColor theme="1" tint="0.34998626667073579"/>
        <bgColor indexed="64"/>
      </patternFill>
    </fill>
    <fill>
      <patternFill patternType="solid">
        <fgColor theme="4" tint="0.59999389629810485"/>
        <bgColor indexed="64"/>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1" fillId="0" borderId="0" applyNumberFormat="0" applyFill="0" applyBorder="0" applyAlignment="0" applyProtection="0"/>
  </cellStyleXfs>
  <cellXfs count="294">
    <xf numFmtId="0" fontId="0" fillId="0" borderId="0" xfId="0"/>
    <xf numFmtId="0" fontId="0" fillId="2" borderId="0" xfId="0" applyFill="1"/>
    <xf numFmtId="0" fontId="0" fillId="2" borderId="3" xfId="0" applyFill="1" applyBorder="1"/>
    <xf numFmtId="0" fontId="0" fillId="2" borderId="4" xfId="0" applyFill="1" applyBorder="1"/>
    <xf numFmtId="0" fontId="0" fillId="2" borderId="3" xfId="0" applyFill="1" applyBorder="1" applyAlignment="1">
      <alignment horizontal="left" indent="2"/>
    </xf>
    <xf numFmtId="165" fontId="0" fillId="2" borderId="4" xfId="0" applyNumberFormat="1" applyFill="1" applyBorder="1"/>
    <xf numFmtId="165" fontId="3" fillId="2" borderId="4" xfId="0" applyNumberFormat="1" applyFont="1" applyFill="1" applyBorder="1"/>
    <xf numFmtId="8" fontId="0" fillId="2" borderId="4" xfId="0" applyNumberFormat="1" applyFill="1" applyBorder="1"/>
    <xf numFmtId="0" fontId="0" fillId="2" borderId="5" xfId="0" applyFill="1" applyBorder="1"/>
    <xf numFmtId="166" fontId="6" fillId="2" borderId="3" xfId="0" applyNumberFormat="1" applyFont="1" applyFill="1" applyBorder="1" applyAlignment="1">
      <alignment horizontal="left" indent="2"/>
    </xf>
    <xf numFmtId="0" fontId="0" fillId="2" borderId="6" xfId="0" applyFill="1" applyBorder="1"/>
    <xf numFmtId="0" fontId="3" fillId="2" borderId="3" xfId="0" applyFont="1" applyFill="1" applyBorder="1"/>
    <xf numFmtId="164" fontId="0" fillId="2" borderId="4" xfId="0" applyNumberFormat="1" applyFill="1" applyBorder="1"/>
    <xf numFmtId="43" fontId="0" fillId="2" borderId="0" xfId="0" applyNumberFormat="1" applyFill="1"/>
    <xf numFmtId="14" fontId="0" fillId="2" borderId="0" xfId="0" applyNumberFormat="1" applyFill="1"/>
    <xf numFmtId="14" fontId="0" fillId="2" borderId="4" xfId="0" applyNumberFormat="1" applyFill="1" applyBorder="1"/>
    <xf numFmtId="9" fontId="0" fillId="2" borderId="4" xfId="0" applyNumberFormat="1" applyFill="1" applyBorder="1"/>
    <xf numFmtId="0" fontId="7" fillId="2" borderId="3" xfId="0" applyFont="1" applyFill="1" applyBorder="1" applyAlignment="1">
      <alignment horizontal="left" indent="2"/>
    </xf>
    <xf numFmtId="0" fontId="7" fillId="2" borderId="3" xfId="0" applyFont="1" applyFill="1" applyBorder="1"/>
    <xf numFmtId="43" fontId="0" fillId="2" borderId="0" xfId="1" applyNumberFormat="1" applyFont="1" applyFill="1" applyBorder="1"/>
    <xf numFmtId="43" fontId="0" fillId="2" borderId="4" xfId="1" applyNumberFormat="1" applyFont="1" applyFill="1" applyBorder="1"/>
    <xf numFmtId="0" fontId="0" fillId="2" borderId="8" xfId="0" applyFill="1" applyBorder="1"/>
    <xf numFmtId="43" fontId="0" fillId="2" borderId="4" xfId="0" applyNumberFormat="1" applyFill="1" applyBorder="1"/>
    <xf numFmtId="0" fontId="0" fillId="2" borderId="10" xfId="0" applyFill="1" applyBorder="1"/>
    <xf numFmtId="10" fontId="0" fillId="2" borderId="0" xfId="2" applyNumberFormat="1" applyFont="1" applyFill="1" applyBorder="1"/>
    <xf numFmtId="43" fontId="0" fillId="2" borderId="8" xfId="0" applyNumberFormat="1" applyFill="1" applyBorder="1"/>
    <xf numFmtId="0" fontId="0" fillId="2" borderId="11" xfId="0" applyFill="1" applyBorder="1"/>
    <xf numFmtId="0" fontId="7" fillId="2" borderId="5" xfId="0" applyFont="1" applyFill="1" applyBorder="1" applyAlignment="1">
      <alignment horizontal="left" indent="2"/>
    </xf>
    <xf numFmtId="172" fontId="7" fillId="2" borderId="3" xfId="0" applyNumberFormat="1" applyFont="1" applyFill="1" applyBorder="1" applyAlignment="1">
      <alignment horizontal="left" indent="2"/>
    </xf>
    <xf numFmtId="0" fontId="7" fillId="2" borderId="0" xfId="0" applyFont="1" applyFill="1"/>
    <xf numFmtId="0" fontId="0" fillId="2" borderId="12" xfId="0" applyFill="1" applyBorder="1"/>
    <xf numFmtId="0" fontId="3" fillId="2" borderId="10" xfId="0" applyFont="1" applyFill="1" applyBorder="1" applyAlignment="1">
      <alignment horizontal="left" indent="3"/>
    </xf>
    <xf numFmtId="0" fontId="3" fillId="2" borderId="0" xfId="0" applyFont="1" applyFill="1"/>
    <xf numFmtId="9" fontId="8" fillId="2" borderId="4" xfId="0" applyNumberFormat="1" applyFont="1" applyFill="1" applyBorder="1"/>
    <xf numFmtId="165" fontId="8" fillId="2" borderId="4" xfId="0" applyNumberFormat="1" applyFont="1" applyFill="1" applyBorder="1"/>
    <xf numFmtId="167" fontId="8" fillId="2" borderId="4" xfId="0" applyNumberFormat="1" applyFont="1" applyFill="1" applyBorder="1"/>
    <xf numFmtId="9" fontId="8" fillId="2" borderId="6" xfId="0" applyNumberFormat="1" applyFont="1" applyFill="1" applyBorder="1"/>
    <xf numFmtId="6" fontId="8" fillId="2" borderId="4" xfId="0" applyNumberFormat="1" applyFont="1" applyFill="1" applyBorder="1"/>
    <xf numFmtId="0" fontId="0" fillId="2" borderId="14" xfId="0" applyFill="1" applyBorder="1"/>
    <xf numFmtId="9" fontId="8" fillId="2" borderId="0" xfId="0" applyNumberFormat="1" applyFont="1" applyFill="1" applyAlignment="1">
      <alignment horizontal="center"/>
    </xf>
    <xf numFmtId="0" fontId="8" fillId="2" borderId="4" xfId="0" applyFont="1" applyFill="1" applyBorder="1" applyAlignment="1">
      <alignment horizontal="center"/>
    </xf>
    <xf numFmtId="165" fontId="0" fillId="2" borderId="0" xfId="0" applyNumberFormat="1" applyFill="1" applyAlignment="1">
      <alignment horizontal="center"/>
    </xf>
    <xf numFmtId="165" fontId="0" fillId="2" borderId="4" xfId="0" applyNumberFormat="1" applyFill="1" applyBorder="1" applyAlignment="1">
      <alignment horizontal="center"/>
    </xf>
    <xf numFmtId="0" fontId="0" fillId="2" borderId="3" xfId="0" applyFill="1" applyBorder="1" applyAlignment="1">
      <alignment horizontal="center"/>
    </xf>
    <xf numFmtId="164" fontId="0" fillId="2" borderId="0" xfId="0" applyNumberFormat="1" applyFill="1"/>
    <xf numFmtId="0" fontId="0" fillId="2" borderId="5" xfId="0" applyFill="1" applyBorder="1" applyAlignment="1">
      <alignment horizontal="center"/>
    </xf>
    <xf numFmtId="164" fontId="0" fillId="2" borderId="8" xfId="0" applyNumberFormat="1" applyFill="1" applyBorder="1"/>
    <xf numFmtId="0" fontId="0" fillId="2" borderId="0" xfId="0" applyFill="1" applyAlignment="1">
      <alignment horizontal="center"/>
    </xf>
    <xf numFmtId="164" fontId="0" fillId="2" borderId="0" xfId="0" applyNumberFormat="1" applyFill="1" applyAlignment="1">
      <alignment horizontal="center"/>
    </xf>
    <xf numFmtId="0" fontId="0" fillId="2" borderId="13" xfId="0" applyFill="1" applyBorder="1"/>
    <xf numFmtId="14" fontId="0" fillId="2" borderId="0" xfId="0" applyNumberFormat="1" applyFill="1" applyAlignment="1">
      <alignment horizontal="center"/>
    </xf>
    <xf numFmtId="0" fontId="0" fillId="4" borderId="0" xfId="0" applyFill="1"/>
    <xf numFmtId="10" fontId="8" fillId="2" borderId="4" xfId="0" applyNumberFormat="1" applyFont="1" applyFill="1" applyBorder="1"/>
    <xf numFmtId="165" fontId="6" fillId="2" borderId="4" xfId="1" applyNumberFormat="1" applyFont="1" applyFill="1" applyBorder="1"/>
    <xf numFmtId="0" fontId="2" fillId="7" borderId="7" xfId="0" applyFont="1" applyFill="1" applyBorder="1" applyAlignment="1">
      <alignment horizontal="center"/>
    </xf>
    <xf numFmtId="0" fontId="2" fillId="7" borderId="2" xfId="0" applyFont="1" applyFill="1" applyBorder="1" applyAlignment="1">
      <alignment horizontal="center"/>
    </xf>
    <xf numFmtId="41" fontId="0" fillId="2" borderId="0" xfId="0" applyNumberFormat="1" applyFill="1"/>
    <xf numFmtId="41" fontId="0" fillId="2" borderId="4" xfId="0" applyNumberFormat="1" applyFill="1" applyBorder="1"/>
    <xf numFmtId="10" fontId="0" fillId="2" borderId="0" xfId="0" applyNumberFormat="1" applyFill="1"/>
    <xf numFmtId="176" fontId="0" fillId="2" borderId="0" xfId="0" applyNumberFormat="1" applyFill="1"/>
    <xf numFmtId="176" fontId="0" fillId="2" borderId="4" xfId="0" applyNumberFormat="1" applyFill="1" applyBorder="1"/>
    <xf numFmtId="176" fontId="0" fillId="2" borderId="8" xfId="0" applyNumberFormat="1" applyFill="1" applyBorder="1"/>
    <xf numFmtId="41" fontId="0" fillId="2" borderId="8" xfId="0" applyNumberFormat="1" applyFill="1" applyBorder="1"/>
    <xf numFmtId="41" fontId="0" fillId="2" borderId="6" xfId="0" applyNumberFormat="1" applyFill="1" applyBorder="1"/>
    <xf numFmtId="0" fontId="0" fillId="2" borderId="3" xfId="0" applyFill="1" applyBorder="1" applyAlignment="1">
      <alignment horizontal="left" indent="1"/>
    </xf>
    <xf numFmtId="0" fontId="0" fillId="2" borderId="0" xfId="0" applyFill="1" applyAlignment="1">
      <alignment horizontal="left" indent="1"/>
    </xf>
    <xf numFmtId="0" fontId="3" fillId="2" borderId="3" xfId="0" applyFont="1" applyFill="1" applyBorder="1" applyAlignment="1">
      <alignment horizontal="left" indent="2"/>
    </xf>
    <xf numFmtId="0" fontId="3" fillId="2" borderId="0" xfId="0" applyFont="1" applyFill="1" applyAlignment="1">
      <alignment horizontal="left" indent="2"/>
    </xf>
    <xf numFmtId="41" fontId="3" fillId="2" borderId="0" xfId="0" applyNumberFormat="1" applyFont="1" applyFill="1"/>
    <xf numFmtId="41" fontId="3" fillId="2" borderId="4" xfId="0" applyNumberFormat="1" applyFont="1" applyFill="1" applyBorder="1"/>
    <xf numFmtId="0" fontId="3" fillId="2" borderId="5" xfId="0" applyFont="1" applyFill="1" applyBorder="1"/>
    <xf numFmtId="0" fontId="3" fillId="2" borderId="8" xfId="0" applyFont="1" applyFill="1" applyBorder="1"/>
    <xf numFmtId="176" fontId="3" fillId="2" borderId="6" xfId="0" applyNumberFormat="1" applyFont="1" applyFill="1" applyBorder="1"/>
    <xf numFmtId="5" fontId="0" fillId="2" borderId="0" xfId="0" applyNumberFormat="1" applyFill="1"/>
    <xf numFmtId="165" fontId="0" fillId="2" borderId="0" xfId="0" applyNumberFormat="1" applyFill="1"/>
    <xf numFmtId="0" fontId="10" fillId="2" borderId="4" xfId="0" applyFont="1" applyFill="1" applyBorder="1"/>
    <xf numFmtId="178" fontId="0" fillId="2" borderId="4" xfId="0" applyNumberFormat="1" applyFill="1" applyBorder="1"/>
    <xf numFmtId="9" fontId="0" fillId="2" borderId="4" xfId="2" applyFont="1" applyFill="1" applyBorder="1"/>
    <xf numFmtId="0" fontId="11" fillId="2" borderId="3" xfId="0" applyFont="1" applyFill="1" applyBorder="1"/>
    <xf numFmtId="10" fontId="0" fillId="2" borderId="4" xfId="2" applyNumberFormat="1" applyFont="1" applyFill="1" applyBorder="1"/>
    <xf numFmtId="173" fontId="11" fillId="2" borderId="4" xfId="0" applyNumberFormat="1" applyFont="1" applyFill="1" applyBorder="1"/>
    <xf numFmtId="167" fontId="0" fillId="2" borderId="4" xfId="0" applyNumberFormat="1" applyFill="1" applyBorder="1"/>
    <xf numFmtId="0" fontId="11" fillId="2" borderId="0" xfId="0" applyFont="1" applyFill="1" applyAlignment="1">
      <alignment horizontal="center"/>
    </xf>
    <xf numFmtId="165" fontId="11" fillId="2" borderId="0" xfId="0" applyNumberFormat="1" applyFont="1" applyFill="1" applyAlignment="1">
      <alignment horizontal="center"/>
    </xf>
    <xf numFmtId="14" fontId="11" fillId="2" borderId="0" xfId="0" applyNumberFormat="1" applyFont="1" applyFill="1" applyAlignment="1">
      <alignment horizontal="center"/>
    </xf>
    <xf numFmtId="0" fontId="11" fillId="2" borderId="4" xfId="0" applyFont="1" applyFill="1" applyBorder="1"/>
    <xf numFmtId="0" fontId="11" fillId="2" borderId="4" xfId="0" applyFont="1" applyFill="1" applyBorder="1" applyAlignment="1">
      <alignment horizontal="right"/>
    </xf>
    <xf numFmtId="0" fontId="0" fillId="2" borderId="3" xfId="0" applyFill="1" applyBorder="1" applyAlignment="1">
      <alignment vertical="center"/>
    </xf>
    <xf numFmtId="0" fontId="0" fillId="2" borderId="4" xfId="0" applyFill="1" applyBorder="1" applyAlignment="1">
      <alignment vertical="center"/>
    </xf>
    <xf numFmtId="0" fontId="11" fillId="2" borderId="3" xfId="0" applyFont="1" applyFill="1" applyBorder="1" applyAlignment="1">
      <alignment vertical="center"/>
    </xf>
    <xf numFmtId="14" fontId="6" fillId="2" borderId="4" xfId="0" applyNumberFormat="1" applyFont="1" applyFill="1" applyBorder="1"/>
    <xf numFmtId="14" fontId="11" fillId="2" borderId="4" xfId="0" applyNumberFormat="1" applyFont="1" applyFill="1" applyBorder="1"/>
    <xf numFmtId="0" fontId="4" fillId="2" borderId="0" xfId="0" applyFont="1" applyFill="1"/>
    <xf numFmtId="0" fontId="0" fillId="5" borderId="0" xfId="0" applyFill="1"/>
    <xf numFmtId="14" fontId="0" fillId="5" borderId="0" xfId="0" applyNumberFormat="1" applyFill="1"/>
    <xf numFmtId="0" fontId="0" fillId="2" borderId="15" xfId="0" applyFill="1" applyBorder="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xf numFmtId="0" fontId="0" fillId="2" borderId="0" xfId="0" applyFill="1" applyAlignment="1">
      <alignment vertical="center"/>
    </xf>
    <xf numFmtId="175" fontId="11" fillId="2" borderId="0" xfId="0" applyNumberFormat="1" applyFont="1" applyFill="1" applyAlignment="1">
      <alignment horizontal="center"/>
    </xf>
    <xf numFmtId="0" fontId="0" fillId="2" borderId="20" xfId="0" applyFill="1" applyBorder="1"/>
    <xf numFmtId="0" fontId="0" fillId="2" borderId="21" xfId="0" applyFill="1" applyBorder="1"/>
    <xf numFmtId="0" fontId="0" fillId="2" borderId="22" xfId="0" applyFill="1" applyBorder="1"/>
    <xf numFmtId="6" fontId="7" fillId="2" borderId="0" xfId="0" applyNumberFormat="1" applyFont="1" applyFill="1"/>
    <xf numFmtId="171" fontId="7" fillId="2" borderId="0" xfId="0" applyNumberFormat="1" applyFont="1" applyFill="1"/>
    <xf numFmtId="9" fontId="7" fillId="2" borderId="0" xfId="0" applyNumberFormat="1" applyFont="1" applyFill="1"/>
    <xf numFmtId="0" fontId="0" fillId="2" borderId="10" xfId="0" applyFill="1" applyBorder="1" applyAlignment="1">
      <alignment horizontal="left" indent="2"/>
    </xf>
    <xf numFmtId="176" fontId="3" fillId="2" borderId="0" xfId="0" applyNumberFormat="1" applyFont="1" applyFill="1"/>
    <xf numFmtId="176" fontId="3" fillId="2" borderId="8" xfId="0" applyNumberFormat="1" applyFont="1" applyFill="1" applyBorder="1"/>
    <xf numFmtId="0" fontId="3" fillId="2" borderId="0" xfId="0" applyFont="1" applyFill="1" applyAlignment="1">
      <alignment horizontal="left" indent="3"/>
    </xf>
    <xf numFmtId="0" fontId="0" fillId="2" borderId="0" xfId="0" applyFill="1" applyAlignment="1">
      <alignment horizontal="left" indent="2"/>
    </xf>
    <xf numFmtId="181" fontId="13" fillId="2" borderId="0" xfId="1" applyNumberFormat="1" applyFont="1" applyFill="1" applyBorder="1"/>
    <xf numFmtId="9" fontId="11" fillId="2" borderId="14" xfId="0" applyNumberFormat="1" applyFont="1" applyFill="1" applyBorder="1" applyAlignment="1">
      <alignment horizontal="center"/>
    </xf>
    <xf numFmtId="165" fontId="0" fillId="2" borderId="14" xfId="0" applyNumberFormat="1" applyFill="1" applyBorder="1" applyAlignment="1">
      <alignment horizontal="center"/>
    </xf>
    <xf numFmtId="9" fontId="11" fillId="2" borderId="4" xfId="0" applyNumberFormat="1" applyFont="1" applyFill="1" applyBorder="1"/>
    <xf numFmtId="0" fontId="6" fillId="2" borderId="0" xfId="0" applyFont="1" applyFill="1" applyAlignment="1">
      <alignment horizontal="center" vertical="center"/>
    </xf>
    <xf numFmtId="0" fontId="6" fillId="2" borderId="0" xfId="0" applyFont="1" applyFill="1" applyAlignment="1">
      <alignment horizontal="center" vertical="center" wrapText="1"/>
    </xf>
    <xf numFmtId="179" fontId="11" fillId="2" borderId="0" xfId="0" applyNumberFormat="1" applyFont="1" applyFill="1" applyAlignment="1">
      <alignment horizontal="center"/>
    </xf>
    <xf numFmtId="177" fontId="0" fillId="2" borderId="0" xfId="0" applyNumberFormat="1" applyFill="1"/>
    <xf numFmtId="10" fontId="0" fillId="2" borderId="8" xfId="2" applyNumberFormat="1" applyFont="1" applyFill="1" applyBorder="1"/>
    <xf numFmtId="10" fontId="0" fillId="2" borderId="6" xfId="2" applyNumberFormat="1" applyFont="1" applyFill="1" applyBorder="1"/>
    <xf numFmtId="179" fontId="0" fillId="2" borderId="3" xfId="0" applyNumberFormat="1" applyFill="1" applyBorder="1" applyAlignment="1">
      <alignment horizontal="center"/>
    </xf>
    <xf numFmtId="0" fontId="11" fillId="2" borderId="12" xfId="0" applyFont="1" applyFill="1" applyBorder="1" applyAlignment="1">
      <alignment horizontal="center"/>
    </xf>
    <xf numFmtId="0" fontId="0" fillId="6" borderId="14" xfId="0" applyFill="1" applyBorder="1" applyAlignment="1">
      <alignment horizontal="center"/>
    </xf>
    <xf numFmtId="175" fontId="11" fillId="2" borderId="14" xfId="0" applyNumberFormat="1" applyFont="1" applyFill="1" applyBorder="1" applyAlignment="1">
      <alignment horizontal="center"/>
    </xf>
    <xf numFmtId="14" fontId="0" fillId="2" borderId="14" xfId="0" applyNumberFormat="1" applyFill="1" applyBorder="1" applyAlignment="1">
      <alignment horizontal="center"/>
    </xf>
    <xf numFmtId="0" fontId="0" fillId="2" borderId="14" xfId="0" applyFill="1" applyBorder="1" applyAlignment="1">
      <alignment horizontal="center"/>
    </xf>
    <xf numFmtId="165" fontId="11" fillId="2" borderId="14" xfId="0" applyNumberFormat="1" applyFont="1" applyFill="1" applyBorder="1" applyAlignment="1">
      <alignment horizontal="center"/>
    </xf>
    <xf numFmtId="165" fontId="0" fillId="6" borderId="13" xfId="0" applyNumberFormat="1" applyFill="1" applyBorder="1" applyAlignment="1">
      <alignment horizontal="center"/>
    </xf>
    <xf numFmtId="165" fontId="0" fillId="2" borderId="4" xfId="1" applyNumberFormat="1" applyFont="1" applyFill="1" applyBorder="1"/>
    <xf numFmtId="0" fontId="3" fillId="2" borderId="3" xfId="0" applyFont="1" applyFill="1" applyBorder="1" applyAlignment="1">
      <alignment horizontal="center"/>
    </xf>
    <xf numFmtId="10" fontId="14" fillId="2" borderId="0" xfId="0" applyNumberFormat="1" applyFont="1" applyFill="1" applyAlignment="1">
      <alignment horizontal="center"/>
    </xf>
    <xf numFmtId="180" fontId="3" fillId="2" borderId="3" xfId="0" applyNumberFormat="1" applyFont="1" applyFill="1" applyBorder="1" applyAlignment="1">
      <alignment horizontal="center"/>
    </xf>
    <xf numFmtId="10" fontId="0" fillId="2" borderId="0" xfId="2" applyNumberFormat="1" applyFont="1" applyFill="1" applyBorder="1" applyAlignment="1">
      <alignment horizontal="center"/>
    </xf>
    <xf numFmtId="177" fontId="0" fillId="2" borderId="0" xfId="0" applyNumberFormat="1" applyFill="1" applyAlignment="1">
      <alignment horizontal="center"/>
    </xf>
    <xf numFmtId="10" fontId="4" fillId="2" borderId="0" xfId="0" applyNumberFormat="1" applyFont="1" applyFill="1" applyAlignment="1">
      <alignment horizontal="center"/>
    </xf>
    <xf numFmtId="0" fontId="0" fillId="2" borderId="10" xfId="0" applyFill="1" applyBorder="1" applyAlignment="1">
      <alignment horizontal="center"/>
    </xf>
    <xf numFmtId="5" fontId="0" fillId="2" borderId="14" xfId="0" applyNumberFormat="1" applyFill="1" applyBorder="1"/>
    <xf numFmtId="5" fontId="0" fillId="2" borderId="13" xfId="0" applyNumberFormat="1" applyFill="1" applyBorder="1"/>
    <xf numFmtId="0" fontId="0" fillId="2" borderId="0" xfId="0" quotePrefix="1" applyFill="1" applyAlignment="1">
      <alignment horizontal="center"/>
    </xf>
    <xf numFmtId="179" fontId="0" fillId="2" borderId="5" xfId="0" applyNumberFormat="1" applyFill="1" applyBorder="1" applyAlignment="1">
      <alignment horizontal="center"/>
    </xf>
    <xf numFmtId="43" fontId="0" fillId="5" borderId="0" xfId="1" applyNumberFormat="1" applyFont="1" applyFill="1" applyBorder="1"/>
    <xf numFmtId="43" fontId="0" fillId="5" borderId="4" xfId="1" applyNumberFormat="1" applyFont="1" applyFill="1" applyBorder="1"/>
    <xf numFmtId="43" fontId="0" fillId="5" borderId="0" xfId="0" applyNumberFormat="1" applyFill="1"/>
    <xf numFmtId="168" fontId="5" fillId="5" borderId="0" xfId="0" applyNumberFormat="1" applyFont="1" applyFill="1" applyAlignment="1">
      <alignment horizontal="center"/>
    </xf>
    <xf numFmtId="169" fontId="5" fillId="5" borderId="0" xfId="0" applyNumberFormat="1" applyFont="1" applyFill="1" applyAlignment="1">
      <alignment horizontal="center"/>
    </xf>
    <xf numFmtId="43" fontId="3" fillId="5" borderId="0" xfId="1" applyNumberFormat="1" applyFont="1" applyFill="1" applyBorder="1"/>
    <xf numFmtId="167" fontId="0" fillId="5" borderId="0" xfId="0" applyNumberFormat="1" applyFill="1"/>
    <xf numFmtId="165" fontId="0" fillId="5" borderId="0" xfId="0" applyNumberFormat="1" applyFill="1"/>
    <xf numFmtId="10" fontId="0" fillId="5" borderId="0" xfId="0" applyNumberFormat="1" applyFill="1"/>
    <xf numFmtId="170" fontId="0" fillId="5" borderId="0" xfId="0" applyNumberFormat="1" applyFill="1"/>
    <xf numFmtId="164" fontId="0" fillId="5" borderId="0" xfId="0" applyNumberFormat="1" applyFill="1"/>
    <xf numFmtId="0" fontId="4" fillId="7" borderId="5" xfId="0" applyFont="1" applyFill="1" applyBorder="1"/>
    <xf numFmtId="180" fontId="4" fillId="7" borderId="8" xfId="0" applyNumberFormat="1" applyFont="1" applyFill="1" applyBorder="1"/>
    <xf numFmtId="180" fontId="4" fillId="7" borderId="6" xfId="0" applyNumberFormat="1" applyFont="1" applyFill="1" applyBorder="1"/>
    <xf numFmtId="41" fontId="0" fillId="2" borderId="11" xfId="0" applyNumberFormat="1" applyFill="1" applyBorder="1"/>
    <xf numFmtId="0" fontId="3" fillId="5" borderId="0" xfId="0" applyFont="1" applyFill="1"/>
    <xf numFmtId="0" fontId="3" fillId="2" borderId="18" xfId="0" applyFont="1" applyFill="1" applyBorder="1"/>
    <xf numFmtId="0" fontId="3" fillId="2" borderId="19" xfId="0" applyFont="1" applyFill="1" applyBorder="1"/>
    <xf numFmtId="9" fontId="0" fillId="2" borderId="19" xfId="2" applyFont="1" applyFill="1" applyBorder="1"/>
    <xf numFmtId="164" fontId="0" fillId="2" borderId="22" xfId="0" applyNumberFormat="1" applyFill="1" applyBorder="1"/>
    <xf numFmtId="164" fontId="0" fillId="2" borderId="19" xfId="0" applyNumberFormat="1" applyFill="1" applyBorder="1"/>
    <xf numFmtId="164" fontId="0" fillId="2" borderId="21" xfId="0" applyNumberFormat="1" applyFill="1" applyBorder="1"/>
    <xf numFmtId="164" fontId="0" fillId="2" borderId="21" xfId="0" applyNumberFormat="1" applyFill="1" applyBorder="1" applyAlignment="1">
      <alignment horizontal="center"/>
    </xf>
    <xf numFmtId="0" fontId="3" fillId="2" borderId="0" xfId="0" applyFont="1" applyFill="1" applyAlignment="1">
      <alignment horizontal="center"/>
    </xf>
    <xf numFmtId="0" fontId="3" fillId="2" borderId="4" xfId="0" applyFont="1" applyFill="1" applyBorder="1" applyAlignment="1">
      <alignment horizontal="center"/>
    </xf>
    <xf numFmtId="176" fontId="3" fillId="2" borderId="4" xfId="0" applyNumberFormat="1" applyFont="1" applyFill="1" applyBorder="1"/>
    <xf numFmtId="176" fontId="3" fillId="2" borderId="0" xfId="1" applyNumberFormat="1" applyFont="1" applyFill="1" applyBorder="1"/>
    <xf numFmtId="176" fontId="0" fillId="2" borderId="0" xfId="1" applyNumberFormat="1" applyFont="1" applyFill="1" applyBorder="1"/>
    <xf numFmtId="176" fontId="0" fillId="2" borderId="4" xfId="1" applyNumberFormat="1" applyFont="1" applyFill="1" applyBorder="1"/>
    <xf numFmtId="176" fontId="3" fillId="2" borderId="4" xfId="1" applyNumberFormat="1" applyFont="1" applyFill="1" applyBorder="1"/>
    <xf numFmtId="0" fontId="3" fillId="2" borderId="9" xfId="0" applyFont="1" applyFill="1" applyBorder="1" applyAlignment="1">
      <alignment horizontal="center"/>
    </xf>
    <xf numFmtId="43" fontId="0" fillId="2" borderId="11" xfId="0" applyNumberFormat="1" applyFill="1" applyBorder="1" applyAlignment="1">
      <alignment horizontal="center"/>
    </xf>
    <xf numFmtId="0" fontId="0" fillId="7" borderId="0" xfId="0" applyFill="1"/>
    <xf numFmtId="0" fontId="0" fillId="7" borderId="9" xfId="0" applyFill="1" applyBorder="1"/>
    <xf numFmtId="180" fontId="4" fillId="7" borderId="11" xfId="0" applyNumberFormat="1" applyFont="1" applyFill="1" applyBorder="1" applyAlignment="1">
      <alignment horizontal="center"/>
    </xf>
    <xf numFmtId="0" fontId="2" fillId="7" borderId="16" xfId="0" applyFont="1" applyFill="1" applyBorder="1" applyAlignment="1">
      <alignment horizontal="center"/>
    </xf>
    <xf numFmtId="0" fontId="2" fillId="7" borderId="17" xfId="0" applyFont="1" applyFill="1" applyBorder="1" applyAlignment="1">
      <alignment horizontal="center"/>
    </xf>
    <xf numFmtId="0" fontId="2" fillId="7" borderId="0" xfId="0" applyFont="1" applyFill="1"/>
    <xf numFmtId="14" fontId="2" fillId="7" borderId="0" xfId="0" applyNumberFormat="1" applyFont="1" applyFill="1"/>
    <xf numFmtId="0" fontId="2" fillId="7" borderId="1" xfId="0" applyFont="1" applyFill="1" applyBorder="1" applyAlignment="1">
      <alignment horizontal="left"/>
    </xf>
    <xf numFmtId="0" fontId="0" fillId="7" borderId="7" xfId="0" applyFill="1" applyBorder="1"/>
    <xf numFmtId="0" fontId="0" fillId="7" borderId="3" xfId="0" applyFill="1" applyBorder="1"/>
    <xf numFmtId="174" fontId="4" fillId="7" borderId="0" xfId="0" applyNumberFormat="1" applyFont="1" applyFill="1" applyAlignment="1">
      <alignment horizontal="center"/>
    </xf>
    <xf numFmtId="174" fontId="4" fillId="7" borderId="4" xfId="0" applyNumberFormat="1" applyFont="1" applyFill="1" applyBorder="1" applyAlignment="1">
      <alignment horizontal="center"/>
    </xf>
    <xf numFmtId="0" fontId="2" fillId="7" borderId="1" xfId="0" applyFont="1" applyFill="1" applyBorder="1"/>
    <xf numFmtId="0" fontId="4" fillId="7" borderId="7" xfId="0" applyFont="1" applyFill="1" applyBorder="1"/>
    <xf numFmtId="0" fontId="4" fillId="7" borderId="2" xfId="0" applyFont="1" applyFill="1" applyBorder="1"/>
    <xf numFmtId="0" fontId="4" fillId="7" borderId="3" xfId="0" applyFont="1" applyFill="1" applyBorder="1"/>
    <xf numFmtId="0" fontId="4" fillId="7" borderId="0" xfId="0" applyFont="1" applyFill="1" applyAlignment="1">
      <alignment horizontal="center"/>
    </xf>
    <xf numFmtId="0" fontId="4" fillId="7" borderId="4" xfId="0" applyFont="1" applyFill="1" applyBorder="1" applyAlignment="1">
      <alignment horizontal="center"/>
    </xf>
    <xf numFmtId="0" fontId="4" fillId="7" borderId="3" xfId="0" applyFont="1" applyFill="1" applyBorder="1" applyAlignment="1">
      <alignment horizontal="left"/>
    </xf>
    <xf numFmtId="14" fontId="4" fillId="7" borderId="0" xfId="0" applyNumberFormat="1" applyFont="1" applyFill="1" applyAlignment="1">
      <alignment horizontal="center"/>
    </xf>
    <xf numFmtId="14" fontId="4" fillId="7" borderId="4" xfId="0" applyNumberFormat="1" applyFont="1" applyFill="1" applyBorder="1" applyAlignment="1">
      <alignment horizontal="center"/>
    </xf>
    <xf numFmtId="0" fontId="2" fillId="7" borderId="7" xfId="0" applyFont="1" applyFill="1" applyBorder="1"/>
    <xf numFmtId="0" fontId="2" fillId="7" borderId="2" xfId="0" applyFont="1" applyFill="1" applyBorder="1"/>
    <xf numFmtId="0" fontId="2" fillId="7" borderId="12" xfId="0" applyFont="1" applyFill="1" applyBorder="1"/>
    <xf numFmtId="0" fontId="0" fillId="7" borderId="1" xfId="0" applyFill="1" applyBorder="1"/>
    <xf numFmtId="168" fontId="5" fillId="7" borderId="7" xfId="0" applyNumberFormat="1" applyFont="1" applyFill="1" applyBorder="1" applyAlignment="1">
      <alignment horizontal="center"/>
    </xf>
    <xf numFmtId="168" fontId="5" fillId="7" borderId="2" xfId="0" applyNumberFormat="1" applyFont="1" applyFill="1" applyBorder="1" applyAlignment="1">
      <alignment horizontal="center"/>
    </xf>
    <xf numFmtId="169" fontId="5" fillId="7" borderId="0" xfId="0" applyNumberFormat="1" applyFont="1" applyFill="1" applyAlignment="1">
      <alignment horizontal="center"/>
    </xf>
    <xf numFmtId="169" fontId="5" fillId="7" borderId="4" xfId="0" applyNumberFormat="1" applyFont="1" applyFill="1" applyBorder="1" applyAlignment="1">
      <alignment horizontal="center"/>
    </xf>
    <xf numFmtId="2" fontId="0" fillId="2" borderId="0" xfId="0" applyNumberFormat="1" applyFill="1"/>
    <xf numFmtId="164" fontId="14" fillId="2" borderId="0" xfId="0" applyNumberFormat="1" applyFont="1" applyFill="1" applyAlignment="1">
      <alignment horizontal="center"/>
    </xf>
    <xf numFmtId="2" fontId="0" fillId="2" borderId="4" xfId="0" applyNumberFormat="1" applyFill="1" applyBorder="1" applyAlignment="1">
      <alignment horizontal="center"/>
    </xf>
    <xf numFmtId="2" fontId="14" fillId="2" borderId="4" xfId="0" applyNumberFormat="1" applyFont="1" applyFill="1" applyBorder="1" applyAlignment="1">
      <alignment horizontal="center"/>
    </xf>
    <xf numFmtId="0" fontId="2" fillId="7" borderId="15" xfId="0" applyFont="1" applyFill="1" applyBorder="1" applyAlignment="1">
      <alignment horizontal="center"/>
    </xf>
    <xf numFmtId="0" fontId="0" fillId="2" borderId="18" xfId="0" applyFill="1" applyBorder="1" applyAlignment="1">
      <alignment horizontal="center"/>
    </xf>
    <xf numFmtId="0" fontId="0" fillId="2" borderId="20" xfId="0" applyFill="1" applyBorder="1" applyAlignment="1">
      <alignment horizontal="center"/>
    </xf>
    <xf numFmtId="14" fontId="4" fillId="2" borderId="0" xfId="0" applyNumberFormat="1" applyFont="1" applyFill="1"/>
    <xf numFmtId="164" fontId="4" fillId="2" borderId="0" xfId="0" applyNumberFormat="1" applyFont="1" applyFill="1"/>
    <xf numFmtId="0" fontId="4" fillId="2" borderId="0" xfId="0" applyFont="1" applyFill="1" applyAlignment="1">
      <alignment horizontal="center"/>
    </xf>
    <xf numFmtId="179" fontId="0" fillId="2" borderId="0" xfId="0" applyNumberFormat="1" applyFill="1"/>
    <xf numFmtId="5" fontId="0" fillId="2" borderId="18" xfId="0" applyNumberFormat="1" applyFill="1" applyBorder="1"/>
    <xf numFmtId="5" fontId="0" fillId="2" borderId="20" xfId="0" applyNumberFormat="1" applyFill="1" applyBorder="1"/>
    <xf numFmtId="5" fontId="0" fillId="5" borderId="0" xfId="0" applyNumberFormat="1" applyFill="1"/>
    <xf numFmtId="2" fontId="0" fillId="2" borderId="8" xfId="0" applyNumberFormat="1" applyFill="1" applyBorder="1"/>
    <xf numFmtId="2" fontId="0" fillId="2" borderId="8" xfId="2" applyNumberFormat="1" applyFont="1" applyFill="1" applyBorder="1"/>
    <xf numFmtId="2" fontId="0" fillId="2" borderId="6" xfId="2" applyNumberFormat="1" applyFont="1" applyFill="1" applyBorder="1"/>
    <xf numFmtId="0" fontId="6" fillId="2" borderId="3" xfId="0" applyFont="1" applyFill="1" applyBorder="1"/>
    <xf numFmtId="0" fontId="6" fillId="2" borderId="4" xfId="0" applyFont="1" applyFill="1" applyBorder="1"/>
    <xf numFmtId="0" fontId="0" fillId="2" borderId="1" xfId="0" applyFill="1" applyBorder="1"/>
    <xf numFmtId="0" fontId="9" fillId="8" borderId="23" xfId="0" applyFont="1" applyFill="1" applyBorder="1" applyAlignment="1">
      <alignment horizontal="left"/>
    </xf>
    <xf numFmtId="165" fontId="9" fillId="8" borderId="24" xfId="1" applyNumberFormat="1" applyFont="1" applyFill="1" applyBorder="1"/>
    <xf numFmtId="0" fontId="12" fillId="2" borderId="3" xfId="0" applyFont="1" applyFill="1" applyBorder="1"/>
    <xf numFmtId="10" fontId="12" fillId="2" borderId="4" xfId="0" applyNumberFormat="1" applyFont="1" applyFill="1" applyBorder="1"/>
    <xf numFmtId="165" fontId="0" fillId="2" borderId="6" xfId="1" applyNumberFormat="1" applyFont="1" applyFill="1" applyBorder="1"/>
    <xf numFmtId="165" fontId="0" fillId="2" borderId="2" xfId="0" applyNumberFormat="1" applyFill="1" applyBorder="1"/>
    <xf numFmtId="165" fontId="0" fillId="2" borderId="6" xfId="0" applyNumberFormat="1" applyFill="1" applyBorder="1"/>
    <xf numFmtId="167" fontId="12" fillId="3" borderId="4" xfId="0" applyNumberFormat="1" applyFont="1" applyFill="1" applyBorder="1" applyAlignment="1">
      <alignment vertical="center"/>
    </xf>
    <xf numFmtId="0" fontId="3" fillId="2" borderId="23" xfId="0" applyFont="1" applyFill="1" applyBorder="1"/>
    <xf numFmtId="165" fontId="12" fillId="3" borderId="24" xfId="0" applyNumberFormat="1" applyFont="1" applyFill="1" applyBorder="1"/>
    <xf numFmtId="0" fontId="11" fillId="2" borderId="3" xfId="0" applyFont="1" applyFill="1" applyBorder="1" applyAlignment="1">
      <alignment horizontal="left" indent="2"/>
    </xf>
    <xf numFmtId="43" fontId="11" fillId="2" borderId="4" xfId="0" applyNumberFormat="1" applyFont="1" applyFill="1" applyBorder="1"/>
    <xf numFmtId="0" fontId="3" fillId="2" borderId="14" xfId="0" applyFont="1" applyFill="1" applyBorder="1" applyAlignment="1">
      <alignment horizontal="center"/>
    </xf>
    <xf numFmtId="165" fontId="3" fillId="2" borderId="19" xfId="0" applyNumberFormat="1" applyFont="1" applyFill="1" applyBorder="1"/>
    <xf numFmtId="0" fontId="0" fillId="4" borderId="18" xfId="0" applyFill="1" applyBorder="1"/>
    <xf numFmtId="0" fontId="0" fillId="4" borderId="19" xfId="0" applyFill="1" applyBorder="1"/>
    <xf numFmtId="165" fontId="0" fillId="2" borderId="19" xfId="0" applyNumberFormat="1" applyFill="1" applyBorder="1"/>
    <xf numFmtId="0" fontId="3" fillId="2" borderId="18" xfId="0" applyFont="1" applyFill="1" applyBorder="1" applyAlignment="1">
      <alignment horizontal="left" indent="2"/>
    </xf>
    <xf numFmtId="10" fontId="3" fillId="2" borderId="19" xfId="0" applyNumberFormat="1" applyFont="1" applyFill="1" applyBorder="1"/>
    <xf numFmtId="177" fontId="3" fillId="2" borderId="19" xfId="0" applyNumberFormat="1" applyFont="1" applyFill="1" applyBorder="1"/>
    <xf numFmtId="43" fontId="3" fillId="2" borderId="19" xfId="0" applyNumberFormat="1" applyFont="1" applyFill="1" applyBorder="1"/>
    <xf numFmtId="182" fontId="3" fillId="2" borderId="20" xfId="0" applyNumberFormat="1" applyFont="1" applyFill="1" applyBorder="1" applyAlignment="1">
      <alignment horizontal="left"/>
    </xf>
    <xf numFmtId="10" fontId="3" fillId="2" borderId="22" xfId="2" applyNumberFormat="1" applyFont="1" applyFill="1" applyBorder="1"/>
    <xf numFmtId="0" fontId="3" fillId="2" borderId="1" xfId="0" applyFont="1" applyFill="1" applyBorder="1"/>
    <xf numFmtId="0" fontId="3" fillId="2" borderId="2" xfId="0" applyFont="1" applyFill="1" applyBorder="1"/>
    <xf numFmtId="0" fontId="6" fillId="2" borderId="5" xfId="0" applyFont="1" applyFill="1" applyBorder="1"/>
    <xf numFmtId="0" fontId="6" fillId="2" borderId="6" xfId="0" applyFont="1" applyFill="1" applyBorder="1"/>
    <xf numFmtId="0" fontId="0" fillId="2" borderId="0" xfId="0" quotePrefix="1" applyFill="1"/>
    <xf numFmtId="0" fontId="19" fillId="0" borderId="0" xfId="0" applyFont="1"/>
    <xf numFmtId="0" fontId="19" fillId="0" borderId="0" xfId="0" applyFont="1" applyAlignment="1">
      <alignment horizontal="left" indent="1"/>
    </xf>
    <xf numFmtId="0" fontId="20" fillId="0" borderId="0" xfId="0" applyFont="1" applyAlignment="1">
      <alignment horizontal="left"/>
    </xf>
    <xf numFmtId="0" fontId="20" fillId="0" borderId="0" xfId="0" applyFont="1"/>
    <xf numFmtId="0" fontId="19" fillId="0" borderId="0" xfId="0" applyFont="1" applyAlignment="1">
      <alignment horizontal="left" indent="2"/>
    </xf>
    <xf numFmtId="0" fontId="19" fillId="9" borderId="0" xfId="0" applyFont="1" applyFill="1"/>
    <xf numFmtId="0" fontId="0" fillId="9" borderId="0" xfId="0" applyFill="1"/>
    <xf numFmtId="0" fontId="0" fillId="0" borderId="0" xfId="0" applyAlignment="1">
      <alignment horizontal="left" indent="1"/>
    </xf>
    <xf numFmtId="0" fontId="3" fillId="0" borderId="0" xfId="0" applyFont="1"/>
    <xf numFmtId="0" fontId="19" fillId="9" borderId="0" xfId="0" applyFont="1" applyFill="1" applyAlignment="1">
      <alignment horizontal="right"/>
    </xf>
    <xf numFmtId="0" fontId="4" fillId="11" borderId="0" xfId="0" applyFont="1" applyFill="1"/>
    <xf numFmtId="0" fontId="24" fillId="11" borderId="0" xfId="0" applyFont="1" applyFill="1" applyAlignment="1">
      <alignment horizontal="right"/>
    </xf>
    <xf numFmtId="0" fontId="25" fillId="11" borderId="0" xfId="0" applyFont="1" applyFill="1"/>
    <xf numFmtId="0" fontId="23" fillId="0" borderId="0" xfId="0" applyFont="1" applyAlignment="1">
      <alignment horizontal="left" indent="1"/>
    </xf>
    <xf numFmtId="0" fontId="0" fillId="12" borderId="14" xfId="0" applyFill="1" applyBorder="1" applyAlignment="1">
      <alignment horizontal="center"/>
    </xf>
    <xf numFmtId="14" fontId="11" fillId="12" borderId="14" xfId="0" applyNumberFormat="1" applyFont="1" applyFill="1" applyBorder="1" applyAlignment="1">
      <alignment horizontal="center"/>
    </xf>
    <xf numFmtId="0" fontId="23" fillId="0" borderId="0" xfId="0" quotePrefix="1" applyFont="1" applyAlignment="1">
      <alignment horizontal="left" indent="1"/>
    </xf>
    <xf numFmtId="0" fontId="23" fillId="0" borderId="0" xfId="0" applyFont="1" applyAlignment="1">
      <alignment horizontal="left"/>
    </xf>
    <xf numFmtId="0" fontId="23" fillId="0" borderId="0" xfId="0" quotePrefix="1" applyFont="1" applyAlignment="1">
      <alignment horizontal="left" indent="1"/>
    </xf>
    <xf numFmtId="0" fontId="23" fillId="0" borderId="0" xfId="0" quotePrefix="1" applyFont="1" applyAlignment="1">
      <alignment horizontal="left" wrapText="1" indent="1"/>
    </xf>
    <xf numFmtId="0" fontId="21" fillId="9" borderId="0" xfId="3" applyFill="1" applyAlignment="1">
      <alignment horizontal="right"/>
    </xf>
    <xf numFmtId="0" fontId="21" fillId="0" borderId="0" xfId="3"/>
    <xf numFmtId="0" fontId="22" fillId="10" borderId="0" xfId="3" applyFont="1" applyFill="1" applyAlignment="1">
      <alignment horizontal="center" vertical="center" wrapText="1"/>
    </xf>
    <xf numFmtId="0" fontId="23" fillId="0" borderId="0" xfId="0" applyFont="1" applyAlignment="1">
      <alignment wrapText="1"/>
    </xf>
    <xf numFmtId="0" fontId="21" fillId="0" borderId="0" xfId="3" applyAlignment="1">
      <alignment horizontal="left" vertical="center"/>
    </xf>
    <xf numFmtId="0" fontId="21" fillId="0" borderId="0" xfId="3" applyAlignment="1">
      <alignment horizontal="left"/>
    </xf>
    <xf numFmtId="0" fontId="16" fillId="7" borderId="0" xfId="0" applyFont="1" applyFill="1" applyAlignment="1">
      <alignment horizontal="center"/>
    </xf>
    <xf numFmtId="0" fontId="3" fillId="2" borderId="23" xfId="0" applyFont="1" applyFill="1" applyBorder="1" applyAlignment="1">
      <alignment horizontal="center"/>
    </xf>
    <xf numFmtId="0" fontId="3" fillId="2" borderId="24" xfId="0" applyFont="1" applyFill="1" applyBorder="1" applyAlignment="1">
      <alignment horizontal="center"/>
    </xf>
    <xf numFmtId="0" fontId="2" fillId="7" borderId="0" xfId="0" applyFont="1" applyFill="1" applyAlignment="1">
      <alignment horizontal="center"/>
    </xf>
    <xf numFmtId="0" fontId="2" fillId="7" borderId="15" xfId="0" applyFont="1" applyFill="1" applyBorder="1" applyAlignment="1">
      <alignment horizontal="center"/>
    </xf>
    <xf numFmtId="0" fontId="2" fillId="7" borderId="17" xfId="0" applyFont="1" applyFill="1" applyBorder="1" applyAlignment="1">
      <alignment horizontal="center"/>
    </xf>
    <xf numFmtId="0" fontId="9" fillId="2" borderId="3" xfId="0" applyFont="1" applyFill="1" applyBorder="1" applyAlignment="1">
      <alignment horizontal="center"/>
    </xf>
    <xf numFmtId="0" fontId="9" fillId="2" borderId="4" xfId="0" applyFont="1" applyFill="1"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7" borderId="7" xfId="0" applyFont="1" applyFill="1" applyBorder="1" applyAlignment="1">
      <alignment horizontal="center"/>
    </xf>
    <xf numFmtId="0" fontId="3" fillId="2" borderId="3" xfId="0" applyFont="1" applyFill="1" applyBorder="1" applyAlignment="1">
      <alignment horizontal="center" vertical="center"/>
    </xf>
    <xf numFmtId="0" fontId="3" fillId="2" borderId="0" xfId="0" applyFont="1" applyFill="1" applyAlignment="1">
      <alignment horizontal="center" vertical="center"/>
    </xf>
    <xf numFmtId="0" fontId="3" fillId="2" borderId="4" xfId="0" applyFont="1" applyFill="1" applyBorder="1" applyAlignment="1">
      <alignment horizontal="center" vertical="center"/>
    </xf>
    <xf numFmtId="0" fontId="2" fillId="2" borderId="0" xfId="0" applyFont="1" applyFill="1" applyAlignment="1">
      <alignment horizontal="center"/>
    </xf>
    <xf numFmtId="0" fontId="4" fillId="2" borderId="0" xfId="0" applyFont="1" applyFill="1" applyAlignment="1">
      <alignment horizontal="center"/>
    </xf>
  </cellXfs>
  <cellStyles count="4">
    <cellStyle name="Currency" xfId="1" builtinId="4"/>
    <cellStyle name="Hyperlink" xfId="3" builtinId="8"/>
    <cellStyle name="Normal" xfId="0" builtinId="0"/>
    <cellStyle name="Percent" xfId="2" builtinId="5"/>
  </cellStyles>
  <dxfs count="29">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ill>
        <patternFill>
          <bgColor theme="1"/>
        </patternFill>
      </fill>
    </dxf>
    <dxf>
      <font>
        <color auto="1"/>
      </font>
      <fill>
        <patternFill>
          <bgColor theme="1"/>
        </patternFill>
      </fill>
    </dxf>
    <dxf>
      <fill>
        <patternFill>
          <bgColor rgb="FFFF0000"/>
        </patternFill>
      </fill>
    </dxf>
    <dxf>
      <font>
        <color theme="1"/>
      </font>
      <fill>
        <patternFill>
          <bgColor theme="1"/>
        </patternFill>
      </fill>
    </dxf>
    <dxf>
      <fill>
        <patternFill>
          <bgColor rgb="FFFF0000"/>
        </patternFill>
      </fill>
    </dxf>
    <dxf>
      <fill>
        <patternFill>
          <bgColor rgb="FFFF0000"/>
        </patternFill>
      </fill>
    </dxf>
    <dxf>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ill>
        <patternFill>
          <bgColor rgb="FFFF0000"/>
        </patternFill>
      </fill>
    </dxf>
    <dxf>
      <fill>
        <patternFill>
          <bgColor rgb="FFFF0000"/>
        </patternFill>
      </fill>
    </dxf>
    <dxf>
      <font>
        <b val="0"/>
        <i val="0"/>
        <strike val="0"/>
        <condense val="0"/>
        <extend val="0"/>
        <outline val="0"/>
        <shadow val="0"/>
        <u val="none"/>
        <vertAlign val="baseline"/>
        <sz val="11"/>
        <color theme="8"/>
        <name val="Calibri"/>
        <scheme val="minor"/>
      </font>
      <numFmt numFmtId="165" formatCode="&quot;$&quot;#,##0"/>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8"/>
        <name val="Calibri"/>
        <scheme val="minor"/>
      </font>
      <numFmt numFmtId="165" formatCode="&quot;$&quot;#,##0"/>
      <fill>
        <patternFill patternType="solid">
          <fgColor indexed="64"/>
          <bgColor theme="0"/>
        </patternFill>
      </fill>
      <alignment horizontal="center" vertical="bottom" textRotation="0" wrapText="0" indent="0" justifyLastLine="0" shrinkToFit="0" readingOrder="0"/>
    </dxf>
    <dxf>
      <numFmt numFmtId="0" formatCode="General"/>
      <fill>
        <patternFill patternType="solid">
          <fgColor indexed="64"/>
          <bgColor theme="0"/>
        </patternFill>
      </fill>
      <alignment horizontal="center" vertical="bottom" textRotation="0" wrapText="0" indent="0" justifyLastLine="0" shrinkToFit="0" readingOrder="0"/>
    </dxf>
    <dxf>
      <numFmt numFmtId="19" formatCode="m/d/yyyy"/>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8"/>
        <name val="Calibri"/>
        <scheme val="minor"/>
      </font>
      <numFmt numFmtId="175" formatCode="General\ &quot;mos.&quo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8"/>
        <name val="Calibri"/>
        <scheme val="minor"/>
      </font>
      <numFmt numFmtId="19" formatCode="m/d/yyyy"/>
      <fill>
        <patternFill patternType="solid">
          <fgColor indexed="64"/>
          <bgColor theme="0"/>
        </patternFill>
      </fill>
      <alignment horizontal="center" vertical="bottom" textRotation="0" wrapText="0" indent="0" justifyLastLine="0" shrinkToFit="0" readingOrder="0"/>
    </dxf>
    <dxf>
      <numFmt numFmtId="164" formatCode="&quot;$&quot;#,##0.00"/>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8"/>
        <name val="Calibri"/>
        <scheme val="minor"/>
      </font>
      <numFmt numFmtId="165" formatCode="&quot;$&quot;#,##0"/>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8"/>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8"/>
        <name val="Calibri"/>
        <scheme val="minor"/>
      </font>
      <numFmt numFmtId="179" formatCode="&quot;Unit&quot;\ General"/>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8"/>
        <name val="Calibri"/>
        <scheme val="minor"/>
      </font>
      <numFmt numFmtId="179" formatCode="&quot;Unit&quot;\ General"/>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8"/>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Flow Over Holding Period / $PSF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NI"/>
        </a:p>
      </c:txPr>
    </c:title>
    <c:autoTitleDeleted val="0"/>
    <c:plotArea>
      <c:layout/>
      <c:lineChart>
        <c:grouping val="standard"/>
        <c:varyColors val="0"/>
        <c:ser>
          <c:idx val="0"/>
          <c:order val="0"/>
          <c:tx>
            <c:strRef>
              <c:f>Data!$C$3</c:f>
              <c:strCache>
                <c:ptCount val="1"/>
                <c:pt idx="0">
                  <c:v>TTM Gross $PSF</c:v>
                </c:pt>
              </c:strCache>
            </c:strRef>
          </c:tx>
          <c:spPr>
            <a:ln w="28575" cap="rnd">
              <a:solidFill>
                <a:schemeClr val="accent1"/>
              </a:solidFill>
              <a:round/>
            </a:ln>
            <a:effectLst/>
          </c:spPr>
          <c:marker>
            <c:symbol val="none"/>
          </c:marker>
          <c:cat>
            <c:strRef>
              <c:f>Data!$D$2:$DS$2</c:f>
              <c:strCache>
                <c:ptCount val="60"/>
                <c:pt idx="0">
                  <c:v>7/1/2026</c:v>
                </c:pt>
                <c:pt idx="1">
                  <c:v>8/1/2026</c:v>
                </c:pt>
                <c:pt idx="2">
                  <c:v>9/1/2026</c:v>
                </c:pt>
                <c:pt idx="3">
                  <c:v>10/1/2026</c:v>
                </c:pt>
                <c:pt idx="4">
                  <c:v>11/1/2026</c:v>
                </c:pt>
                <c:pt idx="5">
                  <c:v>12/1/2026</c:v>
                </c:pt>
                <c:pt idx="6">
                  <c:v>1/1/2027</c:v>
                </c:pt>
                <c:pt idx="7">
                  <c:v>2/1/2027</c:v>
                </c:pt>
                <c:pt idx="8">
                  <c:v>3/1/2027</c:v>
                </c:pt>
                <c:pt idx="9">
                  <c:v>4/1/2027</c:v>
                </c:pt>
                <c:pt idx="10">
                  <c:v>5/1/2027</c:v>
                </c:pt>
                <c:pt idx="11">
                  <c:v>6/1/2027</c:v>
                </c:pt>
                <c:pt idx="12">
                  <c:v>7/1/2027</c:v>
                </c:pt>
                <c:pt idx="13">
                  <c:v>8/1/2027</c:v>
                </c:pt>
                <c:pt idx="14">
                  <c:v>9/1/2027</c:v>
                </c:pt>
                <c:pt idx="15">
                  <c:v>10/1/2027</c:v>
                </c:pt>
                <c:pt idx="16">
                  <c:v>11/1/2027</c:v>
                </c:pt>
                <c:pt idx="17">
                  <c:v>12/1/2027</c:v>
                </c:pt>
                <c:pt idx="18">
                  <c:v>1/1/2028</c:v>
                </c:pt>
                <c:pt idx="19">
                  <c:v>2/1/2028</c:v>
                </c:pt>
                <c:pt idx="20">
                  <c:v>3/1/2028</c:v>
                </c:pt>
                <c:pt idx="21">
                  <c:v>4/1/2028</c:v>
                </c:pt>
                <c:pt idx="22">
                  <c:v>5/1/2028</c:v>
                </c:pt>
                <c:pt idx="23">
                  <c:v>6/1/2028</c:v>
                </c:pt>
                <c:pt idx="24">
                  <c:v>7/1/2028</c:v>
                </c:pt>
                <c:pt idx="25">
                  <c:v>8/1/2028</c:v>
                </c:pt>
                <c:pt idx="26">
                  <c:v>9/1/2028</c:v>
                </c:pt>
                <c:pt idx="27">
                  <c:v>10/1/2028</c:v>
                </c:pt>
                <c:pt idx="28">
                  <c:v>11/1/2028</c:v>
                </c:pt>
                <c:pt idx="29">
                  <c:v>12/1/2028</c:v>
                </c:pt>
                <c:pt idx="30">
                  <c:v>1/1/2029</c:v>
                </c:pt>
                <c:pt idx="31">
                  <c:v>2/1/2029</c:v>
                </c:pt>
                <c:pt idx="32">
                  <c:v>3/1/2029</c:v>
                </c:pt>
                <c:pt idx="33">
                  <c:v>4/1/2029</c:v>
                </c:pt>
                <c:pt idx="34">
                  <c:v>5/1/2029</c:v>
                </c:pt>
                <c:pt idx="35">
                  <c:v>6/1/2029</c:v>
                </c:pt>
                <c:pt idx="36">
                  <c:v>7/1/2029</c:v>
                </c:pt>
                <c:pt idx="37">
                  <c:v>8/1/2029</c:v>
                </c:pt>
                <c:pt idx="38">
                  <c:v>9/1/2029</c:v>
                </c:pt>
                <c:pt idx="39">
                  <c:v>10/1/2029</c:v>
                </c:pt>
                <c:pt idx="40">
                  <c:v>11/1/2029</c:v>
                </c:pt>
                <c:pt idx="41">
                  <c:v>12/1/2029</c:v>
                </c:pt>
                <c:pt idx="42">
                  <c:v>1/1/2030</c:v>
                </c:pt>
                <c:pt idx="43">
                  <c:v>2/1/2030</c:v>
                </c:pt>
                <c:pt idx="44">
                  <c:v>3/1/2030</c:v>
                </c:pt>
                <c:pt idx="45">
                  <c:v>4/1/2030</c:v>
                </c:pt>
                <c:pt idx="46">
                  <c:v>5/1/2030</c:v>
                </c:pt>
                <c:pt idx="47">
                  <c:v>6/1/2030</c:v>
                </c:pt>
                <c:pt idx="48">
                  <c:v>7/1/2030</c:v>
                </c:pt>
                <c:pt idx="49">
                  <c:v>8/1/2030</c:v>
                </c:pt>
                <c:pt idx="50">
                  <c:v>9/1/2030</c:v>
                </c:pt>
                <c:pt idx="51">
                  <c:v>10/1/2030</c:v>
                </c:pt>
                <c:pt idx="52">
                  <c:v>11/1/2030</c:v>
                </c:pt>
                <c:pt idx="53">
                  <c:v>12/1/2030</c:v>
                </c:pt>
                <c:pt idx="54">
                  <c:v>1/1/2031</c:v>
                </c:pt>
                <c:pt idx="55">
                  <c:v>2/1/2031</c:v>
                </c:pt>
                <c:pt idx="56">
                  <c:v>3/1/2031</c:v>
                </c:pt>
                <c:pt idx="57">
                  <c:v>4/1/2031</c:v>
                </c:pt>
                <c:pt idx="58">
                  <c:v>5/1/2031</c:v>
                </c:pt>
                <c:pt idx="59">
                  <c:v>6/1/2031</c:v>
                </c:pt>
              </c:strCache>
            </c:strRef>
          </c:cat>
          <c:val>
            <c:numRef>
              <c:f>Data!$D$3:$DS$3</c:f>
              <c:numCache>
                <c:formatCode>"$"#,##0.00</c:formatCode>
                <c:ptCount val="120"/>
                <c:pt idx="0">
                  <c:v>1.4510833333333333</c:v>
                </c:pt>
                <c:pt idx="1">
                  <c:v>1.1560833333333334</c:v>
                </c:pt>
                <c:pt idx="2">
                  <c:v>1.1560833333333334</c:v>
                </c:pt>
                <c:pt idx="3">
                  <c:v>1.3034166666666667</c:v>
                </c:pt>
                <c:pt idx="4">
                  <c:v>1.3034166666666667</c:v>
                </c:pt>
                <c:pt idx="5">
                  <c:v>1.1912499999999999</c:v>
                </c:pt>
                <c:pt idx="6">
                  <c:v>1.4489166666666666</c:v>
                </c:pt>
                <c:pt idx="7">
                  <c:v>1.2078333333333333</c:v>
                </c:pt>
                <c:pt idx="8">
                  <c:v>1.0685</c:v>
                </c:pt>
                <c:pt idx="9">
                  <c:v>1.0685</c:v>
                </c:pt>
                <c:pt idx="10">
                  <c:v>1.0685</c:v>
                </c:pt>
                <c:pt idx="11">
                  <c:v>1.3545833333333333</c:v>
                </c:pt>
                <c:pt idx="12">
                  <c:v>1.4035058333333332</c:v>
                </c:pt>
                <c:pt idx="13">
                  <c:v>1.4035058333333332</c:v>
                </c:pt>
                <c:pt idx="14">
                  <c:v>1.4035058333333332</c:v>
                </c:pt>
                <c:pt idx="15">
                  <c:v>1.4035058333333332</c:v>
                </c:pt>
                <c:pt idx="16">
                  <c:v>1.4035058333333332</c:v>
                </c:pt>
                <c:pt idx="17">
                  <c:v>1.7782991666666668</c:v>
                </c:pt>
                <c:pt idx="18">
                  <c:v>1.7782991666666668</c:v>
                </c:pt>
                <c:pt idx="19">
                  <c:v>1.7782991666666668</c:v>
                </c:pt>
                <c:pt idx="20">
                  <c:v>1.7782991666666668</c:v>
                </c:pt>
                <c:pt idx="21">
                  <c:v>1.7782991666666668</c:v>
                </c:pt>
                <c:pt idx="22">
                  <c:v>1.7782991666666668</c:v>
                </c:pt>
                <c:pt idx="23">
                  <c:v>1.7782991666666668</c:v>
                </c:pt>
                <c:pt idx="24">
                  <c:v>1.81386515</c:v>
                </c:pt>
                <c:pt idx="25">
                  <c:v>1.81386515</c:v>
                </c:pt>
                <c:pt idx="26">
                  <c:v>1.81386515</c:v>
                </c:pt>
                <c:pt idx="27">
                  <c:v>1.81386515</c:v>
                </c:pt>
                <c:pt idx="28">
                  <c:v>1.81386515</c:v>
                </c:pt>
                <c:pt idx="29">
                  <c:v>1.81386515</c:v>
                </c:pt>
                <c:pt idx="30">
                  <c:v>1.81386515</c:v>
                </c:pt>
                <c:pt idx="31">
                  <c:v>1.81386515</c:v>
                </c:pt>
                <c:pt idx="32">
                  <c:v>1.81386515</c:v>
                </c:pt>
                <c:pt idx="33">
                  <c:v>1.81386515</c:v>
                </c:pt>
                <c:pt idx="34">
                  <c:v>1.81386515</c:v>
                </c:pt>
                <c:pt idx="35">
                  <c:v>1.81386515</c:v>
                </c:pt>
                <c:pt idx="36">
                  <c:v>1.8682811044999998</c:v>
                </c:pt>
                <c:pt idx="37">
                  <c:v>1.8682811044999998</c:v>
                </c:pt>
                <c:pt idx="38">
                  <c:v>1.8682811044999998</c:v>
                </c:pt>
                <c:pt idx="39">
                  <c:v>1.8682811044999998</c:v>
                </c:pt>
                <c:pt idx="40">
                  <c:v>1.8682811044999998</c:v>
                </c:pt>
                <c:pt idx="41">
                  <c:v>1.8682811044999998</c:v>
                </c:pt>
                <c:pt idx="42">
                  <c:v>1.8682811044999998</c:v>
                </c:pt>
                <c:pt idx="43">
                  <c:v>1.8682811044999998</c:v>
                </c:pt>
                <c:pt idx="44">
                  <c:v>1.8682811044999998</c:v>
                </c:pt>
                <c:pt idx="45">
                  <c:v>1.8682811044999998</c:v>
                </c:pt>
                <c:pt idx="46">
                  <c:v>1.8682811044999998</c:v>
                </c:pt>
                <c:pt idx="47">
                  <c:v>1.8682811044999998</c:v>
                </c:pt>
                <c:pt idx="48">
                  <c:v>1.9243295376350003</c:v>
                </c:pt>
                <c:pt idx="49">
                  <c:v>1.9243295376350003</c:v>
                </c:pt>
                <c:pt idx="50">
                  <c:v>1.9243295376350003</c:v>
                </c:pt>
                <c:pt idx="51">
                  <c:v>1.9243295376350003</c:v>
                </c:pt>
                <c:pt idx="52">
                  <c:v>1.9243295376350003</c:v>
                </c:pt>
                <c:pt idx="53">
                  <c:v>1.9243295376350003</c:v>
                </c:pt>
                <c:pt idx="54">
                  <c:v>1.9243295376350003</c:v>
                </c:pt>
                <c:pt idx="55">
                  <c:v>1.9243295376350003</c:v>
                </c:pt>
                <c:pt idx="56">
                  <c:v>1.9243295376350003</c:v>
                </c:pt>
                <c:pt idx="57">
                  <c:v>1.9243295376350003</c:v>
                </c:pt>
                <c:pt idx="58">
                  <c:v>1.9243295376350003</c:v>
                </c:pt>
                <c:pt idx="59">
                  <c:v>1.9243295376350003</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numCache>
            </c:numRef>
          </c:val>
          <c:smooth val="0"/>
          <c:extLst>
            <c:ext xmlns:c16="http://schemas.microsoft.com/office/drawing/2014/chart" uri="{C3380CC4-5D6E-409C-BE32-E72D297353CC}">
              <c16:uniqueId val="{00000000-6AFF-43F5-BCBA-BF2E33F72D46}"/>
            </c:ext>
          </c:extLst>
        </c:ser>
        <c:ser>
          <c:idx val="1"/>
          <c:order val="1"/>
          <c:tx>
            <c:strRef>
              <c:f>Data!$C$4</c:f>
              <c:strCache>
                <c:ptCount val="1"/>
                <c:pt idx="0">
                  <c:v>Net Operating Income</c:v>
                </c:pt>
              </c:strCache>
            </c:strRef>
          </c:tx>
          <c:spPr>
            <a:ln w="28575" cap="rnd">
              <a:solidFill>
                <a:schemeClr val="accent2"/>
              </a:solidFill>
              <a:round/>
            </a:ln>
            <a:effectLst/>
          </c:spPr>
          <c:marker>
            <c:symbol val="none"/>
          </c:marker>
          <c:cat>
            <c:strRef>
              <c:f>Data!$D$2:$DS$2</c:f>
              <c:strCache>
                <c:ptCount val="60"/>
                <c:pt idx="0">
                  <c:v>7/1/2026</c:v>
                </c:pt>
                <c:pt idx="1">
                  <c:v>8/1/2026</c:v>
                </c:pt>
                <c:pt idx="2">
                  <c:v>9/1/2026</c:v>
                </c:pt>
                <c:pt idx="3">
                  <c:v>10/1/2026</c:v>
                </c:pt>
                <c:pt idx="4">
                  <c:v>11/1/2026</c:v>
                </c:pt>
                <c:pt idx="5">
                  <c:v>12/1/2026</c:v>
                </c:pt>
                <c:pt idx="6">
                  <c:v>1/1/2027</c:v>
                </c:pt>
                <c:pt idx="7">
                  <c:v>2/1/2027</c:v>
                </c:pt>
                <c:pt idx="8">
                  <c:v>3/1/2027</c:v>
                </c:pt>
                <c:pt idx="9">
                  <c:v>4/1/2027</c:v>
                </c:pt>
                <c:pt idx="10">
                  <c:v>5/1/2027</c:v>
                </c:pt>
                <c:pt idx="11">
                  <c:v>6/1/2027</c:v>
                </c:pt>
                <c:pt idx="12">
                  <c:v>7/1/2027</c:v>
                </c:pt>
                <c:pt idx="13">
                  <c:v>8/1/2027</c:v>
                </c:pt>
                <c:pt idx="14">
                  <c:v>9/1/2027</c:v>
                </c:pt>
                <c:pt idx="15">
                  <c:v>10/1/2027</c:v>
                </c:pt>
                <c:pt idx="16">
                  <c:v>11/1/2027</c:v>
                </c:pt>
                <c:pt idx="17">
                  <c:v>12/1/2027</c:v>
                </c:pt>
                <c:pt idx="18">
                  <c:v>1/1/2028</c:v>
                </c:pt>
                <c:pt idx="19">
                  <c:v>2/1/2028</c:v>
                </c:pt>
                <c:pt idx="20">
                  <c:v>3/1/2028</c:v>
                </c:pt>
                <c:pt idx="21">
                  <c:v>4/1/2028</c:v>
                </c:pt>
                <c:pt idx="22">
                  <c:v>5/1/2028</c:v>
                </c:pt>
                <c:pt idx="23">
                  <c:v>6/1/2028</c:v>
                </c:pt>
                <c:pt idx="24">
                  <c:v>7/1/2028</c:v>
                </c:pt>
                <c:pt idx="25">
                  <c:v>8/1/2028</c:v>
                </c:pt>
                <c:pt idx="26">
                  <c:v>9/1/2028</c:v>
                </c:pt>
                <c:pt idx="27">
                  <c:v>10/1/2028</c:v>
                </c:pt>
                <c:pt idx="28">
                  <c:v>11/1/2028</c:v>
                </c:pt>
                <c:pt idx="29">
                  <c:v>12/1/2028</c:v>
                </c:pt>
                <c:pt idx="30">
                  <c:v>1/1/2029</c:v>
                </c:pt>
                <c:pt idx="31">
                  <c:v>2/1/2029</c:v>
                </c:pt>
                <c:pt idx="32">
                  <c:v>3/1/2029</c:v>
                </c:pt>
                <c:pt idx="33">
                  <c:v>4/1/2029</c:v>
                </c:pt>
                <c:pt idx="34">
                  <c:v>5/1/2029</c:v>
                </c:pt>
                <c:pt idx="35">
                  <c:v>6/1/2029</c:v>
                </c:pt>
                <c:pt idx="36">
                  <c:v>7/1/2029</c:v>
                </c:pt>
                <c:pt idx="37">
                  <c:v>8/1/2029</c:v>
                </c:pt>
                <c:pt idx="38">
                  <c:v>9/1/2029</c:v>
                </c:pt>
                <c:pt idx="39">
                  <c:v>10/1/2029</c:v>
                </c:pt>
                <c:pt idx="40">
                  <c:v>11/1/2029</c:v>
                </c:pt>
                <c:pt idx="41">
                  <c:v>12/1/2029</c:v>
                </c:pt>
                <c:pt idx="42">
                  <c:v>1/1/2030</c:v>
                </c:pt>
                <c:pt idx="43">
                  <c:v>2/1/2030</c:v>
                </c:pt>
                <c:pt idx="44">
                  <c:v>3/1/2030</c:v>
                </c:pt>
                <c:pt idx="45">
                  <c:v>4/1/2030</c:v>
                </c:pt>
                <c:pt idx="46">
                  <c:v>5/1/2030</c:v>
                </c:pt>
                <c:pt idx="47">
                  <c:v>6/1/2030</c:v>
                </c:pt>
                <c:pt idx="48">
                  <c:v>7/1/2030</c:v>
                </c:pt>
                <c:pt idx="49">
                  <c:v>8/1/2030</c:v>
                </c:pt>
                <c:pt idx="50">
                  <c:v>9/1/2030</c:v>
                </c:pt>
                <c:pt idx="51">
                  <c:v>10/1/2030</c:v>
                </c:pt>
                <c:pt idx="52">
                  <c:v>11/1/2030</c:v>
                </c:pt>
                <c:pt idx="53">
                  <c:v>12/1/2030</c:v>
                </c:pt>
                <c:pt idx="54">
                  <c:v>1/1/2031</c:v>
                </c:pt>
                <c:pt idx="55">
                  <c:v>2/1/2031</c:v>
                </c:pt>
                <c:pt idx="56">
                  <c:v>3/1/2031</c:v>
                </c:pt>
                <c:pt idx="57">
                  <c:v>4/1/2031</c:v>
                </c:pt>
                <c:pt idx="58">
                  <c:v>5/1/2031</c:v>
                </c:pt>
                <c:pt idx="59">
                  <c:v>6/1/2031</c:v>
                </c:pt>
              </c:strCache>
            </c:strRef>
          </c:cat>
          <c:val>
            <c:numRef>
              <c:f>Data!$D$4:$DS$4</c:f>
              <c:numCache>
                <c:formatCode>"$"#,##0.00</c:formatCode>
                <c:ptCount val="120"/>
                <c:pt idx="0">
                  <c:v>1.1417791666666666</c:v>
                </c:pt>
                <c:pt idx="1">
                  <c:v>0.86152916666666668</c:v>
                </c:pt>
                <c:pt idx="2">
                  <c:v>0.86152916666666668</c:v>
                </c:pt>
                <c:pt idx="3">
                  <c:v>1.0014958333333335</c:v>
                </c:pt>
                <c:pt idx="4">
                  <c:v>1.0014958333333335</c:v>
                </c:pt>
                <c:pt idx="5">
                  <c:v>0.89493750000000005</c:v>
                </c:pt>
                <c:pt idx="6">
                  <c:v>1.1397208333333335</c:v>
                </c:pt>
                <c:pt idx="7">
                  <c:v>0.91069166666666657</c:v>
                </c:pt>
                <c:pt idx="8">
                  <c:v>0.77832499999999993</c:v>
                </c:pt>
                <c:pt idx="9">
                  <c:v>0.77832499999999993</c:v>
                </c:pt>
                <c:pt idx="10">
                  <c:v>0.77832499999999993</c:v>
                </c:pt>
                <c:pt idx="11">
                  <c:v>1.0501041666666666</c:v>
                </c:pt>
                <c:pt idx="12">
                  <c:v>1.0894780416666667</c:v>
                </c:pt>
                <c:pt idx="13">
                  <c:v>1.0894780416666667</c:v>
                </c:pt>
                <c:pt idx="14">
                  <c:v>1.0894780416666667</c:v>
                </c:pt>
                <c:pt idx="15">
                  <c:v>1.0894780416666667</c:v>
                </c:pt>
                <c:pt idx="16">
                  <c:v>1.0894780416666667</c:v>
                </c:pt>
                <c:pt idx="17">
                  <c:v>1.4455317083333332</c:v>
                </c:pt>
                <c:pt idx="18">
                  <c:v>1.4455317083333332</c:v>
                </c:pt>
                <c:pt idx="19">
                  <c:v>1.4455317083333332</c:v>
                </c:pt>
                <c:pt idx="20">
                  <c:v>1.4455317083333332</c:v>
                </c:pt>
                <c:pt idx="21">
                  <c:v>1.4455317083333332</c:v>
                </c:pt>
                <c:pt idx="22">
                  <c:v>1.4455317083333332</c:v>
                </c:pt>
                <c:pt idx="23">
                  <c:v>1.4455317083333332</c:v>
                </c:pt>
                <c:pt idx="24">
                  <c:v>1.4720038174999996</c:v>
                </c:pt>
                <c:pt idx="25">
                  <c:v>1.4720038174999996</c:v>
                </c:pt>
                <c:pt idx="26">
                  <c:v>1.4720038174999996</c:v>
                </c:pt>
                <c:pt idx="27">
                  <c:v>1.4720038174999996</c:v>
                </c:pt>
                <c:pt idx="28">
                  <c:v>1.4720038174999996</c:v>
                </c:pt>
                <c:pt idx="29">
                  <c:v>1.4720038174999996</c:v>
                </c:pt>
                <c:pt idx="30">
                  <c:v>1.4720038174999996</c:v>
                </c:pt>
                <c:pt idx="31">
                  <c:v>1.4720038174999996</c:v>
                </c:pt>
                <c:pt idx="32">
                  <c:v>1.4720038174999996</c:v>
                </c:pt>
                <c:pt idx="33">
                  <c:v>1.4720038174999996</c:v>
                </c:pt>
                <c:pt idx="34">
                  <c:v>1.4720038174999996</c:v>
                </c:pt>
                <c:pt idx="35">
                  <c:v>1.4720038174999996</c:v>
                </c:pt>
                <c:pt idx="36">
                  <c:v>1.5161639320249998</c:v>
                </c:pt>
                <c:pt idx="37">
                  <c:v>1.5161639320249998</c:v>
                </c:pt>
                <c:pt idx="38">
                  <c:v>1.5161639320249998</c:v>
                </c:pt>
                <c:pt idx="39">
                  <c:v>1.5161639320249998</c:v>
                </c:pt>
                <c:pt idx="40">
                  <c:v>1.5161639320249998</c:v>
                </c:pt>
                <c:pt idx="41">
                  <c:v>1.5161639320249998</c:v>
                </c:pt>
                <c:pt idx="42">
                  <c:v>1.5161639320249998</c:v>
                </c:pt>
                <c:pt idx="43">
                  <c:v>1.5161639320249998</c:v>
                </c:pt>
                <c:pt idx="44">
                  <c:v>1.5161639320249998</c:v>
                </c:pt>
                <c:pt idx="45">
                  <c:v>1.5161639320249998</c:v>
                </c:pt>
                <c:pt idx="46">
                  <c:v>1.5161639320249998</c:v>
                </c:pt>
                <c:pt idx="47">
                  <c:v>1.5161639320249998</c:v>
                </c:pt>
                <c:pt idx="48">
                  <c:v>1.5616488499857506</c:v>
                </c:pt>
                <c:pt idx="49">
                  <c:v>1.5616488499857506</c:v>
                </c:pt>
                <c:pt idx="50">
                  <c:v>1.5616488499857506</c:v>
                </c:pt>
                <c:pt idx="51">
                  <c:v>1.5616488499857506</c:v>
                </c:pt>
                <c:pt idx="52">
                  <c:v>1.5616488499857506</c:v>
                </c:pt>
                <c:pt idx="53">
                  <c:v>1.5616488499857506</c:v>
                </c:pt>
                <c:pt idx="54">
                  <c:v>1.5616488499857506</c:v>
                </c:pt>
                <c:pt idx="55">
                  <c:v>1.5616488499857506</c:v>
                </c:pt>
                <c:pt idx="56">
                  <c:v>1.5616488499857506</c:v>
                </c:pt>
                <c:pt idx="57">
                  <c:v>1.5616488499857506</c:v>
                </c:pt>
                <c:pt idx="58">
                  <c:v>1.5616488499857506</c:v>
                </c:pt>
                <c:pt idx="59">
                  <c:v>1.5616488499857506</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numCache>
            </c:numRef>
          </c:val>
          <c:smooth val="0"/>
          <c:extLst>
            <c:ext xmlns:c16="http://schemas.microsoft.com/office/drawing/2014/chart" uri="{C3380CC4-5D6E-409C-BE32-E72D297353CC}">
              <c16:uniqueId val="{00000001-6AFF-43F5-BCBA-BF2E33F72D46}"/>
            </c:ext>
          </c:extLst>
        </c:ser>
        <c:ser>
          <c:idx val="2"/>
          <c:order val="2"/>
          <c:tx>
            <c:strRef>
              <c:f>Data!$C$5</c:f>
              <c:strCache>
                <c:ptCount val="1"/>
                <c:pt idx="0">
                  <c:v>CFAF</c:v>
                </c:pt>
              </c:strCache>
            </c:strRef>
          </c:tx>
          <c:spPr>
            <a:ln w="28575" cap="rnd">
              <a:solidFill>
                <a:schemeClr val="accent3"/>
              </a:solidFill>
              <a:round/>
            </a:ln>
            <a:effectLst/>
          </c:spPr>
          <c:marker>
            <c:symbol val="none"/>
          </c:marker>
          <c:cat>
            <c:strRef>
              <c:f>Data!$D$2:$DS$2</c:f>
              <c:strCache>
                <c:ptCount val="60"/>
                <c:pt idx="0">
                  <c:v>7/1/2026</c:v>
                </c:pt>
                <c:pt idx="1">
                  <c:v>8/1/2026</c:v>
                </c:pt>
                <c:pt idx="2">
                  <c:v>9/1/2026</c:v>
                </c:pt>
                <c:pt idx="3">
                  <c:v>10/1/2026</c:v>
                </c:pt>
                <c:pt idx="4">
                  <c:v>11/1/2026</c:v>
                </c:pt>
                <c:pt idx="5">
                  <c:v>12/1/2026</c:v>
                </c:pt>
                <c:pt idx="6">
                  <c:v>1/1/2027</c:v>
                </c:pt>
                <c:pt idx="7">
                  <c:v>2/1/2027</c:v>
                </c:pt>
                <c:pt idx="8">
                  <c:v>3/1/2027</c:v>
                </c:pt>
                <c:pt idx="9">
                  <c:v>4/1/2027</c:v>
                </c:pt>
                <c:pt idx="10">
                  <c:v>5/1/2027</c:v>
                </c:pt>
                <c:pt idx="11">
                  <c:v>6/1/2027</c:v>
                </c:pt>
                <c:pt idx="12">
                  <c:v>7/1/2027</c:v>
                </c:pt>
                <c:pt idx="13">
                  <c:v>8/1/2027</c:v>
                </c:pt>
                <c:pt idx="14">
                  <c:v>9/1/2027</c:v>
                </c:pt>
                <c:pt idx="15">
                  <c:v>10/1/2027</c:v>
                </c:pt>
                <c:pt idx="16">
                  <c:v>11/1/2027</c:v>
                </c:pt>
                <c:pt idx="17">
                  <c:v>12/1/2027</c:v>
                </c:pt>
                <c:pt idx="18">
                  <c:v>1/1/2028</c:v>
                </c:pt>
                <c:pt idx="19">
                  <c:v>2/1/2028</c:v>
                </c:pt>
                <c:pt idx="20">
                  <c:v>3/1/2028</c:v>
                </c:pt>
                <c:pt idx="21">
                  <c:v>4/1/2028</c:v>
                </c:pt>
                <c:pt idx="22">
                  <c:v>5/1/2028</c:v>
                </c:pt>
                <c:pt idx="23">
                  <c:v>6/1/2028</c:v>
                </c:pt>
                <c:pt idx="24">
                  <c:v>7/1/2028</c:v>
                </c:pt>
                <c:pt idx="25">
                  <c:v>8/1/2028</c:v>
                </c:pt>
                <c:pt idx="26">
                  <c:v>9/1/2028</c:v>
                </c:pt>
                <c:pt idx="27">
                  <c:v>10/1/2028</c:v>
                </c:pt>
                <c:pt idx="28">
                  <c:v>11/1/2028</c:v>
                </c:pt>
                <c:pt idx="29">
                  <c:v>12/1/2028</c:v>
                </c:pt>
                <c:pt idx="30">
                  <c:v>1/1/2029</c:v>
                </c:pt>
                <c:pt idx="31">
                  <c:v>2/1/2029</c:v>
                </c:pt>
                <c:pt idx="32">
                  <c:v>3/1/2029</c:v>
                </c:pt>
                <c:pt idx="33">
                  <c:v>4/1/2029</c:v>
                </c:pt>
                <c:pt idx="34">
                  <c:v>5/1/2029</c:v>
                </c:pt>
                <c:pt idx="35">
                  <c:v>6/1/2029</c:v>
                </c:pt>
                <c:pt idx="36">
                  <c:v>7/1/2029</c:v>
                </c:pt>
                <c:pt idx="37">
                  <c:v>8/1/2029</c:v>
                </c:pt>
                <c:pt idx="38">
                  <c:v>9/1/2029</c:v>
                </c:pt>
                <c:pt idx="39">
                  <c:v>10/1/2029</c:v>
                </c:pt>
                <c:pt idx="40">
                  <c:v>11/1/2029</c:v>
                </c:pt>
                <c:pt idx="41">
                  <c:v>12/1/2029</c:v>
                </c:pt>
                <c:pt idx="42">
                  <c:v>1/1/2030</c:v>
                </c:pt>
                <c:pt idx="43">
                  <c:v>2/1/2030</c:v>
                </c:pt>
                <c:pt idx="44">
                  <c:v>3/1/2030</c:v>
                </c:pt>
                <c:pt idx="45">
                  <c:v>4/1/2030</c:v>
                </c:pt>
                <c:pt idx="46">
                  <c:v>5/1/2030</c:v>
                </c:pt>
                <c:pt idx="47">
                  <c:v>6/1/2030</c:v>
                </c:pt>
                <c:pt idx="48">
                  <c:v>7/1/2030</c:v>
                </c:pt>
                <c:pt idx="49">
                  <c:v>8/1/2030</c:v>
                </c:pt>
                <c:pt idx="50">
                  <c:v>9/1/2030</c:v>
                </c:pt>
                <c:pt idx="51">
                  <c:v>10/1/2030</c:v>
                </c:pt>
                <c:pt idx="52">
                  <c:v>11/1/2030</c:v>
                </c:pt>
                <c:pt idx="53">
                  <c:v>12/1/2030</c:v>
                </c:pt>
                <c:pt idx="54">
                  <c:v>1/1/2031</c:v>
                </c:pt>
                <c:pt idx="55">
                  <c:v>2/1/2031</c:v>
                </c:pt>
                <c:pt idx="56">
                  <c:v>3/1/2031</c:v>
                </c:pt>
                <c:pt idx="57">
                  <c:v>4/1/2031</c:v>
                </c:pt>
                <c:pt idx="58">
                  <c:v>5/1/2031</c:v>
                </c:pt>
                <c:pt idx="59">
                  <c:v>6/1/2031</c:v>
                </c:pt>
              </c:strCache>
            </c:strRef>
          </c:cat>
          <c:val>
            <c:numRef>
              <c:f>Data!$D$5:$DS$5</c:f>
              <c:numCache>
                <c:formatCode>"$"#,##0.00</c:formatCode>
                <c:ptCount val="120"/>
                <c:pt idx="0">
                  <c:v>0.47170100007575805</c:v>
                </c:pt>
                <c:pt idx="1">
                  <c:v>0.19985850007575814</c:v>
                </c:pt>
                <c:pt idx="2">
                  <c:v>0.19985850007575814</c:v>
                </c:pt>
                <c:pt idx="3">
                  <c:v>0.33562616674242479</c:v>
                </c:pt>
                <c:pt idx="4">
                  <c:v>0.33562616674242479</c:v>
                </c:pt>
                <c:pt idx="5">
                  <c:v>0.23226458340909145</c:v>
                </c:pt>
                <c:pt idx="6">
                  <c:v>0.4697044167424248</c:v>
                </c:pt>
                <c:pt idx="7">
                  <c:v>0.24754612507575802</c:v>
                </c:pt>
                <c:pt idx="8">
                  <c:v>0.1191504584090914</c:v>
                </c:pt>
                <c:pt idx="9">
                  <c:v>0.1191504584090914</c:v>
                </c:pt>
                <c:pt idx="10">
                  <c:v>0.1191504584090914</c:v>
                </c:pt>
                <c:pt idx="11">
                  <c:v>0.38277625007575805</c:v>
                </c:pt>
                <c:pt idx="12">
                  <c:v>0.4209689088257581</c:v>
                </c:pt>
                <c:pt idx="13">
                  <c:v>0.4209689088257581</c:v>
                </c:pt>
                <c:pt idx="14">
                  <c:v>0.4209689088257581</c:v>
                </c:pt>
                <c:pt idx="15">
                  <c:v>0.4209689088257581</c:v>
                </c:pt>
                <c:pt idx="16">
                  <c:v>0.4209689088257581</c:v>
                </c:pt>
                <c:pt idx="17">
                  <c:v>0.76634096549242481</c:v>
                </c:pt>
                <c:pt idx="18">
                  <c:v>0.76634096549242481</c:v>
                </c:pt>
                <c:pt idx="19">
                  <c:v>0.76634096549242481</c:v>
                </c:pt>
                <c:pt idx="20">
                  <c:v>0.76634096549242481</c:v>
                </c:pt>
                <c:pt idx="21">
                  <c:v>0.76634096549242481</c:v>
                </c:pt>
                <c:pt idx="22">
                  <c:v>0.76634096549242481</c:v>
                </c:pt>
                <c:pt idx="23">
                  <c:v>0.76634096549242481</c:v>
                </c:pt>
                <c:pt idx="24">
                  <c:v>0.79201891138409108</c:v>
                </c:pt>
                <c:pt idx="25">
                  <c:v>0.79201891138409108</c:v>
                </c:pt>
                <c:pt idx="26">
                  <c:v>0.79201891138409108</c:v>
                </c:pt>
                <c:pt idx="27">
                  <c:v>0.79201891138409108</c:v>
                </c:pt>
                <c:pt idx="28">
                  <c:v>0.79201891138409108</c:v>
                </c:pt>
                <c:pt idx="29">
                  <c:v>0.79201891138409108</c:v>
                </c:pt>
                <c:pt idx="30">
                  <c:v>0.79201891138409108</c:v>
                </c:pt>
                <c:pt idx="31">
                  <c:v>0.79201891138409108</c:v>
                </c:pt>
                <c:pt idx="32">
                  <c:v>0.79201891138409108</c:v>
                </c:pt>
                <c:pt idx="33">
                  <c:v>0.79201891138409108</c:v>
                </c:pt>
                <c:pt idx="34">
                  <c:v>0.79201891138409108</c:v>
                </c:pt>
                <c:pt idx="35">
                  <c:v>0.79201891138409108</c:v>
                </c:pt>
                <c:pt idx="36">
                  <c:v>0.83485422247334118</c:v>
                </c:pt>
                <c:pt idx="37">
                  <c:v>0.83485422247334118</c:v>
                </c:pt>
                <c:pt idx="38">
                  <c:v>0.83485422247334118</c:v>
                </c:pt>
                <c:pt idx="39">
                  <c:v>0.83485422247334118</c:v>
                </c:pt>
                <c:pt idx="40">
                  <c:v>0.83485422247334118</c:v>
                </c:pt>
                <c:pt idx="41">
                  <c:v>0.83485422247334118</c:v>
                </c:pt>
                <c:pt idx="42">
                  <c:v>0.83485422247334118</c:v>
                </c:pt>
                <c:pt idx="43">
                  <c:v>0.83485422247334118</c:v>
                </c:pt>
                <c:pt idx="44">
                  <c:v>0.83485422247334118</c:v>
                </c:pt>
                <c:pt idx="45">
                  <c:v>0.83485422247334118</c:v>
                </c:pt>
                <c:pt idx="46">
                  <c:v>0.83485422247334118</c:v>
                </c:pt>
                <c:pt idx="47">
                  <c:v>0.83485422247334118</c:v>
                </c:pt>
                <c:pt idx="48">
                  <c:v>0.87897459289526936</c:v>
                </c:pt>
                <c:pt idx="49">
                  <c:v>0.87897459289526936</c:v>
                </c:pt>
                <c:pt idx="50">
                  <c:v>0.87897459289526936</c:v>
                </c:pt>
                <c:pt idx="51">
                  <c:v>0.87897459289526936</c:v>
                </c:pt>
                <c:pt idx="52">
                  <c:v>0.87897459289526936</c:v>
                </c:pt>
                <c:pt idx="53">
                  <c:v>0.87897459289526936</c:v>
                </c:pt>
                <c:pt idx="54">
                  <c:v>0.87897459289526936</c:v>
                </c:pt>
                <c:pt idx="55">
                  <c:v>0.87897459289526936</c:v>
                </c:pt>
                <c:pt idx="56">
                  <c:v>0.87897459289526936</c:v>
                </c:pt>
                <c:pt idx="57">
                  <c:v>0.87897459289526936</c:v>
                </c:pt>
                <c:pt idx="58">
                  <c:v>0.87897459289526936</c:v>
                </c:pt>
                <c:pt idx="59">
                  <c:v>0.87897459289526936</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numCache>
            </c:numRef>
          </c:val>
          <c:smooth val="0"/>
          <c:extLst>
            <c:ext xmlns:c16="http://schemas.microsoft.com/office/drawing/2014/chart" uri="{C3380CC4-5D6E-409C-BE32-E72D297353CC}">
              <c16:uniqueId val="{00000002-6AFF-43F5-BCBA-BF2E33F72D46}"/>
            </c:ext>
          </c:extLst>
        </c:ser>
        <c:dLbls>
          <c:showLegendKey val="0"/>
          <c:showVal val="0"/>
          <c:showCatName val="0"/>
          <c:showSerName val="0"/>
          <c:showPercent val="0"/>
          <c:showBubbleSize val="0"/>
        </c:dLbls>
        <c:smooth val="0"/>
        <c:axId val="578801232"/>
        <c:axId val="578800448"/>
      </c:lineChart>
      <c:dateAx>
        <c:axId val="57880123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578800448"/>
        <c:crosses val="autoZero"/>
        <c:auto val="1"/>
        <c:lblOffset val="100"/>
        <c:baseTimeUnit val="months"/>
        <c:majorUnit val="1"/>
        <c:majorTimeUnit val="years"/>
      </c:dateAx>
      <c:valAx>
        <c:axId val="578800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57880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es-N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15875</xdr:colOff>
      <xdr:row>44</xdr:row>
      <xdr:rowOff>0</xdr:rowOff>
    </xdr:from>
    <xdr:to>
      <xdr:col>10</xdr:col>
      <xdr:colOff>1063625</xdr:colOff>
      <xdr:row>58</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261936</xdr:colOff>
      <xdr:row>1</xdr:row>
      <xdr:rowOff>95250</xdr:rowOff>
    </xdr:from>
    <xdr:to>
      <xdr:col>18</xdr:col>
      <xdr:colOff>285749</xdr:colOff>
      <xdr:row>6</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0222365" y="299357"/>
          <a:ext cx="8364991" cy="97971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 a lot of moving pieces to this model, I tried to make a lot of notifications for the user if</a:t>
          </a:r>
          <a:r>
            <a:rPr lang="en-US" sz="1100" baseline="0"/>
            <a:t> something was amiss. The box to the left will let you know if you have set your hold period too short, meaning you have not finished redeveloping the project yet. When doing sensitivity analysis, this is a key thing to pay attention to when analyzing returns. One might play around with just the holding period and not be thinking about the fact that the building will still be under renovation. However, this might be fine, but it is important to be aware of. To check this out, in the base case, put the holding period (Cell G9) to 2 Years</a:t>
          </a:r>
          <a:endParaRPr lang="en-US" sz="1100"/>
        </a:p>
      </xdr:txBody>
    </xdr:sp>
    <xdr:clientData/>
  </xdr:twoCellAnchor>
  <xdr:twoCellAnchor>
    <xdr:from>
      <xdr:col>11</xdr:col>
      <xdr:colOff>40821</xdr:colOff>
      <xdr:row>5</xdr:row>
      <xdr:rowOff>122465</xdr:rowOff>
    </xdr:from>
    <xdr:to>
      <xdr:col>12</xdr:col>
      <xdr:colOff>231321</xdr:colOff>
      <xdr:row>5</xdr:row>
      <xdr:rowOff>122465</xdr:rowOff>
    </xdr:to>
    <xdr:cxnSp macro="">
      <xdr:nvCxnSpPr>
        <xdr:cNvPr id="4" name="Straight Arrow Connector 3">
          <a:extLst>
            <a:ext uri="{FF2B5EF4-FFF2-40B4-BE49-F238E27FC236}">
              <a16:creationId xmlns:a16="http://schemas.microsoft.com/office/drawing/2014/main" id="{00000000-0008-0000-0000-000004000000}"/>
            </a:ext>
          </a:extLst>
        </xdr:cNvPr>
        <xdr:cNvCxnSpPr/>
      </xdr:nvCxnSpPr>
      <xdr:spPr>
        <a:xfrm flipH="1">
          <a:off x="9824357" y="1102179"/>
          <a:ext cx="367393" cy="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6802</xdr:colOff>
      <xdr:row>34</xdr:row>
      <xdr:rowOff>79376</xdr:rowOff>
    </xdr:from>
    <xdr:to>
      <xdr:col>21</xdr:col>
      <xdr:colOff>1054552</xdr:colOff>
      <xdr:row>37</xdr:row>
      <xdr:rowOff>180296</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675427" y="6889751"/>
          <a:ext cx="8350250" cy="6724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monitors your DSCR in the monthly Proforma.</a:t>
          </a:r>
          <a:r>
            <a:rPr lang="en-US" sz="1100" baseline="0"/>
            <a:t> If your assumptions make your DSCR drop below the required  DSCR, it will turn red to notify you. In order to keep this above the required minimum, alter your construction schedule a bit more to stagger the development, this will enable yoo to keep more units online to generate cash flow. Additionally, you can alter construction costs. </a:t>
          </a:r>
          <a:endParaRPr lang="en-US" sz="1100"/>
        </a:p>
      </xdr:txBody>
    </xdr:sp>
    <xdr:clientData/>
  </xdr:twoCellAnchor>
  <xdr:twoCellAnchor>
    <xdr:from>
      <xdr:col>11</xdr:col>
      <xdr:colOff>15875</xdr:colOff>
      <xdr:row>35</xdr:row>
      <xdr:rowOff>117929</xdr:rowOff>
    </xdr:from>
    <xdr:to>
      <xdr:col>15</xdr:col>
      <xdr:colOff>156483</xdr:colOff>
      <xdr:row>35</xdr:row>
      <xdr:rowOff>117929</xdr:rowOff>
    </xdr:to>
    <xdr:cxnSp macro="">
      <xdr:nvCxnSpPr>
        <xdr:cNvPr id="8" name="Straight Arrow Connector 7">
          <a:extLst>
            <a:ext uri="{FF2B5EF4-FFF2-40B4-BE49-F238E27FC236}">
              <a16:creationId xmlns:a16="http://schemas.microsoft.com/office/drawing/2014/main" id="{00000000-0008-0000-0000-000008000000}"/>
            </a:ext>
          </a:extLst>
        </xdr:cNvPr>
        <xdr:cNvCxnSpPr/>
      </xdr:nvCxnSpPr>
      <xdr:spPr>
        <a:xfrm flipH="1">
          <a:off x="9779000" y="7118804"/>
          <a:ext cx="5871483" cy="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159202</xdr:colOff>
      <xdr:row>34</xdr:row>
      <xdr:rowOff>184151</xdr:rowOff>
    </xdr:from>
    <xdr:to>
      <xdr:col>8</xdr:col>
      <xdr:colOff>0</xdr:colOff>
      <xdr:row>37</xdr:row>
      <xdr:rowOff>31750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762452" y="6994526"/>
          <a:ext cx="4603298" cy="419099"/>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a:t>
          </a:r>
          <a:r>
            <a:rPr lang="en-US" sz="1100" baseline="0"/>
            <a:t> can pick between using athe market cap rate or your required unlevered return to use as the purchase price</a:t>
          </a:r>
          <a:endParaRPr lang="en-US" sz="1100"/>
        </a:p>
      </xdr:txBody>
    </xdr:sp>
    <xdr:clientData/>
  </xdr:twoCellAnchor>
  <xdr:twoCellAnchor>
    <xdr:from>
      <xdr:col>6</xdr:col>
      <xdr:colOff>2286000</xdr:colOff>
      <xdr:row>33</xdr:row>
      <xdr:rowOff>31750</xdr:rowOff>
    </xdr:from>
    <xdr:to>
      <xdr:col>6</xdr:col>
      <xdr:colOff>2286226</xdr:colOff>
      <xdr:row>34</xdr:row>
      <xdr:rowOff>184151</xdr:rowOff>
    </xdr:to>
    <xdr:cxnSp macro="">
      <xdr:nvCxnSpPr>
        <xdr:cNvPr id="10" name="Straight Arrow Connector 9">
          <a:extLst>
            <a:ext uri="{FF2B5EF4-FFF2-40B4-BE49-F238E27FC236}">
              <a16:creationId xmlns:a16="http://schemas.microsoft.com/office/drawing/2014/main" id="{00000000-0008-0000-0000-00000A000000}"/>
            </a:ext>
          </a:extLst>
        </xdr:cNvPr>
        <xdr:cNvCxnSpPr>
          <a:stCxn id="9" idx="0"/>
        </xdr:cNvCxnSpPr>
      </xdr:nvCxnSpPr>
      <xdr:spPr>
        <a:xfrm flipH="1" flipV="1">
          <a:off x="3063875" y="6651625"/>
          <a:ext cx="226" cy="34290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19050</xdr:colOff>
      <xdr:row>59</xdr:row>
      <xdr:rowOff>38100</xdr:rowOff>
    </xdr:from>
    <xdr:to>
      <xdr:col>10</xdr:col>
      <xdr:colOff>1066800</xdr:colOff>
      <xdr:row>63</xdr:row>
      <xdr:rowOff>75521</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5600700" y="11506200"/>
          <a:ext cx="4191000" cy="79942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graph allows you to monitor your</a:t>
          </a:r>
          <a:r>
            <a:rPr lang="en-US" sz="1100" baseline="0"/>
            <a:t> cash flows. One of the things to look out for is that your CFAF does not dip below zero, which would indicate a need for additional capital. This graph is dymanic and will change when you change the assumptions</a:t>
          </a:r>
          <a:endParaRPr lang="en-US" sz="1100"/>
        </a:p>
      </xdr:txBody>
    </xdr:sp>
    <xdr:clientData/>
  </xdr:twoCellAnchor>
  <xdr:twoCellAnchor>
    <xdr:from>
      <xdr:col>12</xdr:col>
      <xdr:colOff>190500</xdr:colOff>
      <xdr:row>59</xdr:row>
      <xdr:rowOff>19050</xdr:rowOff>
    </xdr:from>
    <xdr:to>
      <xdr:col>17</xdr:col>
      <xdr:colOff>323850</xdr:colOff>
      <xdr:row>61</xdr:row>
      <xdr:rowOff>133349</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10210800" y="11525250"/>
          <a:ext cx="7677150" cy="495299"/>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a:t>
          </a:r>
          <a:r>
            <a:rPr lang="en-US" sz="1100" baseline="0"/>
            <a:t> a sensitivity analysis that shows what the different return metrics would be based on different holding period and using all the assumptions you have plugged in</a:t>
          </a:r>
          <a:endParaRPr lang="en-US" sz="1100"/>
        </a:p>
      </xdr:txBody>
    </xdr:sp>
    <xdr:clientData/>
  </xdr:twoCellAnchor>
  <xdr:twoCellAnchor>
    <xdr:from>
      <xdr:col>22</xdr:col>
      <xdr:colOff>535439</xdr:colOff>
      <xdr:row>24</xdr:row>
      <xdr:rowOff>175532</xdr:rowOff>
    </xdr:from>
    <xdr:to>
      <xdr:col>26</xdr:col>
      <xdr:colOff>864053</xdr:colOff>
      <xdr:row>47</xdr:row>
      <xdr:rowOff>142876</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28419877" y="4938032"/>
          <a:ext cx="7162801" cy="415834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Unit</a:t>
          </a:r>
          <a:r>
            <a:rPr lang="en-US" sz="1100" b="1" baseline="0"/>
            <a:t> Level Assumptions</a:t>
          </a:r>
          <a:r>
            <a:rPr lang="en-US" sz="1100" b="1"/>
            <a:t> is how you can model each unit individually.</a:t>
          </a:r>
          <a:r>
            <a:rPr lang="en-US" sz="1100" b="1" baseline="0"/>
            <a:t> </a:t>
          </a:r>
        </a:p>
        <a:p>
          <a:r>
            <a:rPr lang="en-US" sz="1100" baseline="0"/>
            <a:t>From left to right (I will omit some self explanatory columns)</a:t>
          </a:r>
        </a:p>
        <a:p>
          <a:r>
            <a:rPr lang="en-US" sz="1100" b="1" baseline="0"/>
            <a:t>Unit #</a:t>
          </a:r>
          <a:r>
            <a:rPr lang="en-US" sz="1100" baseline="0"/>
            <a:t> - Manually plug in each unit #</a:t>
          </a:r>
        </a:p>
        <a:p>
          <a:r>
            <a:rPr lang="en-US" sz="1100" b="1" baseline="0"/>
            <a:t>Type </a:t>
          </a:r>
          <a:r>
            <a:rPr lang="en-US" sz="1100" baseline="0"/>
            <a:t>- Choose from the dropdown menu what unit type each unit # is.  If you leave it blank the row will turn black and it will not flow through to the proforma</a:t>
          </a:r>
        </a:p>
        <a:p>
          <a:r>
            <a:rPr lang="en-US" sz="1100" b="1" baseline="0"/>
            <a:t>Rent Sf</a:t>
          </a:r>
          <a:r>
            <a:rPr lang="en-US" sz="1100" baseline="0"/>
            <a:t> - will automatically calculate</a:t>
          </a:r>
        </a:p>
        <a:p>
          <a:r>
            <a:rPr lang="en-US" sz="1100" b="1" baseline="0"/>
            <a:t>Renovation Begin Date </a:t>
          </a:r>
          <a:r>
            <a:rPr lang="en-US" sz="1100" baseline="0"/>
            <a:t>- the drop down list automatically changes to relevant dates according to what you plugged in for Acquisition Target Date (cell  G10)</a:t>
          </a:r>
        </a:p>
        <a:p>
          <a:r>
            <a:rPr lang="en-US" sz="1100" b="1" baseline="0"/>
            <a:t>Duration </a:t>
          </a:r>
          <a:r>
            <a:rPr lang="en-US" sz="1100" baseline="0"/>
            <a:t>- up to you</a:t>
          </a:r>
        </a:p>
        <a:p>
          <a:r>
            <a:rPr lang="en-US" sz="1100" b="1" baseline="0"/>
            <a:t>Date Complete </a:t>
          </a:r>
          <a:r>
            <a:rPr lang="en-US" sz="1100" baseline="0"/>
            <a:t>- auto-calculates</a:t>
          </a:r>
        </a:p>
        <a:p>
          <a:r>
            <a:rPr lang="en-US" sz="1100" b="1" baseline="0"/>
            <a:t>Year complete </a:t>
          </a:r>
          <a:r>
            <a:rPr lang="en-US" sz="1100" baseline="0"/>
            <a:t>- </a:t>
          </a:r>
          <a:r>
            <a:rPr lang="en-US" sz="1100" baseline="0">
              <a:solidFill>
                <a:schemeClr val="dk1"/>
              </a:solidFill>
              <a:effectLst/>
              <a:latin typeface="+mn-lt"/>
              <a:ea typeface="+mn-ea"/>
              <a:cs typeface="+mn-cs"/>
            </a:rPr>
            <a:t> auto-calculates</a:t>
          </a:r>
          <a:endParaRPr lang="en-US" sz="1100" baseline="0"/>
        </a:p>
        <a:p>
          <a:r>
            <a:rPr lang="en-US" sz="1100" b="1"/>
            <a:t>Cost per renovation </a:t>
          </a:r>
          <a:r>
            <a:rPr lang="en-US" sz="1100"/>
            <a:t>- i just plugged these in. However, it might bebest to create a sources and uses tab for construction and link these cells to those tabs</a:t>
          </a:r>
        </a:p>
        <a:p>
          <a:r>
            <a:rPr lang="en-US" sz="1100" b="1"/>
            <a:t>Premium Added </a:t>
          </a:r>
          <a:r>
            <a:rPr lang="en-US" sz="1100"/>
            <a:t>- this is the</a:t>
          </a:r>
          <a:r>
            <a:rPr lang="en-US" sz="1100" baseline="0"/>
            <a:t> increase in cost you believe you will realize after renovation. For example, in the most extreme case, if there is a unit that is unihabitable, in 'Market Rent in Current Condition' column, put $0, then in the 'Premium Added' column, put the INCREASE in rent payments that will be realized. In this example, it will be the entire rent that will now be realized. </a:t>
          </a:r>
        </a:p>
        <a:p>
          <a:endParaRPr lang="en-US" sz="1100" baseline="0"/>
        </a:p>
        <a:p>
          <a:r>
            <a:rPr lang="en-US" sz="1100">
              <a:solidFill>
                <a:schemeClr val="dk1"/>
              </a:solidFill>
              <a:effectLst/>
              <a:latin typeface="+mn-lt"/>
              <a:ea typeface="+mn-ea"/>
              <a:cs typeface="+mn-cs"/>
            </a:rPr>
            <a:t>The </a:t>
          </a:r>
          <a:r>
            <a:rPr lang="en-US" sz="1100" baseline="0">
              <a:solidFill>
                <a:schemeClr val="dk1"/>
              </a:solidFill>
              <a:effectLst/>
              <a:latin typeface="+mn-lt"/>
              <a:ea typeface="+mn-ea"/>
              <a:cs typeface="+mn-cs"/>
            </a:rPr>
            <a:t>Unit Level Assumptions section</a:t>
          </a:r>
          <a:r>
            <a:rPr lang="en-US" sz="1100">
              <a:solidFill>
                <a:schemeClr val="dk1"/>
              </a:solidFill>
              <a:effectLst/>
              <a:latin typeface="+mn-lt"/>
              <a:ea typeface="+mn-ea"/>
              <a:cs typeface="+mn-cs"/>
            </a:rPr>
            <a:t> was organized as a table to help with the renovation planning.</a:t>
          </a:r>
          <a:r>
            <a:rPr lang="en-US" sz="1100" baseline="0">
              <a:solidFill>
                <a:schemeClr val="dk1"/>
              </a:solidFill>
              <a:effectLst/>
              <a:latin typeface="+mn-lt"/>
              <a:ea typeface="+mn-ea"/>
              <a:cs typeface="+mn-cs"/>
            </a:rPr>
            <a:t> It might be best to organize units from cheapest to most expensive. This can help you get a clear view of how to plan out your renovation plan. For example, you don't want to take out all of the most profitable units at the same time because this can have a large impact on your bottom line. It might be best to take out the cheapest unit with the most expensive to help balance the cash flow better.</a:t>
          </a:r>
          <a:endParaRPr lang="en-US">
            <a:effectLst/>
          </a:endParaRPr>
        </a:p>
        <a:p>
          <a:r>
            <a:rPr lang="en-US" sz="1100" baseline="0">
              <a:solidFill>
                <a:schemeClr val="dk1"/>
              </a:solidFill>
              <a:effectLst/>
              <a:latin typeface="+mn-lt"/>
              <a:ea typeface="+mn-ea"/>
              <a:cs typeface="+mn-cs"/>
            </a:rPr>
            <a:t>The best way to verify if your construction plan is feasible is to watch what happens to the graph in the results section below as you develop your construction schedule. If CFAF dips below zero then you should alter your plans.</a:t>
          </a:r>
          <a:endParaRPr lang="en-US">
            <a:effectLst/>
          </a:endParaRPr>
        </a:p>
      </xdr:txBody>
    </xdr:sp>
    <xdr:clientData/>
  </xdr:twoCellAnchor>
  <xdr:twoCellAnchor>
    <xdr:from>
      <xdr:col>0</xdr:col>
      <xdr:colOff>50723</xdr:colOff>
      <xdr:row>15</xdr:row>
      <xdr:rowOff>51860</xdr:rowOff>
    </xdr:from>
    <xdr:to>
      <xdr:col>4</xdr:col>
      <xdr:colOff>431271</xdr:colOff>
      <xdr:row>18</xdr:row>
      <xdr:rowOff>116417</xdr:rowOff>
    </xdr:to>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50723" y="3131610"/>
          <a:ext cx="1608215" cy="65722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will automatically update from Unit Level Assumptions section</a:t>
          </a:r>
        </a:p>
      </xdr:txBody>
    </xdr:sp>
    <xdr:clientData/>
  </xdr:twoCellAnchor>
  <xdr:twoCellAnchor>
    <xdr:from>
      <xdr:col>4</xdr:col>
      <xdr:colOff>444726</xdr:colOff>
      <xdr:row>17</xdr:row>
      <xdr:rowOff>41277</xdr:rowOff>
    </xdr:from>
    <xdr:to>
      <xdr:col>5</xdr:col>
      <xdr:colOff>142875</xdr:colOff>
      <xdr:row>17</xdr:row>
      <xdr:rowOff>41277</xdr:rowOff>
    </xdr:to>
    <xdr:cxnSp macro="">
      <xdr:nvCxnSpPr>
        <xdr:cNvPr id="20" name="Straight Arrow Connector 19">
          <a:extLst>
            <a:ext uri="{FF2B5EF4-FFF2-40B4-BE49-F238E27FC236}">
              <a16:creationId xmlns:a16="http://schemas.microsoft.com/office/drawing/2014/main" id="{00000000-0008-0000-0000-000014000000}"/>
            </a:ext>
          </a:extLst>
        </xdr:cNvPr>
        <xdr:cNvCxnSpPr/>
      </xdr:nvCxnSpPr>
      <xdr:spPr>
        <a:xfrm>
          <a:off x="1659164" y="3517902"/>
          <a:ext cx="305367" cy="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50723</xdr:colOff>
      <xdr:row>0</xdr:row>
      <xdr:rowOff>178860</xdr:rowOff>
    </xdr:from>
    <xdr:to>
      <xdr:col>4</xdr:col>
      <xdr:colOff>431271</xdr:colOff>
      <xdr:row>13</xdr:row>
      <xdr:rowOff>47625</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50723" y="178860"/>
          <a:ext cx="1594986" cy="257148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Belasco - Mid- Size Multifamily </a:t>
          </a:r>
        </a:p>
        <a:p>
          <a:r>
            <a:rPr lang="en-US" sz="1100" b="1" u="sng"/>
            <a:t>Redevelopment Model</a:t>
          </a:r>
        </a:p>
        <a:p>
          <a:endParaRPr lang="en-US" sz="1100" b="1"/>
        </a:p>
        <a:p>
          <a:r>
            <a:rPr lang="en-US" sz="1100" b="1" u="sng"/>
            <a:t>General Guidelines</a:t>
          </a:r>
        </a:p>
        <a:p>
          <a:r>
            <a:rPr lang="en-US" sz="1100" b="1"/>
            <a:t>Only alter</a:t>
          </a:r>
          <a:r>
            <a:rPr lang="en-US" sz="1100" b="1" baseline="0"/>
            <a:t> cells with blue colored text if you are just wanting to model with this. Although feel completely free to alter and change this model to fit your needs as well.</a:t>
          </a:r>
        </a:p>
        <a:p>
          <a:endParaRPr lang="en-US" sz="1100" b="1" baseline="0"/>
        </a:p>
        <a:p>
          <a:endParaRPr lang="en-US" sz="1100" b="1" baseline="0"/>
        </a:p>
        <a:p>
          <a:r>
            <a:rPr lang="en-US" sz="1100" b="1" baseline="0"/>
            <a:t>If cells turn up red anywhere, it is indication of a potential problem with your analysis concerning that particular issue.</a:t>
          </a:r>
          <a:endParaRPr lang="en-US" sz="1100" b="1"/>
        </a:p>
        <a:p>
          <a:endParaRPr lang="en-US" sz="1100" b="1"/>
        </a:p>
      </xdr:txBody>
    </xdr:sp>
    <xdr:clientData/>
  </xdr:twoCellAnchor>
  <xdr:twoCellAnchor>
    <xdr:from>
      <xdr:col>16</xdr:col>
      <xdr:colOff>784677</xdr:colOff>
      <xdr:row>26</xdr:row>
      <xdr:rowOff>63501</xdr:rowOff>
    </xdr:from>
    <xdr:to>
      <xdr:col>18</xdr:col>
      <xdr:colOff>635000</xdr:colOff>
      <xdr:row>29</xdr:row>
      <xdr:rowOff>105834</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18935094" y="5281084"/>
          <a:ext cx="2464406" cy="61383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a:t>
          </a:r>
          <a:r>
            <a:rPr lang="en-US" sz="1100" baseline="0"/>
            <a:t> you have less than 12 units, pick the blank choice from the dropdown menu for each row that is not needed . </a:t>
          </a:r>
          <a:endParaRPr lang="en-US" sz="1100"/>
        </a:p>
      </xdr:txBody>
    </xdr:sp>
    <xdr:clientData/>
  </xdr:twoCellAnchor>
  <xdr:twoCellAnchor>
    <xdr:from>
      <xdr:col>17</xdr:col>
      <xdr:colOff>420912</xdr:colOff>
      <xdr:row>21</xdr:row>
      <xdr:rowOff>23812</xdr:rowOff>
    </xdr:from>
    <xdr:to>
      <xdr:col>17</xdr:col>
      <xdr:colOff>420912</xdr:colOff>
      <xdr:row>26</xdr:row>
      <xdr:rowOff>65089</xdr:rowOff>
    </xdr:to>
    <xdr:cxnSp macro="">
      <xdr:nvCxnSpPr>
        <xdr:cNvPr id="21" name="Straight Arrow Connector 20">
          <a:extLst>
            <a:ext uri="{FF2B5EF4-FFF2-40B4-BE49-F238E27FC236}">
              <a16:creationId xmlns:a16="http://schemas.microsoft.com/office/drawing/2014/main" id="{00000000-0008-0000-0000-000015000000}"/>
            </a:ext>
          </a:extLst>
        </xdr:cNvPr>
        <xdr:cNvCxnSpPr/>
      </xdr:nvCxnSpPr>
      <xdr:spPr>
        <a:xfrm flipV="1">
          <a:off x="20399600" y="4214812"/>
          <a:ext cx="0" cy="99377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33</xdr:col>
      <xdr:colOff>95250</xdr:colOff>
      <xdr:row>1</xdr:row>
      <xdr:rowOff>190499</xdr:rowOff>
    </xdr:from>
    <xdr:to>
      <xdr:col>46</xdr:col>
      <xdr:colOff>517071</xdr:colOff>
      <xdr:row>5</xdr:row>
      <xdr:rowOff>122464</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3281821" y="394606"/>
          <a:ext cx="8831036" cy="69396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Because we have three states</a:t>
          </a:r>
          <a:r>
            <a:rPr lang="en-US" sz="1100" baseline="0"/>
            <a:t> of the rent that need to be modeled (1.current state, 2. remodeling state, and 3. after renovation state), the proforma needs to be able to calculate for all of these abrupt changes. The best way to do this, I believe, is through creating the two tables to the left and using HLookup and the following formula in the proforma:</a:t>
          </a:r>
        </a:p>
        <a:p>
          <a:endParaRPr lang="en-US" sz="1100" baseline="0"/>
        </a:p>
        <a:p>
          <a:endParaRPr lang="en-US" sz="1100" baseline="0"/>
        </a:p>
        <a:p>
          <a:endParaRPr lang="en-US" sz="1100" baseline="0"/>
        </a:p>
        <a:p>
          <a:endParaRPr lang="en-US" sz="1100"/>
        </a:p>
      </xdr:txBody>
    </xdr:sp>
    <xdr:clientData/>
  </xdr:twoCellAnchor>
  <xdr:twoCellAnchor>
    <xdr:from>
      <xdr:col>33</xdr:col>
      <xdr:colOff>70757</xdr:colOff>
      <xdr:row>7</xdr:row>
      <xdr:rowOff>97971</xdr:rowOff>
    </xdr:from>
    <xdr:to>
      <xdr:col>46</xdr:col>
      <xdr:colOff>492578</xdr:colOff>
      <xdr:row>9</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3257328" y="1445078"/>
          <a:ext cx="8831036" cy="283029"/>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colors indicate the three states of each uits' cash flow.</a:t>
          </a:r>
          <a:endParaRPr lang="en-US" sz="1100" baseline="0"/>
        </a:p>
        <a:p>
          <a:endParaRPr lang="en-US" sz="1100" baseline="0"/>
        </a:p>
        <a:p>
          <a:endParaRPr lang="en-US" sz="1100" baseline="0"/>
        </a:p>
        <a:p>
          <a:endParaRPr lang="en-US" sz="1100" baseline="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174625</xdr:colOff>
      <xdr:row>12</xdr:row>
      <xdr:rowOff>127001</xdr:rowOff>
    </xdr:from>
    <xdr:to>
      <xdr:col>19</xdr:col>
      <xdr:colOff>555625</xdr:colOff>
      <xdr:row>18</xdr:row>
      <xdr:rowOff>63501</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5255875" y="2428876"/>
          <a:ext cx="2317750" cy="10795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These checks are good to use to make sure your formulas are correct. The total NOI in the monthly</a:t>
          </a:r>
          <a:r>
            <a:rPr lang="en-US" sz="1100" baseline="0"/>
            <a:t> cash flows should equal the total NOI in the yearly cash flow</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Q9:AA21" totalsRowShown="0" headerRowDxfId="28" dataDxfId="27">
  <autoFilter ref="Q9:AA21" xr:uid="{00000000-0009-0000-0100-000002000000}"/>
  <tableColumns count="11">
    <tableColumn id="1" xr3:uid="{00000000-0010-0000-0000-000001000000}" name="Unit #" dataDxfId="26"/>
    <tableColumn id="11" xr3:uid="{00000000-0010-0000-0000-00000B000000}" name="Type" dataDxfId="25"/>
    <tableColumn id="2" xr3:uid="{00000000-0010-0000-0000-000002000000}" name="SQ FT" dataDxfId="24"/>
    <tableColumn id="3" xr3:uid="{00000000-0010-0000-0000-000003000000}" name="Market Rent In Current Condition" dataDxfId="23"/>
    <tableColumn id="4" xr3:uid="{00000000-0010-0000-0000-000004000000}" name="Rent SF" dataDxfId="22">
      <calculatedColumnFormula>IFERROR(T10/S10,0)</calculatedColumnFormula>
    </tableColumn>
    <tableColumn id="5" xr3:uid="{00000000-0010-0000-0000-000005000000}" name="Renovation Begin Date" dataDxfId="21"/>
    <tableColumn id="6" xr3:uid="{00000000-0010-0000-0000-000006000000}" name="Duration of Rnovation (mos.)" dataDxfId="20"/>
    <tableColumn id="7" xr3:uid="{00000000-0010-0000-0000-000007000000}" name="Date Complete" dataDxfId="19">
      <calculatedColumnFormula>EDATE(V10,W10)</calculatedColumnFormula>
    </tableColumn>
    <tableColumn id="8" xr3:uid="{00000000-0010-0000-0000-000008000000}" name="Year Complete" dataDxfId="18">
      <calculatedColumnFormula>INDEX(UnitsBreakdown!$E$21:$FE$21,MATCH(Table2[[#This Row],[Date Complete]],UnitsBreakdown!$E$23:$FE$23))</calculatedColumnFormula>
    </tableColumn>
    <tableColumn id="9" xr3:uid="{00000000-0010-0000-0000-000009000000}" name="Cost Per renovation" dataDxfId="17"/>
    <tableColumn id="10" xr3:uid="{00000000-0010-0000-0000-00000A000000}" name="Premium Added due to Renovation"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dventuresincre.com/multifamily-redevelopment-model/" TargetMode="External"/><Relationship Id="rId2" Type="http://schemas.openxmlformats.org/officeDocument/2006/relationships/hyperlink" Target="https://www.adventuresincre.com/library-real-estate-excel-models/" TargetMode="External"/><Relationship Id="rId1" Type="http://schemas.openxmlformats.org/officeDocument/2006/relationships/hyperlink" Target="https://www.adventuresincre.com/" TargetMode="External"/><Relationship Id="rId6" Type="http://schemas.openxmlformats.org/officeDocument/2006/relationships/printerSettings" Target="../printerSettings/printerSettings1.bin"/><Relationship Id="rId5" Type="http://schemas.openxmlformats.org/officeDocument/2006/relationships/hyperlink" Target="https://www.adventuresincre.com/acre-disclaimer/" TargetMode="External"/><Relationship Id="rId4" Type="http://schemas.openxmlformats.org/officeDocument/2006/relationships/hyperlink" Target="https://www.adventuresincre.com/accelerator/"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4"/>
  <sheetViews>
    <sheetView showGridLines="0" tabSelected="1" zoomScaleNormal="100" workbookViewId="0">
      <selection activeCell="B16" sqref="B16:XFD19"/>
    </sheetView>
  </sheetViews>
  <sheetFormatPr defaultColWidth="0" defaultRowHeight="14.4" x14ac:dyDescent="0.3"/>
  <cols>
    <col min="1" max="1" width="1.88671875" customWidth="1"/>
    <col min="2" max="2" width="10.33203125" style="253" customWidth="1"/>
    <col min="3" max="3" width="10.33203125" style="252" customWidth="1"/>
    <col min="4" max="4" width="11.33203125" style="252" customWidth="1"/>
    <col min="5" max="12" width="10.33203125" style="252" customWidth="1"/>
    <col min="13" max="13" width="0.88671875" customWidth="1"/>
    <col min="14" max="16384" width="10.33203125" hidden="1"/>
  </cols>
  <sheetData>
    <row r="1" spans="1:12" ht="5.0999999999999996" customHeight="1" x14ac:dyDescent="0.3">
      <c r="B1"/>
      <c r="C1"/>
      <c r="D1"/>
      <c r="E1"/>
      <c r="F1"/>
      <c r="G1"/>
      <c r="H1"/>
      <c r="I1"/>
      <c r="J1"/>
      <c r="K1"/>
      <c r="L1"/>
    </row>
    <row r="2" spans="1:12" ht="15.6" x14ac:dyDescent="0.3">
      <c r="B2" s="264" t="s">
        <v>172</v>
      </c>
      <c r="C2" s="262"/>
      <c r="D2" s="262"/>
      <c r="E2" s="262"/>
      <c r="F2" s="262"/>
      <c r="G2" s="262"/>
      <c r="H2" s="262"/>
      <c r="I2" s="262"/>
      <c r="J2" s="263"/>
      <c r="K2" s="262"/>
      <c r="L2" s="262"/>
    </row>
    <row r="3" spans="1:12" x14ac:dyDescent="0.3">
      <c r="B3" s="258" t="s">
        <v>171</v>
      </c>
      <c r="C3" s="257"/>
      <c r="D3" s="257"/>
      <c r="E3" s="257"/>
      <c r="F3" s="257"/>
      <c r="G3" s="257"/>
      <c r="H3" s="257"/>
      <c r="I3" s="257"/>
      <c r="J3" s="257"/>
      <c r="K3" s="257"/>
      <c r="L3" s="261" t="str">
        <f>B15</f>
        <v>v7.1</v>
      </c>
    </row>
    <row r="4" spans="1:12" x14ac:dyDescent="0.3">
      <c r="B4" t="s">
        <v>175</v>
      </c>
      <c r="C4"/>
      <c r="D4"/>
      <c r="E4"/>
      <c r="F4"/>
      <c r="G4"/>
      <c r="H4" s="260" t="s">
        <v>170</v>
      </c>
      <c r="I4"/>
      <c r="K4"/>
      <c r="L4"/>
    </row>
    <row r="5" spans="1:12" x14ac:dyDescent="0.3">
      <c r="B5" s="273" t="s">
        <v>169</v>
      </c>
      <c r="C5" s="273"/>
      <c r="D5" s="273"/>
      <c r="E5"/>
      <c r="F5"/>
      <c r="G5"/>
      <c r="H5" s="273" t="s">
        <v>168</v>
      </c>
      <c r="I5" s="273"/>
      <c r="J5" s="273"/>
      <c r="K5" s="273"/>
      <c r="L5"/>
    </row>
    <row r="6" spans="1:12" x14ac:dyDescent="0.3">
      <c r="B6"/>
      <c r="C6"/>
      <c r="D6"/>
      <c r="E6"/>
      <c r="F6"/>
      <c r="G6"/>
      <c r="H6" s="273"/>
      <c r="I6" s="273"/>
      <c r="J6" s="273"/>
      <c r="K6" s="273"/>
      <c r="L6"/>
    </row>
    <row r="7" spans="1:12" x14ac:dyDescent="0.3">
      <c r="B7" s="260" t="s">
        <v>167</v>
      </c>
      <c r="C7"/>
      <c r="D7"/>
      <c r="E7"/>
      <c r="F7"/>
      <c r="G7"/>
      <c r="H7"/>
      <c r="I7"/>
      <c r="J7"/>
      <c r="K7"/>
      <c r="L7"/>
    </row>
    <row r="8" spans="1:12" x14ac:dyDescent="0.3">
      <c r="B8" s="259" t="s">
        <v>166</v>
      </c>
      <c r="C8"/>
      <c r="D8"/>
      <c r="E8"/>
      <c r="F8"/>
      <c r="G8"/>
      <c r="H8" s="276" t="s">
        <v>165</v>
      </c>
      <c r="I8" s="276"/>
      <c r="J8" s="276"/>
      <c r="K8" s="276"/>
      <c r="L8" s="276"/>
    </row>
    <row r="9" spans="1:12" x14ac:dyDescent="0.3">
      <c r="B9" s="259" t="s">
        <v>164</v>
      </c>
      <c r="C9"/>
      <c r="D9"/>
      <c r="E9"/>
      <c r="F9"/>
      <c r="G9"/>
      <c r="H9" s="277"/>
      <c r="I9" s="277"/>
      <c r="J9" s="277"/>
      <c r="K9" s="277"/>
      <c r="L9" s="277"/>
    </row>
    <row r="10" spans="1:12" x14ac:dyDescent="0.3">
      <c r="B10" s="259" t="s">
        <v>163</v>
      </c>
      <c r="C10"/>
      <c r="D10"/>
      <c r="E10"/>
      <c r="F10"/>
      <c r="G10"/>
      <c r="H10"/>
      <c r="I10"/>
      <c r="J10"/>
      <c r="K10"/>
      <c r="L10"/>
    </row>
    <row r="11" spans="1:12" x14ac:dyDescent="0.3">
      <c r="B11"/>
      <c r="C11"/>
      <c r="D11"/>
      <c r="E11"/>
      <c r="F11"/>
      <c r="G11"/>
      <c r="H11"/>
      <c r="I11"/>
      <c r="J11"/>
      <c r="K11"/>
      <c r="L11"/>
    </row>
    <row r="12" spans="1:12" ht="36.75" customHeight="1" x14ac:dyDescent="0.3">
      <c r="B12" s="275" t="s">
        <v>162</v>
      </c>
      <c r="C12" s="275"/>
      <c r="D12" s="275"/>
      <c r="E12" s="275"/>
      <c r="F12" s="275"/>
      <c r="G12" s="275"/>
      <c r="H12" s="275"/>
      <c r="I12" s="275"/>
      <c r="J12" s="275"/>
      <c r="K12" s="275"/>
      <c r="L12" s="275"/>
    </row>
    <row r="13" spans="1:12" ht="37.5" customHeight="1" x14ac:dyDescent="0.3">
      <c r="B13" s="274" t="s">
        <v>161</v>
      </c>
      <c r="C13" s="274"/>
      <c r="D13" s="274"/>
      <c r="E13" s="274"/>
      <c r="F13" s="274"/>
      <c r="G13" s="274"/>
      <c r="H13" s="274"/>
      <c r="I13" s="274"/>
      <c r="J13" s="274"/>
      <c r="K13" s="274"/>
      <c r="L13" s="274"/>
    </row>
    <row r="14" spans="1:12" x14ac:dyDescent="0.3">
      <c r="B14" s="258" t="s">
        <v>160</v>
      </c>
      <c r="C14" s="257"/>
      <c r="D14" s="257"/>
      <c r="E14" s="257"/>
      <c r="F14" s="257"/>
      <c r="G14" s="257"/>
      <c r="H14" s="257"/>
      <c r="I14" s="272" t="s">
        <v>159</v>
      </c>
      <c r="J14" s="272"/>
      <c r="K14" s="272"/>
      <c r="L14" s="272"/>
    </row>
    <row r="15" spans="1:12" x14ac:dyDescent="0.3">
      <c r="B15" s="255" t="s">
        <v>179</v>
      </c>
      <c r="I15"/>
    </row>
    <row r="16" spans="1:12" s="269" customFormat="1" x14ac:dyDescent="0.3">
      <c r="A16"/>
      <c r="B16" s="270" t="s">
        <v>184</v>
      </c>
      <c r="C16" s="270"/>
      <c r="D16" s="270"/>
      <c r="E16" s="270"/>
      <c r="F16" s="270"/>
      <c r="G16" s="270"/>
      <c r="H16" s="270"/>
      <c r="I16" s="270"/>
      <c r="J16" s="270"/>
      <c r="K16" s="270"/>
      <c r="L16" s="270"/>
    </row>
    <row r="17" spans="1:12" s="269" customFormat="1" x14ac:dyDescent="0.3">
      <c r="A17"/>
      <c r="B17" s="270" t="s">
        <v>180</v>
      </c>
      <c r="C17" s="270"/>
      <c r="D17" s="270"/>
      <c r="E17" s="270"/>
      <c r="F17" s="270"/>
      <c r="G17" s="270"/>
      <c r="H17" s="270"/>
      <c r="I17" s="270"/>
      <c r="J17" s="270"/>
      <c r="K17" s="270"/>
      <c r="L17" s="270"/>
    </row>
    <row r="18" spans="1:12" s="271" customFormat="1" ht="14.4" customHeight="1" x14ac:dyDescent="0.3">
      <c r="A18"/>
      <c r="B18" s="271" t="s">
        <v>181</v>
      </c>
    </row>
    <row r="19" spans="1:12" s="269" customFormat="1" x14ac:dyDescent="0.3">
      <c r="A19"/>
      <c r="B19" s="268" t="s">
        <v>183</v>
      </c>
    </row>
    <row r="20" spans="1:12" x14ac:dyDescent="0.3">
      <c r="I20"/>
    </row>
    <row r="21" spans="1:12" x14ac:dyDescent="0.3">
      <c r="B21" s="255" t="s">
        <v>173</v>
      </c>
      <c r="I21"/>
    </row>
    <row r="22" spans="1:12" x14ac:dyDescent="0.3">
      <c r="B22" s="265" t="s">
        <v>174</v>
      </c>
      <c r="I22"/>
    </row>
    <row r="23" spans="1:12" x14ac:dyDescent="0.3">
      <c r="B23" s="265" t="s">
        <v>176</v>
      </c>
      <c r="I23"/>
    </row>
    <row r="24" spans="1:12" x14ac:dyDescent="0.3">
      <c r="B24" s="265" t="s">
        <v>177</v>
      </c>
      <c r="I24"/>
    </row>
    <row r="25" spans="1:12" x14ac:dyDescent="0.3">
      <c r="B25" s="256"/>
      <c r="I25"/>
    </row>
    <row r="26" spans="1:12" x14ac:dyDescent="0.3">
      <c r="I26"/>
    </row>
    <row r="27" spans="1:12" x14ac:dyDescent="0.3">
      <c r="B27" s="256"/>
      <c r="I27"/>
    </row>
    <row r="28" spans="1:12" x14ac:dyDescent="0.3">
      <c r="B28" s="256"/>
      <c r="I28"/>
    </row>
    <row r="29" spans="1:12" x14ac:dyDescent="0.3">
      <c r="I29"/>
    </row>
    <row r="30" spans="1:12" x14ac:dyDescent="0.3">
      <c r="I30"/>
    </row>
    <row r="31" spans="1:12" x14ac:dyDescent="0.3">
      <c r="I31"/>
    </row>
    <row r="32" spans="1:12" x14ac:dyDescent="0.3">
      <c r="I32"/>
    </row>
    <row r="33" spans="2:9" x14ac:dyDescent="0.3">
      <c r="I33"/>
    </row>
    <row r="34" spans="2:9" x14ac:dyDescent="0.3">
      <c r="I34"/>
    </row>
    <row r="35" spans="2:9" x14ac:dyDescent="0.3">
      <c r="I35"/>
    </row>
    <row r="36" spans="2:9" x14ac:dyDescent="0.3">
      <c r="I36"/>
    </row>
    <row r="37" spans="2:9" x14ac:dyDescent="0.3">
      <c r="I37"/>
    </row>
    <row r="38" spans="2:9" x14ac:dyDescent="0.3">
      <c r="I38"/>
    </row>
    <row r="39" spans="2:9" x14ac:dyDescent="0.3">
      <c r="B39" s="255"/>
      <c r="I39"/>
    </row>
    <row r="40" spans="2:9" x14ac:dyDescent="0.3">
      <c r="I40"/>
    </row>
    <row r="41" spans="2:9" x14ac:dyDescent="0.3">
      <c r="I41"/>
    </row>
    <row r="42" spans="2:9" x14ac:dyDescent="0.3">
      <c r="I42"/>
    </row>
    <row r="43" spans="2:9" x14ac:dyDescent="0.3">
      <c r="B43" s="255"/>
      <c r="I43"/>
    </row>
    <row r="44" spans="2:9" x14ac:dyDescent="0.3">
      <c r="I44"/>
    </row>
    <row r="45" spans="2:9" x14ac:dyDescent="0.3">
      <c r="I45"/>
    </row>
    <row r="46" spans="2:9" x14ac:dyDescent="0.3">
      <c r="I46"/>
    </row>
    <row r="47" spans="2:9" x14ac:dyDescent="0.3">
      <c r="I47"/>
    </row>
    <row r="48" spans="2:9" x14ac:dyDescent="0.3">
      <c r="I48"/>
    </row>
    <row r="49" spans="2:9" x14ac:dyDescent="0.3">
      <c r="I49"/>
    </row>
    <row r="50" spans="2:9" x14ac:dyDescent="0.3">
      <c r="B50" s="255"/>
      <c r="I50"/>
    </row>
    <row r="51" spans="2:9" x14ac:dyDescent="0.3">
      <c r="I51"/>
    </row>
    <row r="52" spans="2:9" x14ac:dyDescent="0.3">
      <c r="I52"/>
    </row>
    <row r="53" spans="2:9" x14ac:dyDescent="0.3">
      <c r="I53"/>
    </row>
    <row r="54" spans="2:9" x14ac:dyDescent="0.3">
      <c r="I54"/>
    </row>
    <row r="55" spans="2:9" x14ac:dyDescent="0.3">
      <c r="I55"/>
    </row>
    <row r="56" spans="2:9" x14ac:dyDescent="0.3">
      <c r="I56"/>
    </row>
    <row r="57" spans="2:9" x14ac:dyDescent="0.3">
      <c r="I57"/>
    </row>
    <row r="58" spans="2:9" x14ac:dyDescent="0.3">
      <c r="I58"/>
    </row>
    <row r="59" spans="2:9" x14ac:dyDescent="0.3">
      <c r="B59" s="255"/>
      <c r="I59"/>
    </row>
    <row r="60" spans="2:9" x14ac:dyDescent="0.3">
      <c r="I60"/>
    </row>
    <row r="61" spans="2:9" x14ac:dyDescent="0.3">
      <c r="I61"/>
    </row>
    <row r="62" spans="2:9" x14ac:dyDescent="0.3">
      <c r="I62"/>
    </row>
    <row r="63" spans="2:9" x14ac:dyDescent="0.3">
      <c r="I63"/>
    </row>
    <row r="64" spans="2:9" x14ac:dyDescent="0.3">
      <c r="I64"/>
    </row>
    <row r="65" spans="2:9" x14ac:dyDescent="0.3">
      <c r="I65"/>
    </row>
    <row r="66" spans="2:9" x14ac:dyDescent="0.3">
      <c r="B66" s="255"/>
      <c r="I66"/>
    </row>
    <row r="67" spans="2:9" x14ac:dyDescent="0.3">
      <c r="I67"/>
    </row>
    <row r="68" spans="2:9" x14ac:dyDescent="0.3">
      <c r="I68"/>
    </row>
    <row r="69" spans="2:9" x14ac:dyDescent="0.3">
      <c r="B69" s="256"/>
      <c r="I69"/>
    </row>
    <row r="70" spans="2:9" x14ac:dyDescent="0.3">
      <c r="B70" s="256"/>
      <c r="I70"/>
    </row>
    <row r="71" spans="2:9" x14ac:dyDescent="0.3">
      <c r="B71" s="256"/>
      <c r="I71"/>
    </row>
    <row r="72" spans="2:9" x14ac:dyDescent="0.3">
      <c r="I72"/>
    </row>
    <row r="73" spans="2:9" x14ac:dyDescent="0.3">
      <c r="B73" s="255"/>
      <c r="I73"/>
    </row>
    <row r="74" spans="2:9" x14ac:dyDescent="0.3">
      <c r="I74"/>
    </row>
    <row r="75" spans="2:9" x14ac:dyDescent="0.3">
      <c r="I75"/>
    </row>
    <row r="76" spans="2:9" x14ac:dyDescent="0.3">
      <c r="B76" s="256"/>
      <c r="I76"/>
    </row>
    <row r="77" spans="2:9" x14ac:dyDescent="0.3">
      <c r="B77" s="256"/>
      <c r="I77"/>
    </row>
    <row r="78" spans="2:9" x14ac:dyDescent="0.3">
      <c r="B78" s="256"/>
      <c r="I78"/>
    </row>
    <row r="79" spans="2:9" x14ac:dyDescent="0.3">
      <c r="B79" s="256"/>
      <c r="I79"/>
    </row>
    <row r="80" spans="2:9" x14ac:dyDescent="0.3">
      <c r="I80"/>
    </row>
    <row r="81" spans="2:9" x14ac:dyDescent="0.3">
      <c r="I81"/>
    </row>
    <row r="82" spans="2:9" x14ac:dyDescent="0.3">
      <c r="B82" s="255"/>
      <c r="I82"/>
    </row>
    <row r="83" spans="2:9" x14ac:dyDescent="0.3">
      <c r="I83"/>
    </row>
    <row r="84" spans="2:9" x14ac:dyDescent="0.3">
      <c r="I84"/>
    </row>
    <row r="85" spans="2:9" x14ac:dyDescent="0.3">
      <c r="I85"/>
    </row>
    <row r="86" spans="2:9" x14ac:dyDescent="0.3">
      <c r="I86"/>
    </row>
    <row r="87" spans="2:9" x14ac:dyDescent="0.3">
      <c r="I87"/>
    </row>
    <row r="88" spans="2:9" x14ac:dyDescent="0.3">
      <c r="B88"/>
      <c r="I88"/>
    </row>
    <row r="89" spans="2:9" x14ac:dyDescent="0.3">
      <c r="B89" s="255"/>
    </row>
    <row r="94" spans="2:9" x14ac:dyDescent="0.3">
      <c r="B94" s="254"/>
    </row>
  </sheetData>
  <mergeCells count="11">
    <mergeCell ref="B17:L17"/>
    <mergeCell ref="B18:XFD18"/>
    <mergeCell ref="I14:L14"/>
    <mergeCell ref="B5:D5"/>
    <mergeCell ref="B13:L13"/>
    <mergeCell ref="B12:L12"/>
    <mergeCell ref="H5:K5"/>
    <mergeCell ref="H6:K6"/>
    <mergeCell ref="H8:L8"/>
    <mergeCell ref="H9:L9"/>
    <mergeCell ref="B16:L16"/>
  </mergeCells>
  <hyperlinks>
    <hyperlink ref="B5" r:id="rId1" xr:uid="{00000000-0004-0000-0000-000000000000}"/>
    <hyperlink ref="H8" r:id="rId2" xr:uid="{00000000-0004-0000-0000-000001000000}"/>
    <hyperlink ref="H5:K5" r:id="rId3" display="Visit this Model's Webpage" xr:uid="{00000000-0004-0000-0000-000002000000}"/>
    <hyperlink ref="B13:L13" r:id="rId4" display="https://www.adventuresincre.com/accelerator/" xr:uid="{00000000-0004-0000-0000-000003000000}"/>
    <hyperlink ref="I14" r:id="rId5" xr:uid="{00000000-0004-0000-0000-000004000000}"/>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F1:AB59"/>
  <sheetViews>
    <sheetView topLeftCell="P1" zoomScale="90" zoomScaleNormal="90" workbookViewId="0">
      <selection activeCell="W22" sqref="W22"/>
    </sheetView>
  </sheetViews>
  <sheetFormatPr defaultColWidth="9.109375" defaultRowHeight="14.4" x14ac:dyDescent="0.3"/>
  <cols>
    <col min="1" max="5" width="9.109375" style="51"/>
    <col min="6" max="6" width="2.6640625" style="51" customWidth="1"/>
    <col min="7" max="7" width="49.6640625" style="51" bestFit="1" customWidth="1"/>
    <col min="8" max="8" width="19" style="51" bestFit="1" customWidth="1"/>
    <col min="9" max="9" width="2.6640625" style="51" customWidth="1"/>
    <col min="10" max="10" width="47" style="51" customWidth="1"/>
    <col min="11" max="11" width="16.44140625" style="51" bestFit="1" customWidth="1"/>
    <col min="12" max="12" width="2.6640625" style="51" customWidth="1"/>
    <col min="13" max="13" width="50.44140625" style="51" bestFit="1" customWidth="1"/>
    <col min="14" max="14" width="18" style="51" bestFit="1" customWidth="1"/>
    <col min="15" max="15" width="14.6640625" style="51" bestFit="1" customWidth="1"/>
    <col min="16" max="16" width="2.6640625" style="51" customWidth="1"/>
    <col min="17" max="17" width="26.88671875" style="51" bestFit="1" customWidth="1"/>
    <col min="18" max="18" width="12.44140625" style="51" bestFit="1" customWidth="1"/>
    <col min="19" max="19" width="19.109375" style="51" customWidth="1"/>
    <col min="20" max="20" width="21.6640625" style="51" bestFit="1" customWidth="1"/>
    <col min="21" max="21" width="29.44140625" style="51" customWidth="1"/>
    <col min="22" max="22" width="35.5546875" style="51" customWidth="1"/>
    <col min="23" max="23" width="21.5546875" style="51" customWidth="1"/>
    <col min="24" max="25" width="25" style="51" bestFit="1" customWidth="1"/>
    <col min="26" max="26" width="31" style="51" bestFit="1" customWidth="1"/>
    <col min="27" max="27" width="22.109375" style="51" customWidth="1"/>
    <col min="28" max="28" width="2.6640625" style="51" customWidth="1"/>
    <col min="29" max="16384" width="9.109375" style="51"/>
  </cols>
  <sheetData>
    <row r="1" spans="6:28" ht="15" thickBot="1" x14ac:dyDescent="0.35"/>
    <row r="2" spans="6:28" x14ac:dyDescent="0.3">
      <c r="F2" s="95"/>
      <c r="G2" s="96"/>
      <c r="H2" s="96"/>
      <c r="I2" s="96"/>
      <c r="J2" s="96"/>
      <c r="K2" s="96"/>
      <c r="L2" s="96"/>
      <c r="M2" s="96"/>
      <c r="N2" s="96"/>
      <c r="O2" s="96"/>
      <c r="P2" s="96"/>
      <c r="Q2" s="96"/>
      <c r="R2" s="96"/>
      <c r="S2" s="96"/>
      <c r="T2" s="96"/>
      <c r="U2" s="96"/>
      <c r="V2" s="96"/>
      <c r="W2" s="96"/>
      <c r="X2" s="96"/>
      <c r="Y2" s="96"/>
      <c r="Z2" s="96"/>
      <c r="AA2" s="96"/>
      <c r="AB2" s="97"/>
    </row>
    <row r="3" spans="6:28" x14ac:dyDescent="0.3">
      <c r="F3" s="98"/>
      <c r="G3" s="278" t="s">
        <v>28</v>
      </c>
      <c r="H3" s="278"/>
      <c r="I3" s="278"/>
      <c r="J3" s="278"/>
      <c r="K3" s="278"/>
      <c r="L3" s="1"/>
      <c r="M3" s="1"/>
      <c r="N3" s="1"/>
      <c r="O3" s="1"/>
      <c r="P3" s="1"/>
      <c r="Q3" s="1"/>
      <c r="R3" s="1"/>
      <c r="S3" s="1"/>
      <c r="T3" s="1"/>
      <c r="U3" s="1"/>
      <c r="V3" s="1"/>
      <c r="W3" s="1"/>
      <c r="X3" s="1"/>
      <c r="Y3" s="1"/>
      <c r="Z3" s="1"/>
      <c r="AA3" s="1"/>
      <c r="AB3" s="99"/>
    </row>
    <row r="4" spans="6:28" x14ac:dyDescent="0.3">
      <c r="F4" s="98"/>
      <c r="G4" s="278"/>
      <c r="H4" s="278"/>
      <c r="I4" s="278"/>
      <c r="J4" s="278"/>
      <c r="K4" s="278"/>
      <c r="L4" s="1"/>
      <c r="M4" s="1"/>
      <c r="N4" s="1"/>
      <c r="O4" s="1"/>
      <c r="P4" s="1"/>
      <c r="Q4" s="1"/>
      <c r="R4" s="1"/>
      <c r="S4" s="1"/>
      <c r="T4" s="1"/>
      <c r="U4" s="1"/>
      <c r="V4" s="1"/>
      <c r="W4" s="1"/>
      <c r="X4" s="1"/>
      <c r="Y4" s="1"/>
      <c r="Z4" s="1"/>
      <c r="AA4" s="1"/>
      <c r="AB4" s="99"/>
    </row>
    <row r="5" spans="6:28" ht="15" thickBot="1" x14ac:dyDescent="0.35">
      <c r="F5" s="98"/>
      <c r="G5" s="1"/>
      <c r="H5" s="1"/>
      <c r="I5" s="1"/>
      <c r="J5" s="1"/>
      <c r="K5" s="1"/>
      <c r="L5" s="1"/>
      <c r="M5" s="1"/>
      <c r="N5" s="1"/>
      <c r="O5" s="1"/>
      <c r="P5" s="1"/>
      <c r="Q5" s="1"/>
      <c r="R5" s="1"/>
      <c r="S5" s="1"/>
      <c r="T5" s="1"/>
      <c r="U5" s="1"/>
      <c r="V5" s="1"/>
      <c r="W5" s="1"/>
      <c r="X5" s="1"/>
      <c r="Y5" s="1"/>
      <c r="Z5" s="1"/>
      <c r="AA5" s="1"/>
      <c r="AB5" s="99"/>
    </row>
    <row r="6" spans="6:28" ht="15" thickBot="1" x14ac:dyDescent="0.35">
      <c r="F6" s="98"/>
      <c r="G6" s="180" t="s">
        <v>21</v>
      </c>
      <c r="H6" s="181">
        <f ca="1">TODAY()</f>
        <v>46108</v>
      </c>
      <c r="I6" s="1"/>
      <c r="J6" s="279" t="str">
        <f>IF(MAX($X$10:$X$22)&gt;$K$11,"Your Redevelopment Time Exceeds Your Exit Date","")</f>
        <v/>
      </c>
      <c r="K6" s="280"/>
      <c r="L6" s="1"/>
      <c r="M6" s="1"/>
      <c r="N6" s="1"/>
      <c r="O6" s="1"/>
      <c r="P6" s="1"/>
      <c r="Q6" s="1"/>
      <c r="R6" s="1"/>
      <c r="S6" s="1"/>
      <c r="T6" s="1"/>
      <c r="U6" s="1"/>
      <c r="V6" s="1"/>
      <c r="W6" s="1"/>
      <c r="X6" s="1"/>
      <c r="Y6" s="1"/>
      <c r="Z6" s="1"/>
      <c r="AA6" s="1"/>
      <c r="AB6" s="99"/>
    </row>
    <row r="7" spans="6:28" x14ac:dyDescent="0.3">
      <c r="F7" s="98"/>
      <c r="G7" s="1"/>
      <c r="H7" s="14"/>
      <c r="I7" s="1"/>
      <c r="J7" s="1"/>
      <c r="K7" s="1"/>
      <c r="L7" s="1"/>
      <c r="M7" s="1"/>
      <c r="N7" s="1"/>
      <c r="O7" s="1"/>
      <c r="P7" s="1"/>
      <c r="Q7" s="1"/>
      <c r="R7" s="1"/>
      <c r="S7" s="1"/>
      <c r="T7" s="1"/>
      <c r="U7" s="1"/>
      <c r="V7" s="1"/>
      <c r="W7" s="1"/>
      <c r="X7" s="1"/>
      <c r="Y7" s="1"/>
      <c r="Z7" s="1"/>
      <c r="AA7" s="1"/>
      <c r="AB7" s="99"/>
    </row>
    <row r="8" spans="6:28" x14ac:dyDescent="0.3">
      <c r="F8" s="98"/>
      <c r="G8" s="286" t="s">
        <v>103</v>
      </c>
      <c r="H8" s="287"/>
      <c r="I8" s="1"/>
      <c r="J8" s="286" t="s">
        <v>106</v>
      </c>
      <c r="K8" s="287"/>
      <c r="L8" s="1"/>
      <c r="M8" s="286" t="s">
        <v>110</v>
      </c>
      <c r="N8" s="288"/>
      <c r="O8" s="287"/>
      <c r="P8" s="1"/>
      <c r="Q8" s="281" t="s">
        <v>114</v>
      </c>
      <c r="R8" s="281"/>
      <c r="S8" s="281"/>
      <c r="T8" s="281"/>
      <c r="U8" s="281"/>
      <c r="V8" s="281"/>
      <c r="W8" s="281"/>
      <c r="X8" s="281"/>
      <c r="Y8" s="281"/>
      <c r="Z8" s="281"/>
      <c r="AA8" s="281"/>
      <c r="AB8" s="99"/>
    </row>
    <row r="9" spans="6:28" ht="28.8" x14ac:dyDescent="0.3">
      <c r="F9" s="98"/>
      <c r="G9" s="87" t="s">
        <v>89</v>
      </c>
      <c r="H9" s="88"/>
      <c r="I9" s="100"/>
      <c r="J9" s="89" t="s">
        <v>107</v>
      </c>
      <c r="K9" s="231">
        <v>5</v>
      </c>
      <c r="L9" s="100"/>
      <c r="M9" s="289" t="s">
        <v>111</v>
      </c>
      <c r="N9" s="290"/>
      <c r="O9" s="291"/>
      <c r="P9" s="100"/>
      <c r="Q9" s="117" t="s">
        <v>59</v>
      </c>
      <c r="R9" s="117" t="s">
        <v>156</v>
      </c>
      <c r="S9" s="117" t="s">
        <v>60</v>
      </c>
      <c r="T9" s="118" t="s">
        <v>150</v>
      </c>
      <c r="U9" s="117" t="s">
        <v>61</v>
      </c>
      <c r="V9" s="118" t="s">
        <v>71</v>
      </c>
      <c r="W9" s="118" t="s">
        <v>113</v>
      </c>
      <c r="X9" s="117" t="s">
        <v>72</v>
      </c>
      <c r="Y9" s="117" t="s">
        <v>70</v>
      </c>
      <c r="Z9" s="117" t="s">
        <v>63</v>
      </c>
      <c r="AA9" s="118" t="s">
        <v>112</v>
      </c>
      <c r="AB9" s="99"/>
    </row>
    <row r="10" spans="6:28" x14ac:dyDescent="0.3">
      <c r="F10" s="98"/>
      <c r="G10" s="78" t="s">
        <v>90</v>
      </c>
      <c r="H10" s="86" t="s">
        <v>95</v>
      </c>
      <c r="I10" s="1"/>
      <c r="J10" s="78" t="s">
        <v>116</v>
      </c>
      <c r="K10" s="91">
        <v>46174</v>
      </c>
      <c r="L10" s="1"/>
      <c r="M10" s="2"/>
      <c r="N10" s="47" t="s">
        <v>121</v>
      </c>
      <c r="O10" s="3"/>
      <c r="P10" s="1"/>
      <c r="Q10" s="119">
        <v>1</v>
      </c>
      <c r="R10" s="119" t="s">
        <v>147</v>
      </c>
      <c r="S10" s="82">
        <v>800</v>
      </c>
      <c r="T10" s="83">
        <v>1170</v>
      </c>
      <c r="U10" s="48">
        <f t="shared" ref="U10:U21" si="0">IFERROR(T10/S10,0)</f>
        <v>1.4624999999999999</v>
      </c>
      <c r="V10" s="84">
        <v>46235</v>
      </c>
      <c r="W10" s="101">
        <v>2</v>
      </c>
      <c r="X10" s="50">
        <f t="shared" ref="X10:X21" si="1">EDATE(V10,W10)</f>
        <v>46296</v>
      </c>
      <c r="Y10" s="141">
        <f>INDEX(UnitsBreakdown!$E$21:$FE$21,MATCH(Table2[[#This Row],[Date Complete]],UnitsBreakdown!$E$23:$FE$23))</f>
        <v>1</v>
      </c>
      <c r="Z10" s="83">
        <v>12000</v>
      </c>
      <c r="AA10" s="83">
        <v>260</v>
      </c>
      <c r="AB10" s="99"/>
    </row>
    <row r="11" spans="6:28" x14ac:dyDescent="0.3">
      <c r="F11" s="98"/>
      <c r="G11" s="78" t="s">
        <v>91</v>
      </c>
      <c r="H11" s="86" t="s">
        <v>94</v>
      </c>
      <c r="I11" s="1"/>
      <c r="J11" s="2" t="s">
        <v>129</v>
      </c>
      <c r="K11" s="90">
        <f>EDATE(K10,K9*12)</f>
        <v>48000</v>
      </c>
      <c r="L11" s="1"/>
      <c r="M11" s="2" t="s">
        <v>66</v>
      </c>
      <c r="N11" s="1"/>
      <c r="O11" s="5">
        <f>UnitsBreakdown!E37*12</f>
        <v>208956</v>
      </c>
      <c r="P11" s="1"/>
      <c r="Q11" s="119">
        <v>2</v>
      </c>
      <c r="R11" s="119" t="s">
        <v>147</v>
      </c>
      <c r="S11" s="82">
        <v>800</v>
      </c>
      <c r="T11" s="83">
        <v>1170</v>
      </c>
      <c r="U11" s="48">
        <f t="shared" si="0"/>
        <v>1.4624999999999999</v>
      </c>
      <c r="V11" s="84">
        <v>46235</v>
      </c>
      <c r="W11" s="101">
        <v>2</v>
      </c>
      <c r="X11" s="50">
        <f t="shared" si="1"/>
        <v>46296</v>
      </c>
      <c r="Y11" s="141">
        <f>INDEX(UnitsBreakdown!$E$21:$FE$21,MATCH(Table2[[#This Row],[Date Complete]],UnitsBreakdown!$E$23:$FE$23))</f>
        <v>1</v>
      </c>
      <c r="Z11" s="83">
        <v>12000</v>
      </c>
      <c r="AA11" s="83">
        <v>260</v>
      </c>
      <c r="AB11" s="99"/>
    </row>
    <row r="12" spans="6:28" x14ac:dyDescent="0.3">
      <c r="F12" s="98"/>
      <c r="G12" s="78" t="s">
        <v>92</v>
      </c>
      <c r="H12" s="86" t="s">
        <v>178</v>
      </c>
      <c r="I12" s="1"/>
      <c r="J12" s="226" t="s">
        <v>79</v>
      </c>
      <c r="K12" s="227">
        <v>0.11</v>
      </c>
      <c r="L12" s="1"/>
      <c r="M12" s="28">
        <v>1</v>
      </c>
      <c r="N12" s="39">
        <v>0</v>
      </c>
      <c r="O12" s="5">
        <f>IF($K$9&lt;M12,"",SUMIF(UnitsBreakdown!$F$21:$FE$21,M12,UnitsBreakdown!$F$37:$FE$37))</f>
        <v>177338</v>
      </c>
      <c r="P12" s="1"/>
      <c r="Q12" s="119">
        <v>3</v>
      </c>
      <c r="R12" s="119" t="s">
        <v>147</v>
      </c>
      <c r="S12" s="82">
        <v>800</v>
      </c>
      <c r="T12" s="83">
        <v>1200</v>
      </c>
      <c r="U12" s="48">
        <f t="shared" si="0"/>
        <v>1.5</v>
      </c>
      <c r="V12" s="84">
        <v>46235</v>
      </c>
      <c r="W12" s="101">
        <v>2</v>
      </c>
      <c r="X12" s="50">
        <f t="shared" si="1"/>
        <v>46296</v>
      </c>
      <c r="Y12" s="141">
        <f>INDEX(UnitsBreakdown!$E$21:$FE$21,MATCH(Table2[[#This Row],[Date Complete]],UnitsBreakdown!$E$23:$FE$23))</f>
        <v>1</v>
      </c>
      <c r="Z12" s="83">
        <v>12000</v>
      </c>
      <c r="AA12" s="83">
        <v>260</v>
      </c>
      <c r="AB12" s="99"/>
    </row>
    <row r="13" spans="6:28" x14ac:dyDescent="0.3">
      <c r="F13" s="98"/>
      <c r="G13" s="78" t="s">
        <v>93</v>
      </c>
      <c r="H13" s="86">
        <v>12345</v>
      </c>
      <c r="I13" s="1"/>
      <c r="J13" s="2" t="s">
        <v>115</v>
      </c>
      <c r="K13" s="79">
        <f>'YearProForma&amp;Returns'!E18/'A&amp;Rs'!K18</f>
        <v>7.0000000000000007E-2</v>
      </c>
      <c r="L13" s="1"/>
      <c r="M13" s="28">
        <v>2</v>
      </c>
      <c r="N13" s="39">
        <v>0.03</v>
      </c>
      <c r="O13" s="5">
        <f>IF($K$9&lt;M13,"",SUMIF(UnitsBreakdown!$F$21:$FE$21,M13,UnitsBreakdown!$F$37:$FE$37))</f>
        <v>233587.47999999998</v>
      </c>
      <c r="P13" s="1"/>
      <c r="Q13" s="119">
        <v>4</v>
      </c>
      <c r="R13" s="119" t="s">
        <v>147</v>
      </c>
      <c r="S13" s="82">
        <v>800</v>
      </c>
      <c r="T13" s="83">
        <v>1240</v>
      </c>
      <c r="U13" s="48">
        <f t="shared" si="0"/>
        <v>1.55</v>
      </c>
      <c r="V13" s="84">
        <v>46296</v>
      </c>
      <c r="W13" s="101">
        <v>3</v>
      </c>
      <c r="X13" s="50">
        <f t="shared" si="1"/>
        <v>46388</v>
      </c>
      <c r="Y13" s="141">
        <f>INDEX(UnitsBreakdown!$E$21:$FE$21,MATCH(Table2[[#This Row],[Date Complete]],UnitsBreakdown!$E$23:$FE$23))</f>
        <v>1</v>
      </c>
      <c r="Z13" s="83">
        <v>11500</v>
      </c>
      <c r="AA13" s="83">
        <v>260</v>
      </c>
      <c r="AB13" s="99"/>
    </row>
    <row r="14" spans="6:28" x14ac:dyDescent="0.3">
      <c r="F14" s="98"/>
      <c r="G14" s="2"/>
      <c r="H14" s="3"/>
      <c r="I14" s="1"/>
      <c r="J14" s="78" t="s">
        <v>55</v>
      </c>
      <c r="K14" s="80">
        <v>7.0000000000000007E-2</v>
      </c>
      <c r="L14" s="1"/>
      <c r="M14" s="28">
        <v>3</v>
      </c>
      <c r="N14" s="39">
        <v>0.02</v>
      </c>
      <c r="O14" s="5">
        <f>IF($K$9&lt;M14,"",SUMIF(UnitsBreakdown!$F$21:$FE$21,M14,UnitsBreakdown!$F$37:$FE$37))</f>
        <v>261196.5816</v>
      </c>
      <c r="P14" s="1"/>
      <c r="Q14" s="119">
        <v>5</v>
      </c>
      <c r="R14" s="119" t="s">
        <v>148</v>
      </c>
      <c r="S14" s="82">
        <v>1000</v>
      </c>
      <c r="T14" s="83">
        <v>1312</v>
      </c>
      <c r="U14" s="48">
        <f t="shared" si="0"/>
        <v>1.3120000000000001</v>
      </c>
      <c r="V14" s="84">
        <v>46296</v>
      </c>
      <c r="W14" s="101">
        <v>3</v>
      </c>
      <c r="X14" s="50">
        <f t="shared" si="1"/>
        <v>46388</v>
      </c>
      <c r="Y14" s="141">
        <f>INDEX(UnitsBreakdown!$E$21:$FE$21,MATCH(Table2[[#This Row],[Date Complete]],UnitsBreakdown!$E$23:$FE$23))</f>
        <v>1</v>
      </c>
      <c r="Z14" s="83">
        <v>13000</v>
      </c>
      <c r="AA14" s="83">
        <v>280</v>
      </c>
      <c r="AB14" s="99"/>
    </row>
    <row r="15" spans="6:28" x14ac:dyDescent="0.3">
      <c r="F15" s="98"/>
      <c r="G15" s="247" t="s">
        <v>96</v>
      </c>
      <c r="H15" s="248">
        <f>SUM(H16:H19)</f>
        <v>12</v>
      </c>
      <c r="I15" s="1"/>
      <c r="J15" s="18" t="s">
        <v>25</v>
      </c>
      <c r="K15" s="80">
        <v>0.03</v>
      </c>
      <c r="L15" s="1"/>
      <c r="M15" s="28">
        <v>4</v>
      </c>
      <c r="N15" s="39">
        <v>0.03</v>
      </c>
      <c r="O15" s="5">
        <f>IF($K$9&lt;M15,"",SUMIF(UnitsBreakdown!$F$21:$FE$21,M15,UnitsBreakdown!$F$37:$FE$37))</f>
        <v>269032.47904800001</v>
      </c>
      <c r="P15" s="1"/>
      <c r="Q15" s="119">
        <v>6</v>
      </c>
      <c r="R15" s="119" t="s">
        <v>148</v>
      </c>
      <c r="S15" s="82">
        <v>1000</v>
      </c>
      <c r="T15" s="83">
        <v>1346</v>
      </c>
      <c r="U15" s="48">
        <f t="shared" si="0"/>
        <v>1.3460000000000001</v>
      </c>
      <c r="V15" s="84">
        <v>46357</v>
      </c>
      <c r="W15" s="101">
        <v>3</v>
      </c>
      <c r="X15" s="50">
        <f t="shared" si="1"/>
        <v>46447</v>
      </c>
      <c r="Y15" s="141">
        <f>INDEX(UnitsBreakdown!$E$21:$FE$21,MATCH(Table2[[#This Row],[Date Complete]],UnitsBreakdown!$E$23:$FE$23))</f>
        <v>1</v>
      </c>
      <c r="Z15" s="83">
        <v>13000</v>
      </c>
      <c r="AA15" s="83">
        <v>280</v>
      </c>
      <c r="AB15" s="99"/>
    </row>
    <row r="16" spans="6:28" x14ac:dyDescent="0.3">
      <c r="F16" s="98"/>
      <c r="G16" s="221" t="s">
        <v>97</v>
      </c>
      <c r="H16" s="222">
        <f>COUNTIF(Table2[Type],"Studio")</f>
        <v>0</v>
      </c>
      <c r="I16" s="1"/>
      <c r="J16" s="18" t="s">
        <v>52</v>
      </c>
      <c r="K16" s="80">
        <v>0.02</v>
      </c>
      <c r="L16" s="1"/>
      <c r="M16" s="28">
        <v>5</v>
      </c>
      <c r="N16" s="39">
        <v>0.03</v>
      </c>
      <c r="O16" s="5">
        <f>IF($K$9&lt;M16,"",SUMIF(UnitsBreakdown!$F$21:$FE$21,M16,UnitsBreakdown!$F$37:$FE$37))</f>
        <v>277103.45341944002</v>
      </c>
      <c r="P16" s="1"/>
      <c r="Q16" s="119">
        <v>7</v>
      </c>
      <c r="R16" s="119" t="s">
        <v>148</v>
      </c>
      <c r="S16" s="82">
        <v>1000</v>
      </c>
      <c r="T16" s="83">
        <v>1413</v>
      </c>
      <c r="U16" s="48">
        <f t="shared" si="0"/>
        <v>1.413</v>
      </c>
      <c r="V16" s="84">
        <v>46419</v>
      </c>
      <c r="W16" s="101">
        <v>4</v>
      </c>
      <c r="X16" s="50">
        <f t="shared" si="1"/>
        <v>46539</v>
      </c>
      <c r="Y16" s="141">
        <f>INDEX(UnitsBreakdown!$E$21:$FE$21,MATCH(Table2[[#This Row],[Date Complete]],UnitsBreakdown!$E$23:$FE$23))</f>
        <v>1</v>
      </c>
      <c r="Z16" s="83">
        <v>13200</v>
      </c>
      <c r="AA16" s="83">
        <v>280</v>
      </c>
      <c r="AB16" s="99"/>
    </row>
    <row r="17" spans="6:28" ht="15" thickBot="1" x14ac:dyDescent="0.35">
      <c r="F17" s="98"/>
      <c r="G17" s="221" t="s">
        <v>98</v>
      </c>
      <c r="H17" s="222">
        <f>COUNTIF(Table2[Type],"1 Bed")</f>
        <v>4</v>
      </c>
      <c r="I17" s="1"/>
      <c r="J17" s="284" t="s">
        <v>42</v>
      </c>
      <c r="K17" s="285"/>
      <c r="L17" s="1"/>
      <c r="M17" s="28">
        <v>6</v>
      </c>
      <c r="N17" s="39">
        <v>0</v>
      </c>
      <c r="O17" s="5" t="str">
        <f>IF($K$9&lt;M17,"",SUMIF(UnitsBreakdown!$F$21:$FE$21,M17,UnitsBreakdown!$F$37:$FE$37))</f>
        <v/>
      </c>
      <c r="P17" s="1"/>
      <c r="Q17" s="119">
        <v>8</v>
      </c>
      <c r="R17" s="119" t="s">
        <v>148</v>
      </c>
      <c r="S17" s="82">
        <v>1000</v>
      </c>
      <c r="T17" s="83">
        <v>1480</v>
      </c>
      <c r="U17" s="48">
        <f t="shared" si="0"/>
        <v>1.48</v>
      </c>
      <c r="V17" s="84">
        <v>46419</v>
      </c>
      <c r="W17" s="101">
        <v>4</v>
      </c>
      <c r="X17" s="50">
        <f t="shared" si="1"/>
        <v>46539</v>
      </c>
      <c r="Y17" s="141">
        <f>INDEX(UnitsBreakdown!$E$21:$FE$21,MATCH(Table2[[#This Row],[Date Complete]],UnitsBreakdown!$E$23:$FE$23))</f>
        <v>1</v>
      </c>
      <c r="Z17" s="83">
        <v>14100</v>
      </c>
      <c r="AA17" s="83">
        <v>260</v>
      </c>
      <c r="AB17" s="99"/>
    </row>
    <row r="18" spans="6:28" ht="15" thickBot="1" x14ac:dyDescent="0.35">
      <c r="F18" s="98"/>
      <c r="G18" s="221" t="s">
        <v>99</v>
      </c>
      <c r="H18" s="222">
        <f>COUNTIF(Table2[Type],"2 Bed")</f>
        <v>4</v>
      </c>
      <c r="I18" s="1"/>
      <c r="J18" s="224" t="s">
        <v>82</v>
      </c>
      <c r="K18" s="225">
        <f>H33</f>
        <v>1919701.4285714284</v>
      </c>
      <c r="L18" s="1"/>
      <c r="M18" s="28">
        <v>7</v>
      </c>
      <c r="N18" s="39">
        <v>0.01</v>
      </c>
      <c r="O18" s="5" t="str">
        <f>IF($K$9&lt;M18,"",SUMIF(UnitsBreakdown!$F$21:$FE$21,M18,UnitsBreakdown!$F$37:$FE$37))</f>
        <v/>
      </c>
      <c r="P18" s="1"/>
      <c r="Q18" s="119">
        <v>11</v>
      </c>
      <c r="R18" s="119" t="s">
        <v>149</v>
      </c>
      <c r="S18" s="82">
        <v>1200</v>
      </c>
      <c r="T18" s="83">
        <v>1548</v>
      </c>
      <c r="U18" s="48">
        <f t="shared" si="0"/>
        <v>1.29</v>
      </c>
      <c r="V18" s="84">
        <v>46447</v>
      </c>
      <c r="W18" s="101">
        <v>4</v>
      </c>
      <c r="X18" s="50">
        <f t="shared" si="1"/>
        <v>46569</v>
      </c>
      <c r="Y18" s="141">
        <f>INDEX(UnitsBreakdown!$E$21:$FE$21,MATCH(Table2[[#This Row],[Date Complete]],UnitsBreakdown!$E$23:$FE$23))</f>
        <v>2</v>
      </c>
      <c r="Z18" s="83">
        <v>14950</v>
      </c>
      <c r="AA18" s="83">
        <v>300</v>
      </c>
      <c r="AB18" s="99"/>
    </row>
    <row r="19" spans="6:28" x14ac:dyDescent="0.3">
      <c r="F19" s="98"/>
      <c r="G19" s="249" t="s">
        <v>100</v>
      </c>
      <c r="H19" s="250">
        <f>COUNTIF(Table2[Type],"3 Bed")</f>
        <v>4</v>
      </c>
      <c r="I19" s="1"/>
      <c r="J19" s="4" t="s">
        <v>75</v>
      </c>
      <c r="K19" s="53">
        <f>SUM('A&amp;Rs'!Z10:Z22)</f>
        <v>321200</v>
      </c>
      <c r="L19" s="1"/>
      <c r="M19" s="28">
        <v>8</v>
      </c>
      <c r="N19" s="39">
        <v>0.03</v>
      </c>
      <c r="O19" s="5" t="str">
        <f>IF($K$9&lt;M19,"",SUMIF(UnitsBreakdown!$F$21:$FE$21,M19,UnitsBreakdown!$F$37:$FE$37))</f>
        <v/>
      </c>
      <c r="P19" s="1"/>
      <c r="Q19" s="119">
        <v>10</v>
      </c>
      <c r="R19" s="119" t="s">
        <v>149</v>
      </c>
      <c r="S19" s="82">
        <v>1200</v>
      </c>
      <c r="T19" s="83">
        <v>1750</v>
      </c>
      <c r="U19" s="48">
        <f t="shared" si="0"/>
        <v>1.4583333333333333</v>
      </c>
      <c r="V19" s="84">
        <v>46447</v>
      </c>
      <c r="W19" s="101">
        <v>4</v>
      </c>
      <c r="X19" s="50">
        <f t="shared" si="1"/>
        <v>46569</v>
      </c>
      <c r="Y19" s="141">
        <f>INDEX(UnitsBreakdown!$E$21:$FE$21,MATCH(Table2[[#This Row],[Date Complete]],UnitsBreakdown!$E$23:$FE$23))</f>
        <v>2</v>
      </c>
      <c r="Z19" s="83">
        <v>14950</v>
      </c>
      <c r="AA19" s="83">
        <v>300</v>
      </c>
      <c r="AB19" s="99"/>
    </row>
    <row r="20" spans="6:28" x14ac:dyDescent="0.3">
      <c r="F20" s="98"/>
      <c r="G20" s="2"/>
      <c r="H20" s="3"/>
      <c r="I20" s="1"/>
      <c r="J20" s="4" t="s">
        <v>127</v>
      </c>
      <c r="K20" s="5">
        <f>Z24</f>
        <v>16060</v>
      </c>
      <c r="L20" s="1"/>
      <c r="M20" s="28">
        <v>9</v>
      </c>
      <c r="N20" s="39">
        <v>0.02</v>
      </c>
      <c r="O20" s="5" t="str">
        <f>IF($K$9&lt;M20,"",SUMIF(UnitsBreakdown!$F$21:$FE$21,M20,UnitsBreakdown!$F$37:$FE$37))</f>
        <v/>
      </c>
      <c r="P20" s="1"/>
      <c r="Q20" s="119">
        <v>9</v>
      </c>
      <c r="R20" s="119" t="s">
        <v>149</v>
      </c>
      <c r="S20" s="82">
        <v>1200</v>
      </c>
      <c r="T20" s="83">
        <v>1884</v>
      </c>
      <c r="U20" s="48">
        <f t="shared" si="0"/>
        <v>1.57</v>
      </c>
      <c r="V20" s="84">
        <v>46569</v>
      </c>
      <c r="W20" s="101">
        <v>5</v>
      </c>
      <c r="X20" s="50">
        <f t="shared" si="1"/>
        <v>46722</v>
      </c>
      <c r="Y20" s="141">
        <f>INDEX(UnitsBreakdown!$E$21:$FE$21,MATCH(Table2[[#This Row],[Date Complete]],UnitsBreakdown!$E$23:$FE$23))</f>
        <v>2</v>
      </c>
      <c r="Z20" s="83">
        <v>14950</v>
      </c>
      <c r="AA20" s="83">
        <v>300</v>
      </c>
      <c r="AB20" s="99"/>
    </row>
    <row r="21" spans="6:28" x14ac:dyDescent="0.3">
      <c r="F21" s="98"/>
      <c r="G21" s="78" t="s">
        <v>105</v>
      </c>
      <c r="H21" s="75">
        <v>2</v>
      </c>
      <c r="I21" s="1"/>
      <c r="J21" s="4" t="s">
        <v>126</v>
      </c>
      <c r="K21" s="5">
        <f>K18-K19-K20</f>
        <v>1582441.4285714284</v>
      </c>
      <c r="L21" s="1"/>
      <c r="M21" s="28">
        <v>10</v>
      </c>
      <c r="N21" s="39">
        <v>0.01</v>
      </c>
      <c r="O21" s="5" t="str">
        <f>IF($K$9&lt;M21,"",SUMIF(UnitsBreakdown!$F$21:$FE$21,M21,UnitsBreakdown!$F$37:$FE$37))</f>
        <v/>
      </c>
      <c r="P21" s="1"/>
      <c r="Q21" s="119">
        <v>12</v>
      </c>
      <c r="R21" s="119" t="s">
        <v>149</v>
      </c>
      <c r="S21" s="82">
        <v>1200</v>
      </c>
      <c r="T21" s="83">
        <v>1900</v>
      </c>
      <c r="U21" s="48">
        <f t="shared" si="0"/>
        <v>1.5833333333333333</v>
      </c>
      <c r="V21" s="84">
        <v>46569</v>
      </c>
      <c r="W21" s="101">
        <v>5</v>
      </c>
      <c r="X21" s="50">
        <f t="shared" si="1"/>
        <v>46722</v>
      </c>
      <c r="Y21" s="141">
        <f>INDEX(UnitsBreakdown!$E$21:$FE$21,MATCH(Table2[[#This Row],[Date Complete]],UnitsBreakdown!$E$23:$FE$23))</f>
        <v>2</v>
      </c>
      <c r="Z21" s="83">
        <v>14950</v>
      </c>
      <c r="AA21" s="83">
        <v>300</v>
      </c>
      <c r="AB21" s="99"/>
    </row>
    <row r="22" spans="6:28" x14ac:dyDescent="0.3">
      <c r="F22" s="98"/>
      <c r="G22" s="2" t="s">
        <v>104</v>
      </c>
      <c r="H22" s="77">
        <f>H21/H15</f>
        <v>0.16666666666666666</v>
      </c>
      <c r="I22" s="1"/>
      <c r="J22" s="11" t="s">
        <v>8</v>
      </c>
      <c r="K22" s="3"/>
      <c r="L22" s="1"/>
      <c r="M22" s="28"/>
      <c r="N22" s="39"/>
      <c r="O22" s="3"/>
      <c r="P22" s="1"/>
      <c r="Q22" s="124" t="s">
        <v>109</v>
      </c>
      <c r="R22" s="125"/>
      <c r="S22" s="125"/>
      <c r="T22" s="125"/>
      <c r="U22" s="266" t="s">
        <v>182</v>
      </c>
      <c r="V22" s="267">
        <f>EDATE(MAX(Table2[Renovation Begin Date]),MAX(Table2[Duration of Rnovation (mos.)]))</f>
        <v>46722</v>
      </c>
      <c r="W22" s="126">
        <f>DATEDIF(MIN(Table2[Renovation Begin Date]),MAX(Table2[Date Complete]),"M")</f>
        <v>16</v>
      </c>
      <c r="X22" s="127">
        <f>EOMONTH(V22,1)</f>
        <v>46783</v>
      </c>
      <c r="Y22" s="128">
        <f>INDEX(UnitsBreakdown!E21:FE21,MATCH('A&amp;Rs'!X22,UnitsBreakdown!E23:FE23))</f>
        <v>2</v>
      </c>
      <c r="Z22" s="129">
        <f>SUM(Table2[Cost Per renovation])</f>
        <v>160600</v>
      </c>
      <c r="AA22" s="130"/>
      <c r="AB22" s="99"/>
    </row>
    <row r="23" spans="6:28" x14ac:dyDescent="0.3">
      <c r="F23" s="98"/>
      <c r="G23" s="78"/>
      <c r="H23" s="85"/>
      <c r="I23" s="1"/>
      <c r="J23" s="17" t="s">
        <v>11</v>
      </c>
      <c r="K23" s="33">
        <v>0.3</v>
      </c>
      <c r="L23" s="1"/>
      <c r="M23" s="28" t="s">
        <v>142</v>
      </c>
      <c r="N23" s="39">
        <v>0.03</v>
      </c>
      <c r="O23" s="3"/>
      <c r="P23" s="1"/>
      <c r="Q23" s="30" t="s">
        <v>73</v>
      </c>
      <c r="R23" s="236"/>
      <c r="S23" s="236">
        <f>SUM(S10:S21)</f>
        <v>12000</v>
      </c>
      <c r="T23" s="38"/>
      <c r="U23" s="38"/>
      <c r="V23" s="127"/>
      <c r="W23" s="38"/>
      <c r="X23" s="38"/>
      <c r="Y23" s="38"/>
      <c r="Z23" s="38"/>
      <c r="AA23" s="49"/>
      <c r="AB23" s="99"/>
    </row>
    <row r="24" spans="6:28" x14ac:dyDescent="0.3">
      <c r="F24" s="98"/>
      <c r="G24" s="78" t="s">
        <v>128</v>
      </c>
      <c r="H24" s="116">
        <v>7.0000000000000007E-2</v>
      </c>
      <c r="I24" s="1"/>
      <c r="J24" s="9" t="s">
        <v>33</v>
      </c>
      <c r="K24" s="12">
        <f>K18*K23</f>
        <v>575910.42857142852</v>
      </c>
      <c r="L24" s="1"/>
      <c r="M24" s="28"/>
      <c r="N24" s="39"/>
      <c r="O24" s="3"/>
      <c r="P24" s="1"/>
      <c r="Q24" s="30" t="s">
        <v>127</v>
      </c>
      <c r="R24" s="38"/>
      <c r="S24" s="114">
        <v>0.1</v>
      </c>
      <c r="T24" s="38"/>
      <c r="U24" s="38"/>
      <c r="V24" s="38"/>
      <c r="W24" s="38"/>
      <c r="X24" s="38"/>
      <c r="Y24" s="38"/>
      <c r="Z24" s="115">
        <f>SUM(Z10:Z21)*$S$24</f>
        <v>16060</v>
      </c>
      <c r="AA24" s="49"/>
      <c r="AB24" s="99"/>
    </row>
    <row r="25" spans="6:28" ht="15" thickBot="1" x14ac:dyDescent="0.35">
      <c r="F25" s="98"/>
      <c r="G25" s="2"/>
      <c r="H25" s="131"/>
      <c r="I25" s="1"/>
      <c r="J25" s="4" t="s">
        <v>34</v>
      </c>
      <c r="K25" s="3">
        <f>'Amortization Schedule'!C3*K37+'Amortization Schedule'!C3*K38</f>
        <v>0</v>
      </c>
      <c r="L25" s="1"/>
      <c r="M25" s="18" t="s">
        <v>43</v>
      </c>
      <c r="N25" s="39">
        <v>0.05</v>
      </c>
      <c r="O25" s="3"/>
      <c r="P25" s="1"/>
      <c r="Q25" s="1"/>
      <c r="R25" s="1"/>
      <c r="S25" s="1"/>
      <c r="T25" s="1"/>
      <c r="U25" s="1"/>
      <c r="V25" s="1"/>
      <c r="W25" s="1"/>
      <c r="X25" s="1"/>
      <c r="Y25" s="1"/>
      <c r="Z25" s="1"/>
      <c r="AA25" s="1"/>
      <c r="AB25" s="99"/>
    </row>
    <row r="26" spans="6:28" ht="15" thickBot="1" x14ac:dyDescent="0.35">
      <c r="F26" s="98"/>
      <c r="G26" s="2" t="s">
        <v>101</v>
      </c>
      <c r="H26" s="76">
        <f>AVERAGE('A&amp;Rs'!S10:S21)</f>
        <v>1000</v>
      </c>
      <c r="I26" s="1"/>
      <c r="J26" s="17" t="s">
        <v>2</v>
      </c>
      <c r="K26" s="34">
        <f>K18*0.02</f>
        <v>38394.028571428571</v>
      </c>
      <c r="L26" s="1"/>
      <c r="M26" s="2"/>
      <c r="N26" s="1"/>
      <c r="O26" s="3"/>
      <c r="P26" s="1"/>
      <c r="Q26" s="32"/>
      <c r="R26" s="1"/>
      <c r="S26" s="1"/>
      <c r="T26" s="1"/>
      <c r="U26" s="279" t="str">
        <f>IF(MAX($X$10:$X$22)&gt;$K$11,"Your Redevelopment Time Exceeds Your Exit Date","")</f>
        <v/>
      </c>
      <c r="V26" s="280"/>
      <c r="W26" s="1"/>
      <c r="X26" s="1"/>
      <c r="Y26" s="1"/>
      <c r="Z26" s="1"/>
      <c r="AA26" s="1"/>
      <c r="AB26" s="99"/>
    </row>
    <row r="27" spans="6:28" x14ac:dyDescent="0.3">
      <c r="F27" s="98"/>
      <c r="G27" s="2" t="s">
        <v>102</v>
      </c>
      <c r="H27" s="76">
        <f>SUM('A&amp;Rs'!S10:S21)</f>
        <v>12000</v>
      </c>
      <c r="I27" s="1"/>
      <c r="J27" s="4" t="s">
        <v>3</v>
      </c>
      <c r="K27" s="6">
        <f>SUM(K24:K26)</f>
        <v>614304.45714285714</v>
      </c>
      <c r="L27" s="1"/>
      <c r="M27" s="132" t="s">
        <v>49</v>
      </c>
      <c r="N27" s="166"/>
      <c r="O27" s="167"/>
      <c r="P27" s="1"/>
      <c r="Q27" s="1"/>
      <c r="R27" s="1"/>
      <c r="S27" s="1"/>
      <c r="T27" s="1"/>
      <c r="U27" s="1"/>
      <c r="V27" s="1"/>
      <c r="W27" s="1"/>
      <c r="X27" s="1"/>
      <c r="Y27" s="1"/>
      <c r="Z27" s="1"/>
      <c r="AA27" s="1"/>
      <c r="AB27" s="99"/>
    </row>
    <row r="28" spans="6:28" x14ac:dyDescent="0.3">
      <c r="F28" s="98"/>
      <c r="G28" s="8" t="s">
        <v>136</v>
      </c>
      <c r="H28" s="228">
        <f>AVERAGE(Table2[Market Rent In Current Condition])</f>
        <v>1451.0833333333333</v>
      </c>
      <c r="I28" s="1"/>
      <c r="J28" s="11" t="s">
        <v>6</v>
      </c>
      <c r="K28" s="3"/>
      <c r="L28" s="1"/>
      <c r="M28" s="18" t="s">
        <v>41</v>
      </c>
      <c r="N28" s="39">
        <v>0.03</v>
      </c>
      <c r="O28" s="37">
        <v>5300</v>
      </c>
      <c r="P28" s="1"/>
      <c r="Q28" s="1"/>
      <c r="R28" s="1"/>
      <c r="S28" s="1"/>
      <c r="T28" s="1"/>
      <c r="U28" s="1"/>
      <c r="V28" s="1"/>
      <c r="W28" s="1"/>
      <c r="X28" s="1"/>
      <c r="Y28" s="1"/>
      <c r="Z28" s="1"/>
      <c r="AA28" s="1"/>
      <c r="AB28" s="99"/>
    </row>
    <row r="29" spans="6:28" x14ac:dyDescent="0.3">
      <c r="F29" s="98"/>
      <c r="G29" s="1"/>
      <c r="H29" s="1"/>
      <c r="I29" s="1"/>
      <c r="J29" s="4" t="s">
        <v>23</v>
      </c>
      <c r="K29" s="16">
        <f>1-K23</f>
        <v>0.7</v>
      </c>
      <c r="L29" s="1"/>
      <c r="M29" s="18" t="s">
        <v>10</v>
      </c>
      <c r="N29" s="39">
        <v>0.03</v>
      </c>
      <c r="O29" s="37">
        <v>404</v>
      </c>
      <c r="P29" s="1"/>
      <c r="Q29" s="1"/>
      <c r="R29" s="1"/>
      <c r="S29" s="1"/>
      <c r="T29" s="1"/>
      <c r="U29" s="1"/>
      <c r="V29" s="1"/>
      <c r="W29" s="1"/>
      <c r="X29" s="1"/>
      <c r="Y29" s="1"/>
      <c r="Z29" s="1"/>
      <c r="AA29" s="1"/>
      <c r="AB29" s="99"/>
    </row>
    <row r="30" spans="6:28" x14ac:dyDescent="0.3">
      <c r="F30" s="98"/>
      <c r="G30" s="223" t="s">
        <v>152</v>
      </c>
      <c r="H30" s="229">
        <f>'YearProForma&amp;Returns'!E18/H24</f>
        <v>1919701.4285714284</v>
      </c>
      <c r="I30" s="1"/>
      <c r="J30" s="4" t="s">
        <v>1</v>
      </c>
      <c r="K30" s="12">
        <f>K18-SUM(K24:K25)</f>
        <v>1343791</v>
      </c>
      <c r="L30" s="1"/>
      <c r="M30" s="18" t="s">
        <v>40</v>
      </c>
      <c r="N30" s="39">
        <v>0.03</v>
      </c>
      <c r="O30" s="37">
        <v>1615</v>
      </c>
      <c r="P30" s="1"/>
      <c r="Q30" s="1"/>
      <c r="R30" s="1"/>
      <c r="S30" s="1"/>
      <c r="T30" s="1"/>
      <c r="U30" s="1"/>
      <c r="V30" s="1"/>
      <c r="W30" s="1"/>
      <c r="X30" s="1"/>
      <c r="Y30" s="1"/>
      <c r="Z30" s="1"/>
      <c r="AA30" s="1"/>
      <c r="AB30" s="99"/>
    </row>
    <row r="31" spans="6:28" x14ac:dyDescent="0.3">
      <c r="F31" s="98"/>
      <c r="G31" s="8" t="s">
        <v>158</v>
      </c>
      <c r="H31" s="230">
        <f>'YearProForma&amp;Returns'!D30</f>
        <v>2647460.0745030292</v>
      </c>
      <c r="I31" s="1"/>
      <c r="J31" s="17" t="s">
        <v>4</v>
      </c>
      <c r="K31" s="52">
        <v>5.5E-2</v>
      </c>
      <c r="L31" s="1"/>
      <c r="M31" s="18" t="s">
        <v>48</v>
      </c>
      <c r="N31" s="39">
        <v>0.03</v>
      </c>
      <c r="O31" s="37">
        <v>572</v>
      </c>
      <c r="P31" s="1"/>
      <c r="Q31" s="1"/>
      <c r="R31" s="1"/>
      <c r="S31" s="1"/>
      <c r="T31" s="1"/>
      <c r="U31" s="1"/>
      <c r="V31" s="1"/>
      <c r="W31" s="1"/>
      <c r="X31" s="1"/>
      <c r="Y31" s="1"/>
      <c r="Z31" s="1"/>
      <c r="AA31" s="1"/>
      <c r="AB31" s="99"/>
    </row>
    <row r="32" spans="6:28" ht="15" thickBot="1" x14ac:dyDescent="0.35">
      <c r="F32" s="98"/>
      <c r="G32" s="1"/>
      <c r="H32" s="1"/>
      <c r="I32" s="1"/>
      <c r="J32" s="17" t="s">
        <v>108</v>
      </c>
      <c r="K32" s="35">
        <v>30</v>
      </c>
      <c r="L32" s="1"/>
      <c r="M32" s="18" t="s">
        <v>51</v>
      </c>
      <c r="N32" s="39">
        <v>0.03</v>
      </c>
      <c r="O32" s="37">
        <v>150</v>
      </c>
      <c r="P32" s="1"/>
      <c r="Q32" s="1"/>
      <c r="R32" s="1"/>
      <c r="S32" s="1"/>
      <c r="T32" s="1"/>
      <c r="U32" s="1"/>
      <c r="V32" s="1"/>
      <c r="W32" s="1"/>
      <c r="X32" s="1"/>
      <c r="Y32" s="1"/>
      <c r="Z32" s="1"/>
      <c r="AA32" s="1"/>
      <c r="AB32" s="99"/>
    </row>
    <row r="33" spans="6:28" ht="15" thickBot="1" x14ac:dyDescent="0.35">
      <c r="F33" s="98"/>
      <c r="G33" s="232" t="s">
        <v>151</v>
      </c>
      <c r="H33" s="233">
        <v>1919701.4285714284</v>
      </c>
      <c r="I33" s="1"/>
      <c r="J33" s="4" t="s">
        <v>5</v>
      </c>
      <c r="K33" s="81">
        <f>K9</f>
        <v>5</v>
      </c>
      <c r="L33" s="1"/>
      <c r="M33" s="18" t="s">
        <v>51</v>
      </c>
      <c r="N33" s="39">
        <v>0.03</v>
      </c>
      <c r="O33" s="37">
        <v>100</v>
      </c>
      <c r="P33" s="1"/>
      <c r="Q33" s="1"/>
      <c r="R33" s="1"/>
      <c r="S33" s="1"/>
      <c r="T33" s="1"/>
      <c r="U33" s="1"/>
      <c r="V33" s="1"/>
      <c r="W33" s="1"/>
      <c r="X33" s="1"/>
      <c r="Y33" s="1"/>
      <c r="Z33" s="1"/>
      <c r="AA33" s="1"/>
      <c r="AB33" s="99"/>
    </row>
    <row r="34" spans="6:28" x14ac:dyDescent="0.3">
      <c r="F34" s="98"/>
      <c r="G34" s="1"/>
      <c r="H34" s="1"/>
      <c r="I34" s="1"/>
      <c r="J34" s="4" t="s">
        <v>7</v>
      </c>
      <c r="K34" s="7">
        <f>'Amortization Schedule'!C6</f>
        <v>7629.8974990909028</v>
      </c>
      <c r="L34" s="1"/>
      <c r="M34" s="2"/>
      <c r="N34" s="1"/>
      <c r="O34" s="3"/>
      <c r="P34" s="1"/>
      <c r="Q34" s="1"/>
      <c r="R34" s="1"/>
      <c r="S34" s="1"/>
      <c r="T34" s="1"/>
      <c r="U34" s="1"/>
      <c r="V34" s="1"/>
      <c r="W34" s="1"/>
      <c r="X34" s="1"/>
      <c r="Y34" s="1"/>
      <c r="Z34" s="1"/>
      <c r="AA34" s="1"/>
      <c r="AB34" s="99"/>
    </row>
    <row r="35" spans="6:28" x14ac:dyDescent="0.3">
      <c r="F35" s="98"/>
      <c r="G35" s="1"/>
      <c r="H35" s="1"/>
      <c r="I35" s="1"/>
      <c r="J35" s="234" t="s">
        <v>153</v>
      </c>
      <c r="K35" s="235">
        <v>1.1499999999999999</v>
      </c>
      <c r="L35" s="1"/>
      <c r="M35" s="18" t="s">
        <v>57</v>
      </c>
      <c r="N35" s="39">
        <v>0.03</v>
      </c>
      <c r="O35" s="40"/>
      <c r="P35" s="1"/>
      <c r="Q35" s="1"/>
      <c r="R35" s="1"/>
      <c r="S35" s="1"/>
      <c r="T35" s="1"/>
      <c r="U35" s="1"/>
      <c r="V35" s="1"/>
      <c r="W35" s="1"/>
      <c r="X35" s="1"/>
      <c r="Y35" s="1"/>
      <c r="Z35" s="1"/>
      <c r="AA35" s="1"/>
      <c r="AB35" s="99"/>
    </row>
    <row r="36" spans="6:28" x14ac:dyDescent="0.3">
      <c r="F36" s="98"/>
      <c r="G36" s="1"/>
      <c r="H36" s="1"/>
      <c r="I36" s="1"/>
      <c r="J36" s="4" t="s">
        <v>131</v>
      </c>
      <c r="K36" s="22">
        <f>ROUND(MIN('Monthly Pro Forma'!O29:ED29),2)</f>
        <v>1.19</v>
      </c>
      <c r="L36" s="1"/>
      <c r="M36" s="18"/>
      <c r="N36" s="39"/>
      <c r="O36" s="40"/>
      <c r="P36" s="1"/>
      <c r="Q36" s="1"/>
      <c r="R36" s="1"/>
      <c r="S36" s="1"/>
      <c r="T36" s="1"/>
      <c r="U36" s="1"/>
      <c r="V36" s="1"/>
      <c r="W36" s="1"/>
      <c r="X36" s="1"/>
      <c r="Y36" s="1"/>
      <c r="Z36" s="1"/>
      <c r="AA36" s="1"/>
      <c r="AB36" s="99"/>
    </row>
    <row r="37" spans="6:28" x14ac:dyDescent="0.3">
      <c r="F37" s="98"/>
      <c r="G37" s="1"/>
      <c r="H37" s="1"/>
      <c r="I37" s="1"/>
      <c r="J37" s="17" t="s">
        <v>31</v>
      </c>
      <c r="K37" s="33">
        <v>0</v>
      </c>
      <c r="L37" s="1"/>
      <c r="M37" s="2"/>
      <c r="N37" s="1"/>
      <c r="O37" s="3"/>
      <c r="P37" s="1"/>
      <c r="Q37" s="1"/>
      <c r="R37" s="1"/>
      <c r="S37" s="1"/>
      <c r="T37" s="1"/>
      <c r="U37" s="1"/>
      <c r="V37" s="1"/>
      <c r="W37" s="1"/>
      <c r="X37" s="1"/>
      <c r="Y37" s="1"/>
      <c r="Z37" s="1"/>
      <c r="AA37" s="1"/>
      <c r="AB37" s="99"/>
    </row>
    <row r="38" spans="6:28" x14ac:dyDescent="0.3">
      <c r="F38" s="98"/>
      <c r="G38" s="1"/>
      <c r="H38" s="1"/>
      <c r="I38" s="1"/>
      <c r="J38" s="27" t="s">
        <v>32</v>
      </c>
      <c r="K38" s="36">
        <v>0</v>
      </c>
      <c r="L38" s="1"/>
      <c r="M38" s="8"/>
      <c r="N38" s="21"/>
      <c r="O38" s="10"/>
      <c r="P38" s="1"/>
      <c r="Q38" s="1"/>
      <c r="R38" s="1"/>
      <c r="S38" s="1"/>
      <c r="T38" s="1"/>
      <c r="U38" s="1"/>
      <c r="V38" s="1"/>
      <c r="W38" s="1"/>
      <c r="X38" s="1"/>
      <c r="Y38" s="1"/>
      <c r="Z38" s="1"/>
      <c r="AA38" s="1"/>
      <c r="AB38" s="99"/>
    </row>
    <row r="39" spans="6:28" ht="15" thickBot="1" x14ac:dyDescent="0.35">
      <c r="F39" s="102"/>
      <c r="G39" s="103"/>
      <c r="H39" s="103"/>
      <c r="I39" s="103"/>
      <c r="J39" s="103"/>
      <c r="K39" s="103"/>
      <c r="L39" s="103"/>
      <c r="M39" s="103"/>
      <c r="N39" s="103"/>
      <c r="O39" s="103"/>
      <c r="P39" s="103"/>
      <c r="Q39" s="103"/>
      <c r="R39" s="103"/>
      <c r="S39" s="103"/>
      <c r="T39" s="103"/>
      <c r="U39" s="103"/>
      <c r="V39" s="103"/>
      <c r="W39" s="103"/>
      <c r="X39" s="103"/>
      <c r="Y39" s="103"/>
      <c r="Z39" s="103"/>
      <c r="AA39" s="103"/>
      <c r="AB39" s="104"/>
    </row>
    <row r="40" spans="6:28" ht="15" thickBot="1" x14ac:dyDescent="0.35"/>
    <row r="41" spans="6:28" x14ac:dyDescent="0.3">
      <c r="F41" s="95"/>
      <c r="G41" s="96"/>
      <c r="H41" s="96"/>
      <c r="I41" s="96"/>
      <c r="J41" s="96"/>
      <c r="K41" s="96"/>
      <c r="L41" s="96"/>
      <c r="M41" s="96"/>
      <c r="N41" s="96"/>
      <c r="O41" s="96"/>
      <c r="P41" s="96"/>
      <c r="Q41" s="96"/>
      <c r="R41" s="96"/>
      <c r="S41" s="97"/>
    </row>
    <row r="42" spans="6:28" x14ac:dyDescent="0.3">
      <c r="F42" s="98"/>
      <c r="G42" s="278" t="s">
        <v>27</v>
      </c>
      <c r="H42" s="278"/>
      <c r="I42" s="278"/>
      <c r="J42" s="278"/>
      <c r="K42" s="278"/>
      <c r="L42" s="1"/>
      <c r="M42" s="1"/>
      <c r="N42" s="1"/>
      <c r="O42" s="1"/>
      <c r="P42" s="1"/>
      <c r="Q42" s="1"/>
      <c r="R42" s="1"/>
      <c r="S42" s="99"/>
    </row>
    <row r="43" spans="6:28" x14ac:dyDescent="0.3">
      <c r="F43" s="98"/>
      <c r="G43" s="278"/>
      <c r="H43" s="278"/>
      <c r="I43" s="278"/>
      <c r="J43" s="278"/>
      <c r="K43" s="278"/>
      <c r="L43" s="1"/>
      <c r="M43" s="1"/>
      <c r="N43" s="1"/>
      <c r="O43" s="1"/>
      <c r="P43" s="1"/>
      <c r="Q43" s="1"/>
      <c r="R43" s="1"/>
      <c r="S43" s="99"/>
    </row>
    <row r="44" spans="6:28" ht="15" thickBot="1" x14ac:dyDescent="0.35">
      <c r="F44" s="98"/>
      <c r="G44" s="1"/>
      <c r="H44" s="1"/>
      <c r="I44" s="1"/>
      <c r="J44" s="1"/>
      <c r="K44" s="1"/>
      <c r="L44" s="1"/>
      <c r="M44" s="1"/>
      <c r="N44" s="1"/>
      <c r="O44" s="1"/>
      <c r="P44" s="1"/>
      <c r="Q44" s="1"/>
      <c r="R44" s="1"/>
      <c r="S44" s="99"/>
    </row>
    <row r="45" spans="6:28" x14ac:dyDescent="0.3">
      <c r="F45" s="98"/>
      <c r="G45" s="282" t="s">
        <v>155</v>
      </c>
      <c r="H45" s="283"/>
      <c r="I45" s="1"/>
      <c r="L45" s="1"/>
      <c r="M45" s="286" t="s">
        <v>135</v>
      </c>
      <c r="N45" s="288"/>
      <c r="O45" s="288"/>
      <c r="P45" s="288"/>
      <c r="Q45" s="288"/>
      <c r="R45" s="287"/>
      <c r="S45" s="99"/>
    </row>
    <row r="46" spans="6:28" x14ac:dyDescent="0.3">
      <c r="F46" s="98"/>
      <c r="G46" s="159" t="s">
        <v>29</v>
      </c>
      <c r="H46" s="237">
        <f>SUM('Monthly Pro Forma'!N33:ED33)</f>
        <v>3308910.8204269507</v>
      </c>
      <c r="I46" s="1"/>
      <c r="L46" s="1"/>
      <c r="M46" s="132" t="s">
        <v>129</v>
      </c>
      <c r="N46" s="47" t="s">
        <v>24</v>
      </c>
      <c r="O46" s="47" t="s">
        <v>22</v>
      </c>
      <c r="P46" s="47"/>
      <c r="Q46" s="47" t="s">
        <v>134</v>
      </c>
      <c r="R46" s="3" t="s">
        <v>119</v>
      </c>
      <c r="S46" s="99"/>
    </row>
    <row r="47" spans="6:28" ht="15" hidden="1" customHeight="1" x14ac:dyDescent="0.3">
      <c r="F47" s="98"/>
      <c r="G47" s="238"/>
      <c r="H47" s="239"/>
      <c r="I47" s="1"/>
      <c r="L47" s="1"/>
      <c r="M47" s="132"/>
      <c r="N47" s="133">
        <f>H54</f>
        <v>0.37093489746093755</v>
      </c>
      <c r="O47" s="133">
        <f>H55</f>
        <v>3.9987143251897774</v>
      </c>
      <c r="P47" s="133"/>
      <c r="Q47" s="205">
        <f>H57</f>
        <v>1842123.5756622145</v>
      </c>
      <c r="R47" s="207">
        <f>H56</f>
        <v>4.3693952409113423</v>
      </c>
      <c r="S47" s="99"/>
    </row>
    <row r="48" spans="6:28" x14ac:dyDescent="0.3">
      <c r="F48" s="98"/>
      <c r="G48" s="98" t="s">
        <v>35</v>
      </c>
      <c r="H48" s="240">
        <f>PV(K31/12,(K32*12)-(K9*12),K34)</f>
        <v>-1242477.2683032772</v>
      </c>
      <c r="I48" s="1"/>
      <c r="L48" s="1"/>
      <c r="M48" s="134">
        <v>1</v>
      </c>
      <c r="N48" s="135">
        <f t="dataTable" ref="N48:R57" dt2D="0" dtr="0" r1="K9"/>
        <v>2.81851904296875E-2</v>
      </c>
      <c r="O48" s="136">
        <v>1.0272979691541668</v>
      </c>
      <c r="P48" s="137">
        <v>0</v>
      </c>
      <c r="Q48" s="41">
        <v>16769.264122352935</v>
      </c>
      <c r="R48" s="206">
        <v>1</v>
      </c>
      <c r="S48" s="99"/>
    </row>
    <row r="49" spans="6:19" x14ac:dyDescent="0.3">
      <c r="F49" s="98"/>
      <c r="G49" s="98" t="s">
        <v>30</v>
      </c>
      <c r="H49" s="240">
        <f>SUM('Monthly Pro Forma'!N35:ED35)</f>
        <v>-99267.324612808516</v>
      </c>
      <c r="I49" s="1"/>
      <c r="L49" s="1"/>
      <c r="M49" s="134">
        <v>2</v>
      </c>
      <c r="N49" s="135">
        <v>0.58539766601562482</v>
      </c>
      <c r="O49" s="136">
        <v>2.4221356215774827</v>
      </c>
      <c r="P49" s="137">
        <v>0</v>
      </c>
      <c r="Q49" s="41">
        <v>873624.25099667488</v>
      </c>
      <c r="R49" s="206">
        <v>1.95972509183553</v>
      </c>
      <c r="S49" s="99"/>
    </row>
    <row r="50" spans="6:19" x14ac:dyDescent="0.3">
      <c r="F50" s="98"/>
      <c r="G50" s="159" t="s">
        <v>117</v>
      </c>
      <c r="H50" s="237">
        <f>SUM(H46:H49)</f>
        <v>1967166.2275108651</v>
      </c>
      <c r="I50" s="1"/>
      <c r="L50" s="1"/>
      <c r="M50" s="134">
        <v>3</v>
      </c>
      <c r="N50" s="135">
        <v>0.51779250976562508</v>
      </c>
      <c r="O50" s="136">
        <v>3.2256047588131178</v>
      </c>
      <c r="P50" s="137">
        <v>0</v>
      </c>
      <c r="Q50" s="41">
        <v>1367198.9231772511</v>
      </c>
      <c r="R50" s="206">
        <v>2.851017559064752</v>
      </c>
      <c r="S50" s="99"/>
    </row>
    <row r="51" spans="6:19" x14ac:dyDescent="0.3">
      <c r="F51" s="98"/>
      <c r="G51" s="159" t="s">
        <v>118</v>
      </c>
      <c r="H51" s="237"/>
      <c r="I51" s="1"/>
      <c r="L51" s="1"/>
      <c r="M51" s="134">
        <v>4</v>
      </c>
      <c r="N51" s="135">
        <v>0.42415668457031275</v>
      </c>
      <c r="O51" s="136">
        <v>3.6037923443939657</v>
      </c>
      <c r="P51" s="137">
        <v>0</v>
      </c>
      <c r="Q51" s="41">
        <v>1599521.2426356615</v>
      </c>
      <c r="R51" s="206">
        <v>3.6520079995739483</v>
      </c>
      <c r="S51" s="99"/>
    </row>
    <row r="52" spans="6:19" x14ac:dyDescent="0.3">
      <c r="F52" s="98"/>
      <c r="G52" s="241" t="s">
        <v>36</v>
      </c>
      <c r="H52" s="237">
        <f>'A&amp;Rs'!K27</f>
        <v>614304.45714285714</v>
      </c>
      <c r="I52" s="1"/>
      <c r="L52" s="1"/>
      <c r="M52" s="134">
        <v>5</v>
      </c>
      <c r="N52" s="135">
        <v>0.37093489746093755</v>
      </c>
      <c r="O52" s="136">
        <v>3.9987143251897774</v>
      </c>
      <c r="P52" s="137">
        <v>0</v>
      </c>
      <c r="Q52" s="41">
        <v>1842123.5756622145</v>
      </c>
      <c r="R52" s="206">
        <v>4.3693952409113423</v>
      </c>
      <c r="S52" s="99"/>
    </row>
    <row r="53" spans="6:19" x14ac:dyDescent="0.3">
      <c r="F53" s="98"/>
      <c r="G53" s="241" t="s">
        <v>37</v>
      </c>
      <c r="H53" s="237">
        <f>-SUM('Monthly Pro Forma'!O28:ED28)</f>
        <v>457793.84994545352</v>
      </c>
      <c r="I53" s="1"/>
      <c r="L53" s="1"/>
      <c r="M53" s="134">
        <v>6</v>
      </c>
      <c r="N53" s="135">
        <v>0.32643646972656259</v>
      </c>
      <c r="O53" s="136">
        <v>4.2149635445343705</v>
      </c>
      <c r="P53" s="137">
        <v>0</v>
      </c>
      <c r="Q53" s="41">
        <v>1974966.4349592612</v>
      </c>
      <c r="R53" s="206">
        <v>4.9907436735730357</v>
      </c>
      <c r="S53" s="99"/>
    </row>
    <row r="54" spans="6:19" x14ac:dyDescent="0.3">
      <c r="F54" s="98"/>
      <c r="G54" s="159" t="s">
        <v>24</v>
      </c>
      <c r="H54" s="242">
        <f>'Monthly Pro Forma'!$N$38</f>
        <v>0.37093489746093755</v>
      </c>
      <c r="I54" s="1"/>
      <c r="L54" s="1"/>
      <c r="M54" s="134">
        <v>7</v>
      </c>
      <c r="N54" s="135">
        <v>0.29883372558593757</v>
      </c>
      <c r="O54" s="136">
        <v>4.4960454990278862</v>
      </c>
      <c r="P54" s="137">
        <v>0</v>
      </c>
      <c r="Q54" s="41">
        <v>2147636.3324270542</v>
      </c>
      <c r="R54" s="206">
        <v>5.538699366495214</v>
      </c>
      <c r="S54" s="99"/>
    </row>
    <row r="55" spans="6:19" x14ac:dyDescent="0.3">
      <c r="F55" s="98"/>
      <c r="G55" s="159" t="s">
        <v>22</v>
      </c>
      <c r="H55" s="243">
        <f>'Monthly Pro Forma'!N39</f>
        <v>3.9987143251897774</v>
      </c>
      <c r="I55" s="1"/>
      <c r="L55" s="1"/>
      <c r="M55" s="134">
        <v>8</v>
      </c>
      <c r="N55" s="135">
        <v>0.2829589013671876</v>
      </c>
      <c r="O55" s="136">
        <v>4.9134399839466134</v>
      </c>
      <c r="P55" s="137">
        <v>0</v>
      </c>
      <c r="Q55" s="41">
        <v>2404043.6248994754</v>
      </c>
      <c r="R55" s="206">
        <v>6.0352485458807994</v>
      </c>
      <c r="S55" s="99"/>
    </row>
    <row r="56" spans="6:19" x14ac:dyDescent="0.3">
      <c r="F56" s="98"/>
      <c r="G56" s="159" t="s">
        <v>119</v>
      </c>
      <c r="H56" s="244">
        <f>'YearProForma&amp;Returns'!D46</f>
        <v>4.3693952409113423</v>
      </c>
      <c r="I56" s="1"/>
      <c r="L56" s="1"/>
      <c r="M56" s="134">
        <v>9</v>
      </c>
      <c r="N56" s="135">
        <v>0.26902363769531257</v>
      </c>
      <c r="O56" s="136">
        <v>5.2810175330710507</v>
      </c>
      <c r="P56" s="137">
        <v>0</v>
      </c>
      <c r="Q56" s="41">
        <v>2629848.1516722646</v>
      </c>
      <c r="R56" s="206">
        <v>6.4636219200590901</v>
      </c>
      <c r="S56" s="99"/>
    </row>
    <row r="57" spans="6:19" x14ac:dyDescent="0.3">
      <c r="F57" s="98"/>
      <c r="G57" s="159" t="s">
        <v>38</v>
      </c>
      <c r="H57" s="237">
        <f>SUM('Monthly Pro Forma'!N37:ED37)</f>
        <v>1842123.5756622145</v>
      </c>
      <c r="I57" s="1"/>
      <c r="L57" s="1"/>
      <c r="M57" s="134">
        <v>10</v>
      </c>
      <c r="N57" s="135">
        <v>0.2566353271484374</v>
      </c>
      <c r="O57" s="136">
        <v>5.5903057177124618</v>
      </c>
      <c r="P57" s="137">
        <v>0</v>
      </c>
      <c r="Q57" s="41">
        <v>2819845.2620391063</v>
      </c>
      <c r="R57" s="206">
        <v>6.8247477205799942</v>
      </c>
      <c r="S57" s="99"/>
    </row>
    <row r="58" spans="6:19" ht="15" thickBot="1" x14ac:dyDescent="0.35">
      <c r="F58" s="98"/>
      <c r="G58" s="245">
        <f>K9</f>
        <v>5</v>
      </c>
      <c r="H58" s="246">
        <f ca="1">SUMIF('YearProForma&amp;Returns'!E4:N4,'A&amp;Rs'!K9,'YearProForma&amp;Returns'!E45:I45)</f>
        <v>0.20604171092231585</v>
      </c>
      <c r="I58" s="1"/>
      <c r="L58" s="1"/>
      <c r="M58" s="8"/>
      <c r="N58" s="21"/>
      <c r="O58" s="21"/>
      <c r="P58" s="21"/>
      <c r="Q58" s="21"/>
      <c r="R58" s="10"/>
      <c r="S58" s="99"/>
    </row>
    <row r="59" spans="6:19" ht="15" thickBot="1" x14ac:dyDescent="0.35">
      <c r="F59" s="102"/>
      <c r="G59" s="103"/>
      <c r="H59" s="103"/>
      <c r="I59" s="103"/>
      <c r="J59" s="103"/>
      <c r="K59" s="103"/>
      <c r="L59" s="103"/>
      <c r="M59" s="103"/>
      <c r="N59" s="103"/>
      <c r="O59" s="103"/>
      <c r="P59" s="103"/>
      <c r="Q59" s="103"/>
      <c r="R59" s="103"/>
      <c r="S59" s="104"/>
    </row>
  </sheetData>
  <mergeCells count="12">
    <mergeCell ref="G45:H45"/>
    <mergeCell ref="J17:K17"/>
    <mergeCell ref="G8:H8"/>
    <mergeCell ref="J8:K8"/>
    <mergeCell ref="M8:O8"/>
    <mergeCell ref="M9:O9"/>
    <mergeCell ref="M45:R45"/>
    <mergeCell ref="G3:K4"/>
    <mergeCell ref="G42:K43"/>
    <mergeCell ref="J6:K6"/>
    <mergeCell ref="Q8:AA8"/>
    <mergeCell ref="U26:V26"/>
  </mergeCells>
  <conditionalFormatting sqref="J6:K6">
    <cfRule type="expression" dxfId="14" priority="204">
      <formula>"MAX($T$10:$T$22)&gt;$G$11"</formula>
    </cfRule>
  </conditionalFormatting>
  <conditionalFormatting sqref="K36">
    <cfRule type="expression" dxfId="13" priority="161">
      <formula>$K$36&lt;$K$35</formula>
    </cfRule>
  </conditionalFormatting>
  <conditionalFormatting sqref="S10:S21">
    <cfRule type="expression" dxfId="12" priority="45">
      <formula>$R10=""</formula>
    </cfRule>
  </conditionalFormatting>
  <conditionalFormatting sqref="T10:T21">
    <cfRule type="expression" dxfId="11" priority="44">
      <formula>$R10=""</formula>
    </cfRule>
  </conditionalFormatting>
  <conditionalFormatting sqref="U10:U21">
    <cfRule type="expression" dxfId="10" priority="25">
      <formula>$R10=""</formula>
    </cfRule>
  </conditionalFormatting>
  <conditionalFormatting sqref="U26:V26">
    <cfRule type="expression" dxfId="8" priority="158">
      <formula>"MAX($T$10:$T$22)&gt;$G$11"</formula>
    </cfRule>
  </conditionalFormatting>
  <conditionalFormatting sqref="V10:V21">
    <cfRule type="expression" dxfId="7" priority="42">
      <formula>$R10=""</formula>
    </cfRule>
  </conditionalFormatting>
  <conditionalFormatting sqref="V22">
    <cfRule type="expression" dxfId="6" priority="199">
      <formula>$V$22&lt;$K$10</formula>
    </cfRule>
  </conditionalFormatting>
  <conditionalFormatting sqref="W10:W21">
    <cfRule type="expression" dxfId="5" priority="41">
      <formula>$R10=""</formula>
    </cfRule>
  </conditionalFormatting>
  <conditionalFormatting sqref="X10:X21">
    <cfRule type="expression" dxfId="4" priority="2">
      <formula>$R10=""</formula>
    </cfRule>
  </conditionalFormatting>
  <conditionalFormatting sqref="X22">
    <cfRule type="expression" dxfId="3" priority="162">
      <formula>$X$22&gt;$K$11</formula>
    </cfRule>
  </conditionalFormatting>
  <conditionalFormatting sqref="Y10:Y21">
    <cfRule type="expression" dxfId="2" priority="1">
      <formula>$R10=""</formula>
    </cfRule>
  </conditionalFormatting>
  <conditionalFormatting sqref="Z10:Z21">
    <cfRule type="expression" dxfId="1" priority="38">
      <formula>$R10=""</formula>
    </cfRule>
  </conditionalFormatting>
  <conditionalFormatting sqref="AA10:AA21">
    <cfRule type="expression" dxfId="0" priority="37">
      <formula>$R10=""</formula>
    </cfRule>
  </conditionalFormatting>
  <dataValidations count="1">
    <dataValidation type="list" allowBlank="1" showInputMessage="1" showErrorMessage="1" sqref="H33" xr:uid="{00000000-0002-0000-0100-000000000000}">
      <formula1>$H$30:$H$31</formula1>
    </dataValidation>
  </dataValidations>
  <pageMargins left="0.7" right="0.7" top="0.75" bottom="0.75" header="0.3" footer="0.3"/>
  <pageSetup scale="18" orientation="portrait" verticalDpi="300"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203" id="{1A1506D0-5000-42E1-9630-AFD7D1802735}">
            <xm:f>Data!$DY$3&gt;$K$11</xm:f>
            <x14:dxf>
              <fill>
                <patternFill>
                  <bgColor rgb="FFFF0000"/>
                </patternFill>
              </fill>
            </x14:dxf>
          </x14:cfRule>
          <xm:sqref>J6:K6</xm:sqref>
        </x14:conditionalFormatting>
        <x14:conditionalFormatting xmlns:xm="http://schemas.microsoft.com/office/excel/2006/main">
          <x14:cfRule type="expression" priority="157" id="{0B9F231F-FD54-460D-A607-2B12B86D1A03}">
            <xm:f>Data!$DY$3&gt;$K$11</xm:f>
            <x14:dxf>
              <fill>
                <patternFill>
                  <bgColor rgb="FFFF0000"/>
                </patternFill>
              </fill>
            </x14:dxf>
          </x14:cfRule>
          <xm:sqref>U26:V26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Data!$DV$3:$DV$12</xm:f>
          </x14:formula1>
          <xm:sqref>K9</xm:sqref>
        </x14:dataValidation>
        <x14:dataValidation type="list" allowBlank="1" showInputMessage="1" showErrorMessage="1" xr:uid="{00000000-0002-0000-0100-000002000000}">
          <x14:formula1>
            <xm:f>'Monthly Pro Forma'!$O$5:$ED$5</xm:f>
          </x14:formula1>
          <xm:sqref>V10:V22</xm:sqref>
        </x14:dataValidation>
        <x14:dataValidation type="list" allowBlank="1" showInputMessage="1" showErrorMessage="1" xr:uid="{00000000-0002-0000-0100-000003000000}">
          <x14:formula1>
            <xm:f>Data!$DW$3:$DW$7</xm:f>
          </x14:formula1>
          <xm:sqref>R10:R21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FI59"/>
  <sheetViews>
    <sheetView zoomScale="90" zoomScaleNormal="90" workbookViewId="0"/>
  </sheetViews>
  <sheetFormatPr defaultColWidth="9.109375" defaultRowHeight="14.4" x14ac:dyDescent="0.3"/>
  <cols>
    <col min="1" max="1" width="9.109375" style="93"/>
    <col min="2" max="2" width="10.88671875" style="93" bestFit="1" customWidth="1"/>
    <col min="3" max="3" width="2.6640625" style="93" customWidth="1"/>
    <col min="4" max="4" width="37.33203125" style="93" bestFit="1" customWidth="1"/>
    <col min="5" max="5" width="9.33203125" style="93" bestFit="1" customWidth="1"/>
    <col min="6" max="6" width="12.6640625" style="93" bestFit="1" customWidth="1"/>
    <col min="7" max="7" width="8.6640625" style="93" bestFit="1" customWidth="1"/>
    <col min="8" max="8" width="15.5546875" style="93" bestFit="1" customWidth="1"/>
    <col min="9" max="9" width="9.88671875" style="93" bestFit="1" customWidth="1"/>
    <col min="10" max="10" width="9.6640625" style="93" bestFit="1" customWidth="1"/>
    <col min="11" max="11" width="9.88671875" style="93" bestFit="1" customWidth="1"/>
    <col min="12" max="13" width="9.6640625" style="93" bestFit="1" customWidth="1"/>
    <col min="14" max="14" width="9.109375" style="93" bestFit="1" customWidth="1"/>
    <col min="15" max="17" width="9.33203125" style="93" bestFit="1" customWidth="1"/>
    <col min="18" max="19" width="9.6640625" style="93" bestFit="1" customWidth="1"/>
    <col min="20" max="20" width="9.33203125" style="93" bestFit="1" customWidth="1"/>
    <col min="21" max="23" width="10.44140625" style="93" bestFit="1" customWidth="1"/>
    <col min="24" max="32" width="9.33203125" style="93" bestFit="1" customWidth="1"/>
    <col min="33" max="35" width="10.44140625" style="93" bestFit="1" customWidth="1"/>
    <col min="36" max="44" width="9.33203125" style="93" bestFit="1" customWidth="1"/>
    <col min="45" max="47" width="10.44140625" style="93" bestFit="1" customWidth="1"/>
    <col min="48" max="56" width="9.33203125" style="93" bestFit="1" customWidth="1"/>
    <col min="57" max="59" width="10.44140625" style="93" bestFit="1" customWidth="1"/>
    <col min="60" max="68" width="9.33203125" style="93" bestFit="1" customWidth="1"/>
    <col min="69" max="71" width="10.44140625" style="93" bestFit="1" customWidth="1"/>
    <col min="72" max="80" width="9.33203125" style="93" bestFit="1" customWidth="1"/>
    <col min="81" max="83" width="10.44140625" style="93" bestFit="1" customWidth="1"/>
    <col min="84" max="92" width="9.33203125" style="93" bestFit="1" customWidth="1"/>
    <col min="93" max="95" width="10.44140625" style="93" bestFit="1" customWidth="1"/>
    <col min="96" max="104" width="9.33203125" style="93" bestFit="1" customWidth="1"/>
    <col min="105" max="107" width="10.44140625" style="93" bestFit="1" customWidth="1"/>
    <col min="108" max="116" width="9.33203125" style="93" bestFit="1" customWidth="1"/>
    <col min="117" max="119" width="10.44140625" style="93" bestFit="1" customWidth="1"/>
    <col min="120" max="128" width="9.33203125" style="93" bestFit="1" customWidth="1"/>
    <col min="129" max="131" width="10.44140625" style="93" bestFit="1" customWidth="1"/>
    <col min="132" max="140" width="9.33203125" style="93" bestFit="1" customWidth="1"/>
    <col min="141" max="143" width="10.44140625" style="93" bestFit="1" customWidth="1"/>
    <col min="144" max="152" width="9.33203125" style="93" bestFit="1" customWidth="1"/>
    <col min="153" max="155" width="10.44140625" style="93" bestFit="1" customWidth="1"/>
    <col min="156" max="161" width="9.33203125" style="93" bestFit="1" customWidth="1"/>
    <col min="162" max="162" width="2" style="93" bestFit="1" customWidth="1"/>
    <col min="163" max="163" width="9.109375" style="93"/>
    <col min="164" max="164" width="10" style="93" bestFit="1" customWidth="1"/>
    <col min="165" max="165" width="2.6640625" style="93" customWidth="1"/>
    <col min="166" max="16384" width="9.109375" style="93"/>
  </cols>
  <sheetData>
    <row r="1" spans="2:165" ht="15" thickBot="1" x14ac:dyDescent="0.35"/>
    <row r="2" spans="2:165" x14ac:dyDescent="0.3">
      <c r="C2" s="95"/>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7"/>
    </row>
    <row r="3" spans="2:165" x14ac:dyDescent="0.3">
      <c r="C3" s="98"/>
      <c r="D3" s="182" t="s">
        <v>138</v>
      </c>
      <c r="E3" s="183"/>
      <c r="F3" s="54"/>
      <c r="G3" s="54"/>
      <c r="H3" s="54"/>
      <c r="I3" s="54"/>
      <c r="J3" s="54"/>
      <c r="K3" s="54"/>
      <c r="L3" s="54"/>
      <c r="M3" s="54"/>
      <c r="N3" s="54"/>
      <c r="O3" s="54"/>
      <c r="P3" s="54"/>
      <c r="Q3" s="55"/>
      <c r="R3" s="1"/>
      <c r="S3" s="182" t="s">
        <v>139</v>
      </c>
      <c r="T3" s="183"/>
      <c r="U3" s="54"/>
      <c r="V3" s="54"/>
      <c r="W3" s="54"/>
      <c r="X3" s="54"/>
      <c r="Y3" s="54"/>
      <c r="Z3" s="54"/>
      <c r="AA3" s="54"/>
      <c r="AB3" s="54"/>
      <c r="AC3" s="54"/>
      <c r="AD3" s="54"/>
      <c r="AE3" s="54"/>
      <c r="AF3" s="55"/>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99"/>
    </row>
    <row r="4" spans="2:165" x14ac:dyDescent="0.3">
      <c r="C4" s="98"/>
      <c r="D4" s="184"/>
      <c r="E4" s="185">
        <v>0</v>
      </c>
      <c r="F4" s="185">
        <v>1</v>
      </c>
      <c r="G4" s="185">
        <v>2</v>
      </c>
      <c r="H4" s="185">
        <v>3</v>
      </c>
      <c r="I4" s="185">
        <v>4</v>
      </c>
      <c r="J4" s="185">
        <v>5</v>
      </c>
      <c r="K4" s="185">
        <v>6</v>
      </c>
      <c r="L4" s="185">
        <v>7</v>
      </c>
      <c r="M4" s="185">
        <v>8</v>
      </c>
      <c r="N4" s="185">
        <v>9</v>
      </c>
      <c r="O4" s="185">
        <v>10</v>
      </c>
      <c r="P4" s="185">
        <v>11</v>
      </c>
      <c r="Q4" s="186">
        <v>12</v>
      </c>
      <c r="R4" s="1"/>
      <c r="S4" s="184"/>
      <c r="T4" s="185">
        <v>0</v>
      </c>
      <c r="U4" s="185">
        <v>1</v>
      </c>
      <c r="V4" s="185">
        <v>2</v>
      </c>
      <c r="W4" s="185">
        <v>3</v>
      </c>
      <c r="X4" s="185">
        <v>4</v>
      </c>
      <c r="Y4" s="185">
        <v>5</v>
      </c>
      <c r="Z4" s="185">
        <v>6</v>
      </c>
      <c r="AA4" s="185">
        <v>7</v>
      </c>
      <c r="AB4" s="185">
        <v>8</v>
      </c>
      <c r="AC4" s="185">
        <v>9</v>
      </c>
      <c r="AD4" s="185">
        <v>10</v>
      </c>
      <c r="AE4" s="185">
        <v>11</v>
      </c>
      <c r="AF4" s="186">
        <v>12</v>
      </c>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99"/>
    </row>
    <row r="5" spans="2:165" x14ac:dyDescent="0.3">
      <c r="C5" s="98"/>
      <c r="D5" s="2"/>
      <c r="E5" s="1"/>
      <c r="F5" s="1"/>
      <c r="G5" s="1"/>
      <c r="H5" s="1"/>
      <c r="I5" s="1"/>
      <c r="J5" s="1"/>
      <c r="K5" s="1"/>
      <c r="L5" s="1"/>
      <c r="M5" s="1"/>
      <c r="N5" s="1"/>
      <c r="O5" s="1"/>
      <c r="P5" s="1"/>
      <c r="Q5" s="3"/>
      <c r="R5" s="1"/>
      <c r="S5" s="2"/>
      <c r="T5" s="1"/>
      <c r="U5" s="1"/>
      <c r="V5" s="1"/>
      <c r="W5" s="1"/>
      <c r="X5" s="1"/>
      <c r="Y5" s="1"/>
      <c r="Z5" s="1"/>
      <c r="AA5" s="1"/>
      <c r="AB5" s="1"/>
      <c r="AC5" s="1"/>
      <c r="AD5" s="1"/>
      <c r="AE5" s="1"/>
      <c r="AF5" s="3"/>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99"/>
    </row>
    <row r="6" spans="2:165" x14ac:dyDescent="0.3">
      <c r="B6" s="93">
        <v>3</v>
      </c>
      <c r="C6" s="98"/>
      <c r="D6" s="123">
        <f>D24</f>
        <v>1</v>
      </c>
      <c r="E6" s="41">
        <f>IF('A&amp;Rs'!R10="","",'A&amp;Rs'!T10)</f>
        <v>1170</v>
      </c>
      <c r="F6" s="41">
        <f>IF('A&amp;Rs'!R10="","",E6*(1+VLOOKUP(F$4,'A&amp;Rs'!$M$12:$N$21,2)))</f>
        <v>1170</v>
      </c>
      <c r="G6" s="41">
        <f>IF('A&amp;Rs'!R10="","",F6*(1+VLOOKUP(G$4,'A&amp;Rs'!$M$12:$N$21,2)))</f>
        <v>1205.1000000000001</v>
      </c>
      <c r="H6" s="41">
        <f>IF('A&amp;Rs'!R10="","",G6*(1+VLOOKUP(H$4,'A&amp;Rs'!$M$12:$N$21,2)))</f>
        <v>1229.2020000000002</v>
      </c>
      <c r="I6" s="41">
        <f>IF('A&amp;Rs'!R10="","",H6*(1+VLOOKUP(I$4,'A&amp;Rs'!$M$12:$N$21,2)))</f>
        <v>1266.0780600000003</v>
      </c>
      <c r="J6" s="41">
        <f>IF('A&amp;Rs'!R10="","",I6*(1+VLOOKUP(J$4,'A&amp;Rs'!$M$12:$N$21,2)))</f>
        <v>1304.0604018000004</v>
      </c>
      <c r="K6" s="41">
        <f>IF('A&amp;Rs'!R10="","",J6*(1+VLOOKUP(K$4,'A&amp;Rs'!$M$12:$N$21,2)))</f>
        <v>1304.0604018000004</v>
      </c>
      <c r="L6" s="41">
        <f>IF('A&amp;Rs'!R10="","",K6*(1+VLOOKUP(L$4,'A&amp;Rs'!$M$12:$N$21,2)))</f>
        <v>1317.1010058180004</v>
      </c>
      <c r="M6" s="41">
        <f>IF('A&amp;Rs'!R10="","",L6*(1+VLOOKUP(M$4,'A&amp;Rs'!$M$12:$N$21,2)))</f>
        <v>1356.6140359925405</v>
      </c>
      <c r="N6" s="41">
        <f>IF('A&amp;Rs'!R10="","",M6*(1+VLOOKUP(N$4,'A&amp;Rs'!$M$12:$N$21,2)))</f>
        <v>1383.7463167123913</v>
      </c>
      <c r="O6" s="41">
        <f>IF('A&amp;Rs'!R10="","",N6*(1+VLOOKUP(O$4,'A&amp;Rs'!$M$12:$N$21,2)))</f>
        <v>1397.5837798795151</v>
      </c>
      <c r="P6" s="41">
        <f>IF('A&amp;Rs'!R10="","",O6*(1+VLOOKUP(P$4,'A&amp;Rs'!$M$12:$N$21,2)))</f>
        <v>1411.5596176783101</v>
      </c>
      <c r="Q6" s="42">
        <f>IF('A&amp;Rs'!R10="","",P6*(1+VLOOKUP(Q$4,'A&amp;Rs'!$M$12:$N$21,2)))</f>
        <v>1425.6752138550933</v>
      </c>
      <c r="R6" s="1"/>
      <c r="S6" s="123">
        <f>D24</f>
        <v>1</v>
      </c>
      <c r="T6" s="41">
        <f>IF('A&amp;Rs'!R10="","",'A&amp;Rs'!T10)</f>
        <v>1170</v>
      </c>
      <c r="U6" s="41">
        <f>IF('A&amp;Rs'!R10="","",T6*(1+VLOOKUP(U$4,'A&amp;Rs'!$M$12:$N$21,2))+IF('A&amp;Rs'!$Y10=U$4,'A&amp;Rs'!$AA10,0))</f>
        <v>1430</v>
      </c>
      <c r="V6" s="41">
        <f>IF('A&amp;Rs'!R10="","",U6*(1+VLOOKUP(V$4,'A&amp;Rs'!$M$12:$N$21,2))+IF('A&amp;Rs'!$Y10=V$4,'A&amp;Rs'!$AA10,0))</f>
        <v>1472.9</v>
      </c>
      <c r="W6" s="41">
        <f>IF('A&amp;Rs'!R10="","",V6*(1+VLOOKUP(W$4,'A&amp;Rs'!$M$12:$N$21,2))+IF('A&amp;Rs'!$Y10=W$4,'A&amp;Rs'!$AA10,0))</f>
        <v>1502.3580000000002</v>
      </c>
      <c r="X6" s="41">
        <f>IF('A&amp;Rs'!R10="","",W6*(1+VLOOKUP(X$4,'A&amp;Rs'!$M$12:$N$21,2))+IF('A&amp;Rs'!$Y10=X$4,'A&amp;Rs'!$AA10,0))</f>
        <v>1547.4287400000003</v>
      </c>
      <c r="Y6" s="41">
        <f>IF('A&amp;Rs'!R10="","",X6*(1+VLOOKUP(Y$4,'A&amp;Rs'!$M$12:$N$21,2))+IF('A&amp;Rs'!$Y10=Y$4,'A&amp;Rs'!$AA10,0))</f>
        <v>1593.8516022000003</v>
      </c>
      <c r="Z6" s="41">
        <f>IF('A&amp;Rs'!R10="","",Y6*(1+VLOOKUP(Z$4,'A&amp;Rs'!$M$12:$N$21,2))+IF('A&amp;Rs'!$Y10=Z$4,'A&amp;Rs'!$AA10,0))</f>
        <v>1593.8516022000003</v>
      </c>
      <c r="AA6" s="41">
        <f>IF('A&amp;Rs'!R10="","",Z6*(1+VLOOKUP(AA$4,'A&amp;Rs'!$M$12:$N$21,2))+IF('A&amp;Rs'!$Y10=AA$4,'A&amp;Rs'!$AA10,0))</f>
        <v>1609.7901182220003</v>
      </c>
      <c r="AB6" s="41">
        <f>IF('A&amp;Rs'!R10="","",AA6*(1+VLOOKUP(AB$4,'A&amp;Rs'!$M$12:$N$21,2))+IF('A&amp;Rs'!$Y10=AB$4,'A&amp;Rs'!$AA10,0))</f>
        <v>1658.0838217686603</v>
      </c>
      <c r="AC6" s="41">
        <f>IF('A&amp;Rs'!R10="","",AB6*(1+VLOOKUP(AC$4,'A&amp;Rs'!$M$12:$N$21,2))+IF('A&amp;Rs'!$Y10=AC$4,'A&amp;Rs'!$AA10,0))</f>
        <v>1691.2454982040335</v>
      </c>
      <c r="AD6" s="41">
        <f>IF('A&amp;Rs'!R10="","",AC6*(1+VLOOKUP(AD$4,'A&amp;Rs'!$M$12:$N$21,2))+IF('A&amp;Rs'!$Y10=AD$4,'A&amp;Rs'!$AA10,0))</f>
        <v>1708.1579531860739</v>
      </c>
      <c r="AE6" s="41">
        <f>IF('A&amp;Rs'!R10="","",AD6*(1+VLOOKUP(AE$4,'A&amp;Rs'!$M$12:$N$21,2))+IF('A&amp;Rs'!$Y10=AE$4,'A&amp;Rs'!$AA10,0))</f>
        <v>1725.2395327179347</v>
      </c>
      <c r="AF6" s="42">
        <f>IF('A&amp;Rs'!R10="","",AE6*(1+VLOOKUP(AF$4,'A&amp;Rs'!$M$12:$N$21,2))+IF('A&amp;Rs'!$Y10=AF$4,'A&amp;Rs'!$AA10,0))</f>
        <v>1742.491928045114</v>
      </c>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99"/>
    </row>
    <row r="7" spans="2:165" x14ac:dyDescent="0.3">
      <c r="B7" s="93">
        <v>4</v>
      </c>
      <c r="C7" s="98"/>
      <c r="D7" s="123">
        <f t="shared" ref="D7:D17" si="0">D25</f>
        <v>2</v>
      </c>
      <c r="E7" s="41">
        <f>IF('A&amp;Rs'!R11="","",'A&amp;Rs'!T11)</f>
        <v>1170</v>
      </c>
      <c r="F7" s="41">
        <f>IF('A&amp;Rs'!R11="","",E7*(1+VLOOKUP(F$4,'A&amp;Rs'!$M$12:$N$21,2)))</f>
        <v>1170</v>
      </c>
      <c r="G7" s="41">
        <f>IF('A&amp;Rs'!R11="","",F7*(1+VLOOKUP(G$4,'A&amp;Rs'!$M$12:$N$21,2)))</f>
        <v>1205.1000000000001</v>
      </c>
      <c r="H7" s="41">
        <f>IF('A&amp;Rs'!R11="","",G7*(1+VLOOKUP(H$4,'A&amp;Rs'!$M$12:$N$21,2)))</f>
        <v>1229.2020000000002</v>
      </c>
      <c r="I7" s="41">
        <f>IF('A&amp;Rs'!R11="","",H7*(1+VLOOKUP(I$4,'A&amp;Rs'!$M$12:$N$21,2)))</f>
        <v>1266.0780600000003</v>
      </c>
      <c r="J7" s="41">
        <f>IF('A&amp;Rs'!R11="","",I7*(1+VLOOKUP(J$4,'A&amp;Rs'!$M$12:$N$21,2)))</f>
        <v>1304.0604018000004</v>
      </c>
      <c r="K7" s="41">
        <f>IF('A&amp;Rs'!R11="","",J7*(1+VLOOKUP(K$4,'A&amp;Rs'!$M$12:$N$21,2)))</f>
        <v>1304.0604018000004</v>
      </c>
      <c r="L7" s="41">
        <f>IF('A&amp;Rs'!R11="","",K7*(1+VLOOKUP(L$4,'A&amp;Rs'!$M$12:$N$21,2)))</f>
        <v>1317.1010058180004</v>
      </c>
      <c r="M7" s="41">
        <f>IF('A&amp;Rs'!R11="","",L7*(1+VLOOKUP(M$4,'A&amp;Rs'!$M$12:$N$21,2)))</f>
        <v>1356.6140359925405</v>
      </c>
      <c r="N7" s="41">
        <f>IF('A&amp;Rs'!R11="","",M7*(1+VLOOKUP(N$4,'A&amp;Rs'!$M$12:$N$21,2)))</f>
        <v>1383.7463167123913</v>
      </c>
      <c r="O7" s="41">
        <f>IF('A&amp;Rs'!R11="","",N7*(1+VLOOKUP(O$4,'A&amp;Rs'!$M$12:$N$21,2)))</f>
        <v>1397.5837798795151</v>
      </c>
      <c r="P7" s="41">
        <f>IF('A&amp;Rs'!R11="","",O7*(1+VLOOKUP(P$4,'A&amp;Rs'!$M$12:$N$21,2)))</f>
        <v>1411.5596176783101</v>
      </c>
      <c r="Q7" s="42">
        <f>IF('A&amp;Rs'!R11="","",P7*(1+VLOOKUP(Q$4,'A&amp;Rs'!$M$12:$N$21,2)))</f>
        <v>1425.6752138550933</v>
      </c>
      <c r="R7" s="1"/>
      <c r="S7" s="123">
        <f t="shared" ref="S7:S17" si="1">D25</f>
        <v>2</v>
      </c>
      <c r="T7" s="41">
        <f>IF('A&amp;Rs'!R11="","",'A&amp;Rs'!T11)</f>
        <v>1170</v>
      </c>
      <c r="U7" s="41">
        <f>IF('A&amp;Rs'!R11="","",T7*(1+VLOOKUP(U$4,'A&amp;Rs'!$M$12:$N$21,2))+IF('A&amp;Rs'!$Y11=U$4,'A&amp;Rs'!$AA11,0))</f>
        <v>1430</v>
      </c>
      <c r="V7" s="41">
        <f>IF('A&amp;Rs'!R11="","",U7*(1+VLOOKUP(V$4,'A&amp;Rs'!$M$12:$N$21,2))+IF('A&amp;Rs'!$Y11=V$4,'A&amp;Rs'!$AA11,0))</f>
        <v>1472.9</v>
      </c>
      <c r="W7" s="41">
        <f>IF('A&amp;Rs'!R11="","",V7*(1+VLOOKUP(W$4,'A&amp;Rs'!$M$12:$N$21,2))+IF('A&amp;Rs'!$Y11=W$4,'A&amp;Rs'!$AA11,0))</f>
        <v>1502.3580000000002</v>
      </c>
      <c r="X7" s="41">
        <f>IF('A&amp;Rs'!R11="","",W7*(1+VLOOKUP(X$4,'A&amp;Rs'!$M$12:$N$21,2))+IF('A&amp;Rs'!$Y11=X$4,'A&amp;Rs'!$AA11,0))</f>
        <v>1547.4287400000003</v>
      </c>
      <c r="Y7" s="41">
        <f>IF('A&amp;Rs'!R11="","",X7*(1+VLOOKUP(Y$4,'A&amp;Rs'!$M$12:$N$21,2))+IF('A&amp;Rs'!$Y11=Y$4,'A&amp;Rs'!$AA11,0))</f>
        <v>1593.8516022000003</v>
      </c>
      <c r="Z7" s="41">
        <f>IF('A&amp;Rs'!R11="","",Y7*(1+VLOOKUP(Z$4,'A&amp;Rs'!$M$12:$N$21,2))+IF('A&amp;Rs'!$Y11=Z$4,'A&amp;Rs'!$AA11,0))</f>
        <v>1593.8516022000003</v>
      </c>
      <c r="AA7" s="41">
        <f>IF('A&amp;Rs'!R11="","",Z7*(1+VLOOKUP(AA$4,'A&amp;Rs'!$M$12:$N$21,2))+IF('A&amp;Rs'!$Y11=AA$4,'A&amp;Rs'!$AA11,0))</f>
        <v>1609.7901182220003</v>
      </c>
      <c r="AB7" s="41">
        <f>IF('A&amp;Rs'!R11="","",AA7*(1+VLOOKUP(AB$4,'A&amp;Rs'!$M$12:$N$21,2))+IF('A&amp;Rs'!$Y11=AB$4,'A&amp;Rs'!$AA11,0))</f>
        <v>1658.0838217686603</v>
      </c>
      <c r="AC7" s="41">
        <f>IF('A&amp;Rs'!R11="","",AB7*(1+VLOOKUP(AC$4,'A&amp;Rs'!$M$12:$N$21,2))+IF('A&amp;Rs'!$Y11=AC$4,'A&amp;Rs'!$AA11,0))</f>
        <v>1691.2454982040335</v>
      </c>
      <c r="AD7" s="41">
        <f>IF('A&amp;Rs'!R11="","",AC7*(1+VLOOKUP(AD$4,'A&amp;Rs'!$M$12:$N$21,2))+IF('A&amp;Rs'!$Y11=AD$4,'A&amp;Rs'!$AA11,0))</f>
        <v>1708.1579531860739</v>
      </c>
      <c r="AE7" s="41">
        <f>IF('A&amp;Rs'!R11="","",AD7*(1+VLOOKUP(AE$4,'A&amp;Rs'!$M$12:$N$21,2))+IF('A&amp;Rs'!$Y11=AE$4,'A&amp;Rs'!$AA11,0))</f>
        <v>1725.2395327179347</v>
      </c>
      <c r="AF7" s="42">
        <f>IF('A&amp;Rs'!R11="","",AE7*(1+VLOOKUP(AF$4,'A&amp;Rs'!$M$12:$N$21,2))+IF('A&amp;Rs'!$Y11=AF$4,'A&amp;Rs'!$AA11,0))</f>
        <v>1742.491928045114</v>
      </c>
      <c r="AG7" s="1"/>
      <c r="AH7" s="251" t="s">
        <v>157</v>
      </c>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99"/>
    </row>
    <row r="8" spans="2:165" x14ac:dyDescent="0.3">
      <c r="B8" s="93">
        <v>5</v>
      </c>
      <c r="C8" s="98"/>
      <c r="D8" s="123">
        <f t="shared" si="0"/>
        <v>3</v>
      </c>
      <c r="E8" s="41">
        <f>IF('A&amp;Rs'!R12="","",'A&amp;Rs'!T12)</f>
        <v>1200</v>
      </c>
      <c r="F8" s="41">
        <f>IF('A&amp;Rs'!R12="","",E8*(1+VLOOKUP(F$4,'A&amp;Rs'!$M$12:$N$21,2)))</f>
        <v>1200</v>
      </c>
      <c r="G8" s="41">
        <f>IF('A&amp;Rs'!R12="","",F8*(1+VLOOKUP(G$4,'A&amp;Rs'!$M$12:$N$21,2)))</f>
        <v>1236</v>
      </c>
      <c r="H8" s="41">
        <f>IF('A&amp;Rs'!R12="","",G8*(1+VLOOKUP(H$4,'A&amp;Rs'!$M$12:$N$21,2)))</f>
        <v>1260.72</v>
      </c>
      <c r="I8" s="41">
        <f>IF('A&amp;Rs'!R12="","",H8*(1+VLOOKUP(I$4,'A&amp;Rs'!$M$12:$N$21,2)))</f>
        <v>1298.5416</v>
      </c>
      <c r="J8" s="41">
        <f>IF('A&amp;Rs'!R12="","",I8*(1+VLOOKUP(J$4,'A&amp;Rs'!$M$12:$N$21,2)))</f>
        <v>1337.497848</v>
      </c>
      <c r="K8" s="41">
        <f>IF('A&amp;Rs'!R12="","",J8*(1+VLOOKUP(K$4,'A&amp;Rs'!$M$12:$N$21,2)))</f>
        <v>1337.497848</v>
      </c>
      <c r="L8" s="41">
        <f>IF('A&amp;Rs'!R12="","",K8*(1+VLOOKUP(L$4,'A&amp;Rs'!$M$12:$N$21,2)))</f>
        <v>1350.87282648</v>
      </c>
      <c r="M8" s="41">
        <f>IF('A&amp;Rs'!R12="","",L8*(1+VLOOKUP(M$4,'A&amp;Rs'!$M$12:$N$21,2)))</f>
        <v>1391.3990112744</v>
      </c>
      <c r="N8" s="41">
        <f>IF('A&amp;Rs'!R12="","",M8*(1+VLOOKUP(N$4,'A&amp;Rs'!$M$12:$N$21,2)))</f>
        <v>1419.2269914998881</v>
      </c>
      <c r="O8" s="41">
        <f>IF('A&amp;Rs'!R12="","",N8*(1+VLOOKUP(O$4,'A&amp;Rs'!$M$12:$N$21,2)))</f>
        <v>1433.4192614148869</v>
      </c>
      <c r="P8" s="41">
        <f>IF('A&amp;Rs'!R12="","",O8*(1+VLOOKUP(P$4,'A&amp;Rs'!$M$12:$N$21,2)))</f>
        <v>1447.7534540290358</v>
      </c>
      <c r="Q8" s="42">
        <f>IF('A&amp;Rs'!R12="","",P8*(1+VLOOKUP(Q$4,'A&amp;Rs'!$M$12:$N$21,2)))</f>
        <v>1462.2309885693262</v>
      </c>
      <c r="R8" s="1"/>
      <c r="S8" s="123">
        <f t="shared" si="1"/>
        <v>3</v>
      </c>
      <c r="T8" s="41">
        <f>IF('A&amp;Rs'!R12="","",'A&amp;Rs'!T12)</f>
        <v>1200</v>
      </c>
      <c r="U8" s="41">
        <f>IF('A&amp;Rs'!R12="","",T8*(1+VLOOKUP(U$4,'A&amp;Rs'!$M$12:$N$21,2))+IF('A&amp;Rs'!$Y12=U$4,'A&amp;Rs'!$AA12,0))</f>
        <v>1460</v>
      </c>
      <c r="V8" s="41">
        <f>IF('A&amp;Rs'!R12="","",U8*(1+VLOOKUP(V$4,'A&amp;Rs'!$M$12:$N$21,2))+IF('A&amp;Rs'!$Y12=V$4,'A&amp;Rs'!$AA12,0))</f>
        <v>1503.8</v>
      </c>
      <c r="W8" s="41">
        <f>IF('A&amp;Rs'!R12="","",V8*(1+VLOOKUP(W$4,'A&amp;Rs'!$M$12:$N$21,2))+IF('A&amp;Rs'!$Y12=W$4,'A&amp;Rs'!$AA12,0))</f>
        <v>1533.876</v>
      </c>
      <c r="X8" s="41">
        <f>IF('A&amp;Rs'!R12="","",W8*(1+VLOOKUP(X$4,'A&amp;Rs'!$M$12:$N$21,2))+IF('A&amp;Rs'!$Y12=X$4,'A&amp;Rs'!$AA12,0))</f>
        <v>1579.89228</v>
      </c>
      <c r="Y8" s="41">
        <f>IF('A&amp;Rs'!R12="","",X8*(1+VLOOKUP(Y$4,'A&amp;Rs'!$M$12:$N$21,2))+IF('A&amp;Rs'!$Y12=Y$4,'A&amp;Rs'!$AA12,0))</f>
        <v>1627.2890484000002</v>
      </c>
      <c r="Z8" s="41">
        <f>IF('A&amp;Rs'!R12="","",Y8*(1+VLOOKUP(Z$4,'A&amp;Rs'!$M$12:$N$21,2))+IF('A&amp;Rs'!$Y12=Z$4,'A&amp;Rs'!$AA12,0))</f>
        <v>1627.2890484000002</v>
      </c>
      <c r="AA8" s="41">
        <f>IF('A&amp;Rs'!R12="","",Z8*(1+VLOOKUP(AA$4,'A&amp;Rs'!$M$12:$N$21,2))+IF('A&amp;Rs'!$Y12=AA$4,'A&amp;Rs'!$AA12,0))</f>
        <v>1643.5619388840003</v>
      </c>
      <c r="AB8" s="41">
        <f>IF('A&amp;Rs'!R12="","",AA8*(1+VLOOKUP(AB$4,'A&amp;Rs'!$M$12:$N$21,2))+IF('A&amp;Rs'!$Y12=AB$4,'A&amp;Rs'!$AA12,0))</f>
        <v>1692.8687970505202</v>
      </c>
      <c r="AC8" s="41">
        <f>IF('A&amp;Rs'!R12="","",AB8*(1+VLOOKUP(AC$4,'A&amp;Rs'!$M$12:$N$21,2))+IF('A&amp;Rs'!$Y12=AC$4,'A&amp;Rs'!$AA12,0))</f>
        <v>1726.7261729915306</v>
      </c>
      <c r="AD8" s="41">
        <f>IF('A&amp;Rs'!R12="","",AC8*(1+VLOOKUP(AD$4,'A&amp;Rs'!$M$12:$N$21,2))+IF('A&amp;Rs'!$Y12=AD$4,'A&amp;Rs'!$AA12,0))</f>
        <v>1743.993434721446</v>
      </c>
      <c r="AE8" s="41">
        <f>IF('A&amp;Rs'!R12="","",AD8*(1+VLOOKUP(AE$4,'A&amp;Rs'!$M$12:$N$21,2))+IF('A&amp;Rs'!$Y12=AE$4,'A&amp;Rs'!$AA12,0))</f>
        <v>1761.4333690686603</v>
      </c>
      <c r="AF8" s="42">
        <f>IF('A&amp;Rs'!R12="","",AE8*(1+VLOOKUP(AF$4,'A&amp;Rs'!$M$12:$N$21,2))+IF('A&amp;Rs'!$Y12=AF$4,'A&amp;Rs'!$AA12,0))</f>
        <v>1779.047702759347</v>
      </c>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99"/>
    </row>
    <row r="9" spans="2:165" x14ac:dyDescent="0.3">
      <c r="B9" s="93">
        <v>6</v>
      </c>
      <c r="C9" s="98"/>
      <c r="D9" s="123">
        <f t="shared" si="0"/>
        <v>4</v>
      </c>
      <c r="E9" s="41">
        <f>IF('A&amp;Rs'!R13="","",'A&amp;Rs'!T13)</f>
        <v>1240</v>
      </c>
      <c r="F9" s="41">
        <f>IF('A&amp;Rs'!R13="","",E9*(1+VLOOKUP(F$4,'A&amp;Rs'!$M$12:$N$21,2)))</f>
        <v>1240</v>
      </c>
      <c r="G9" s="41">
        <f>IF('A&amp;Rs'!R13="","",F9*(1+VLOOKUP(G$4,'A&amp;Rs'!$M$12:$N$21,2)))</f>
        <v>1277.2</v>
      </c>
      <c r="H9" s="41">
        <f>IF('A&amp;Rs'!R13="","",G9*(1+VLOOKUP(H$4,'A&amp;Rs'!$M$12:$N$21,2)))</f>
        <v>1302.7440000000001</v>
      </c>
      <c r="I9" s="41">
        <f>IF('A&amp;Rs'!R13="","",H9*(1+VLOOKUP(I$4,'A&amp;Rs'!$M$12:$N$21,2)))</f>
        <v>1341.8263200000001</v>
      </c>
      <c r="J9" s="41">
        <f>IF('A&amp;Rs'!R13="","",I9*(1+VLOOKUP(J$4,'A&amp;Rs'!$M$12:$N$21,2)))</f>
        <v>1382.0811096000002</v>
      </c>
      <c r="K9" s="41">
        <f>IF('A&amp;Rs'!R13="","",J9*(1+VLOOKUP(K$4,'A&amp;Rs'!$M$12:$N$21,2)))</f>
        <v>1382.0811096000002</v>
      </c>
      <c r="L9" s="41">
        <f>IF('A&amp;Rs'!R13="","",K9*(1+VLOOKUP(L$4,'A&amp;Rs'!$M$12:$N$21,2)))</f>
        <v>1395.9019206960002</v>
      </c>
      <c r="M9" s="41">
        <f>IF('A&amp;Rs'!R13="","",L9*(1+VLOOKUP(M$4,'A&amp;Rs'!$M$12:$N$21,2)))</f>
        <v>1437.7789783168803</v>
      </c>
      <c r="N9" s="41">
        <f>IF('A&amp;Rs'!R13="","",M9*(1+VLOOKUP(N$4,'A&amp;Rs'!$M$12:$N$21,2)))</f>
        <v>1466.534557883218</v>
      </c>
      <c r="O9" s="41">
        <f>IF('A&amp;Rs'!R13="","",N9*(1+VLOOKUP(O$4,'A&amp;Rs'!$M$12:$N$21,2)))</f>
        <v>1481.1999034620501</v>
      </c>
      <c r="P9" s="41">
        <f>IF('A&amp;Rs'!R13="","",O9*(1+VLOOKUP(P$4,'A&amp;Rs'!$M$12:$N$21,2)))</f>
        <v>1496.0119024966707</v>
      </c>
      <c r="Q9" s="42">
        <f>IF('A&amp;Rs'!R13="","",P9*(1+VLOOKUP(Q$4,'A&amp;Rs'!$M$12:$N$21,2)))</f>
        <v>1510.9720215216373</v>
      </c>
      <c r="R9" s="1"/>
      <c r="S9" s="123">
        <f t="shared" si="1"/>
        <v>4</v>
      </c>
      <c r="T9" s="41">
        <f>IF('A&amp;Rs'!R13="","",'A&amp;Rs'!T13)</f>
        <v>1240</v>
      </c>
      <c r="U9" s="41">
        <f>IF('A&amp;Rs'!R13="","",T9*(1+VLOOKUP(U$4,'A&amp;Rs'!$M$12:$N$21,2))+IF('A&amp;Rs'!$Y13=U$4,'A&amp;Rs'!$AA13,0))</f>
        <v>1500</v>
      </c>
      <c r="V9" s="41">
        <f>IF('A&amp;Rs'!R13="","",U9*(1+VLOOKUP(V$4,'A&amp;Rs'!$M$12:$N$21,2))+IF('A&amp;Rs'!$Y13=V$4,'A&amp;Rs'!$AA13,0))</f>
        <v>1545</v>
      </c>
      <c r="W9" s="41">
        <f>IF('A&amp;Rs'!R13="","",V9*(1+VLOOKUP(W$4,'A&amp;Rs'!$M$12:$N$21,2))+IF('A&amp;Rs'!$Y13=W$4,'A&amp;Rs'!$AA13,0))</f>
        <v>1575.9</v>
      </c>
      <c r="X9" s="41">
        <f>IF('A&amp;Rs'!R13="","",W9*(1+VLOOKUP(X$4,'A&amp;Rs'!$M$12:$N$21,2))+IF('A&amp;Rs'!$Y13=X$4,'A&amp;Rs'!$AA13,0))</f>
        <v>1623.1770000000001</v>
      </c>
      <c r="Y9" s="41">
        <f>IF('A&amp;Rs'!R13="","",X9*(1+VLOOKUP(Y$4,'A&amp;Rs'!$M$12:$N$21,2))+IF('A&amp;Rs'!$Y13=Y$4,'A&amp;Rs'!$AA13,0))</f>
        <v>1671.8723100000002</v>
      </c>
      <c r="Z9" s="41">
        <f>IF('A&amp;Rs'!R13="","",Y9*(1+VLOOKUP(Z$4,'A&amp;Rs'!$M$12:$N$21,2))+IF('A&amp;Rs'!$Y13=Z$4,'A&amp;Rs'!$AA13,0))</f>
        <v>1671.8723100000002</v>
      </c>
      <c r="AA9" s="41">
        <f>IF('A&amp;Rs'!R13="","",Z9*(1+VLOOKUP(AA$4,'A&amp;Rs'!$M$12:$N$21,2))+IF('A&amp;Rs'!$Y13=AA$4,'A&amp;Rs'!$AA13,0))</f>
        <v>1688.5910331000002</v>
      </c>
      <c r="AB9" s="41">
        <f>IF('A&amp;Rs'!R13="","",AA9*(1+VLOOKUP(AB$4,'A&amp;Rs'!$M$12:$N$21,2))+IF('A&amp;Rs'!$Y13=AB$4,'A&amp;Rs'!$AA13,0))</f>
        <v>1739.2487640930003</v>
      </c>
      <c r="AC9" s="41">
        <f>IF('A&amp;Rs'!R13="","",AB9*(1+VLOOKUP(AC$4,'A&amp;Rs'!$M$12:$N$21,2))+IF('A&amp;Rs'!$Y13=AC$4,'A&amp;Rs'!$AA13,0))</f>
        <v>1774.0337393748603</v>
      </c>
      <c r="AD9" s="41">
        <f>IF('A&amp;Rs'!R13="","",AC9*(1+VLOOKUP(AD$4,'A&amp;Rs'!$M$12:$N$21,2))+IF('A&amp;Rs'!$Y13=AD$4,'A&amp;Rs'!$AA13,0))</f>
        <v>1791.7740767686089</v>
      </c>
      <c r="AE9" s="41">
        <f>IF('A&amp;Rs'!R13="","",AD9*(1+VLOOKUP(AE$4,'A&amp;Rs'!$M$12:$N$21,2))+IF('A&amp;Rs'!$Y13=AE$4,'A&amp;Rs'!$AA13,0))</f>
        <v>1809.691817536295</v>
      </c>
      <c r="AF9" s="42">
        <f>IF('A&amp;Rs'!R13="","",AE9*(1+VLOOKUP(AF$4,'A&amp;Rs'!$M$12:$N$21,2))+IF('A&amp;Rs'!$Y13=AF$4,'A&amp;Rs'!$AA13,0))</f>
        <v>1827.7887357116581</v>
      </c>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99"/>
    </row>
    <row r="10" spans="2:165" x14ac:dyDescent="0.3">
      <c r="B10" s="93">
        <v>7</v>
      </c>
      <c r="C10" s="98"/>
      <c r="D10" s="123">
        <f t="shared" si="0"/>
        <v>5</v>
      </c>
      <c r="E10" s="41">
        <f>IF('A&amp;Rs'!R14="","",'A&amp;Rs'!T14)</f>
        <v>1312</v>
      </c>
      <c r="F10" s="41">
        <f>IF('A&amp;Rs'!R14="","",E10*(1+VLOOKUP(F$4,'A&amp;Rs'!$M$12:$N$21,2)))</f>
        <v>1312</v>
      </c>
      <c r="G10" s="41">
        <f>IF('A&amp;Rs'!R14="","",F10*(1+VLOOKUP(G$4,'A&amp;Rs'!$M$12:$N$21,2)))</f>
        <v>1351.3600000000001</v>
      </c>
      <c r="H10" s="41">
        <f>IF('A&amp;Rs'!R14="","",G10*(1+VLOOKUP(H$4,'A&amp;Rs'!$M$12:$N$21,2)))</f>
        <v>1378.3872000000001</v>
      </c>
      <c r="I10" s="41">
        <f>IF('A&amp;Rs'!R14="","",H10*(1+VLOOKUP(I$4,'A&amp;Rs'!$M$12:$N$21,2)))</f>
        <v>1419.7388160000003</v>
      </c>
      <c r="J10" s="41">
        <f>IF('A&amp;Rs'!R14="","",I10*(1+VLOOKUP(J$4,'A&amp;Rs'!$M$12:$N$21,2)))</f>
        <v>1462.3309804800003</v>
      </c>
      <c r="K10" s="41">
        <f>IF('A&amp;Rs'!R14="","",J10*(1+VLOOKUP(K$4,'A&amp;Rs'!$M$12:$N$21,2)))</f>
        <v>1462.3309804800003</v>
      </c>
      <c r="L10" s="41">
        <f>IF('A&amp;Rs'!R14="","",K10*(1+VLOOKUP(L$4,'A&amp;Rs'!$M$12:$N$21,2)))</f>
        <v>1476.9542902848004</v>
      </c>
      <c r="M10" s="41">
        <f>IF('A&amp;Rs'!R14="","",L10*(1+VLOOKUP(M$4,'A&amp;Rs'!$M$12:$N$21,2)))</f>
        <v>1521.2629189933446</v>
      </c>
      <c r="N10" s="41">
        <f>IF('A&amp;Rs'!R14="","",M10*(1+VLOOKUP(N$4,'A&amp;Rs'!$M$12:$N$21,2)))</f>
        <v>1551.6881773732114</v>
      </c>
      <c r="O10" s="41">
        <f>IF('A&amp;Rs'!R14="","",N10*(1+VLOOKUP(O$4,'A&amp;Rs'!$M$12:$N$21,2)))</f>
        <v>1567.2050591469435</v>
      </c>
      <c r="P10" s="41">
        <f>IF('A&amp;Rs'!R14="","",O10*(1+VLOOKUP(P$4,'A&amp;Rs'!$M$12:$N$21,2)))</f>
        <v>1582.8771097384131</v>
      </c>
      <c r="Q10" s="42">
        <f>IF('A&amp;Rs'!R14="","",P10*(1+VLOOKUP(Q$4,'A&amp;Rs'!$M$12:$N$21,2)))</f>
        <v>1598.7058808357972</v>
      </c>
      <c r="R10" s="1"/>
      <c r="S10" s="123">
        <f t="shared" si="1"/>
        <v>5</v>
      </c>
      <c r="T10" s="41">
        <f>IF('A&amp;Rs'!R14="","",'A&amp;Rs'!T14)</f>
        <v>1312</v>
      </c>
      <c r="U10" s="41">
        <f>IF('A&amp;Rs'!R14="","",T10*(1+VLOOKUP(U$4,'A&amp;Rs'!$M$12:$N$21,2))+IF('A&amp;Rs'!$Y14=U$4,'A&amp;Rs'!$AA14,0))</f>
        <v>1592</v>
      </c>
      <c r="V10" s="41">
        <f>IF('A&amp;Rs'!R14="","",U10*(1+VLOOKUP(V$4,'A&amp;Rs'!$M$12:$N$21,2))+IF('A&amp;Rs'!$Y14=V$4,'A&amp;Rs'!$AA14,0))</f>
        <v>1639.76</v>
      </c>
      <c r="W10" s="41">
        <f>IF('A&amp;Rs'!R14="","",V10*(1+VLOOKUP(W$4,'A&amp;Rs'!$M$12:$N$21,2))+IF('A&amp;Rs'!$Y14=W$4,'A&amp;Rs'!$AA14,0))</f>
        <v>1672.5552</v>
      </c>
      <c r="X10" s="41">
        <f>IF('A&amp;Rs'!R14="","",W10*(1+VLOOKUP(X$4,'A&amp;Rs'!$M$12:$N$21,2))+IF('A&amp;Rs'!$Y14=X$4,'A&amp;Rs'!$AA14,0))</f>
        <v>1722.7318560000001</v>
      </c>
      <c r="Y10" s="41">
        <f>IF('A&amp;Rs'!R14="","",X10*(1+VLOOKUP(Y$4,'A&amp;Rs'!$M$12:$N$21,2))+IF('A&amp;Rs'!$Y14=Y$4,'A&amp;Rs'!$AA14,0))</f>
        <v>1774.4138116800002</v>
      </c>
      <c r="Z10" s="41">
        <f>IF('A&amp;Rs'!R14="","",Y10*(1+VLOOKUP(Z$4,'A&amp;Rs'!$M$12:$N$21,2))+IF('A&amp;Rs'!$Y14=Z$4,'A&amp;Rs'!$AA14,0))</f>
        <v>1774.4138116800002</v>
      </c>
      <c r="AA10" s="41">
        <f>IF('A&amp;Rs'!R14="","",Z10*(1+VLOOKUP(AA$4,'A&amp;Rs'!$M$12:$N$21,2))+IF('A&amp;Rs'!$Y14=AA$4,'A&amp;Rs'!$AA14,0))</f>
        <v>1792.1579497968003</v>
      </c>
      <c r="AB10" s="41">
        <f>IF('A&amp;Rs'!R14="","",AA10*(1+VLOOKUP(AB$4,'A&amp;Rs'!$M$12:$N$21,2))+IF('A&amp;Rs'!$Y14=AB$4,'A&amp;Rs'!$AA14,0))</f>
        <v>1845.9226882907044</v>
      </c>
      <c r="AC10" s="41">
        <f>IF('A&amp;Rs'!R14="","",AB10*(1+VLOOKUP(AC$4,'A&amp;Rs'!$M$12:$N$21,2))+IF('A&amp;Rs'!$Y14=AC$4,'A&amp;Rs'!$AA14,0))</f>
        <v>1882.8411420565185</v>
      </c>
      <c r="AD10" s="41">
        <f>IF('A&amp;Rs'!R14="","",AC10*(1+VLOOKUP(AD$4,'A&amp;Rs'!$M$12:$N$21,2))+IF('A&amp;Rs'!$Y14=AD$4,'A&amp;Rs'!$AA14,0))</f>
        <v>1901.6695534770836</v>
      </c>
      <c r="AE10" s="41">
        <f>IF('A&amp;Rs'!R14="","",AD10*(1+VLOOKUP(AE$4,'A&amp;Rs'!$M$12:$N$21,2))+IF('A&amp;Rs'!$Y14=AE$4,'A&amp;Rs'!$AA14,0))</f>
        <v>1920.6862490118544</v>
      </c>
      <c r="AF10" s="42">
        <f>IF('A&amp;Rs'!R14="","",AE10*(1+VLOOKUP(AF$4,'A&amp;Rs'!$M$12:$N$21,2))+IF('A&amp;Rs'!$Y14=AF$4,'A&amp;Rs'!$AA14,0))</f>
        <v>1939.893111501973</v>
      </c>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99"/>
    </row>
    <row r="11" spans="2:165" x14ac:dyDescent="0.3">
      <c r="B11" s="93">
        <v>8</v>
      </c>
      <c r="C11" s="98"/>
      <c r="D11" s="123">
        <f t="shared" si="0"/>
        <v>6</v>
      </c>
      <c r="E11" s="41">
        <f>IF('A&amp;Rs'!R15="","",'A&amp;Rs'!T15)</f>
        <v>1346</v>
      </c>
      <c r="F11" s="41">
        <f>IF('A&amp;Rs'!R15="","",E11*(1+VLOOKUP(F$4,'A&amp;Rs'!$M$12:$N$21,2)))</f>
        <v>1346</v>
      </c>
      <c r="G11" s="41">
        <f>IF('A&amp;Rs'!R15="","",F11*(1+VLOOKUP(G$4,'A&amp;Rs'!$M$12:$N$21,2)))</f>
        <v>1386.38</v>
      </c>
      <c r="H11" s="41">
        <f>IF('A&amp;Rs'!R15="","",G11*(1+VLOOKUP(H$4,'A&amp;Rs'!$M$12:$N$21,2)))</f>
        <v>1414.1076</v>
      </c>
      <c r="I11" s="41">
        <f>IF('A&amp;Rs'!R15="","",H11*(1+VLOOKUP(I$4,'A&amp;Rs'!$M$12:$N$21,2)))</f>
        <v>1456.5308280000002</v>
      </c>
      <c r="J11" s="41">
        <f>IF('A&amp;Rs'!R15="","",I11*(1+VLOOKUP(J$4,'A&amp;Rs'!$M$12:$N$21,2)))</f>
        <v>1500.2267528400002</v>
      </c>
      <c r="K11" s="41">
        <f>IF('A&amp;Rs'!R15="","",J11*(1+VLOOKUP(K$4,'A&amp;Rs'!$M$12:$N$21,2)))</f>
        <v>1500.2267528400002</v>
      </c>
      <c r="L11" s="41">
        <f>IF('A&amp;Rs'!R15="","",K11*(1+VLOOKUP(L$4,'A&amp;Rs'!$M$12:$N$21,2)))</f>
        <v>1515.2290203684004</v>
      </c>
      <c r="M11" s="41">
        <f>IF('A&amp;Rs'!R15="","",L11*(1+VLOOKUP(M$4,'A&amp;Rs'!$M$12:$N$21,2)))</f>
        <v>1560.6858909794523</v>
      </c>
      <c r="N11" s="41">
        <f>IF('A&amp;Rs'!R15="","",M11*(1+VLOOKUP(N$4,'A&amp;Rs'!$M$12:$N$21,2)))</f>
        <v>1591.8996087990413</v>
      </c>
      <c r="O11" s="41">
        <f>IF('A&amp;Rs'!R15="","",N11*(1+VLOOKUP(O$4,'A&amp;Rs'!$M$12:$N$21,2)))</f>
        <v>1607.8186048870318</v>
      </c>
      <c r="P11" s="41">
        <f>IF('A&amp;Rs'!R15="","",O11*(1+VLOOKUP(P$4,'A&amp;Rs'!$M$12:$N$21,2)))</f>
        <v>1623.8967909359021</v>
      </c>
      <c r="Q11" s="42">
        <f>IF('A&amp;Rs'!R15="","",P11*(1+VLOOKUP(Q$4,'A&amp;Rs'!$M$12:$N$21,2)))</f>
        <v>1640.1357588452611</v>
      </c>
      <c r="R11" s="1"/>
      <c r="S11" s="123">
        <f t="shared" si="1"/>
        <v>6</v>
      </c>
      <c r="T11" s="41">
        <f>IF('A&amp;Rs'!R15="","",'A&amp;Rs'!T15)</f>
        <v>1346</v>
      </c>
      <c r="U11" s="41">
        <f>IF('A&amp;Rs'!R15="","",T11*(1+VLOOKUP(U$4,'A&amp;Rs'!$M$12:$N$21,2))+IF('A&amp;Rs'!$Y15=U$4,'A&amp;Rs'!$AA15,0))</f>
        <v>1626</v>
      </c>
      <c r="V11" s="41">
        <f>IF('A&amp;Rs'!R15="","",U11*(1+VLOOKUP(V$4,'A&amp;Rs'!$M$12:$N$21,2))+IF('A&amp;Rs'!$Y15=V$4,'A&amp;Rs'!$AA15,0))</f>
        <v>1674.78</v>
      </c>
      <c r="W11" s="41">
        <f>IF('A&amp;Rs'!R15="","",V11*(1+VLOOKUP(W$4,'A&amp;Rs'!$M$12:$N$21,2))+IF('A&amp;Rs'!$Y15=W$4,'A&amp;Rs'!$AA15,0))</f>
        <v>1708.2755999999999</v>
      </c>
      <c r="X11" s="41">
        <f>IF('A&amp;Rs'!R15="","",W11*(1+VLOOKUP(X$4,'A&amp;Rs'!$M$12:$N$21,2))+IF('A&amp;Rs'!$Y15=X$4,'A&amp;Rs'!$AA15,0))</f>
        <v>1759.523868</v>
      </c>
      <c r="Y11" s="41">
        <f>IF('A&amp;Rs'!R15="","",X11*(1+VLOOKUP(Y$4,'A&amp;Rs'!$M$12:$N$21,2))+IF('A&amp;Rs'!$Y15=Y$4,'A&amp;Rs'!$AA15,0))</f>
        <v>1812.3095840400001</v>
      </c>
      <c r="Z11" s="41">
        <f>IF('A&amp;Rs'!R15="","",Y11*(1+VLOOKUP(Z$4,'A&amp;Rs'!$M$12:$N$21,2))+IF('A&amp;Rs'!$Y15=Z$4,'A&amp;Rs'!$AA15,0))</f>
        <v>1812.3095840400001</v>
      </c>
      <c r="AA11" s="41">
        <f>IF('A&amp;Rs'!R15="","",Z11*(1+VLOOKUP(AA$4,'A&amp;Rs'!$M$12:$N$21,2))+IF('A&amp;Rs'!$Y15=AA$4,'A&amp;Rs'!$AA15,0))</f>
        <v>1830.4326798804002</v>
      </c>
      <c r="AB11" s="41">
        <f>IF('A&amp;Rs'!R15="","",AA11*(1+VLOOKUP(AB$4,'A&amp;Rs'!$M$12:$N$21,2))+IF('A&amp;Rs'!$Y15=AB$4,'A&amp;Rs'!$AA15,0))</f>
        <v>1885.3456602768122</v>
      </c>
      <c r="AC11" s="41">
        <f>IF('A&amp;Rs'!R15="","",AB11*(1+VLOOKUP(AC$4,'A&amp;Rs'!$M$12:$N$21,2))+IF('A&amp;Rs'!$Y15=AC$4,'A&amp;Rs'!$AA15,0))</f>
        <v>1923.0525734823484</v>
      </c>
      <c r="AD11" s="41">
        <f>IF('A&amp;Rs'!R15="","",AC11*(1+VLOOKUP(AD$4,'A&amp;Rs'!$M$12:$N$21,2))+IF('A&amp;Rs'!$Y15=AD$4,'A&amp;Rs'!$AA15,0))</f>
        <v>1942.2830992171719</v>
      </c>
      <c r="AE11" s="41">
        <f>IF('A&amp;Rs'!R15="","",AD11*(1+VLOOKUP(AE$4,'A&amp;Rs'!$M$12:$N$21,2))+IF('A&amp;Rs'!$Y15=AE$4,'A&amp;Rs'!$AA15,0))</f>
        <v>1961.7059302093437</v>
      </c>
      <c r="AF11" s="42">
        <f>IF('A&amp;Rs'!R15="","",AE11*(1+VLOOKUP(AF$4,'A&amp;Rs'!$M$12:$N$21,2))+IF('A&amp;Rs'!$Y15=AF$4,'A&amp;Rs'!$AA15,0))</f>
        <v>1981.3229895114371</v>
      </c>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99"/>
    </row>
    <row r="12" spans="2:165" x14ac:dyDescent="0.3">
      <c r="B12" s="93">
        <v>9</v>
      </c>
      <c r="C12" s="98"/>
      <c r="D12" s="123">
        <f t="shared" si="0"/>
        <v>7</v>
      </c>
      <c r="E12" s="41">
        <f>IF('A&amp;Rs'!R16="","",'A&amp;Rs'!T16)</f>
        <v>1413</v>
      </c>
      <c r="F12" s="41">
        <f>IF('A&amp;Rs'!R16="","",E12*(1+VLOOKUP(F$4,'A&amp;Rs'!$M$12:$N$21,2)))</f>
        <v>1413</v>
      </c>
      <c r="G12" s="41">
        <f>IF('A&amp;Rs'!R16="","",F12*(1+VLOOKUP(G$4,'A&amp;Rs'!$M$12:$N$21,2)))</f>
        <v>1455.39</v>
      </c>
      <c r="H12" s="41">
        <f>IF('A&amp;Rs'!R16="","",G12*(1+VLOOKUP(H$4,'A&amp;Rs'!$M$12:$N$21,2)))</f>
        <v>1484.4978000000001</v>
      </c>
      <c r="I12" s="41">
        <f>IF('A&amp;Rs'!R16="","",H12*(1+VLOOKUP(I$4,'A&amp;Rs'!$M$12:$N$21,2)))</f>
        <v>1529.0327340000001</v>
      </c>
      <c r="J12" s="41">
        <f>IF('A&amp;Rs'!R16="","",I12*(1+VLOOKUP(J$4,'A&amp;Rs'!$M$12:$N$21,2)))</f>
        <v>1574.9037160200003</v>
      </c>
      <c r="K12" s="41">
        <f>IF('A&amp;Rs'!R16="","",J12*(1+VLOOKUP(K$4,'A&amp;Rs'!$M$12:$N$21,2)))</f>
        <v>1574.9037160200003</v>
      </c>
      <c r="L12" s="41">
        <f>IF('A&amp;Rs'!R16="","",K12*(1+VLOOKUP(L$4,'A&amp;Rs'!$M$12:$N$21,2)))</f>
        <v>1590.6527531802003</v>
      </c>
      <c r="M12" s="41">
        <f>IF('A&amp;Rs'!R16="","",L12*(1+VLOOKUP(M$4,'A&amp;Rs'!$M$12:$N$21,2)))</f>
        <v>1638.3723357756064</v>
      </c>
      <c r="N12" s="41">
        <f>IF('A&amp;Rs'!R16="","",M12*(1+VLOOKUP(N$4,'A&amp;Rs'!$M$12:$N$21,2)))</f>
        <v>1671.1397824911185</v>
      </c>
      <c r="O12" s="41">
        <f>IF('A&amp;Rs'!R16="","",N12*(1+VLOOKUP(O$4,'A&amp;Rs'!$M$12:$N$21,2)))</f>
        <v>1687.8511803160297</v>
      </c>
      <c r="P12" s="41">
        <f>IF('A&amp;Rs'!R16="","",O12*(1+VLOOKUP(P$4,'A&amp;Rs'!$M$12:$N$21,2)))</f>
        <v>1704.7296921191901</v>
      </c>
      <c r="Q12" s="42">
        <f>IF('A&amp;Rs'!R16="","",P12*(1+VLOOKUP(Q$4,'A&amp;Rs'!$M$12:$N$21,2)))</f>
        <v>1721.776989040382</v>
      </c>
      <c r="R12" s="1"/>
      <c r="S12" s="123">
        <f t="shared" si="1"/>
        <v>7</v>
      </c>
      <c r="T12" s="41">
        <f>IF('A&amp;Rs'!R16="","",'A&amp;Rs'!T16)</f>
        <v>1413</v>
      </c>
      <c r="U12" s="41">
        <f>IF('A&amp;Rs'!R16="","",T12*(1+VLOOKUP(U$4,'A&amp;Rs'!$M$12:$N$21,2))+IF('A&amp;Rs'!$Y16=U$4,'A&amp;Rs'!$AA16,0))</f>
        <v>1693</v>
      </c>
      <c r="V12" s="41">
        <f>IF('A&amp;Rs'!R16="","",U12*(1+VLOOKUP(V$4,'A&amp;Rs'!$M$12:$N$21,2))+IF('A&amp;Rs'!$Y16=V$4,'A&amp;Rs'!$AA16,0))</f>
        <v>1743.79</v>
      </c>
      <c r="W12" s="41">
        <f>IF('A&amp;Rs'!R16="","",V12*(1+VLOOKUP(W$4,'A&amp;Rs'!$M$12:$N$21,2))+IF('A&amp;Rs'!$Y16=W$4,'A&amp;Rs'!$AA16,0))</f>
        <v>1778.6658</v>
      </c>
      <c r="X12" s="41">
        <f>IF('A&amp;Rs'!R16="","",W12*(1+VLOOKUP(X$4,'A&amp;Rs'!$M$12:$N$21,2))+IF('A&amp;Rs'!$Y16=X$4,'A&amp;Rs'!$AA16,0))</f>
        <v>1832.025774</v>
      </c>
      <c r="Y12" s="41">
        <f>IF('A&amp;Rs'!R16="","",X12*(1+VLOOKUP(Y$4,'A&amp;Rs'!$M$12:$N$21,2))+IF('A&amp;Rs'!$Y16=Y$4,'A&amp;Rs'!$AA16,0))</f>
        <v>1886.9865472199999</v>
      </c>
      <c r="Z12" s="41">
        <f>IF('A&amp;Rs'!R16="","",Y12*(1+VLOOKUP(Z$4,'A&amp;Rs'!$M$12:$N$21,2))+IF('A&amp;Rs'!$Y16=Z$4,'A&amp;Rs'!$AA16,0))</f>
        <v>1886.9865472199999</v>
      </c>
      <c r="AA12" s="41">
        <f>IF('A&amp;Rs'!R16="","",Z12*(1+VLOOKUP(AA$4,'A&amp;Rs'!$M$12:$N$21,2))+IF('A&amp;Rs'!$Y16=AA$4,'A&amp;Rs'!$AA16,0))</f>
        <v>1905.8564126921999</v>
      </c>
      <c r="AB12" s="41">
        <f>IF('A&amp;Rs'!R16="","",AA12*(1+VLOOKUP(AB$4,'A&amp;Rs'!$M$12:$N$21,2))+IF('A&amp;Rs'!$Y16=AB$4,'A&amp;Rs'!$AA16,0))</f>
        <v>1963.032105072966</v>
      </c>
      <c r="AC12" s="41">
        <f>IF('A&amp;Rs'!R16="","",AB12*(1+VLOOKUP(AC$4,'A&amp;Rs'!$M$12:$N$21,2))+IF('A&amp;Rs'!$Y16=AC$4,'A&amp;Rs'!$AA16,0))</f>
        <v>2002.2927471744254</v>
      </c>
      <c r="AD12" s="41">
        <f>IF('A&amp;Rs'!R16="","",AC12*(1+VLOOKUP(AD$4,'A&amp;Rs'!$M$12:$N$21,2))+IF('A&amp;Rs'!$Y16=AD$4,'A&amp;Rs'!$AA16,0))</f>
        <v>2022.3156746461696</v>
      </c>
      <c r="AE12" s="41">
        <f>IF('A&amp;Rs'!R16="","",AD12*(1+VLOOKUP(AE$4,'A&amp;Rs'!$M$12:$N$21,2))+IF('A&amp;Rs'!$Y16=AE$4,'A&amp;Rs'!$AA16,0))</f>
        <v>2042.5388313926312</v>
      </c>
      <c r="AF12" s="42">
        <f>IF('A&amp;Rs'!R16="","",AE12*(1+VLOOKUP(AF$4,'A&amp;Rs'!$M$12:$N$21,2))+IF('A&amp;Rs'!$Y16=AF$4,'A&amp;Rs'!$AA16,0))</f>
        <v>2062.9642197065577</v>
      </c>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99"/>
    </row>
    <row r="13" spans="2:165" x14ac:dyDescent="0.3">
      <c r="B13" s="93">
        <v>10</v>
      </c>
      <c r="C13" s="98"/>
      <c r="D13" s="123">
        <f t="shared" si="0"/>
        <v>8</v>
      </c>
      <c r="E13" s="41">
        <f>IF('A&amp;Rs'!R17="","",'A&amp;Rs'!T17)</f>
        <v>1480</v>
      </c>
      <c r="F13" s="41">
        <f>IF('A&amp;Rs'!R17="","",E13*(1+VLOOKUP(F$4,'A&amp;Rs'!$M$12:$N$21,2)))</f>
        <v>1480</v>
      </c>
      <c r="G13" s="41">
        <f>IF('A&amp;Rs'!R17="","",F13*(1+VLOOKUP(G$4,'A&amp;Rs'!$M$12:$N$21,2)))</f>
        <v>1524.4</v>
      </c>
      <c r="H13" s="41">
        <f>IF('A&amp;Rs'!R17="","",G13*(1+VLOOKUP(H$4,'A&amp;Rs'!$M$12:$N$21,2)))</f>
        <v>1554.8880000000001</v>
      </c>
      <c r="I13" s="41">
        <f>IF('A&amp;Rs'!R17="","",H13*(1+VLOOKUP(I$4,'A&amp;Rs'!$M$12:$N$21,2)))</f>
        <v>1601.5346400000001</v>
      </c>
      <c r="J13" s="41">
        <f>IF('A&amp;Rs'!R17="","",I13*(1+VLOOKUP(J$4,'A&amp;Rs'!$M$12:$N$21,2)))</f>
        <v>1649.5806792000001</v>
      </c>
      <c r="K13" s="41">
        <f>IF('A&amp;Rs'!R17="","",J13*(1+VLOOKUP(K$4,'A&amp;Rs'!$M$12:$N$21,2)))</f>
        <v>1649.5806792000001</v>
      </c>
      <c r="L13" s="41">
        <f>IF('A&amp;Rs'!R17="","",K13*(1+VLOOKUP(L$4,'A&amp;Rs'!$M$12:$N$21,2)))</f>
        <v>1666.076485992</v>
      </c>
      <c r="M13" s="41">
        <f>IF('A&amp;Rs'!R17="","",L13*(1+VLOOKUP(M$4,'A&amp;Rs'!$M$12:$N$21,2)))</f>
        <v>1716.0587805717601</v>
      </c>
      <c r="N13" s="41">
        <f>IF('A&amp;Rs'!R17="","",M13*(1+VLOOKUP(N$4,'A&amp;Rs'!$M$12:$N$21,2)))</f>
        <v>1750.3799561831952</v>
      </c>
      <c r="O13" s="41">
        <f>IF('A&amp;Rs'!R17="","",N13*(1+VLOOKUP(O$4,'A&amp;Rs'!$M$12:$N$21,2)))</f>
        <v>1767.8837557450272</v>
      </c>
      <c r="P13" s="41">
        <f>IF('A&amp;Rs'!R17="","",O13*(1+VLOOKUP(P$4,'A&amp;Rs'!$M$12:$N$21,2)))</f>
        <v>1785.5625933024776</v>
      </c>
      <c r="Q13" s="42">
        <f>IF('A&amp;Rs'!R17="","",P13*(1+VLOOKUP(Q$4,'A&amp;Rs'!$M$12:$N$21,2)))</f>
        <v>1803.4182192355024</v>
      </c>
      <c r="R13" s="1"/>
      <c r="S13" s="123">
        <f t="shared" si="1"/>
        <v>8</v>
      </c>
      <c r="T13" s="41">
        <f>IF('A&amp;Rs'!R17="","",'A&amp;Rs'!T17)</f>
        <v>1480</v>
      </c>
      <c r="U13" s="41">
        <f>IF('A&amp;Rs'!R17="","",T13*(1+VLOOKUP(U$4,'A&amp;Rs'!$M$12:$N$21,2))+IF('A&amp;Rs'!$Y17=U$4,'A&amp;Rs'!$AA17,0))</f>
        <v>1740</v>
      </c>
      <c r="V13" s="41">
        <f>IF('A&amp;Rs'!R17="","",U13*(1+VLOOKUP(V$4,'A&amp;Rs'!$M$12:$N$21,2))+IF('A&amp;Rs'!$Y17=V$4,'A&amp;Rs'!$AA17,0))</f>
        <v>1792.2</v>
      </c>
      <c r="W13" s="41">
        <f>IF('A&amp;Rs'!R17="","",V13*(1+VLOOKUP(W$4,'A&amp;Rs'!$M$12:$N$21,2))+IF('A&amp;Rs'!$Y17=W$4,'A&amp;Rs'!$AA17,0))</f>
        <v>1828.0440000000001</v>
      </c>
      <c r="X13" s="41">
        <f>IF('A&amp;Rs'!R17="","",W13*(1+VLOOKUP(X$4,'A&amp;Rs'!$M$12:$N$21,2))+IF('A&amp;Rs'!$Y17=X$4,'A&amp;Rs'!$AA17,0))</f>
        <v>1882.8853200000001</v>
      </c>
      <c r="Y13" s="41">
        <f>IF('A&amp;Rs'!R17="","",X13*(1+VLOOKUP(Y$4,'A&amp;Rs'!$M$12:$N$21,2))+IF('A&amp;Rs'!$Y17=Y$4,'A&amp;Rs'!$AA17,0))</f>
        <v>1939.3718796000001</v>
      </c>
      <c r="Z13" s="41">
        <f>IF('A&amp;Rs'!R17="","",Y13*(1+VLOOKUP(Z$4,'A&amp;Rs'!$M$12:$N$21,2))+IF('A&amp;Rs'!$Y17=Z$4,'A&amp;Rs'!$AA17,0))</f>
        <v>1939.3718796000001</v>
      </c>
      <c r="AA13" s="41">
        <f>IF('A&amp;Rs'!R17="","",Z13*(1+VLOOKUP(AA$4,'A&amp;Rs'!$M$12:$N$21,2))+IF('A&amp;Rs'!$Y17=AA$4,'A&amp;Rs'!$AA17,0))</f>
        <v>1958.7655983960001</v>
      </c>
      <c r="AB13" s="41">
        <f>IF('A&amp;Rs'!R17="","",AA13*(1+VLOOKUP(AB$4,'A&amp;Rs'!$M$12:$N$21,2))+IF('A&amp;Rs'!$Y17=AB$4,'A&amp;Rs'!$AA17,0))</f>
        <v>2017.5285663478801</v>
      </c>
      <c r="AC13" s="41">
        <f>IF('A&amp;Rs'!R17="","",AB13*(1+VLOOKUP(AC$4,'A&amp;Rs'!$M$12:$N$21,2))+IF('A&amp;Rs'!$Y17=AC$4,'A&amp;Rs'!$AA17,0))</f>
        <v>2057.8791376748377</v>
      </c>
      <c r="AD13" s="41">
        <f>IF('A&amp;Rs'!R17="","",AC13*(1+VLOOKUP(AD$4,'A&amp;Rs'!$M$12:$N$21,2))+IF('A&amp;Rs'!$Y17=AD$4,'A&amp;Rs'!$AA17,0))</f>
        <v>2078.4579290515862</v>
      </c>
      <c r="AE13" s="41">
        <f>IF('A&amp;Rs'!R17="","",AD13*(1+VLOOKUP(AE$4,'A&amp;Rs'!$M$12:$N$21,2))+IF('A&amp;Rs'!$Y17=AE$4,'A&amp;Rs'!$AA17,0))</f>
        <v>2099.2425083421022</v>
      </c>
      <c r="AF13" s="42">
        <f>IF('A&amp;Rs'!R17="","",AE13*(1+VLOOKUP(AF$4,'A&amp;Rs'!$M$12:$N$21,2))+IF('A&amp;Rs'!$Y17=AF$4,'A&amp;Rs'!$AA17,0))</f>
        <v>2120.2349334255232</v>
      </c>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99"/>
    </row>
    <row r="14" spans="2:165" x14ac:dyDescent="0.3">
      <c r="B14" s="93">
        <v>11</v>
      </c>
      <c r="C14" s="98"/>
      <c r="D14" s="123">
        <f t="shared" si="0"/>
        <v>11</v>
      </c>
      <c r="E14" s="41">
        <f>IF('A&amp;Rs'!R18="","",'A&amp;Rs'!T18)</f>
        <v>1548</v>
      </c>
      <c r="F14" s="41">
        <f>IF('A&amp;Rs'!R18="","",E14*(1+VLOOKUP(F$4,'A&amp;Rs'!$M$12:$N$21,2)))</f>
        <v>1548</v>
      </c>
      <c r="G14" s="41">
        <f>IF('A&amp;Rs'!R18="","",F14*(1+VLOOKUP(G$4,'A&amp;Rs'!$M$12:$N$21,2)))</f>
        <v>1594.44</v>
      </c>
      <c r="H14" s="41">
        <f>IF('A&amp;Rs'!R18="","",G14*(1+VLOOKUP(H$4,'A&amp;Rs'!$M$12:$N$21,2)))</f>
        <v>1626.3288</v>
      </c>
      <c r="I14" s="41">
        <f>IF('A&amp;Rs'!R18="","",H14*(1+VLOOKUP(I$4,'A&amp;Rs'!$M$12:$N$21,2)))</f>
        <v>1675.1186640000001</v>
      </c>
      <c r="J14" s="41">
        <f>IF('A&amp;Rs'!R18="","",I14*(1+VLOOKUP(J$4,'A&amp;Rs'!$M$12:$N$21,2)))</f>
        <v>1725.3722239200001</v>
      </c>
      <c r="K14" s="41">
        <f>IF('A&amp;Rs'!R18="","",J14*(1+VLOOKUP(K$4,'A&amp;Rs'!$M$12:$N$21,2)))</f>
        <v>1725.3722239200001</v>
      </c>
      <c r="L14" s="41">
        <f>IF('A&amp;Rs'!R18="","",K14*(1+VLOOKUP(L$4,'A&amp;Rs'!$M$12:$N$21,2)))</f>
        <v>1742.6259461592001</v>
      </c>
      <c r="M14" s="41">
        <f>IF('A&amp;Rs'!R18="","",L14*(1+VLOOKUP(M$4,'A&amp;Rs'!$M$12:$N$21,2)))</f>
        <v>1794.9047245439763</v>
      </c>
      <c r="N14" s="41">
        <f>IF('A&amp;Rs'!R18="","",M14*(1+VLOOKUP(N$4,'A&amp;Rs'!$M$12:$N$21,2)))</f>
        <v>1830.8028190348559</v>
      </c>
      <c r="O14" s="41">
        <f>IF('A&amp;Rs'!R18="","",N14*(1+VLOOKUP(O$4,'A&amp;Rs'!$M$12:$N$21,2)))</f>
        <v>1849.1108472252045</v>
      </c>
      <c r="P14" s="41">
        <f>IF('A&amp;Rs'!R18="","",O14*(1+VLOOKUP(P$4,'A&amp;Rs'!$M$12:$N$21,2)))</f>
        <v>1867.6019556974566</v>
      </c>
      <c r="Q14" s="42">
        <f>IF('A&amp;Rs'!R18="","",P14*(1+VLOOKUP(Q$4,'A&amp;Rs'!$M$12:$N$21,2)))</f>
        <v>1886.2779752544311</v>
      </c>
      <c r="R14" s="1"/>
      <c r="S14" s="123">
        <f t="shared" si="1"/>
        <v>11</v>
      </c>
      <c r="T14" s="41">
        <f>IF('A&amp;Rs'!R18="","",'A&amp;Rs'!T18)</f>
        <v>1548</v>
      </c>
      <c r="U14" s="41">
        <f>IF('A&amp;Rs'!R18="","",T14*(1+VLOOKUP(U$4,'A&amp;Rs'!$M$12:$N$21,2))+IF('A&amp;Rs'!$Y18=U$4,'A&amp;Rs'!$AA18,0))</f>
        <v>1548</v>
      </c>
      <c r="V14" s="41">
        <f>IF('A&amp;Rs'!R18="","",U14*(1+VLOOKUP(V$4,'A&amp;Rs'!$M$12:$N$21,2))+IF('A&amp;Rs'!$Y18=V$4,'A&amp;Rs'!$AA18,0))</f>
        <v>1894.44</v>
      </c>
      <c r="W14" s="41">
        <f>IF('A&amp;Rs'!R18="","",V14*(1+VLOOKUP(W$4,'A&amp;Rs'!$M$12:$N$21,2))+IF('A&amp;Rs'!$Y18=W$4,'A&amp;Rs'!$AA18,0))</f>
        <v>1932.3288</v>
      </c>
      <c r="X14" s="41">
        <f>IF('A&amp;Rs'!R18="","",W14*(1+VLOOKUP(X$4,'A&amp;Rs'!$M$12:$N$21,2))+IF('A&amp;Rs'!$Y18=X$4,'A&amp;Rs'!$AA18,0))</f>
        <v>1990.2986640000001</v>
      </c>
      <c r="Y14" s="41">
        <f>IF('A&amp;Rs'!R18="","",X14*(1+VLOOKUP(Y$4,'A&amp;Rs'!$M$12:$N$21,2))+IF('A&amp;Rs'!$Y18=Y$4,'A&amp;Rs'!$AA18,0))</f>
        <v>2050.0076239200002</v>
      </c>
      <c r="Z14" s="41">
        <f>IF('A&amp;Rs'!R18="","",Y14*(1+VLOOKUP(Z$4,'A&amp;Rs'!$M$12:$N$21,2))+IF('A&amp;Rs'!$Y18=Z$4,'A&amp;Rs'!$AA18,0))</f>
        <v>2050.0076239200002</v>
      </c>
      <c r="AA14" s="41">
        <f>IF('A&amp;Rs'!R18="","",Z14*(1+VLOOKUP(AA$4,'A&amp;Rs'!$M$12:$N$21,2))+IF('A&amp;Rs'!$Y18=AA$4,'A&amp;Rs'!$AA18,0))</f>
        <v>2070.5077001592003</v>
      </c>
      <c r="AB14" s="41">
        <f>IF('A&amp;Rs'!R18="","",AA14*(1+VLOOKUP(AB$4,'A&amp;Rs'!$M$12:$N$21,2))+IF('A&amp;Rs'!$Y18=AB$4,'A&amp;Rs'!$AA18,0))</f>
        <v>2132.6229311639763</v>
      </c>
      <c r="AC14" s="41">
        <f>IF('A&amp;Rs'!R18="","",AB14*(1+VLOOKUP(AC$4,'A&amp;Rs'!$M$12:$N$21,2))+IF('A&amp;Rs'!$Y18=AC$4,'A&amp;Rs'!$AA18,0))</f>
        <v>2175.2753897872558</v>
      </c>
      <c r="AD14" s="41">
        <f>IF('A&amp;Rs'!R18="","",AC14*(1+VLOOKUP(AD$4,'A&amp;Rs'!$M$12:$N$21,2))+IF('A&amp;Rs'!$Y18=AD$4,'A&amp;Rs'!$AA18,0))</f>
        <v>2197.0281436851283</v>
      </c>
      <c r="AE14" s="41">
        <f>IF('A&amp;Rs'!R18="","",AD14*(1+VLOOKUP(AE$4,'A&amp;Rs'!$M$12:$N$21,2))+IF('A&amp;Rs'!$Y18=AE$4,'A&amp;Rs'!$AA18,0))</f>
        <v>2218.9984251219794</v>
      </c>
      <c r="AF14" s="42">
        <f>IF('A&amp;Rs'!R18="","",AE14*(1+VLOOKUP(AF$4,'A&amp;Rs'!$M$12:$N$21,2))+IF('A&amp;Rs'!$Y18=AF$4,'A&amp;Rs'!$AA18,0))</f>
        <v>2241.1884093731992</v>
      </c>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99"/>
    </row>
    <row r="15" spans="2:165" x14ac:dyDescent="0.3">
      <c r="B15" s="93">
        <v>12</v>
      </c>
      <c r="C15" s="98"/>
      <c r="D15" s="123">
        <f t="shared" si="0"/>
        <v>10</v>
      </c>
      <c r="E15" s="41">
        <f>IF('A&amp;Rs'!R19="","",'A&amp;Rs'!T19)</f>
        <v>1750</v>
      </c>
      <c r="F15" s="41">
        <f>IF('A&amp;Rs'!R19="","",E15*(1+VLOOKUP(F$4,'A&amp;Rs'!$M$12:$N$21,2)))</f>
        <v>1750</v>
      </c>
      <c r="G15" s="41">
        <f>IF('A&amp;Rs'!R19="","",F15*(1+VLOOKUP(G$4,'A&amp;Rs'!$M$12:$N$21,2)))</f>
        <v>1802.5</v>
      </c>
      <c r="H15" s="41">
        <f>IF('A&amp;Rs'!R19="","",G15*(1+VLOOKUP(H$4,'A&amp;Rs'!$M$12:$N$21,2)))</f>
        <v>1838.55</v>
      </c>
      <c r="I15" s="41">
        <f>IF('A&amp;Rs'!R19="","",H15*(1+VLOOKUP(I$4,'A&amp;Rs'!$M$12:$N$21,2)))</f>
        <v>1893.7065</v>
      </c>
      <c r="J15" s="41">
        <f>IF('A&amp;Rs'!R19="","",I15*(1+VLOOKUP(J$4,'A&amp;Rs'!$M$12:$N$21,2)))</f>
        <v>1950.517695</v>
      </c>
      <c r="K15" s="41">
        <f>IF('A&amp;Rs'!R19="","",J15*(1+VLOOKUP(K$4,'A&amp;Rs'!$M$12:$N$21,2)))</f>
        <v>1950.517695</v>
      </c>
      <c r="L15" s="41">
        <f>IF('A&amp;Rs'!R19="","",K15*(1+VLOOKUP(L$4,'A&amp;Rs'!$M$12:$N$21,2)))</f>
        <v>1970.0228719500001</v>
      </c>
      <c r="M15" s="41">
        <f>IF('A&amp;Rs'!R19="","",L15*(1+VLOOKUP(M$4,'A&amp;Rs'!$M$12:$N$21,2)))</f>
        <v>2029.1235581085002</v>
      </c>
      <c r="N15" s="41">
        <f>IF('A&amp;Rs'!R19="","",M15*(1+VLOOKUP(N$4,'A&amp;Rs'!$M$12:$N$21,2)))</f>
        <v>2069.7060292706701</v>
      </c>
      <c r="O15" s="41">
        <f>IF('A&amp;Rs'!R19="","",N15*(1+VLOOKUP(O$4,'A&amp;Rs'!$M$12:$N$21,2)))</f>
        <v>2090.4030895633769</v>
      </c>
      <c r="P15" s="41">
        <f>IF('A&amp;Rs'!R19="","",O15*(1+VLOOKUP(P$4,'A&amp;Rs'!$M$12:$N$21,2)))</f>
        <v>2111.3071204590105</v>
      </c>
      <c r="Q15" s="42">
        <f>IF('A&amp;Rs'!R19="","",P15*(1+VLOOKUP(Q$4,'A&amp;Rs'!$M$12:$N$21,2)))</f>
        <v>2132.4201916636007</v>
      </c>
      <c r="R15" s="1"/>
      <c r="S15" s="123">
        <f t="shared" si="1"/>
        <v>10</v>
      </c>
      <c r="T15" s="41">
        <f>IF('A&amp;Rs'!R19="","",'A&amp;Rs'!T19)</f>
        <v>1750</v>
      </c>
      <c r="U15" s="41">
        <f>IF('A&amp;Rs'!R19="","",T15*(1+VLOOKUP(U$4,'A&amp;Rs'!$M$12:$N$21,2))+IF('A&amp;Rs'!$Y19=U$4,'A&amp;Rs'!$AA19,0))</f>
        <v>1750</v>
      </c>
      <c r="V15" s="41">
        <f>IF('A&amp;Rs'!R19="","",U15*(1+VLOOKUP(V$4,'A&amp;Rs'!$M$12:$N$21,2))+IF('A&amp;Rs'!$Y19=V$4,'A&amp;Rs'!$AA19,0))</f>
        <v>2102.5</v>
      </c>
      <c r="W15" s="41">
        <f>IF('A&amp;Rs'!R19="","",V15*(1+VLOOKUP(W$4,'A&amp;Rs'!$M$12:$N$21,2))+IF('A&amp;Rs'!$Y19=W$4,'A&amp;Rs'!$AA19,0))</f>
        <v>2144.5500000000002</v>
      </c>
      <c r="X15" s="41">
        <f>IF('A&amp;Rs'!R19="","",W15*(1+VLOOKUP(X$4,'A&amp;Rs'!$M$12:$N$21,2))+IF('A&amp;Rs'!$Y19=X$4,'A&amp;Rs'!$AA19,0))</f>
        <v>2208.8865000000001</v>
      </c>
      <c r="Y15" s="41">
        <f>IF('A&amp;Rs'!R19="","",X15*(1+VLOOKUP(Y$4,'A&amp;Rs'!$M$12:$N$21,2))+IF('A&amp;Rs'!$Y19=Y$4,'A&amp;Rs'!$AA19,0))</f>
        <v>2275.1530950000001</v>
      </c>
      <c r="Z15" s="41">
        <f>IF('A&amp;Rs'!R19="","",Y15*(1+VLOOKUP(Z$4,'A&amp;Rs'!$M$12:$N$21,2))+IF('A&amp;Rs'!$Y19=Z$4,'A&amp;Rs'!$AA19,0))</f>
        <v>2275.1530950000001</v>
      </c>
      <c r="AA15" s="41">
        <f>IF('A&amp;Rs'!R19="","",Z15*(1+VLOOKUP(AA$4,'A&amp;Rs'!$M$12:$N$21,2))+IF('A&amp;Rs'!$Y19=AA$4,'A&amp;Rs'!$AA19,0))</f>
        <v>2297.9046259500001</v>
      </c>
      <c r="AB15" s="41">
        <f>IF('A&amp;Rs'!R19="","",AA15*(1+VLOOKUP(AB$4,'A&amp;Rs'!$M$12:$N$21,2))+IF('A&amp;Rs'!$Y19=AB$4,'A&amp;Rs'!$AA19,0))</f>
        <v>2366.8417647285</v>
      </c>
      <c r="AC15" s="41">
        <f>IF('A&amp;Rs'!R19="","",AB15*(1+VLOOKUP(AC$4,'A&amp;Rs'!$M$12:$N$21,2))+IF('A&amp;Rs'!$Y19=AC$4,'A&amp;Rs'!$AA19,0))</f>
        <v>2414.17860002307</v>
      </c>
      <c r="AD15" s="41">
        <f>IF('A&amp;Rs'!R19="","",AC15*(1+VLOOKUP(AD$4,'A&amp;Rs'!$M$12:$N$21,2))+IF('A&amp;Rs'!$Y19=AD$4,'A&amp;Rs'!$AA19,0))</f>
        <v>2438.3203860233007</v>
      </c>
      <c r="AE15" s="41">
        <f>IF('A&amp;Rs'!R19="","",AD15*(1+VLOOKUP(AE$4,'A&amp;Rs'!$M$12:$N$21,2))+IF('A&amp;Rs'!$Y19=AE$4,'A&amp;Rs'!$AA19,0))</f>
        <v>2462.7035898835338</v>
      </c>
      <c r="AF15" s="42">
        <f>IF('A&amp;Rs'!R19="","",AE15*(1+VLOOKUP(AF$4,'A&amp;Rs'!$M$12:$N$21,2))+IF('A&amp;Rs'!$Y19=AF$4,'A&amp;Rs'!$AA19,0))</f>
        <v>2487.3306257823692</v>
      </c>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99"/>
    </row>
    <row r="16" spans="2:165" x14ac:dyDescent="0.3">
      <c r="B16" s="93">
        <v>13</v>
      </c>
      <c r="C16" s="98"/>
      <c r="D16" s="123">
        <f t="shared" si="0"/>
        <v>9</v>
      </c>
      <c r="E16" s="41">
        <f>IF('A&amp;Rs'!R20="","",'A&amp;Rs'!T20)</f>
        <v>1884</v>
      </c>
      <c r="F16" s="41">
        <f>IF('A&amp;Rs'!R20="","",E16*(1+VLOOKUP(F$4,'A&amp;Rs'!$M$12:$N$21,2)))</f>
        <v>1884</v>
      </c>
      <c r="G16" s="41">
        <f>IF('A&amp;Rs'!R20="","",F16*(1+VLOOKUP(G$4,'A&amp;Rs'!$M$12:$N$21,2)))</f>
        <v>1940.52</v>
      </c>
      <c r="H16" s="41">
        <f>IF('A&amp;Rs'!R20="","",G16*(1+VLOOKUP(H$4,'A&amp;Rs'!$M$12:$N$21,2)))</f>
        <v>1979.3304000000001</v>
      </c>
      <c r="I16" s="41">
        <f>IF('A&amp;Rs'!R20="","",H16*(1+VLOOKUP(I$4,'A&amp;Rs'!$M$12:$N$21,2)))</f>
        <v>2038.7103120000002</v>
      </c>
      <c r="J16" s="41">
        <f>IF('A&amp;Rs'!R20="","",I16*(1+VLOOKUP(J$4,'A&amp;Rs'!$M$12:$N$21,2)))</f>
        <v>2099.8716213600001</v>
      </c>
      <c r="K16" s="41">
        <f>IF('A&amp;Rs'!R20="","",J16*(1+VLOOKUP(K$4,'A&amp;Rs'!$M$12:$N$21,2)))</f>
        <v>2099.8716213600001</v>
      </c>
      <c r="L16" s="41">
        <f>IF('A&amp;Rs'!R20="","",K16*(1+VLOOKUP(L$4,'A&amp;Rs'!$M$12:$N$21,2)))</f>
        <v>2120.8703375736</v>
      </c>
      <c r="M16" s="41">
        <f>IF('A&amp;Rs'!R20="","",L16*(1+VLOOKUP(M$4,'A&amp;Rs'!$M$12:$N$21,2)))</f>
        <v>2184.4964477008079</v>
      </c>
      <c r="N16" s="41">
        <f>IF('A&amp;Rs'!R20="","",M16*(1+VLOOKUP(N$4,'A&amp;Rs'!$M$12:$N$21,2)))</f>
        <v>2228.186376654824</v>
      </c>
      <c r="O16" s="41">
        <f>IF('A&amp;Rs'!R20="","",N16*(1+VLOOKUP(O$4,'A&amp;Rs'!$M$12:$N$21,2)))</f>
        <v>2250.4682404213722</v>
      </c>
      <c r="P16" s="41">
        <f>IF('A&amp;Rs'!R20="","",O16*(1+VLOOKUP(P$4,'A&amp;Rs'!$M$12:$N$21,2)))</f>
        <v>2272.972922825586</v>
      </c>
      <c r="Q16" s="42">
        <f>IF('A&amp;Rs'!R20="","",P16*(1+VLOOKUP(Q$4,'A&amp;Rs'!$M$12:$N$21,2)))</f>
        <v>2295.702652053842</v>
      </c>
      <c r="R16" s="1"/>
      <c r="S16" s="123">
        <f t="shared" si="1"/>
        <v>9</v>
      </c>
      <c r="T16" s="41">
        <f>IF('A&amp;Rs'!R20="","",'A&amp;Rs'!T20)</f>
        <v>1884</v>
      </c>
      <c r="U16" s="41">
        <f>IF('A&amp;Rs'!R20="","",T16*(1+VLOOKUP(U$4,'A&amp;Rs'!$M$12:$N$21,2))+IF('A&amp;Rs'!$Y20=U$4,'A&amp;Rs'!$AA20,0))</f>
        <v>1884</v>
      </c>
      <c r="V16" s="41">
        <f>IF('A&amp;Rs'!R20="","",U16*(1+VLOOKUP(V$4,'A&amp;Rs'!$M$12:$N$21,2))+IF('A&amp;Rs'!$Y20=V$4,'A&amp;Rs'!$AA20,0))</f>
        <v>2240.52</v>
      </c>
      <c r="W16" s="41">
        <f>IF('A&amp;Rs'!R20="","",V16*(1+VLOOKUP(W$4,'A&amp;Rs'!$M$12:$N$21,2))+IF('A&amp;Rs'!$Y20=W$4,'A&amp;Rs'!$AA20,0))</f>
        <v>2285.3303999999998</v>
      </c>
      <c r="X16" s="41">
        <f>IF('A&amp;Rs'!R20="","",W16*(1+VLOOKUP(X$4,'A&amp;Rs'!$M$12:$N$21,2))+IF('A&amp;Rs'!$Y20=X$4,'A&amp;Rs'!$AA20,0))</f>
        <v>2353.890312</v>
      </c>
      <c r="Y16" s="41">
        <f>IF('A&amp;Rs'!R20="","",X16*(1+VLOOKUP(Y$4,'A&amp;Rs'!$M$12:$N$21,2))+IF('A&amp;Rs'!$Y20=Y$4,'A&amp;Rs'!$AA20,0))</f>
        <v>2424.5070213600002</v>
      </c>
      <c r="Z16" s="41">
        <f>IF('A&amp;Rs'!R20="","",Y16*(1+VLOOKUP(Z$4,'A&amp;Rs'!$M$12:$N$21,2))+IF('A&amp;Rs'!$Y20=Z$4,'A&amp;Rs'!$AA20,0))</f>
        <v>2424.5070213600002</v>
      </c>
      <c r="AA16" s="41">
        <f>IF('A&amp;Rs'!R20="","",Z16*(1+VLOOKUP(AA$4,'A&amp;Rs'!$M$12:$N$21,2))+IF('A&amp;Rs'!$Y20=AA$4,'A&amp;Rs'!$AA20,0))</f>
        <v>2448.7520915736004</v>
      </c>
      <c r="AB16" s="41">
        <f>IF('A&amp;Rs'!R20="","",AA16*(1+VLOOKUP(AB$4,'A&amp;Rs'!$M$12:$N$21,2))+IF('A&amp;Rs'!$Y20=AB$4,'A&amp;Rs'!$AA20,0))</f>
        <v>2522.2146543208087</v>
      </c>
      <c r="AC16" s="41">
        <f>IF('A&amp;Rs'!R20="","",AB16*(1+VLOOKUP(AC$4,'A&amp;Rs'!$M$12:$N$21,2))+IF('A&amp;Rs'!$Y20=AC$4,'A&amp;Rs'!$AA20,0))</f>
        <v>2572.6589474072248</v>
      </c>
      <c r="AD16" s="41">
        <f>IF('A&amp;Rs'!R20="","",AC16*(1+VLOOKUP(AD$4,'A&amp;Rs'!$M$12:$N$21,2))+IF('A&amp;Rs'!$Y20=AD$4,'A&amp;Rs'!$AA20,0))</f>
        <v>2598.385536881297</v>
      </c>
      <c r="AE16" s="41">
        <f>IF('A&amp;Rs'!R20="","",AD16*(1+VLOOKUP(AE$4,'A&amp;Rs'!$M$12:$N$21,2))+IF('A&amp;Rs'!$Y20=AE$4,'A&amp;Rs'!$AA20,0))</f>
        <v>2624.3693922501097</v>
      </c>
      <c r="AF16" s="42">
        <f>IF('A&amp;Rs'!R20="","",AE16*(1+VLOOKUP(AF$4,'A&amp;Rs'!$M$12:$N$21,2))+IF('A&amp;Rs'!$Y20=AF$4,'A&amp;Rs'!$AA20,0))</f>
        <v>2650.613086172611</v>
      </c>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99"/>
    </row>
    <row r="17" spans="2:165" x14ac:dyDescent="0.3">
      <c r="B17" s="93">
        <v>14</v>
      </c>
      <c r="C17" s="98"/>
      <c r="D17" s="142">
        <f t="shared" si="0"/>
        <v>12</v>
      </c>
      <c r="E17" s="41">
        <f>IF('A&amp;Rs'!R21="","",'A&amp;Rs'!T21)</f>
        <v>1900</v>
      </c>
      <c r="F17" s="41">
        <f>IF('A&amp;Rs'!R21="","",E17*(1+VLOOKUP(F$4,'A&amp;Rs'!$M$12:$N$21,2)))</f>
        <v>1900</v>
      </c>
      <c r="G17" s="41">
        <f>IF('A&amp;Rs'!R21="","",F17*(1+VLOOKUP(G$4,'A&amp;Rs'!$M$12:$N$21,2)))</f>
        <v>1957</v>
      </c>
      <c r="H17" s="41">
        <f>IF('A&amp;Rs'!R21="","",G17*(1+VLOOKUP(H$4,'A&amp;Rs'!$M$12:$N$21,2)))</f>
        <v>1996.14</v>
      </c>
      <c r="I17" s="41">
        <f>IF('A&amp;Rs'!R21="","",H17*(1+VLOOKUP(I$4,'A&amp;Rs'!$M$12:$N$21,2)))</f>
        <v>2056.0242000000003</v>
      </c>
      <c r="J17" s="41">
        <f>IF('A&amp;Rs'!R21="","",I17*(1+VLOOKUP(J$4,'A&amp;Rs'!$M$12:$N$21,2)))</f>
        <v>2117.7049260000003</v>
      </c>
      <c r="K17" s="41">
        <f>IF('A&amp;Rs'!R21="","",J17*(1+VLOOKUP(K$4,'A&amp;Rs'!$M$12:$N$21,2)))</f>
        <v>2117.7049260000003</v>
      </c>
      <c r="L17" s="41">
        <f>IF('A&amp;Rs'!R21="","",K17*(1+VLOOKUP(L$4,'A&amp;Rs'!$M$12:$N$21,2)))</f>
        <v>2138.8819752600002</v>
      </c>
      <c r="M17" s="41">
        <f>IF('A&amp;Rs'!R21="","",L17*(1+VLOOKUP(M$4,'A&amp;Rs'!$M$12:$N$21,2)))</f>
        <v>2203.0484345178002</v>
      </c>
      <c r="N17" s="41">
        <f>IF('A&amp;Rs'!R21="","",M17*(1+VLOOKUP(N$4,'A&amp;Rs'!$M$12:$N$21,2)))</f>
        <v>2247.109403208156</v>
      </c>
      <c r="O17" s="41">
        <f>IF('A&amp;Rs'!R21="","",N17*(1+VLOOKUP(O$4,'A&amp;Rs'!$M$12:$N$21,2)))</f>
        <v>2269.5804972402375</v>
      </c>
      <c r="P17" s="41">
        <f>IF('A&amp;Rs'!R21="","",O17*(1+VLOOKUP(P$4,'A&amp;Rs'!$M$12:$N$21,2)))</f>
        <v>2292.2763022126401</v>
      </c>
      <c r="Q17" s="42">
        <f>IF('A&amp;Rs'!R21="","",P17*(1+VLOOKUP(Q$4,'A&amp;Rs'!$M$12:$N$21,2)))</f>
        <v>2315.1990652347663</v>
      </c>
      <c r="R17" s="1"/>
      <c r="S17" s="142">
        <f t="shared" si="1"/>
        <v>12</v>
      </c>
      <c r="T17" s="41">
        <f>IF('A&amp;Rs'!R21="","",'A&amp;Rs'!T21)</f>
        <v>1900</v>
      </c>
      <c r="U17" s="41">
        <f>IF('A&amp;Rs'!R21="","",T17*(1+VLOOKUP(U$4,'A&amp;Rs'!$M$12:$N$21,2))+IF('A&amp;Rs'!$Y21=U$4,'A&amp;Rs'!$AA21,0))</f>
        <v>1900</v>
      </c>
      <c r="V17" s="41">
        <f>IF('A&amp;Rs'!R21="","",U17*(1+VLOOKUP(V$4,'A&amp;Rs'!$M$12:$N$21,2))+IF('A&amp;Rs'!$Y21=V$4,'A&amp;Rs'!$AA21,0))</f>
        <v>2257</v>
      </c>
      <c r="W17" s="41">
        <f>IF('A&amp;Rs'!R21="","",V17*(1+VLOOKUP(W$4,'A&amp;Rs'!$M$12:$N$21,2))+IF('A&amp;Rs'!$Y21=W$4,'A&amp;Rs'!$AA21,0))</f>
        <v>2302.14</v>
      </c>
      <c r="X17" s="41">
        <f>IF('A&amp;Rs'!R21="","",W17*(1+VLOOKUP(X$4,'A&amp;Rs'!$M$12:$N$21,2))+IF('A&amp;Rs'!$Y21=X$4,'A&amp;Rs'!$AA21,0))</f>
        <v>2371.2042000000001</v>
      </c>
      <c r="Y17" s="41">
        <f>IF('A&amp;Rs'!R21="","",X17*(1+VLOOKUP(Y$4,'A&amp;Rs'!$M$12:$N$21,2))+IF('A&amp;Rs'!$Y21=Y$4,'A&amp;Rs'!$AA21,0))</f>
        <v>2442.340326</v>
      </c>
      <c r="Z17" s="41">
        <f>IF('A&amp;Rs'!R21="","",Y17*(1+VLOOKUP(Z$4,'A&amp;Rs'!$M$12:$N$21,2))+IF('A&amp;Rs'!$Y21=Z$4,'A&amp;Rs'!$AA21,0))</f>
        <v>2442.340326</v>
      </c>
      <c r="AA17" s="41">
        <f>IF('A&amp;Rs'!R21="","",Z17*(1+VLOOKUP(AA$4,'A&amp;Rs'!$M$12:$N$21,2))+IF('A&amp;Rs'!$Y21=AA$4,'A&amp;Rs'!$AA21,0))</f>
        <v>2466.7637292600002</v>
      </c>
      <c r="AB17" s="41">
        <f>IF('A&amp;Rs'!R21="","",AA17*(1+VLOOKUP(AB$4,'A&amp;Rs'!$M$12:$N$21,2))+IF('A&amp;Rs'!$Y21=AB$4,'A&amp;Rs'!$AA21,0))</f>
        <v>2540.7666411378004</v>
      </c>
      <c r="AC17" s="41">
        <f>IF('A&amp;Rs'!R21="","",AB17*(1+VLOOKUP(AC$4,'A&amp;Rs'!$M$12:$N$21,2))+IF('A&amp;Rs'!$Y21=AC$4,'A&amp;Rs'!$AA21,0))</f>
        <v>2591.5819739605563</v>
      </c>
      <c r="AD17" s="41">
        <f>IF('A&amp;Rs'!R21="","",AC17*(1+VLOOKUP(AD$4,'A&amp;Rs'!$M$12:$N$21,2))+IF('A&amp;Rs'!$Y21=AD$4,'A&amp;Rs'!$AA21,0))</f>
        <v>2617.4977937001618</v>
      </c>
      <c r="AE17" s="41">
        <f>IF('A&amp;Rs'!R21="","",AD17*(1+VLOOKUP(AE$4,'A&amp;Rs'!$M$12:$N$21,2))+IF('A&amp;Rs'!$Y21=AE$4,'A&amp;Rs'!$AA21,0))</f>
        <v>2643.6727716371634</v>
      </c>
      <c r="AF17" s="42">
        <f>IF('A&amp;Rs'!R21="","",AE17*(1+VLOOKUP(AF$4,'A&amp;Rs'!$M$12:$N$21,2))+IF('A&amp;Rs'!$Y21=AF$4,'A&amp;Rs'!$AA21,0))</f>
        <v>2670.1094993535348</v>
      </c>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99"/>
    </row>
    <row r="18" spans="2:165" x14ac:dyDescent="0.3">
      <c r="C18" s="98"/>
      <c r="D18" s="214"/>
      <c r="E18" s="1"/>
      <c r="F18" s="44"/>
      <c r="G18" s="204"/>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99"/>
    </row>
    <row r="19" spans="2:165" x14ac:dyDescent="0.3">
      <c r="C19" s="98"/>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99"/>
    </row>
    <row r="20" spans="2:165" x14ac:dyDescent="0.3">
      <c r="C20" s="98"/>
      <c r="D20" s="187" t="s">
        <v>87</v>
      </c>
      <c r="E20" s="188"/>
      <c r="F20" s="188"/>
      <c r="G20" s="188"/>
      <c r="H20" s="188"/>
      <c r="I20" s="188"/>
      <c r="J20" s="188"/>
      <c r="K20" s="188"/>
      <c r="L20" s="188"/>
      <c r="M20" s="188"/>
      <c r="N20" s="188"/>
      <c r="O20" s="188"/>
      <c r="P20" s="188"/>
      <c r="Q20" s="188"/>
      <c r="R20" s="188"/>
      <c r="S20" s="188"/>
      <c r="T20" s="188"/>
      <c r="U20" s="188"/>
      <c r="V20" s="188"/>
      <c r="W20" s="188"/>
      <c r="X20" s="188"/>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c r="BQ20" s="188"/>
      <c r="BR20" s="188"/>
      <c r="BS20" s="188"/>
      <c r="BT20" s="188"/>
      <c r="BU20" s="188"/>
      <c r="BV20" s="188"/>
      <c r="BW20" s="188"/>
      <c r="BX20" s="188"/>
      <c r="BY20" s="188"/>
      <c r="BZ20" s="188"/>
      <c r="CA20" s="188"/>
      <c r="CB20" s="188"/>
      <c r="CC20" s="188"/>
      <c r="CD20" s="188"/>
      <c r="CE20" s="188"/>
      <c r="CF20" s="188"/>
      <c r="CG20" s="188"/>
      <c r="CH20" s="188"/>
      <c r="CI20" s="188"/>
      <c r="CJ20" s="188"/>
      <c r="CK20" s="188"/>
      <c r="CL20" s="188"/>
      <c r="CM20" s="188"/>
      <c r="CN20" s="188"/>
      <c r="CO20" s="188"/>
      <c r="CP20" s="188"/>
      <c r="CQ20" s="188"/>
      <c r="CR20" s="188"/>
      <c r="CS20" s="188"/>
      <c r="CT20" s="188"/>
      <c r="CU20" s="188"/>
      <c r="CV20" s="188"/>
      <c r="CW20" s="188"/>
      <c r="CX20" s="188"/>
      <c r="CY20" s="188"/>
      <c r="CZ20" s="188"/>
      <c r="DA20" s="188"/>
      <c r="DB20" s="188"/>
      <c r="DC20" s="188"/>
      <c r="DD20" s="188"/>
      <c r="DE20" s="188"/>
      <c r="DF20" s="188"/>
      <c r="DG20" s="188"/>
      <c r="DH20" s="188"/>
      <c r="DI20" s="188"/>
      <c r="DJ20" s="188"/>
      <c r="DK20" s="188"/>
      <c r="DL20" s="188"/>
      <c r="DM20" s="188"/>
      <c r="DN20" s="188"/>
      <c r="DO20" s="188"/>
      <c r="DP20" s="188"/>
      <c r="DQ20" s="188"/>
      <c r="DR20" s="188"/>
      <c r="DS20" s="188"/>
      <c r="DT20" s="188"/>
      <c r="DU20" s="188"/>
      <c r="DV20" s="188"/>
      <c r="DW20" s="188"/>
      <c r="DX20" s="188"/>
      <c r="DY20" s="188"/>
      <c r="DZ20" s="188"/>
      <c r="EA20" s="188"/>
      <c r="EB20" s="188"/>
      <c r="EC20" s="188"/>
      <c r="ED20" s="188"/>
      <c r="EE20" s="188"/>
      <c r="EF20" s="188"/>
      <c r="EG20" s="188"/>
      <c r="EH20" s="188"/>
      <c r="EI20" s="188"/>
      <c r="EJ20" s="188"/>
      <c r="EK20" s="188"/>
      <c r="EL20" s="188"/>
      <c r="EM20" s="188"/>
      <c r="EN20" s="188"/>
      <c r="EO20" s="188"/>
      <c r="EP20" s="188"/>
      <c r="EQ20" s="188"/>
      <c r="ER20" s="188"/>
      <c r="ES20" s="188"/>
      <c r="ET20" s="188"/>
      <c r="EU20" s="188"/>
      <c r="EV20" s="188"/>
      <c r="EW20" s="188"/>
      <c r="EX20" s="188"/>
      <c r="EY20" s="188"/>
      <c r="EZ20" s="188"/>
      <c r="FA20" s="188"/>
      <c r="FB20" s="188"/>
      <c r="FC20" s="188"/>
      <c r="FD20" s="188"/>
      <c r="FE20" s="189"/>
      <c r="FF20" s="1" t="s">
        <v>39</v>
      </c>
      <c r="FG20" s="1"/>
      <c r="FH20" s="1"/>
      <c r="FI20" s="99"/>
    </row>
    <row r="21" spans="2:165" x14ac:dyDescent="0.3">
      <c r="C21" s="98"/>
      <c r="D21" s="190" t="s">
        <v>67</v>
      </c>
      <c r="E21" s="191">
        <v>0</v>
      </c>
      <c r="F21" s="191">
        <v>1</v>
      </c>
      <c r="G21" s="191">
        <v>1</v>
      </c>
      <c r="H21" s="191">
        <v>1</v>
      </c>
      <c r="I21" s="191">
        <v>1</v>
      </c>
      <c r="J21" s="191">
        <v>1</v>
      </c>
      <c r="K21" s="191">
        <v>1</v>
      </c>
      <c r="L21" s="191">
        <v>1</v>
      </c>
      <c r="M21" s="191">
        <v>1</v>
      </c>
      <c r="N21" s="191">
        <v>1</v>
      </c>
      <c r="O21" s="191">
        <v>1</v>
      </c>
      <c r="P21" s="191">
        <v>1</v>
      </c>
      <c r="Q21" s="191">
        <v>1</v>
      </c>
      <c r="R21" s="191">
        <f>1+F21</f>
        <v>2</v>
      </c>
      <c r="S21" s="191">
        <f t="shared" ref="S21:CD21" si="2">1+G21</f>
        <v>2</v>
      </c>
      <c r="T21" s="191">
        <f t="shared" si="2"/>
        <v>2</v>
      </c>
      <c r="U21" s="191">
        <f t="shared" si="2"/>
        <v>2</v>
      </c>
      <c r="V21" s="191">
        <f t="shared" si="2"/>
        <v>2</v>
      </c>
      <c r="W21" s="191">
        <f t="shared" si="2"/>
        <v>2</v>
      </c>
      <c r="X21" s="191">
        <f t="shared" si="2"/>
        <v>2</v>
      </c>
      <c r="Y21" s="191">
        <f t="shared" si="2"/>
        <v>2</v>
      </c>
      <c r="Z21" s="191">
        <f t="shared" si="2"/>
        <v>2</v>
      </c>
      <c r="AA21" s="191">
        <f t="shared" si="2"/>
        <v>2</v>
      </c>
      <c r="AB21" s="191">
        <f t="shared" si="2"/>
        <v>2</v>
      </c>
      <c r="AC21" s="191">
        <f t="shared" si="2"/>
        <v>2</v>
      </c>
      <c r="AD21" s="191">
        <f t="shared" si="2"/>
        <v>3</v>
      </c>
      <c r="AE21" s="191">
        <f t="shared" si="2"/>
        <v>3</v>
      </c>
      <c r="AF21" s="191">
        <f t="shared" si="2"/>
        <v>3</v>
      </c>
      <c r="AG21" s="191">
        <f t="shared" si="2"/>
        <v>3</v>
      </c>
      <c r="AH21" s="191">
        <f t="shared" si="2"/>
        <v>3</v>
      </c>
      <c r="AI21" s="191">
        <f t="shared" si="2"/>
        <v>3</v>
      </c>
      <c r="AJ21" s="191">
        <f t="shared" si="2"/>
        <v>3</v>
      </c>
      <c r="AK21" s="191">
        <f t="shared" si="2"/>
        <v>3</v>
      </c>
      <c r="AL21" s="191">
        <f t="shared" si="2"/>
        <v>3</v>
      </c>
      <c r="AM21" s="191">
        <f t="shared" si="2"/>
        <v>3</v>
      </c>
      <c r="AN21" s="191">
        <f t="shared" si="2"/>
        <v>3</v>
      </c>
      <c r="AO21" s="191">
        <f t="shared" si="2"/>
        <v>3</v>
      </c>
      <c r="AP21" s="191">
        <f t="shared" si="2"/>
        <v>4</v>
      </c>
      <c r="AQ21" s="191">
        <f t="shared" si="2"/>
        <v>4</v>
      </c>
      <c r="AR21" s="191">
        <f t="shared" si="2"/>
        <v>4</v>
      </c>
      <c r="AS21" s="191">
        <f t="shared" si="2"/>
        <v>4</v>
      </c>
      <c r="AT21" s="191">
        <f t="shared" si="2"/>
        <v>4</v>
      </c>
      <c r="AU21" s="191">
        <f t="shared" si="2"/>
        <v>4</v>
      </c>
      <c r="AV21" s="191">
        <f t="shared" si="2"/>
        <v>4</v>
      </c>
      <c r="AW21" s="191">
        <f t="shared" si="2"/>
        <v>4</v>
      </c>
      <c r="AX21" s="191">
        <f t="shared" si="2"/>
        <v>4</v>
      </c>
      <c r="AY21" s="191">
        <f t="shared" si="2"/>
        <v>4</v>
      </c>
      <c r="AZ21" s="191">
        <f t="shared" si="2"/>
        <v>4</v>
      </c>
      <c r="BA21" s="191">
        <f t="shared" si="2"/>
        <v>4</v>
      </c>
      <c r="BB21" s="191">
        <f t="shared" si="2"/>
        <v>5</v>
      </c>
      <c r="BC21" s="191">
        <f t="shared" si="2"/>
        <v>5</v>
      </c>
      <c r="BD21" s="191">
        <f t="shared" si="2"/>
        <v>5</v>
      </c>
      <c r="BE21" s="191">
        <f t="shared" si="2"/>
        <v>5</v>
      </c>
      <c r="BF21" s="191">
        <f t="shared" si="2"/>
        <v>5</v>
      </c>
      <c r="BG21" s="191">
        <f t="shared" si="2"/>
        <v>5</v>
      </c>
      <c r="BH21" s="191">
        <f t="shared" si="2"/>
        <v>5</v>
      </c>
      <c r="BI21" s="191">
        <f t="shared" si="2"/>
        <v>5</v>
      </c>
      <c r="BJ21" s="191">
        <f t="shared" si="2"/>
        <v>5</v>
      </c>
      <c r="BK21" s="191">
        <f t="shared" si="2"/>
        <v>5</v>
      </c>
      <c r="BL21" s="191">
        <f t="shared" si="2"/>
        <v>5</v>
      </c>
      <c r="BM21" s="191">
        <f t="shared" si="2"/>
        <v>5</v>
      </c>
      <c r="BN21" s="191">
        <f t="shared" si="2"/>
        <v>6</v>
      </c>
      <c r="BO21" s="191">
        <f t="shared" si="2"/>
        <v>6</v>
      </c>
      <c r="BP21" s="191">
        <f t="shared" si="2"/>
        <v>6</v>
      </c>
      <c r="BQ21" s="191">
        <f t="shared" si="2"/>
        <v>6</v>
      </c>
      <c r="BR21" s="191">
        <f t="shared" si="2"/>
        <v>6</v>
      </c>
      <c r="BS21" s="191">
        <f t="shared" si="2"/>
        <v>6</v>
      </c>
      <c r="BT21" s="191">
        <f t="shared" si="2"/>
        <v>6</v>
      </c>
      <c r="BU21" s="191">
        <f t="shared" si="2"/>
        <v>6</v>
      </c>
      <c r="BV21" s="191">
        <f t="shared" si="2"/>
        <v>6</v>
      </c>
      <c r="BW21" s="191">
        <f t="shared" si="2"/>
        <v>6</v>
      </c>
      <c r="BX21" s="191">
        <f t="shared" si="2"/>
        <v>6</v>
      </c>
      <c r="BY21" s="191">
        <f t="shared" si="2"/>
        <v>6</v>
      </c>
      <c r="BZ21" s="191">
        <f t="shared" si="2"/>
        <v>7</v>
      </c>
      <c r="CA21" s="191">
        <f t="shared" si="2"/>
        <v>7</v>
      </c>
      <c r="CB21" s="191">
        <f t="shared" si="2"/>
        <v>7</v>
      </c>
      <c r="CC21" s="191">
        <f t="shared" si="2"/>
        <v>7</v>
      </c>
      <c r="CD21" s="191">
        <f t="shared" si="2"/>
        <v>7</v>
      </c>
      <c r="CE21" s="191">
        <f t="shared" ref="CE21:EP21" si="3">1+BS21</f>
        <v>7</v>
      </c>
      <c r="CF21" s="191">
        <f t="shared" si="3"/>
        <v>7</v>
      </c>
      <c r="CG21" s="191">
        <f t="shared" si="3"/>
        <v>7</v>
      </c>
      <c r="CH21" s="191">
        <f t="shared" si="3"/>
        <v>7</v>
      </c>
      <c r="CI21" s="191">
        <f t="shared" si="3"/>
        <v>7</v>
      </c>
      <c r="CJ21" s="191">
        <f t="shared" si="3"/>
        <v>7</v>
      </c>
      <c r="CK21" s="191">
        <f t="shared" si="3"/>
        <v>7</v>
      </c>
      <c r="CL21" s="191">
        <f t="shared" si="3"/>
        <v>8</v>
      </c>
      <c r="CM21" s="191">
        <f t="shared" si="3"/>
        <v>8</v>
      </c>
      <c r="CN21" s="191">
        <f t="shared" si="3"/>
        <v>8</v>
      </c>
      <c r="CO21" s="191">
        <f t="shared" si="3"/>
        <v>8</v>
      </c>
      <c r="CP21" s="191">
        <f t="shared" si="3"/>
        <v>8</v>
      </c>
      <c r="CQ21" s="191">
        <f t="shared" si="3"/>
        <v>8</v>
      </c>
      <c r="CR21" s="191">
        <f t="shared" si="3"/>
        <v>8</v>
      </c>
      <c r="CS21" s="191">
        <f t="shared" si="3"/>
        <v>8</v>
      </c>
      <c r="CT21" s="191">
        <f t="shared" si="3"/>
        <v>8</v>
      </c>
      <c r="CU21" s="191">
        <f t="shared" si="3"/>
        <v>8</v>
      </c>
      <c r="CV21" s="191">
        <f t="shared" si="3"/>
        <v>8</v>
      </c>
      <c r="CW21" s="191">
        <f t="shared" si="3"/>
        <v>8</v>
      </c>
      <c r="CX21" s="191">
        <f t="shared" si="3"/>
        <v>9</v>
      </c>
      <c r="CY21" s="191">
        <f t="shared" si="3"/>
        <v>9</v>
      </c>
      <c r="CZ21" s="191">
        <f t="shared" si="3"/>
        <v>9</v>
      </c>
      <c r="DA21" s="191">
        <f t="shared" si="3"/>
        <v>9</v>
      </c>
      <c r="DB21" s="191">
        <f t="shared" si="3"/>
        <v>9</v>
      </c>
      <c r="DC21" s="191">
        <f t="shared" si="3"/>
        <v>9</v>
      </c>
      <c r="DD21" s="191">
        <f t="shared" si="3"/>
        <v>9</v>
      </c>
      <c r="DE21" s="191">
        <f t="shared" si="3"/>
        <v>9</v>
      </c>
      <c r="DF21" s="191">
        <f t="shared" si="3"/>
        <v>9</v>
      </c>
      <c r="DG21" s="191">
        <f t="shared" si="3"/>
        <v>9</v>
      </c>
      <c r="DH21" s="191">
        <f t="shared" si="3"/>
        <v>9</v>
      </c>
      <c r="DI21" s="191">
        <f t="shared" si="3"/>
        <v>9</v>
      </c>
      <c r="DJ21" s="191">
        <f t="shared" si="3"/>
        <v>10</v>
      </c>
      <c r="DK21" s="191">
        <f t="shared" si="3"/>
        <v>10</v>
      </c>
      <c r="DL21" s="191">
        <f t="shared" si="3"/>
        <v>10</v>
      </c>
      <c r="DM21" s="191">
        <f t="shared" si="3"/>
        <v>10</v>
      </c>
      <c r="DN21" s="191">
        <f t="shared" si="3"/>
        <v>10</v>
      </c>
      <c r="DO21" s="191">
        <f t="shared" si="3"/>
        <v>10</v>
      </c>
      <c r="DP21" s="191">
        <f t="shared" si="3"/>
        <v>10</v>
      </c>
      <c r="DQ21" s="191">
        <f t="shared" si="3"/>
        <v>10</v>
      </c>
      <c r="DR21" s="191">
        <f t="shared" si="3"/>
        <v>10</v>
      </c>
      <c r="DS21" s="191">
        <f t="shared" si="3"/>
        <v>10</v>
      </c>
      <c r="DT21" s="191">
        <f t="shared" si="3"/>
        <v>10</v>
      </c>
      <c r="DU21" s="191">
        <f t="shared" si="3"/>
        <v>10</v>
      </c>
      <c r="DV21" s="191">
        <f t="shared" si="3"/>
        <v>11</v>
      </c>
      <c r="DW21" s="191">
        <f t="shared" si="3"/>
        <v>11</v>
      </c>
      <c r="DX21" s="191">
        <f t="shared" si="3"/>
        <v>11</v>
      </c>
      <c r="DY21" s="191">
        <f t="shared" si="3"/>
        <v>11</v>
      </c>
      <c r="DZ21" s="191">
        <f t="shared" si="3"/>
        <v>11</v>
      </c>
      <c r="EA21" s="191">
        <f t="shared" si="3"/>
        <v>11</v>
      </c>
      <c r="EB21" s="191">
        <f t="shared" si="3"/>
        <v>11</v>
      </c>
      <c r="EC21" s="191">
        <f t="shared" si="3"/>
        <v>11</v>
      </c>
      <c r="ED21" s="191">
        <f t="shared" si="3"/>
        <v>11</v>
      </c>
      <c r="EE21" s="191">
        <f t="shared" si="3"/>
        <v>11</v>
      </c>
      <c r="EF21" s="191">
        <f t="shared" si="3"/>
        <v>11</v>
      </c>
      <c r="EG21" s="191">
        <f t="shared" si="3"/>
        <v>11</v>
      </c>
      <c r="EH21" s="191">
        <f t="shared" si="3"/>
        <v>12</v>
      </c>
      <c r="EI21" s="191">
        <f t="shared" si="3"/>
        <v>12</v>
      </c>
      <c r="EJ21" s="191">
        <f t="shared" si="3"/>
        <v>12</v>
      </c>
      <c r="EK21" s="191">
        <f t="shared" si="3"/>
        <v>12</v>
      </c>
      <c r="EL21" s="191">
        <f t="shared" si="3"/>
        <v>12</v>
      </c>
      <c r="EM21" s="191">
        <f t="shared" si="3"/>
        <v>12</v>
      </c>
      <c r="EN21" s="191">
        <f t="shared" si="3"/>
        <v>12</v>
      </c>
      <c r="EO21" s="191">
        <f t="shared" si="3"/>
        <v>12</v>
      </c>
      <c r="EP21" s="191">
        <f t="shared" si="3"/>
        <v>12</v>
      </c>
      <c r="EQ21" s="191">
        <f t="shared" ref="EQ21:FD21" si="4">1+EE21</f>
        <v>12</v>
      </c>
      <c r="ER21" s="191">
        <f t="shared" si="4"/>
        <v>12</v>
      </c>
      <c r="ES21" s="191">
        <f t="shared" si="4"/>
        <v>12</v>
      </c>
      <c r="ET21" s="191">
        <f t="shared" si="4"/>
        <v>13</v>
      </c>
      <c r="EU21" s="191">
        <f t="shared" si="4"/>
        <v>13</v>
      </c>
      <c r="EV21" s="191">
        <f t="shared" si="4"/>
        <v>13</v>
      </c>
      <c r="EW21" s="191">
        <f t="shared" si="4"/>
        <v>13</v>
      </c>
      <c r="EX21" s="191">
        <f t="shared" si="4"/>
        <v>13</v>
      </c>
      <c r="EY21" s="191">
        <f t="shared" si="4"/>
        <v>13</v>
      </c>
      <c r="EZ21" s="191">
        <f t="shared" si="4"/>
        <v>13</v>
      </c>
      <c r="FA21" s="191">
        <f t="shared" si="4"/>
        <v>13</v>
      </c>
      <c r="FB21" s="191">
        <f t="shared" si="4"/>
        <v>13</v>
      </c>
      <c r="FC21" s="191">
        <f t="shared" si="4"/>
        <v>13</v>
      </c>
      <c r="FD21" s="191">
        <f t="shared" si="4"/>
        <v>13</v>
      </c>
      <c r="FE21" s="192">
        <f t="shared" ref="FE21" si="5">1+ES21</f>
        <v>13</v>
      </c>
      <c r="FF21" s="1"/>
      <c r="FG21" s="1"/>
      <c r="FH21" s="1"/>
      <c r="FI21" s="99"/>
    </row>
    <row r="22" spans="2:165" x14ac:dyDescent="0.3">
      <c r="C22" s="98"/>
      <c r="D22" s="190" t="s">
        <v>68</v>
      </c>
      <c r="E22" s="191">
        <v>0</v>
      </c>
      <c r="F22" s="191">
        <v>1</v>
      </c>
      <c r="G22" s="191">
        <v>2</v>
      </c>
      <c r="H22" s="191">
        <v>3</v>
      </c>
      <c r="I22" s="191">
        <v>4</v>
      </c>
      <c r="J22" s="191">
        <v>5</v>
      </c>
      <c r="K22" s="191">
        <v>6</v>
      </c>
      <c r="L22" s="191">
        <v>7</v>
      </c>
      <c r="M22" s="191">
        <v>8</v>
      </c>
      <c r="N22" s="191">
        <v>9</v>
      </c>
      <c r="O22" s="191">
        <v>10</v>
      </c>
      <c r="P22" s="191">
        <v>11</v>
      </c>
      <c r="Q22" s="191">
        <v>12</v>
      </c>
      <c r="R22" s="191">
        <v>13</v>
      </c>
      <c r="S22" s="191">
        <v>14</v>
      </c>
      <c r="T22" s="191">
        <v>15</v>
      </c>
      <c r="U22" s="191">
        <v>16</v>
      </c>
      <c r="V22" s="191">
        <v>17</v>
      </c>
      <c r="W22" s="191">
        <v>18</v>
      </c>
      <c r="X22" s="191">
        <v>19</v>
      </c>
      <c r="Y22" s="191">
        <v>20</v>
      </c>
      <c r="Z22" s="191">
        <v>21</v>
      </c>
      <c r="AA22" s="191">
        <v>22</v>
      </c>
      <c r="AB22" s="191">
        <v>23</v>
      </c>
      <c r="AC22" s="191">
        <v>24</v>
      </c>
      <c r="AD22" s="191">
        <v>25</v>
      </c>
      <c r="AE22" s="191">
        <v>26</v>
      </c>
      <c r="AF22" s="191">
        <v>27</v>
      </c>
      <c r="AG22" s="191">
        <v>28</v>
      </c>
      <c r="AH22" s="191">
        <v>29</v>
      </c>
      <c r="AI22" s="191">
        <v>30</v>
      </c>
      <c r="AJ22" s="191">
        <v>31</v>
      </c>
      <c r="AK22" s="191">
        <v>32</v>
      </c>
      <c r="AL22" s="191">
        <v>33</v>
      </c>
      <c r="AM22" s="191">
        <v>34</v>
      </c>
      <c r="AN22" s="191">
        <v>35</v>
      </c>
      <c r="AO22" s="191">
        <v>36</v>
      </c>
      <c r="AP22" s="191">
        <v>37</v>
      </c>
      <c r="AQ22" s="191">
        <v>38</v>
      </c>
      <c r="AR22" s="191">
        <v>39</v>
      </c>
      <c r="AS22" s="191">
        <v>40</v>
      </c>
      <c r="AT22" s="191">
        <v>41</v>
      </c>
      <c r="AU22" s="191">
        <v>42</v>
      </c>
      <c r="AV22" s="191">
        <v>43</v>
      </c>
      <c r="AW22" s="191">
        <v>44</v>
      </c>
      <c r="AX22" s="191">
        <v>45</v>
      </c>
      <c r="AY22" s="191">
        <v>46</v>
      </c>
      <c r="AZ22" s="191">
        <v>47</v>
      </c>
      <c r="BA22" s="191">
        <v>48</v>
      </c>
      <c r="BB22" s="191">
        <v>49</v>
      </c>
      <c r="BC22" s="191">
        <v>50</v>
      </c>
      <c r="BD22" s="191">
        <v>51</v>
      </c>
      <c r="BE22" s="191">
        <v>52</v>
      </c>
      <c r="BF22" s="191">
        <v>53</v>
      </c>
      <c r="BG22" s="191">
        <v>54</v>
      </c>
      <c r="BH22" s="191">
        <v>55</v>
      </c>
      <c r="BI22" s="191">
        <v>56</v>
      </c>
      <c r="BJ22" s="191">
        <v>57</v>
      </c>
      <c r="BK22" s="191">
        <v>58</v>
      </c>
      <c r="BL22" s="191">
        <v>59</v>
      </c>
      <c r="BM22" s="191">
        <v>60</v>
      </c>
      <c r="BN22" s="191">
        <v>61</v>
      </c>
      <c r="BO22" s="191">
        <v>62</v>
      </c>
      <c r="BP22" s="191">
        <v>63</v>
      </c>
      <c r="BQ22" s="191">
        <v>64</v>
      </c>
      <c r="BR22" s="191">
        <v>65</v>
      </c>
      <c r="BS22" s="191">
        <v>66</v>
      </c>
      <c r="BT22" s="191">
        <v>67</v>
      </c>
      <c r="BU22" s="191">
        <v>68</v>
      </c>
      <c r="BV22" s="191">
        <v>69</v>
      </c>
      <c r="BW22" s="191">
        <v>70</v>
      </c>
      <c r="BX22" s="191">
        <v>71</v>
      </c>
      <c r="BY22" s="191">
        <v>72</v>
      </c>
      <c r="BZ22" s="191">
        <v>73</v>
      </c>
      <c r="CA22" s="191">
        <v>74</v>
      </c>
      <c r="CB22" s="191">
        <v>75</v>
      </c>
      <c r="CC22" s="191">
        <v>76</v>
      </c>
      <c r="CD22" s="191">
        <v>77</v>
      </c>
      <c r="CE22" s="191">
        <v>78</v>
      </c>
      <c r="CF22" s="191">
        <v>79</v>
      </c>
      <c r="CG22" s="191">
        <v>80</v>
      </c>
      <c r="CH22" s="191">
        <v>81</v>
      </c>
      <c r="CI22" s="191">
        <v>82</v>
      </c>
      <c r="CJ22" s="191">
        <v>83</v>
      </c>
      <c r="CK22" s="191">
        <v>84</v>
      </c>
      <c r="CL22" s="191">
        <v>85</v>
      </c>
      <c r="CM22" s="191">
        <v>86</v>
      </c>
      <c r="CN22" s="191">
        <v>87</v>
      </c>
      <c r="CO22" s="191">
        <v>88</v>
      </c>
      <c r="CP22" s="191">
        <v>89</v>
      </c>
      <c r="CQ22" s="191">
        <v>90</v>
      </c>
      <c r="CR22" s="191">
        <v>91</v>
      </c>
      <c r="CS22" s="191">
        <v>92</v>
      </c>
      <c r="CT22" s="191">
        <v>93</v>
      </c>
      <c r="CU22" s="191">
        <v>94</v>
      </c>
      <c r="CV22" s="191">
        <v>95</v>
      </c>
      <c r="CW22" s="191">
        <v>96</v>
      </c>
      <c r="CX22" s="191">
        <v>97</v>
      </c>
      <c r="CY22" s="191">
        <v>98</v>
      </c>
      <c r="CZ22" s="191">
        <v>99</v>
      </c>
      <c r="DA22" s="191">
        <v>100</v>
      </c>
      <c r="DB22" s="191">
        <v>101</v>
      </c>
      <c r="DC22" s="191">
        <v>102</v>
      </c>
      <c r="DD22" s="191">
        <v>103</v>
      </c>
      <c r="DE22" s="191">
        <v>104</v>
      </c>
      <c r="DF22" s="191">
        <v>105</v>
      </c>
      <c r="DG22" s="191">
        <v>106</v>
      </c>
      <c r="DH22" s="191">
        <v>107</v>
      </c>
      <c r="DI22" s="191">
        <v>108</v>
      </c>
      <c r="DJ22" s="191">
        <v>109</v>
      </c>
      <c r="DK22" s="191">
        <v>110</v>
      </c>
      <c r="DL22" s="191">
        <v>111</v>
      </c>
      <c r="DM22" s="191">
        <v>112</v>
      </c>
      <c r="DN22" s="191">
        <v>113</v>
      </c>
      <c r="DO22" s="191">
        <v>114</v>
      </c>
      <c r="DP22" s="191">
        <v>115</v>
      </c>
      <c r="DQ22" s="191">
        <v>116</v>
      </c>
      <c r="DR22" s="191">
        <v>117</v>
      </c>
      <c r="DS22" s="191">
        <v>118</v>
      </c>
      <c r="DT22" s="191">
        <v>119</v>
      </c>
      <c r="DU22" s="191">
        <v>120</v>
      </c>
      <c r="DV22" s="191">
        <v>121</v>
      </c>
      <c r="DW22" s="191">
        <v>122</v>
      </c>
      <c r="DX22" s="191">
        <v>123</v>
      </c>
      <c r="DY22" s="191">
        <v>124</v>
      </c>
      <c r="DZ22" s="191">
        <v>125</v>
      </c>
      <c r="EA22" s="191">
        <v>126</v>
      </c>
      <c r="EB22" s="191">
        <v>127</v>
      </c>
      <c r="EC22" s="191">
        <v>128</v>
      </c>
      <c r="ED22" s="191">
        <v>129</v>
      </c>
      <c r="EE22" s="191">
        <v>130</v>
      </c>
      <c r="EF22" s="191">
        <v>131</v>
      </c>
      <c r="EG22" s="191">
        <v>132</v>
      </c>
      <c r="EH22" s="191">
        <v>133</v>
      </c>
      <c r="EI22" s="191">
        <v>134</v>
      </c>
      <c r="EJ22" s="191">
        <v>135</v>
      </c>
      <c r="EK22" s="191">
        <v>136</v>
      </c>
      <c r="EL22" s="191">
        <v>137</v>
      </c>
      <c r="EM22" s="191">
        <v>138</v>
      </c>
      <c r="EN22" s="191">
        <v>139</v>
      </c>
      <c r="EO22" s="191">
        <v>140</v>
      </c>
      <c r="EP22" s="191">
        <v>141</v>
      </c>
      <c r="EQ22" s="191">
        <v>142</v>
      </c>
      <c r="ER22" s="191">
        <v>143</v>
      </c>
      <c r="ES22" s="191">
        <v>144</v>
      </c>
      <c r="ET22" s="191">
        <v>145</v>
      </c>
      <c r="EU22" s="191">
        <v>146</v>
      </c>
      <c r="EV22" s="191">
        <v>147</v>
      </c>
      <c r="EW22" s="191">
        <v>148</v>
      </c>
      <c r="EX22" s="191">
        <v>149</v>
      </c>
      <c r="EY22" s="191">
        <v>150</v>
      </c>
      <c r="EZ22" s="191">
        <v>151</v>
      </c>
      <c r="FA22" s="191">
        <v>152</v>
      </c>
      <c r="FB22" s="191">
        <v>153</v>
      </c>
      <c r="FC22" s="191">
        <v>154</v>
      </c>
      <c r="FD22" s="191">
        <v>155</v>
      </c>
      <c r="FE22" s="192">
        <v>156</v>
      </c>
      <c r="FF22" s="1" t="s">
        <v>39</v>
      </c>
      <c r="FG22" s="1"/>
      <c r="FH22" s="1"/>
      <c r="FI22" s="99"/>
    </row>
    <row r="23" spans="2:165" x14ac:dyDescent="0.3">
      <c r="C23" s="98"/>
      <c r="D23" s="193" t="s">
        <v>68</v>
      </c>
      <c r="E23" s="194">
        <f>'A&amp;Rs'!K10</f>
        <v>46174</v>
      </c>
      <c r="F23" s="194">
        <f t="shared" ref="F23:AK23" si="6">EOMONTH(E23,0)+1</f>
        <v>46204</v>
      </c>
      <c r="G23" s="194">
        <f t="shared" si="6"/>
        <v>46235</v>
      </c>
      <c r="H23" s="194">
        <f t="shared" si="6"/>
        <v>46266</v>
      </c>
      <c r="I23" s="194">
        <f t="shared" si="6"/>
        <v>46296</v>
      </c>
      <c r="J23" s="194">
        <f t="shared" si="6"/>
        <v>46327</v>
      </c>
      <c r="K23" s="194">
        <f t="shared" si="6"/>
        <v>46357</v>
      </c>
      <c r="L23" s="194">
        <f t="shared" si="6"/>
        <v>46388</v>
      </c>
      <c r="M23" s="194">
        <f t="shared" si="6"/>
        <v>46419</v>
      </c>
      <c r="N23" s="194">
        <f t="shared" si="6"/>
        <v>46447</v>
      </c>
      <c r="O23" s="194">
        <f t="shared" si="6"/>
        <v>46478</v>
      </c>
      <c r="P23" s="194">
        <f t="shared" si="6"/>
        <v>46508</v>
      </c>
      <c r="Q23" s="194">
        <f t="shared" si="6"/>
        <v>46539</v>
      </c>
      <c r="R23" s="194">
        <f t="shared" si="6"/>
        <v>46569</v>
      </c>
      <c r="S23" s="194">
        <f t="shared" si="6"/>
        <v>46600</v>
      </c>
      <c r="T23" s="194">
        <f t="shared" si="6"/>
        <v>46631</v>
      </c>
      <c r="U23" s="194">
        <f t="shared" si="6"/>
        <v>46661</v>
      </c>
      <c r="V23" s="194">
        <f t="shared" si="6"/>
        <v>46692</v>
      </c>
      <c r="W23" s="194">
        <f t="shared" si="6"/>
        <v>46722</v>
      </c>
      <c r="X23" s="194">
        <f t="shared" si="6"/>
        <v>46753</v>
      </c>
      <c r="Y23" s="194">
        <f t="shared" si="6"/>
        <v>46784</v>
      </c>
      <c r="Z23" s="194">
        <f t="shared" si="6"/>
        <v>46813</v>
      </c>
      <c r="AA23" s="194">
        <f t="shared" si="6"/>
        <v>46844</v>
      </c>
      <c r="AB23" s="194">
        <f t="shared" si="6"/>
        <v>46874</v>
      </c>
      <c r="AC23" s="194">
        <f t="shared" si="6"/>
        <v>46905</v>
      </c>
      <c r="AD23" s="194">
        <f t="shared" si="6"/>
        <v>46935</v>
      </c>
      <c r="AE23" s="194">
        <f t="shared" si="6"/>
        <v>46966</v>
      </c>
      <c r="AF23" s="194">
        <f t="shared" si="6"/>
        <v>46997</v>
      </c>
      <c r="AG23" s="194">
        <f t="shared" si="6"/>
        <v>47027</v>
      </c>
      <c r="AH23" s="194">
        <f t="shared" si="6"/>
        <v>47058</v>
      </c>
      <c r="AI23" s="194">
        <f t="shared" si="6"/>
        <v>47088</v>
      </c>
      <c r="AJ23" s="194">
        <f t="shared" si="6"/>
        <v>47119</v>
      </c>
      <c r="AK23" s="194">
        <f t="shared" si="6"/>
        <v>47150</v>
      </c>
      <c r="AL23" s="194">
        <f t="shared" ref="AL23:BQ23" si="7">EOMONTH(AK23,0)+1</f>
        <v>47178</v>
      </c>
      <c r="AM23" s="194">
        <f t="shared" si="7"/>
        <v>47209</v>
      </c>
      <c r="AN23" s="194">
        <f t="shared" si="7"/>
        <v>47239</v>
      </c>
      <c r="AO23" s="194">
        <f t="shared" si="7"/>
        <v>47270</v>
      </c>
      <c r="AP23" s="194">
        <f t="shared" si="7"/>
        <v>47300</v>
      </c>
      <c r="AQ23" s="194">
        <f t="shared" si="7"/>
        <v>47331</v>
      </c>
      <c r="AR23" s="194">
        <f t="shared" si="7"/>
        <v>47362</v>
      </c>
      <c r="AS23" s="194">
        <f t="shared" si="7"/>
        <v>47392</v>
      </c>
      <c r="AT23" s="194">
        <f t="shared" si="7"/>
        <v>47423</v>
      </c>
      <c r="AU23" s="194">
        <f t="shared" si="7"/>
        <v>47453</v>
      </c>
      <c r="AV23" s="194">
        <f t="shared" si="7"/>
        <v>47484</v>
      </c>
      <c r="AW23" s="194">
        <f t="shared" si="7"/>
        <v>47515</v>
      </c>
      <c r="AX23" s="194">
        <f t="shared" si="7"/>
        <v>47543</v>
      </c>
      <c r="AY23" s="194">
        <f t="shared" si="7"/>
        <v>47574</v>
      </c>
      <c r="AZ23" s="194">
        <f t="shared" si="7"/>
        <v>47604</v>
      </c>
      <c r="BA23" s="194">
        <f t="shared" si="7"/>
        <v>47635</v>
      </c>
      <c r="BB23" s="194">
        <f t="shared" si="7"/>
        <v>47665</v>
      </c>
      <c r="BC23" s="194">
        <f t="shared" si="7"/>
        <v>47696</v>
      </c>
      <c r="BD23" s="194">
        <f t="shared" si="7"/>
        <v>47727</v>
      </c>
      <c r="BE23" s="194">
        <f t="shared" si="7"/>
        <v>47757</v>
      </c>
      <c r="BF23" s="194">
        <f t="shared" si="7"/>
        <v>47788</v>
      </c>
      <c r="BG23" s="194">
        <f t="shared" si="7"/>
        <v>47818</v>
      </c>
      <c r="BH23" s="194">
        <f t="shared" si="7"/>
        <v>47849</v>
      </c>
      <c r="BI23" s="194">
        <f t="shared" si="7"/>
        <v>47880</v>
      </c>
      <c r="BJ23" s="194">
        <f t="shared" si="7"/>
        <v>47908</v>
      </c>
      <c r="BK23" s="194">
        <f t="shared" si="7"/>
        <v>47939</v>
      </c>
      <c r="BL23" s="194">
        <f t="shared" si="7"/>
        <v>47969</v>
      </c>
      <c r="BM23" s="194">
        <f t="shared" si="7"/>
        <v>48000</v>
      </c>
      <c r="BN23" s="194">
        <f t="shared" si="7"/>
        <v>48030</v>
      </c>
      <c r="BO23" s="194">
        <f t="shared" si="7"/>
        <v>48061</v>
      </c>
      <c r="BP23" s="194">
        <f t="shared" si="7"/>
        <v>48092</v>
      </c>
      <c r="BQ23" s="194">
        <f t="shared" si="7"/>
        <v>48122</v>
      </c>
      <c r="BR23" s="194">
        <f t="shared" ref="BR23:CW23" si="8">EOMONTH(BQ23,0)+1</f>
        <v>48153</v>
      </c>
      <c r="BS23" s="194">
        <f t="shared" si="8"/>
        <v>48183</v>
      </c>
      <c r="BT23" s="194">
        <f t="shared" si="8"/>
        <v>48214</v>
      </c>
      <c r="BU23" s="194">
        <f t="shared" si="8"/>
        <v>48245</v>
      </c>
      <c r="BV23" s="194">
        <f t="shared" si="8"/>
        <v>48274</v>
      </c>
      <c r="BW23" s="194">
        <f t="shared" si="8"/>
        <v>48305</v>
      </c>
      <c r="BX23" s="194">
        <f t="shared" si="8"/>
        <v>48335</v>
      </c>
      <c r="BY23" s="194">
        <f t="shared" si="8"/>
        <v>48366</v>
      </c>
      <c r="BZ23" s="194">
        <f t="shared" si="8"/>
        <v>48396</v>
      </c>
      <c r="CA23" s="194">
        <f t="shared" si="8"/>
        <v>48427</v>
      </c>
      <c r="CB23" s="194">
        <f t="shared" si="8"/>
        <v>48458</v>
      </c>
      <c r="CC23" s="194">
        <f t="shared" si="8"/>
        <v>48488</v>
      </c>
      <c r="CD23" s="194">
        <f t="shared" si="8"/>
        <v>48519</v>
      </c>
      <c r="CE23" s="194">
        <f t="shared" si="8"/>
        <v>48549</v>
      </c>
      <c r="CF23" s="194">
        <f t="shared" si="8"/>
        <v>48580</v>
      </c>
      <c r="CG23" s="194">
        <f t="shared" si="8"/>
        <v>48611</v>
      </c>
      <c r="CH23" s="194">
        <f t="shared" si="8"/>
        <v>48639</v>
      </c>
      <c r="CI23" s="194">
        <f t="shared" si="8"/>
        <v>48670</v>
      </c>
      <c r="CJ23" s="194">
        <f t="shared" si="8"/>
        <v>48700</v>
      </c>
      <c r="CK23" s="194">
        <f t="shared" si="8"/>
        <v>48731</v>
      </c>
      <c r="CL23" s="194">
        <f t="shared" si="8"/>
        <v>48761</v>
      </c>
      <c r="CM23" s="194">
        <f t="shared" si="8"/>
        <v>48792</v>
      </c>
      <c r="CN23" s="194">
        <f t="shared" si="8"/>
        <v>48823</v>
      </c>
      <c r="CO23" s="194">
        <f t="shared" si="8"/>
        <v>48853</v>
      </c>
      <c r="CP23" s="194">
        <f t="shared" si="8"/>
        <v>48884</v>
      </c>
      <c r="CQ23" s="194">
        <f t="shared" si="8"/>
        <v>48914</v>
      </c>
      <c r="CR23" s="194">
        <f t="shared" si="8"/>
        <v>48945</v>
      </c>
      <c r="CS23" s="194">
        <f t="shared" si="8"/>
        <v>48976</v>
      </c>
      <c r="CT23" s="194">
        <f t="shared" si="8"/>
        <v>49004</v>
      </c>
      <c r="CU23" s="194">
        <f t="shared" si="8"/>
        <v>49035</v>
      </c>
      <c r="CV23" s="194">
        <f t="shared" si="8"/>
        <v>49065</v>
      </c>
      <c r="CW23" s="194">
        <f t="shared" si="8"/>
        <v>49096</v>
      </c>
      <c r="CX23" s="194">
        <f t="shared" ref="CX23:EC23" si="9">EOMONTH(CW23,0)+1</f>
        <v>49126</v>
      </c>
      <c r="CY23" s="194">
        <f t="shared" si="9"/>
        <v>49157</v>
      </c>
      <c r="CZ23" s="194">
        <f t="shared" si="9"/>
        <v>49188</v>
      </c>
      <c r="DA23" s="194">
        <f t="shared" si="9"/>
        <v>49218</v>
      </c>
      <c r="DB23" s="194">
        <f t="shared" si="9"/>
        <v>49249</v>
      </c>
      <c r="DC23" s="194">
        <f t="shared" si="9"/>
        <v>49279</v>
      </c>
      <c r="DD23" s="194">
        <f t="shared" si="9"/>
        <v>49310</v>
      </c>
      <c r="DE23" s="194">
        <f t="shared" si="9"/>
        <v>49341</v>
      </c>
      <c r="DF23" s="194">
        <f t="shared" si="9"/>
        <v>49369</v>
      </c>
      <c r="DG23" s="194">
        <f t="shared" si="9"/>
        <v>49400</v>
      </c>
      <c r="DH23" s="194">
        <f t="shared" si="9"/>
        <v>49430</v>
      </c>
      <c r="DI23" s="194">
        <f t="shared" si="9"/>
        <v>49461</v>
      </c>
      <c r="DJ23" s="194">
        <f t="shared" si="9"/>
        <v>49491</v>
      </c>
      <c r="DK23" s="194">
        <f t="shared" si="9"/>
        <v>49522</v>
      </c>
      <c r="DL23" s="194">
        <f t="shared" si="9"/>
        <v>49553</v>
      </c>
      <c r="DM23" s="194">
        <f t="shared" si="9"/>
        <v>49583</v>
      </c>
      <c r="DN23" s="194">
        <f t="shared" si="9"/>
        <v>49614</v>
      </c>
      <c r="DO23" s="194">
        <f t="shared" si="9"/>
        <v>49644</v>
      </c>
      <c r="DP23" s="194">
        <f t="shared" si="9"/>
        <v>49675</v>
      </c>
      <c r="DQ23" s="194">
        <f t="shared" si="9"/>
        <v>49706</v>
      </c>
      <c r="DR23" s="194">
        <f t="shared" si="9"/>
        <v>49735</v>
      </c>
      <c r="DS23" s="194">
        <f t="shared" si="9"/>
        <v>49766</v>
      </c>
      <c r="DT23" s="194">
        <f t="shared" si="9"/>
        <v>49796</v>
      </c>
      <c r="DU23" s="194">
        <f t="shared" si="9"/>
        <v>49827</v>
      </c>
      <c r="DV23" s="194">
        <f t="shared" si="9"/>
        <v>49857</v>
      </c>
      <c r="DW23" s="194">
        <f t="shared" si="9"/>
        <v>49888</v>
      </c>
      <c r="DX23" s="194">
        <f t="shared" si="9"/>
        <v>49919</v>
      </c>
      <c r="DY23" s="194">
        <f t="shared" si="9"/>
        <v>49949</v>
      </c>
      <c r="DZ23" s="194">
        <f t="shared" si="9"/>
        <v>49980</v>
      </c>
      <c r="EA23" s="194">
        <f t="shared" si="9"/>
        <v>50010</v>
      </c>
      <c r="EB23" s="194">
        <f t="shared" si="9"/>
        <v>50041</v>
      </c>
      <c r="EC23" s="194">
        <f t="shared" si="9"/>
        <v>50072</v>
      </c>
      <c r="ED23" s="194">
        <f t="shared" ref="ED23:FE23" si="10">EOMONTH(EC23,0)+1</f>
        <v>50100</v>
      </c>
      <c r="EE23" s="194">
        <f t="shared" si="10"/>
        <v>50131</v>
      </c>
      <c r="EF23" s="194">
        <f t="shared" si="10"/>
        <v>50161</v>
      </c>
      <c r="EG23" s="194">
        <f t="shared" si="10"/>
        <v>50192</v>
      </c>
      <c r="EH23" s="194">
        <f t="shared" si="10"/>
        <v>50222</v>
      </c>
      <c r="EI23" s="194">
        <f t="shared" si="10"/>
        <v>50253</v>
      </c>
      <c r="EJ23" s="194">
        <f t="shared" si="10"/>
        <v>50284</v>
      </c>
      <c r="EK23" s="194">
        <f t="shared" si="10"/>
        <v>50314</v>
      </c>
      <c r="EL23" s="194">
        <f t="shared" si="10"/>
        <v>50345</v>
      </c>
      <c r="EM23" s="194">
        <f t="shared" si="10"/>
        <v>50375</v>
      </c>
      <c r="EN23" s="194">
        <f t="shared" si="10"/>
        <v>50406</v>
      </c>
      <c r="EO23" s="194">
        <f t="shared" si="10"/>
        <v>50437</v>
      </c>
      <c r="EP23" s="194">
        <f t="shared" si="10"/>
        <v>50465</v>
      </c>
      <c r="EQ23" s="194">
        <f t="shared" si="10"/>
        <v>50496</v>
      </c>
      <c r="ER23" s="194">
        <f t="shared" si="10"/>
        <v>50526</v>
      </c>
      <c r="ES23" s="194">
        <f t="shared" si="10"/>
        <v>50557</v>
      </c>
      <c r="ET23" s="194">
        <f t="shared" si="10"/>
        <v>50587</v>
      </c>
      <c r="EU23" s="194">
        <f t="shared" si="10"/>
        <v>50618</v>
      </c>
      <c r="EV23" s="194">
        <f t="shared" si="10"/>
        <v>50649</v>
      </c>
      <c r="EW23" s="194">
        <f t="shared" si="10"/>
        <v>50679</v>
      </c>
      <c r="EX23" s="194">
        <f t="shared" si="10"/>
        <v>50710</v>
      </c>
      <c r="EY23" s="194">
        <f t="shared" si="10"/>
        <v>50740</v>
      </c>
      <c r="EZ23" s="194">
        <f t="shared" si="10"/>
        <v>50771</v>
      </c>
      <c r="FA23" s="194">
        <f t="shared" si="10"/>
        <v>50802</v>
      </c>
      <c r="FB23" s="194">
        <f t="shared" si="10"/>
        <v>50830</v>
      </c>
      <c r="FC23" s="194">
        <f t="shared" si="10"/>
        <v>50861</v>
      </c>
      <c r="FD23" s="194">
        <f t="shared" si="10"/>
        <v>50891</v>
      </c>
      <c r="FE23" s="195">
        <f t="shared" si="10"/>
        <v>50922</v>
      </c>
      <c r="FF23" s="1" t="s">
        <v>39</v>
      </c>
      <c r="FG23" s="1"/>
      <c r="FH23" s="1"/>
      <c r="FI23" s="99"/>
    </row>
    <row r="24" spans="2:165" x14ac:dyDescent="0.3">
      <c r="C24" s="98"/>
      <c r="D24" s="123">
        <f>'A&amp;Rs'!Q10</f>
        <v>1</v>
      </c>
      <c r="E24" s="56">
        <f>E6</f>
        <v>1170</v>
      </c>
      <c r="F24" s="56">
        <f>IF(F$23&lt;'A&amp;Rs'!$V10,HLOOKUP(F$21,$F$4:$Q$17,$B6),IF(AND(F$23&gt;='A&amp;Rs'!$V10,F$23&lt;'A&amp;Rs'!$X10),0,HLOOKUP(F$21,$U$4:$AF$17,$B6)))</f>
        <v>1170</v>
      </c>
      <c r="G24" s="56">
        <f>IF(G$23&lt;'A&amp;Rs'!$V10,HLOOKUP(G$21,$F$4:$Q$17,$B6),IF(AND(G$23&gt;='A&amp;Rs'!$V10,G$23&lt;'A&amp;Rs'!$X10),0,HLOOKUP(G$21,$U$4:$AF$17,$B6)))</f>
        <v>0</v>
      </c>
      <c r="H24" s="56">
        <f>IF(H$23&lt;'A&amp;Rs'!$V10,HLOOKUP(H$21,$F$4:$Q$17,$B6),IF(AND(H$23&gt;='A&amp;Rs'!$V10,H$23&lt;'A&amp;Rs'!$X10),0,HLOOKUP(H$21,$U$4:$AF$17,$B6)))</f>
        <v>0</v>
      </c>
      <c r="I24" s="56">
        <f>IF(I$23&lt;'A&amp;Rs'!$V10,HLOOKUP(I$21,$F$4:$Q$17,$B6),IF(AND(I$23&gt;='A&amp;Rs'!$V10,I$23&lt;'A&amp;Rs'!$X10),0,HLOOKUP(I$21,$U$4:$AF$17,$B6)))</f>
        <v>1430</v>
      </c>
      <c r="J24" s="56">
        <f>IF(J$23&lt;'A&amp;Rs'!$V10,HLOOKUP(J$21,$F$4:$Q$17,$B6),IF(AND(J$23&gt;='A&amp;Rs'!$V10,J$23&lt;'A&amp;Rs'!$X10),0,HLOOKUP(J$21,$U$4:$AF$17,$B6)))</f>
        <v>1430</v>
      </c>
      <c r="K24" s="56">
        <f>IF(K$23&lt;'A&amp;Rs'!$V10,HLOOKUP(K$21,$F$4:$Q$17,$B6),IF(AND(K$23&gt;='A&amp;Rs'!$V10,K$23&lt;'A&amp;Rs'!$X10),0,HLOOKUP(K$21,$U$4:$AF$17,$B6)))</f>
        <v>1430</v>
      </c>
      <c r="L24" s="56">
        <f>IF(L$23&lt;'A&amp;Rs'!$V10,HLOOKUP(L$21,$F$4:$Q$17,$B6),IF(AND(L$23&gt;='A&amp;Rs'!$V10,L$23&lt;'A&amp;Rs'!$X10),0,HLOOKUP(L$21,$U$4:$AF$17,$B6)))</f>
        <v>1430</v>
      </c>
      <c r="M24" s="56">
        <f>IF(M$23&lt;'A&amp;Rs'!$V10,HLOOKUP(M$21,$F$4:$Q$17,$B6),IF(AND(M$23&gt;='A&amp;Rs'!$V10,M$23&lt;'A&amp;Rs'!$X10),0,HLOOKUP(M$21,$U$4:$AF$17,$B6)))</f>
        <v>1430</v>
      </c>
      <c r="N24" s="56">
        <f>IF(N$23&lt;'A&amp;Rs'!$V10,HLOOKUP(N$21,$F$4:$Q$17,$B6),IF(AND(N$23&gt;='A&amp;Rs'!$V10,N$23&lt;'A&amp;Rs'!$X10),0,HLOOKUP(N$21,$U$4:$AF$17,$B6)))</f>
        <v>1430</v>
      </c>
      <c r="O24" s="56">
        <f>IF(O$23&lt;'A&amp;Rs'!$V10,HLOOKUP(O$21,$F$4:$Q$17,$B6),IF(AND(O$23&gt;='A&amp;Rs'!$V10,O$23&lt;'A&amp;Rs'!$X10),0,HLOOKUP(O$21,$U$4:$AF$17,$B6)))</f>
        <v>1430</v>
      </c>
      <c r="P24" s="56">
        <f>IF(P$23&lt;'A&amp;Rs'!$V10,HLOOKUP(P$21,$F$4:$Q$17,$B6),IF(AND(P$23&gt;='A&amp;Rs'!$V10,P$23&lt;'A&amp;Rs'!$X10),0,HLOOKUP(P$21,$U$4:$AF$17,$B6)))</f>
        <v>1430</v>
      </c>
      <c r="Q24" s="56">
        <f>IF(Q$23&lt;'A&amp;Rs'!$V10,HLOOKUP(Q$21,$F$4:$Q$17,$B6),IF(AND(Q$23&gt;='A&amp;Rs'!$V10,Q$23&lt;'A&amp;Rs'!$X10),0,HLOOKUP(Q$21,$U$4:$AF$17,$B6)))</f>
        <v>1430</v>
      </c>
      <c r="R24" s="56">
        <f>IF(R$23&lt;'A&amp;Rs'!$V10,HLOOKUP(R$21,$F$4:$Q$17,$B6),IF(AND(R$23&gt;='A&amp;Rs'!$V10,R$23&lt;'A&amp;Rs'!$X10),0,HLOOKUP(R$21,$U$4:$AF$17,$B6)))</f>
        <v>1472.9</v>
      </c>
      <c r="S24" s="56">
        <f>IF(S$23&lt;'A&amp;Rs'!$V10,HLOOKUP(S$21,$F$4:$Q$17,$B6),IF(AND(S$23&gt;='A&amp;Rs'!$V10,S$23&lt;'A&amp;Rs'!$X10),0,HLOOKUP(S$21,$U$4:$AF$17,$B6)))</f>
        <v>1472.9</v>
      </c>
      <c r="T24" s="56">
        <f>IF(T$23&lt;'A&amp;Rs'!$V10,HLOOKUP(T$21,$F$4:$Q$17,$B6),IF(AND(T$23&gt;='A&amp;Rs'!$V10,T$23&lt;'A&amp;Rs'!$X10),0,HLOOKUP(T$21,$U$4:$AF$17,$B6)))</f>
        <v>1472.9</v>
      </c>
      <c r="U24" s="56">
        <f>IF(U$23&lt;'A&amp;Rs'!$V10,HLOOKUP(U$21,$F$4:$Q$17,$B6),IF(AND(U$23&gt;='A&amp;Rs'!$V10,U$23&lt;'A&amp;Rs'!$X10),0,HLOOKUP(U$21,$U$4:$AF$17,$B6)))</f>
        <v>1472.9</v>
      </c>
      <c r="V24" s="56">
        <f>IF(V$23&lt;'A&amp;Rs'!$V10,HLOOKUP(V$21,$F$4:$Q$17,$B6),IF(AND(V$23&gt;='A&amp;Rs'!$V10,V$23&lt;'A&amp;Rs'!$X10),0,HLOOKUP(V$21,$U$4:$AF$17,$B6)))</f>
        <v>1472.9</v>
      </c>
      <c r="W24" s="56">
        <f>IF(W$23&lt;'A&amp;Rs'!$V10,HLOOKUP(W$21,$F$4:$Q$17,$B6),IF(AND(W$23&gt;='A&amp;Rs'!$V10,W$23&lt;'A&amp;Rs'!$X10),0,HLOOKUP(W$21,$U$4:$AF$17,$B6)))</f>
        <v>1472.9</v>
      </c>
      <c r="X24" s="56">
        <f>IF(X$23&lt;'A&amp;Rs'!$V10,HLOOKUP(X$21,$F$4:$Q$17,$B6),IF(AND(X$23&gt;='A&amp;Rs'!$V10,X$23&lt;'A&amp;Rs'!$X10),0,HLOOKUP(X$21,$U$4:$AF$17,$B6)))</f>
        <v>1472.9</v>
      </c>
      <c r="Y24" s="56">
        <f>IF(Y$23&lt;'A&amp;Rs'!$V10,HLOOKUP(Y$21,$F$4:$Q$17,$B6),IF(AND(Y$23&gt;='A&amp;Rs'!$V10,Y$23&lt;'A&amp;Rs'!$X10),0,HLOOKUP(Y$21,$U$4:$AF$17,$B6)))</f>
        <v>1472.9</v>
      </c>
      <c r="Z24" s="56">
        <f>IF(Z$23&lt;'A&amp;Rs'!$V10,HLOOKUP(Z$21,$F$4:$Q$17,$B6),IF(AND(Z$23&gt;='A&amp;Rs'!$V10,Z$23&lt;'A&amp;Rs'!$X10),0,HLOOKUP(Z$21,$U$4:$AF$17,$B6)))</f>
        <v>1472.9</v>
      </c>
      <c r="AA24" s="56">
        <f>IF(AA$23&lt;'A&amp;Rs'!$V10,HLOOKUP(AA$21,$F$4:$Q$17,$B6),IF(AND(AA$23&gt;='A&amp;Rs'!$V10,AA$23&lt;'A&amp;Rs'!$X10),0,HLOOKUP(AA$21,$U$4:$AF$17,$B6)))</f>
        <v>1472.9</v>
      </c>
      <c r="AB24" s="56">
        <f>IF(AB$23&lt;'A&amp;Rs'!$V10,HLOOKUP(AB$21,$F$4:$Q$17,$B6),IF(AND(AB$23&gt;='A&amp;Rs'!$V10,AB$23&lt;'A&amp;Rs'!$X10),0,HLOOKUP(AB$21,$U$4:$AF$17,$B6)))</f>
        <v>1472.9</v>
      </c>
      <c r="AC24" s="56">
        <f>IF(AC$23&lt;'A&amp;Rs'!$V10,HLOOKUP(AC$21,$F$4:$Q$17,$B6),IF(AND(AC$23&gt;='A&amp;Rs'!$V10,AC$23&lt;'A&amp;Rs'!$X10),0,HLOOKUP(AC$21,$U$4:$AF$17,$B6)))</f>
        <v>1472.9</v>
      </c>
      <c r="AD24" s="56">
        <f>IF(AD$23&lt;'A&amp;Rs'!$V10,HLOOKUP(AD$21,$F$4:$Q$17,$B6),IF(AND(AD$23&gt;='A&amp;Rs'!$V10,AD$23&lt;'A&amp;Rs'!$X10),0,HLOOKUP(AD$21,$U$4:$AF$17,$B6)))</f>
        <v>1502.3580000000002</v>
      </c>
      <c r="AE24" s="56">
        <f>IF(AE$23&lt;'A&amp;Rs'!$V10,HLOOKUP(AE$21,$F$4:$Q$17,$B6),IF(AND(AE$23&gt;='A&amp;Rs'!$V10,AE$23&lt;'A&amp;Rs'!$X10),0,HLOOKUP(AE$21,$U$4:$AF$17,$B6)))</f>
        <v>1502.3580000000002</v>
      </c>
      <c r="AF24" s="56">
        <f>IF(AF$23&lt;'A&amp;Rs'!$V10,HLOOKUP(AF$21,$F$4:$Q$17,$B6),IF(AND(AF$23&gt;='A&amp;Rs'!$V10,AF$23&lt;'A&amp;Rs'!$X10),0,HLOOKUP(AF$21,$U$4:$AF$17,$B6)))</f>
        <v>1502.3580000000002</v>
      </c>
      <c r="AG24" s="56">
        <f>IF(AG$23&lt;'A&amp;Rs'!$V10,HLOOKUP(AG$21,$F$4:$Q$17,$B6),IF(AND(AG$23&gt;='A&amp;Rs'!$V10,AG$23&lt;'A&amp;Rs'!$X10),0,HLOOKUP(AG$21,$U$4:$AF$17,$B6)))</f>
        <v>1502.3580000000002</v>
      </c>
      <c r="AH24" s="56">
        <f>IF(AH$23&lt;'A&amp;Rs'!$V10,HLOOKUP(AH$21,$F$4:$Q$17,$B6),IF(AND(AH$23&gt;='A&amp;Rs'!$V10,AH$23&lt;'A&amp;Rs'!$X10),0,HLOOKUP(AH$21,$U$4:$AF$17,$B6)))</f>
        <v>1502.3580000000002</v>
      </c>
      <c r="AI24" s="56">
        <f>IF(AI$23&lt;'A&amp;Rs'!$V10,HLOOKUP(AI$21,$F$4:$Q$17,$B6),IF(AND(AI$23&gt;='A&amp;Rs'!$V10,AI$23&lt;'A&amp;Rs'!$X10),0,HLOOKUP(AI$21,$U$4:$AF$17,$B6)))</f>
        <v>1502.3580000000002</v>
      </c>
      <c r="AJ24" s="56">
        <f>IF(AJ$23&lt;'A&amp;Rs'!$V10,HLOOKUP(AJ$21,$F$4:$Q$17,$B6),IF(AND(AJ$23&gt;='A&amp;Rs'!$V10,AJ$23&lt;'A&amp;Rs'!$X10),0,HLOOKUP(AJ$21,$U$4:$AF$17,$B6)))</f>
        <v>1502.3580000000002</v>
      </c>
      <c r="AK24" s="56">
        <f>IF(AK$23&lt;'A&amp;Rs'!$V10,HLOOKUP(AK$21,$F$4:$Q$17,$B6),IF(AND(AK$23&gt;='A&amp;Rs'!$V10,AK$23&lt;'A&amp;Rs'!$X10),0,HLOOKUP(AK$21,$U$4:$AF$17,$B6)))</f>
        <v>1502.3580000000002</v>
      </c>
      <c r="AL24" s="56">
        <f>IF(AL$23&lt;'A&amp;Rs'!$V10,HLOOKUP(AL$21,$F$4:$Q$17,$B6),IF(AND(AL$23&gt;='A&amp;Rs'!$V10,AL$23&lt;'A&amp;Rs'!$X10),0,HLOOKUP(AL$21,$U$4:$AF$17,$B6)))</f>
        <v>1502.3580000000002</v>
      </c>
      <c r="AM24" s="56">
        <f>IF(AM$23&lt;'A&amp;Rs'!$V10,HLOOKUP(AM$21,$F$4:$Q$17,$B6),IF(AND(AM$23&gt;='A&amp;Rs'!$V10,AM$23&lt;'A&amp;Rs'!$X10),0,HLOOKUP(AM$21,$U$4:$AF$17,$B6)))</f>
        <v>1502.3580000000002</v>
      </c>
      <c r="AN24" s="56">
        <f>IF(AN$23&lt;'A&amp;Rs'!$V10,HLOOKUP(AN$21,$F$4:$Q$17,$B6),IF(AND(AN$23&gt;='A&amp;Rs'!$V10,AN$23&lt;'A&amp;Rs'!$X10),0,HLOOKUP(AN$21,$U$4:$AF$17,$B6)))</f>
        <v>1502.3580000000002</v>
      </c>
      <c r="AO24" s="56">
        <f>IF(AO$23&lt;'A&amp;Rs'!$V10,HLOOKUP(AO$21,$F$4:$Q$17,$B6),IF(AND(AO$23&gt;='A&amp;Rs'!$V10,AO$23&lt;'A&amp;Rs'!$X10),0,HLOOKUP(AO$21,$U$4:$AF$17,$B6)))</f>
        <v>1502.3580000000002</v>
      </c>
      <c r="AP24" s="56">
        <f>IF(AP$23&lt;'A&amp;Rs'!$V10,HLOOKUP(AP$21,$F$4:$Q$17,$B6),IF(AND(AP$23&gt;='A&amp;Rs'!$V10,AP$23&lt;'A&amp;Rs'!$X10),0,HLOOKUP(AP$21,$U$4:$AF$17,$B6)))</f>
        <v>1547.4287400000003</v>
      </c>
      <c r="AQ24" s="56">
        <f>IF(AQ$23&lt;'A&amp;Rs'!$V10,HLOOKUP(AQ$21,$F$4:$Q$17,$B6),IF(AND(AQ$23&gt;='A&amp;Rs'!$V10,AQ$23&lt;'A&amp;Rs'!$X10),0,HLOOKUP(AQ$21,$U$4:$AF$17,$B6)))</f>
        <v>1547.4287400000003</v>
      </c>
      <c r="AR24" s="56">
        <f>IF(AR$23&lt;'A&amp;Rs'!$V10,HLOOKUP(AR$21,$F$4:$Q$17,$B6),IF(AND(AR$23&gt;='A&amp;Rs'!$V10,AR$23&lt;'A&amp;Rs'!$X10),0,HLOOKUP(AR$21,$U$4:$AF$17,$B6)))</f>
        <v>1547.4287400000003</v>
      </c>
      <c r="AS24" s="56">
        <f>IF(AS$23&lt;'A&amp;Rs'!$V10,HLOOKUP(AS$21,$F$4:$Q$17,$B6),IF(AND(AS$23&gt;='A&amp;Rs'!$V10,AS$23&lt;'A&amp;Rs'!$X10),0,HLOOKUP(AS$21,$U$4:$AF$17,$B6)))</f>
        <v>1547.4287400000003</v>
      </c>
      <c r="AT24" s="56">
        <f>IF(AT$23&lt;'A&amp;Rs'!$V10,HLOOKUP(AT$21,$F$4:$Q$17,$B6),IF(AND(AT$23&gt;='A&amp;Rs'!$V10,AT$23&lt;'A&amp;Rs'!$X10),0,HLOOKUP(AT$21,$U$4:$AF$17,$B6)))</f>
        <v>1547.4287400000003</v>
      </c>
      <c r="AU24" s="56">
        <f>IF(AU$23&lt;'A&amp;Rs'!$V10,HLOOKUP(AU$21,$F$4:$Q$17,$B6),IF(AND(AU$23&gt;='A&amp;Rs'!$V10,AU$23&lt;'A&amp;Rs'!$X10),0,HLOOKUP(AU$21,$U$4:$AF$17,$B6)))</f>
        <v>1547.4287400000003</v>
      </c>
      <c r="AV24" s="56">
        <f>IF(AV$23&lt;'A&amp;Rs'!$V10,HLOOKUP(AV$21,$F$4:$Q$17,$B6),IF(AND(AV$23&gt;='A&amp;Rs'!$V10,AV$23&lt;'A&amp;Rs'!$X10),0,HLOOKUP(AV$21,$U$4:$AF$17,$B6)))</f>
        <v>1547.4287400000003</v>
      </c>
      <c r="AW24" s="56">
        <f>IF(AW$23&lt;'A&amp;Rs'!$V10,HLOOKUP(AW$21,$F$4:$Q$17,$B6),IF(AND(AW$23&gt;='A&amp;Rs'!$V10,AW$23&lt;'A&amp;Rs'!$X10),0,HLOOKUP(AW$21,$U$4:$AF$17,$B6)))</f>
        <v>1547.4287400000003</v>
      </c>
      <c r="AX24" s="56">
        <f>IF(AX$23&lt;'A&amp;Rs'!$V10,HLOOKUP(AX$21,$F$4:$Q$17,$B6),IF(AND(AX$23&gt;='A&amp;Rs'!$V10,AX$23&lt;'A&amp;Rs'!$X10),0,HLOOKUP(AX$21,$U$4:$AF$17,$B6)))</f>
        <v>1547.4287400000003</v>
      </c>
      <c r="AY24" s="56">
        <f>IF(AY$23&lt;'A&amp;Rs'!$V10,HLOOKUP(AY$21,$F$4:$Q$17,$B6),IF(AND(AY$23&gt;='A&amp;Rs'!$V10,AY$23&lt;'A&amp;Rs'!$X10),0,HLOOKUP(AY$21,$U$4:$AF$17,$B6)))</f>
        <v>1547.4287400000003</v>
      </c>
      <c r="AZ24" s="56">
        <f>IF(AZ$23&lt;'A&amp;Rs'!$V10,HLOOKUP(AZ$21,$F$4:$Q$17,$B6),IF(AND(AZ$23&gt;='A&amp;Rs'!$V10,AZ$23&lt;'A&amp;Rs'!$X10),0,HLOOKUP(AZ$21,$U$4:$AF$17,$B6)))</f>
        <v>1547.4287400000003</v>
      </c>
      <c r="BA24" s="56">
        <f>IF(BA$23&lt;'A&amp;Rs'!$V10,HLOOKUP(BA$21,$F$4:$Q$17,$B6),IF(AND(BA$23&gt;='A&amp;Rs'!$V10,BA$23&lt;'A&amp;Rs'!$X10),0,HLOOKUP(BA$21,$U$4:$AF$17,$B6)))</f>
        <v>1547.4287400000003</v>
      </c>
      <c r="BB24" s="56">
        <f>IF(BB$23&lt;'A&amp;Rs'!$V10,HLOOKUP(BB$21,$F$4:$Q$17,$B6),IF(AND(BB$23&gt;='A&amp;Rs'!$V10,BB$23&lt;'A&amp;Rs'!$X10),0,HLOOKUP(BB$21,$U$4:$AF$17,$B6)))</f>
        <v>1593.8516022000003</v>
      </c>
      <c r="BC24" s="56">
        <f>IF(BC$23&lt;'A&amp;Rs'!$V10,HLOOKUP(BC$21,$F$4:$Q$17,$B6),IF(AND(BC$23&gt;='A&amp;Rs'!$V10,BC$23&lt;'A&amp;Rs'!$X10),0,HLOOKUP(BC$21,$U$4:$AF$17,$B6)))</f>
        <v>1593.8516022000003</v>
      </c>
      <c r="BD24" s="56">
        <f>IF(BD$23&lt;'A&amp;Rs'!$V10,HLOOKUP(BD$21,$F$4:$Q$17,$B6),IF(AND(BD$23&gt;='A&amp;Rs'!$V10,BD$23&lt;'A&amp;Rs'!$X10),0,HLOOKUP(BD$21,$U$4:$AF$17,$B6)))</f>
        <v>1593.8516022000003</v>
      </c>
      <c r="BE24" s="56">
        <f>IF(BE$23&lt;'A&amp;Rs'!$V10,HLOOKUP(BE$21,$F$4:$Q$17,$B6),IF(AND(BE$23&gt;='A&amp;Rs'!$V10,BE$23&lt;'A&amp;Rs'!$X10),0,HLOOKUP(BE$21,$U$4:$AF$17,$B6)))</f>
        <v>1593.8516022000003</v>
      </c>
      <c r="BF24" s="56">
        <f>IF(BF$23&lt;'A&amp;Rs'!$V10,HLOOKUP(BF$21,$F$4:$Q$17,$B6),IF(AND(BF$23&gt;='A&amp;Rs'!$V10,BF$23&lt;'A&amp;Rs'!$X10),0,HLOOKUP(BF$21,$U$4:$AF$17,$B6)))</f>
        <v>1593.8516022000003</v>
      </c>
      <c r="BG24" s="56">
        <f>IF(BG$23&lt;'A&amp;Rs'!$V10,HLOOKUP(BG$21,$F$4:$Q$17,$B6),IF(AND(BG$23&gt;='A&amp;Rs'!$V10,BG$23&lt;'A&amp;Rs'!$X10),0,HLOOKUP(BG$21,$U$4:$AF$17,$B6)))</f>
        <v>1593.8516022000003</v>
      </c>
      <c r="BH24" s="56">
        <f>IF(BH$23&lt;'A&amp;Rs'!$V10,HLOOKUP(BH$21,$F$4:$Q$17,$B6),IF(AND(BH$23&gt;='A&amp;Rs'!$V10,BH$23&lt;'A&amp;Rs'!$X10),0,HLOOKUP(BH$21,$U$4:$AF$17,$B6)))</f>
        <v>1593.8516022000003</v>
      </c>
      <c r="BI24" s="56">
        <f>IF(BI$23&lt;'A&amp;Rs'!$V10,HLOOKUP(BI$21,$F$4:$Q$17,$B6),IF(AND(BI$23&gt;='A&amp;Rs'!$V10,BI$23&lt;'A&amp;Rs'!$X10),0,HLOOKUP(BI$21,$U$4:$AF$17,$B6)))</f>
        <v>1593.8516022000003</v>
      </c>
      <c r="BJ24" s="56">
        <f>IF(BJ$23&lt;'A&amp;Rs'!$V10,HLOOKUP(BJ$21,$F$4:$Q$17,$B6),IF(AND(BJ$23&gt;='A&amp;Rs'!$V10,BJ$23&lt;'A&amp;Rs'!$X10),0,HLOOKUP(BJ$21,$U$4:$AF$17,$B6)))</f>
        <v>1593.8516022000003</v>
      </c>
      <c r="BK24" s="56">
        <f>IF(BK$23&lt;'A&amp;Rs'!$V10,HLOOKUP(BK$21,$F$4:$Q$17,$B6),IF(AND(BK$23&gt;='A&amp;Rs'!$V10,BK$23&lt;'A&amp;Rs'!$X10),0,HLOOKUP(BK$21,$U$4:$AF$17,$B6)))</f>
        <v>1593.8516022000003</v>
      </c>
      <c r="BL24" s="56">
        <f>IF(BL$23&lt;'A&amp;Rs'!$V10,HLOOKUP(BL$21,$F$4:$Q$17,$B6),IF(AND(BL$23&gt;='A&amp;Rs'!$V10,BL$23&lt;'A&amp;Rs'!$X10),0,HLOOKUP(BL$21,$U$4:$AF$17,$B6)))</f>
        <v>1593.8516022000003</v>
      </c>
      <c r="BM24" s="56">
        <f>IF(BM$23&lt;'A&amp;Rs'!$V10,HLOOKUP(BM$21,$F$4:$Q$17,$B6),IF(AND(BM$23&gt;='A&amp;Rs'!$V10,BM$23&lt;'A&amp;Rs'!$X10),0,HLOOKUP(BM$21,$U$4:$AF$17,$B6)))</f>
        <v>1593.8516022000003</v>
      </c>
      <c r="BN24" s="56">
        <f>IF(BN$23&lt;'A&amp;Rs'!$V10,HLOOKUP(BN$21,$F$4:$Q$17,$B6),IF(AND(BN$23&gt;='A&amp;Rs'!$V10,BN$23&lt;'A&amp;Rs'!$X10),0,HLOOKUP(BN$21,$U$4:$AF$17,$B6)))</f>
        <v>1593.8516022000003</v>
      </c>
      <c r="BO24" s="56">
        <f>IF(BO$23&lt;'A&amp;Rs'!$V10,HLOOKUP(BO$21,$F$4:$Q$17,$B6),IF(AND(BO$23&gt;='A&amp;Rs'!$V10,BO$23&lt;'A&amp;Rs'!$X10),0,HLOOKUP(BO$21,$U$4:$AF$17,$B6)))</f>
        <v>1593.8516022000003</v>
      </c>
      <c r="BP24" s="56">
        <f>IF(BP$23&lt;'A&amp;Rs'!$V10,HLOOKUP(BP$21,$F$4:$Q$17,$B6),IF(AND(BP$23&gt;='A&amp;Rs'!$V10,BP$23&lt;'A&amp;Rs'!$X10),0,HLOOKUP(BP$21,$U$4:$AF$17,$B6)))</f>
        <v>1593.8516022000003</v>
      </c>
      <c r="BQ24" s="56">
        <f>IF(BQ$23&lt;'A&amp;Rs'!$V10,HLOOKUP(BQ$21,$F$4:$Q$17,$B6),IF(AND(BQ$23&gt;='A&amp;Rs'!$V10,BQ$23&lt;'A&amp;Rs'!$X10),0,HLOOKUP(BQ$21,$U$4:$AF$17,$B6)))</f>
        <v>1593.8516022000003</v>
      </c>
      <c r="BR24" s="56">
        <f>IF(BR$23&lt;'A&amp;Rs'!$V10,HLOOKUP(BR$21,$F$4:$Q$17,$B6),IF(AND(BR$23&gt;='A&amp;Rs'!$V10,BR$23&lt;'A&amp;Rs'!$X10),0,HLOOKUP(BR$21,$U$4:$AF$17,$B6)))</f>
        <v>1593.8516022000003</v>
      </c>
      <c r="BS24" s="56">
        <f>IF(BS$23&lt;'A&amp;Rs'!$V10,HLOOKUP(BS$21,$F$4:$Q$17,$B6),IF(AND(BS$23&gt;='A&amp;Rs'!$V10,BS$23&lt;'A&amp;Rs'!$X10),0,HLOOKUP(BS$21,$U$4:$AF$17,$B6)))</f>
        <v>1593.8516022000003</v>
      </c>
      <c r="BT24" s="56">
        <f>IF(BT$23&lt;'A&amp;Rs'!$V10,HLOOKUP(BT$21,$F$4:$Q$17,$B6),IF(AND(BT$23&gt;='A&amp;Rs'!$V10,BT$23&lt;'A&amp;Rs'!$X10),0,HLOOKUP(BT$21,$U$4:$AF$17,$B6)))</f>
        <v>1593.8516022000003</v>
      </c>
      <c r="BU24" s="56">
        <f>IF(BU$23&lt;'A&amp;Rs'!$V10,HLOOKUP(BU$21,$F$4:$Q$17,$B6),IF(AND(BU$23&gt;='A&amp;Rs'!$V10,BU$23&lt;'A&amp;Rs'!$X10),0,HLOOKUP(BU$21,$U$4:$AF$17,$B6)))</f>
        <v>1593.8516022000003</v>
      </c>
      <c r="BV24" s="56">
        <f>IF(BV$23&lt;'A&amp;Rs'!$V10,HLOOKUP(BV$21,$F$4:$Q$17,$B6),IF(AND(BV$23&gt;='A&amp;Rs'!$V10,BV$23&lt;'A&amp;Rs'!$X10),0,HLOOKUP(BV$21,$U$4:$AF$17,$B6)))</f>
        <v>1593.8516022000003</v>
      </c>
      <c r="BW24" s="56">
        <f>IF(BW$23&lt;'A&amp;Rs'!$V10,HLOOKUP(BW$21,$F$4:$Q$17,$B6),IF(AND(BW$23&gt;='A&amp;Rs'!$V10,BW$23&lt;'A&amp;Rs'!$X10),0,HLOOKUP(BW$21,$U$4:$AF$17,$B6)))</f>
        <v>1593.8516022000003</v>
      </c>
      <c r="BX24" s="56">
        <f>IF(BX$23&lt;'A&amp;Rs'!$V10,HLOOKUP(BX$21,$F$4:$Q$17,$B6),IF(AND(BX$23&gt;='A&amp;Rs'!$V10,BX$23&lt;'A&amp;Rs'!$X10),0,HLOOKUP(BX$21,$U$4:$AF$17,$B6)))</f>
        <v>1593.8516022000003</v>
      </c>
      <c r="BY24" s="56">
        <f>IF(BY$23&lt;'A&amp;Rs'!$V10,HLOOKUP(BY$21,$F$4:$Q$17,$B6),IF(AND(BY$23&gt;='A&amp;Rs'!$V10,BY$23&lt;'A&amp;Rs'!$X10),0,HLOOKUP(BY$21,$U$4:$AF$17,$B6)))</f>
        <v>1593.8516022000003</v>
      </c>
      <c r="BZ24" s="56">
        <f>IF(BZ$23&lt;'A&amp;Rs'!$V10,HLOOKUP(BZ$21,$F$4:$Q$17,$B6),IF(AND(BZ$23&gt;='A&amp;Rs'!$V10,BZ$23&lt;'A&amp;Rs'!$X10),0,HLOOKUP(BZ$21,$U$4:$AF$17,$B6)))</f>
        <v>1609.7901182220003</v>
      </c>
      <c r="CA24" s="56">
        <f>IF(CA$23&lt;'A&amp;Rs'!$V10,HLOOKUP(CA$21,$F$4:$Q$17,$B6),IF(AND(CA$23&gt;='A&amp;Rs'!$V10,CA$23&lt;'A&amp;Rs'!$X10),0,HLOOKUP(CA$21,$U$4:$AF$17,$B6)))</f>
        <v>1609.7901182220003</v>
      </c>
      <c r="CB24" s="56">
        <f>IF(CB$23&lt;'A&amp;Rs'!$V10,HLOOKUP(CB$21,$F$4:$Q$17,$B6),IF(AND(CB$23&gt;='A&amp;Rs'!$V10,CB$23&lt;'A&amp;Rs'!$X10),0,HLOOKUP(CB$21,$U$4:$AF$17,$B6)))</f>
        <v>1609.7901182220003</v>
      </c>
      <c r="CC24" s="56">
        <f>IF(CC$23&lt;'A&amp;Rs'!$V10,HLOOKUP(CC$21,$F$4:$Q$17,$B6),IF(AND(CC$23&gt;='A&amp;Rs'!$V10,CC$23&lt;'A&amp;Rs'!$X10),0,HLOOKUP(CC$21,$U$4:$AF$17,$B6)))</f>
        <v>1609.7901182220003</v>
      </c>
      <c r="CD24" s="56">
        <f>IF(CD$23&lt;'A&amp;Rs'!$V10,HLOOKUP(CD$21,$F$4:$Q$17,$B6),IF(AND(CD$23&gt;='A&amp;Rs'!$V10,CD$23&lt;'A&amp;Rs'!$X10),0,HLOOKUP(CD$21,$U$4:$AF$17,$B6)))</f>
        <v>1609.7901182220003</v>
      </c>
      <c r="CE24" s="56">
        <f>IF(CE$23&lt;'A&amp;Rs'!$V10,HLOOKUP(CE$21,$F$4:$Q$17,$B6),IF(AND(CE$23&gt;='A&amp;Rs'!$V10,CE$23&lt;'A&amp;Rs'!$X10),0,HLOOKUP(CE$21,$U$4:$AF$17,$B6)))</f>
        <v>1609.7901182220003</v>
      </c>
      <c r="CF24" s="56">
        <f>IF(CF$23&lt;'A&amp;Rs'!$V10,HLOOKUP(CF$21,$F$4:$Q$17,$B6),IF(AND(CF$23&gt;='A&amp;Rs'!$V10,CF$23&lt;'A&amp;Rs'!$X10),0,HLOOKUP(CF$21,$U$4:$AF$17,$B6)))</f>
        <v>1609.7901182220003</v>
      </c>
      <c r="CG24" s="56">
        <f>IF(CG$23&lt;'A&amp;Rs'!$V10,HLOOKUP(CG$21,$F$4:$Q$17,$B6),IF(AND(CG$23&gt;='A&amp;Rs'!$V10,CG$23&lt;'A&amp;Rs'!$X10),0,HLOOKUP(CG$21,$U$4:$AF$17,$B6)))</f>
        <v>1609.7901182220003</v>
      </c>
      <c r="CH24" s="56">
        <f>IF(CH$23&lt;'A&amp;Rs'!$V10,HLOOKUP(CH$21,$F$4:$Q$17,$B6),IF(AND(CH$23&gt;='A&amp;Rs'!$V10,CH$23&lt;'A&amp;Rs'!$X10),0,HLOOKUP(CH$21,$U$4:$AF$17,$B6)))</f>
        <v>1609.7901182220003</v>
      </c>
      <c r="CI24" s="56">
        <f>IF(CI$23&lt;'A&amp;Rs'!$V10,HLOOKUP(CI$21,$F$4:$Q$17,$B6),IF(AND(CI$23&gt;='A&amp;Rs'!$V10,CI$23&lt;'A&amp;Rs'!$X10),0,HLOOKUP(CI$21,$U$4:$AF$17,$B6)))</f>
        <v>1609.7901182220003</v>
      </c>
      <c r="CJ24" s="56">
        <f>IF(CJ$23&lt;'A&amp;Rs'!$V10,HLOOKUP(CJ$21,$F$4:$Q$17,$B6),IF(AND(CJ$23&gt;='A&amp;Rs'!$V10,CJ$23&lt;'A&amp;Rs'!$X10),0,HLOOKUP(CJ$21,$U$4:$AF$17,$B6)))</f>
        <v>1609.7901182220003</v>
      </c>
      <c r="CK24" s="56">
        <f>IF(CK$23&lt;'A&amp;Rs'!$V10,HLOOKUP(CK$21,$F$4:$Q$17,$B6),IF(AND(CK$23&gt;='A&amp;Rs'!$V10,CK$23&lt;'A&amp;Rs'!$X10),0,HLOOKUP(CK$21,$U$4:$AF$17,$B6)))</f>
        <v>1609.7901182220003</v>
      </c>
      <c r="CL24" s="56">
        <f>IF(CL$23&lt;'A&amp;Rs'!$V10,HLOOKUP(CL$21,$F$4:$Q$17,$B6),IF(AND(CL$23&gt;='A&amp;Rs'!$V10,CL$23&lt;'A&amp;Rs'!$X10),0,HLOOKUP(CL$21,$U$4:$AF$17,$B6)))</f>
        <v>1658.0838217686603</v>
      </c>
      <c r="CM24" s="56">
        <f>IF(CM$23&lt;'A&amp;Rs'!$V10,HLOOKUP(CM$21,$F$4:$Q$17,$B6),IF(AND(CM$23&gt;='A&amp;Rs'!$V10,CM$23&lt;'A&amp;Rs'!$X10),0,HLOOKUP(CM$21,$U$4:$AF$17,$B6)))</f>
        <v>1658.0838217686603</v>
      </c>
      <c r="CN24" s="56">
        <f>IF(CN$23&lt;'A&amp;Rs'!$V10,HLOOKUP(CN$21,$F$4:$Q$17,$B6),IF(AND(CN$23&gt;='A&amp;Rs'!$V10,CN$23&lt;'A&amp;Rs'!$X10),0,HLOOKUP(CN$21,$U$4:$AF$17,$B6)))</f>
        <v>1658.0838217686603</v>
      </c>
      <c r="CO24" s="56">
        <f>IF(CO$23&lt;'A&amp;Rs'!$V10,HLOOKUP(CO$21,$F$4:$Q$17,$B6),IF(AND(CO$23&gt;='A&amp;Rs'!$V10,CO$23&lt;'A&amp;Rs'!$X10),0,HLOOKUP(CO$21,$U$4:$AF$17,$B6)))</f>
        <v>1658.0838217686603</v>
      </c>
      <c r="CP24" s="56">
        <f>IF(CP$23&lt;'A&amp;Rs'!$V10,HLOOKUP(CP$21,$F$4:$Q$17,$B6),IF(AND(CP$23&gt;='A&amp;Rs'!$V10,CP$23&lt;'A&amp;Rs'!$X10),0,HLOOKUP(CP$21,$U$4:$AF$17,$B6)))</f>
        <v>1658.0838217686603</v>
      </c>
      <c r="CQ24" s="56">
        <f>IF(CQ$23&lt;'A&amp;Rs'!$V10,HLOOKUP(CQ$21,$F$4:$Q$17,$B6),IF(AND(CQ$23&gt;='A&amp;Rs'!$V10,CQ$23&lt;'A&amp;Rs'!$X10),0,HLOOKUP(CQ$21,$U$4:$AF$17,$B6)))</f>
        <v>1658.0838217686603</v>
      </c>
      <c r="CR24" s="56">
        <f>IF(CR$23&lt;'A&amp;Rs'!$V10,HLOOKUP(CR$21,$F$4:$Q$17,$B6),IF(AND(CR$23&gt;='A&amp;Rs'!$V10,CR$23&lt;'A&amp;Rs'!$X10),0,HLOOKUP(CR$21,$U$4:$AF$17,$B6)))</f>
        <v>1658.0838217686603</v>
      </c>
      <c r="CS24" s="56">
        <f>IF(CS$23&lt;'A&amp;Rs'!$V10,HLOOKUP(CS$21,$F$4:$Q$17,$B6),IF(AND(CS$23&gt;='A&amp;Rs'!$V10,CS$23&lt;'A&amp;Rs'!$X10),0,HLOOKUP(CS$21,$U$4:$AF$17,$B6)))</f>
        <v>1658.0838217686603</v>
      </c>
      <c r="CT24" s="56">
        <f>IF(CT$23&lt;'A&amp;Rs'!$V10,HLOOKUP(CT$21,$F$4:$Q$17,$B6),IF(AND(CT$23&gt;='A&amp;Rs'!$V10,CT$23&lt;'A&amp;Rs'!$X10),0,HLOOKUP(CT$21,$U$4:$AF$17,$B6)))</f>
        <v>1658.0838217686603</v>
      </c>
      <c r="CU24" s="56">
        <f>IF(CU$23&lt;'A&amp;Rs'!$V10,HLOOKUP(CU$21,$F$4:$Q$17,$B6),IF(AND(CU$23&gt;='A&amp;Rs'!$V10,CU$23&lt;'A&amp;Rs'!$X10),0,HLOOKUP(CU$21,$U$4:$AF$17,$B6)))</f>
        <v>1658.0838217686603</v>
      </c>
      <c r="CV24" s="56">
        <f>IF(CV$23&lt;'A&amp;Rs'!$V10,HLOOKUP(CV$21,$F$4:$Q$17,$B6),IF(AND(CV$23&gt;='A&amp;Rs'!$V10,CV$23&lt;'A&amp;Rs'!$X10),0,HLOOKUP(CV$21,$U$4:$AF$17,$B6)))</f>
        <v>1658.0838217686603</v>
      </c>
      <c r="CW24" s="56">
        <f>IF(CW$23&lt;'A&amp;Rs'!$V10,HLOOKUP(CW$21,$F$4:$Q$17,$B6),IF(AND(CW$23&gt;='A&amp;Rs'!$V10,CW$23&lt;'A&amp;Rs'!$X10),0,HLOOKUP(CW$21,$U$4:$AF$17,$B6)))</f>
        <v>1658.0838217686603</v>
      </c>
      <c r="CX24" s="56">
        <f>IF(CX$23&lt;'A&amp;Rs'!$V10,HLOOKUP(CX$21,$F$4:$Q$17,$B6),IF(AND(CX$23&gt;='A&amp;Rs'!$V10,CX$23&lt;'A&amp;Rs'!$X10),0,HLOOKUP(CX$21,$U$4:$AF$17,$B6)))</f>
        <v>1691.2454982040335</v>
      </c>
      <c r="CY24" s="56">
        <f>IF(CY$23&lt;'A&amp;Rs'!$V10,HLOOKUP(CY$21,$F$4:$Q$17,$B6),IF(AND(CY$23&gt;='A&amp;Rs'!$V10,CY$23&lt;'A&amp;Rs'!$X10),0,HLOOKUP(CY$21,$U$4:$AF$17,$B6)))</f>
        <v>1691.2454982040335</v>
      </c>
      <c r="CZ24" s="56">
        <f>IF(CZ$23&lt;'A&amp;Rs'!$V10,HLOOKUP(CZ$21,$F$4:$Q$17,$B6),IF(AND(CZ$23&gt;='A&amp;Rs'!$V10,CZ$23&lt;'A&amp;Rs'!$X10),0,HLOOKUP(CZ$21,$U$4:$AF$17,$B6)))</f>
        <v>1691.2454982040335</v>
      </c>
      <c r="DA24" s="56">
        <f>IF(DA$23&lt;'A&amp;Rs'!$V10,HLOOKUP(DA$21,$F$4:$Q$17,$B6),IF(AND(DA$23&gt;='A&amp;Rs'!$V10,DA$23&lt;'A&amp;Rs'!$X10),0,HLOOKUP(DA$21,$U$4:$AF$17,$B6)))</f>
        <v>1691.2454982040335</v>
      </c>
      <c r="DB24" s="56">
        <f>IF(DB$23&lt;'A&amp;Rs'!$V10,HLOOKUP(DB$21,$F$4:$Q$17,$B6),IF(AND(DB$23&gt;='A&amp;Rs'!$V10,DB$23&lt;'A&amp;Rs'!$X10),0,HLOOKUP(DB$21,$U$4:$AF$17,$B6)))</f>
        <v>1691.2454982040335</v>
      </c>
      <c r="DC24" s="56">
        <f>IF(DC$23&lt;'A&amp;Rs'!$V10,HLOOKUP(DC$21,$F$4:$Q$17,$B6),IF(AND(DC$23&gt;='A&amp;Rs'!$V10,DC$23&lt;'A&amp;Rs'!$X10),0,HLOOKUP(DC$21,$U$4:$AF$17,$B6)))</f>
        <v>1691.2454982040335</v>
      </c>
      <c r="DD24" s="56">
        <f>IF(DD$23&lt;'A&amp;Rs'!$V10,HLOOKUP(DD$21,$F$4:$Q$17,$B6),IF(AND(DD$23&gt;='A&amp;Rs'!$V10,DD$23&lt;'A&amp;Rs'!$X10),0,HLOOKUP(DD$21,$U$4:$AF$17,$B6)))</f>
        <v>1691.2454982040335</v>
      </c>
      <c r="DE24" s="56">
        <f>IF(DE$23&lt;'A&amp;Rs'!$V10,HLOOKUP(DE$21,$F$4:$Q$17,$B6),IF(AND(DE$23&gt;='A&amp;Rs'!$V10,DE$23&lt;'A&amp;Rs'!$X10),0,HLOOKUP(DE$21,$U$4:$AF$17,$B6)))</f>
        <v>1691.2454982040335</v>
      </c>
      <c r="DF24" s="56">
        <f>IF(DF$23&lt;'A&amp;Rs'!$V10,HLOOKUP(DF$21,$F$4:$Q$17,$B6),IF(AND(DF$23&gt;='A&amp;Rs'!$V10,DF$23&lt;'A&amp;Rs'!$X10),0,HLOOKUP(DF$21,$U$4:$AF$17,$B6)))</f>
        <v>1691.2454982040335</v>
      </c>
      <c r="DG24" s="56">
        <f>IF(DG$23&lt;'A&amp;Rs'!$V10,HLOOKUP(DG$21,$F$4:$Q$17,$B6),IF(AND(DG$23&gt;='A&amp;Rs'!$V10,DG$23&lt;'A&amp;Rs'!$X10),0,HLOOKUP(DG$21,$U$4:$AF$17,$B6)))</f>
        <v>1691.2454982040335</v>
      </c>
      <c r="DH24" s="56">
        <f>IF(DH$23&lt;'A&amp;Rs'!$V10,HLOOKUP(DH$21,$F$4:$Q$17,$B6),IF(AND(DH$23&gt;='A&amp;Rs'!$V10,DH$23&lt;'A&amp;Rs'!$X10),0,HLOOKUP(DH$21,$U$4:$AF$17,$B6)))</f>
        <v>1691.2454982040335</v>
      </c>
      <c r="DI24" s="56">
        <f>IF(DI$23&lt;'A&amp;Rs'!$V10,HLOOKUP(DI$21,$F$4:$Q$17,$B6),IF(AND(DI$23&gt;='A&amp;Rs'!$V10,DI$23&lt;'A&amp;Rs'!$X10),0,HLOOKUP(DI$21,$U$4:$AF$17,$B6)))</f>
        <v>1691.2454982040335</v>
      </c>
      <c r="DJ24" s="56">
        <f>IF(DJ$23&lt;'A&amp;Rs'!$V10,HLOOKUP(DJ$21,$F$4:$Q$17,$B6),IF(AND(DJ$23&gt;='A&amp;Rs'!$V10,DJ$23&lt;'A&amp;Rs'!$X10),0,HLOOKUP(DJ$21,$U$4:$AF$17,$B6)))</f>
        <v>1708.1579531860739</v>
      </c>
      <c r="DK24" s="56">
        <f>IF(DK$23&lt;'A&amp;Rs'!$V10,HLOOKUP(DK$21,$F$4:$Q$17,$B6),IF(AND(DK$23&gt;='A&amp;Rs'!$V10,DK$23&lt;'A&amp;Rs'!$X10),0,HLOOKUP(DK$21,$U$4:$AF$17,$B6)))</f>
        <v>1708.1579531860739</v>
      </c>
      <c r="DL24" s="56">
        <f>IF(DL$23&lt;'A&amp;Rs'!$V10,HLOOKUP(DL$21,$F$4:$Q$17,$B6),IF(AND(DL$23&gt;='A&amp;Rs'!$V10,DL$23&lt;'A&amp;Rs'!$X10),0,HLOOKUP(DL$21,$U$4:$AF$17,$B6)))</f>
        <v>1708.1579531860739</v>
      </c>
      <c r="DM24" s="56">
        <f>IF(DM$23&lt;'A&amp;Rs'!$V10,HLOOKUP(DM$21,$F$4:$Q$17,$B6),IF(AND(DM$23&gt;='A&amp;Rs'!$V10,DM$23&lt;'A&amp;Rs'!$X10),0,HLOOKUP(DM$21,$U$4:$AF$17,$B6)))</f>
        <v>1708.1579531860739</v>
      </c>
      <c r="DN24" s="56">
        <f>IF(DN$23&lt;'A&amp;Rs'!$V10,HLOOKUP(DN$21,$F$4:$Q$17,$B6),IF(AND(DN$23&gt;='A&amp;Rs'!$V10,DN$23&lt;'A&amp;Rs'!$X10),0,HLOOKUP(DN$21,$U$4:$AF$17,$B6)))</f>
        <v>1708.1579531860739</v>
      </c>
      <c r="DO24" s="56">
        <f>IF(DO$23&lt;'A&amp;Rs'!$V10,HLOOKUP(DO$21,$F$4:$Q$17,$B6),IF(AND(DO$23&gt;='A&amp;Rs'!$V10,DO$23&lt;'A&amp;Rs'!$X10),0,HLOOKUP(DO$21,$U$4:$AF$17,$B6)))</f>
        <v>1708.1579531860739</v>
      </c>
      <c r="DP24" s="56">
        <f>IF(DP$23&lt;'A&amp;Rs'!$V10,HLOOKUP(DP$21,$F$4:$Q$17,$B6),IF(AND(DP$23&gt;='A&amp;Rs'!$V10,DP$23&lt;'A&amp;Rs'!$X10),0,HLOOKUP(DP$21,$U$4:$AF$17,$B6)))</f>
        <v>1708.1579531860739</v>
      </c>
      <c r="DQ24" s="56">
        <f>IF(DQ$23&lt;'A&amp;Rs'!$V10,HLOOKUP(DQ$21,$F$4:$Q$17,$B6),IF(AND(DQ$23&gt;='A&amp;Rs'!$V10,DQ$23&lt;'A&amp;Rs'!$X10),0,HLOOKUP(DQ$21,$U$4:$AF$17,$B6)))</f>
        <v>1708.1579531860739</v>
      </c>
      <c r="DR24" s="56">
        <f>IF(DR$23&lt;'A&amp;Rs'!$V10,HLOOKUP(DR$21,$F$4:$Q$17,$B6),IF(AND(DR$23&gt;='A&amp;Rs'!$V10,DR$23&lt;'A&amp;Rs'!$X10),0,HLOOKUP(DR$21,$U$4:$AF$17,$B6)))</f>
        <v>1708.1579531860739</v>
      </c>
      <c r="DS24" s="56">
        <f>IF(DS$23&lt;'A&amp;Rs'!$V10,HLOOKUP(DS$21,$F$4:$Q$17,$B6),IF(AND(DS$23&gt;='A&amp;Rs'!$V10,DS$23&lt;'A&amp;Rs'!$X10),0,HLOOKUP(DS$21,$U$4:$AF$17,$B6)))</f>
        <v>1708.1579531860739</v>
      </c>
      <c r="DT24" s="56">
        <f>IF(DT$23&lt;'A&amp;Rs'!$V10,HLOOKUP(DT$21,$F$4:$Q$17,$B6),IF(AND(DT$23&gt;='A&amp;Rs'!$V10,DT$23&lt;'A&amp;Rs'!$X10),0,HLOOKUP(DT$21,$U$4:$AF$17,$B6)))</f>
        <v>1708.1579531860739</v>
      </c>
      <c r="DU24" s="56">
        <f>IF(DU$23&lt;'A&amp;Rs'!$V10,HLOOKUP(DU$21,$F$4:$Q$17,$B6),IF(AND(DU$23&gt;='A&amp;Rs'!$V10,DU$23&lt;'A&amp;Rs'!$X10),0,HLOOKUP(DU$21,$U$4:$AF$17,$B6)))</f>
        <v>1708.1579531860739</v>
      </c>
      <c r="DV24" s="56">
        <f>IF(DV$23&lt;'A&amp;Rs'!$V10,HLOOKUP(DV$21,$F$4:$Q$17,$B6),IF(AND(DV$23&gt;='A&amp;Rs'!$V10,DV$23&lt;'A&amp;Rs'!$X10),0,HLOOKUP(DV$21,$U$4:$AF$17,$B6)))</f>
        <v>1725.2395327179347</v>
      </c>
      <c r="DW24" s="56">
        <f>IF(DW$23&lt;'A&amp;Rs'!$V10,HLOOKUP(DW$21,$F$4:$Q$17,$B6),IF(AND(DW$23&gt;='A&amp;Rs'!$V10,DW$23&lt;'A&amp;Rs'!$X10),0,HLOOKUP(DW$21,$U$4:$AF$17,$B6)))</f>
        <v>1725.2395327179347</v>
      </c>
      <c r="DX24" s="56">
        <f>IF(DX$23&lt;'A&amp;Rs'!$V10,HLOOKUP(DX$21,$F$4:$Q$17,$B6),IF(AND(DX$23&gt;='A&amp;Rs'!$V10,DX$23&lt;'A&amp;Rs'!$X10),0,HLOOKUP(DX$21,$U$4:$AF$17,$B6)))</f>
        <v>1725.2395327179347</v>
      </c>
      <c r="DY24" s="56">
        <f>IF(DY$23&lt;'A&amp;Rs'!$V10,HLOOKUP(DY$21,$F$4:$Q$17,$B6),IF(AND(DY$23&gt;='A&amp;Rs'!$V10,DY$23&lt;'A&amp;Rs'!$X10),0,HLOOKUP(DY$21,$U$4:$AF$17,$B6)))</f>
        <v>1725.2395327179347</v>
      </c>
      <c r="DZ24" s="56">
        <f>IF(DZ$23&lt;'A&amp;Rs'!$V10,HLOOKUP(DZ$21,$F$4:$Q$17,$B6),IF(AND(DZ$23&gt;='A&amp;Rs'!$V10,DZ$23&lt;'A&amp;Rs'!$X10),0,HLOOKUP(DZ$21,$U$4:$AF$17,$B6)))</f>
        <v>1725.2395327179347</v>
      </c>
      <c r="EA24" s="56">
        <f>IF(EA$23&lt;'A&amp;Rs'!$V10,HLOOKUP(EA$21,$F$4:$Q$17,$B6),IF(AND(EA$23&gt;='A&amp;Rs'!$V10,EA$23&lt;'A&amp;Rs'!$X10),0,HLOOKUP(EA$21,$U$4:$AF$17,$B6)))</f>
        <v>1725.2395327179347</v>
      </c>
      <c r="EB24" s="56">
        <f>IF(EB$23&lt;'A&amp;Rs'!$V10,HLOOKUP(EB$21,$F$4:$Q$17,$B6),IF(AND(EB$23&gt;='A&amp;Rs'!$V10,EB$23&lt;'A&amp;Rs'!$X10),0,HLOOKUP(EB$21,$U$4:$AF$17,$B6)))</f>
        <v>1725.2395327179347</v>
      </c>
      <c r="EC24" s="56">
        <f>IF(EC$23&lt;'A&amp;Rs'!$V10,HLOOKUP(EC$21,$F$4:$Q$17,$B6),IF(AND(EC$23&gt;='A&amp;Rs'!$V10,EC$23&lt;'A&amp;Rs'!$X10),0,HLOOKUP(EC$21,$U$4:$AF$17,$B6)))</f>
        <v>1725.2395327179347</v>
      </c>
      <c r="ED24" s="56">
        <f>IF(ED$23&lt;'A&amp;Rs'!$V10,HLOOKUP(ED$21,$F$4:$Q$17,$B6),IF(AND(ED$23&gt;='A&amp;Rs'!$V10,ED$23&lt;'A&amp;Rs'!$X10),0,HLOOKUP(ED$21,$U$4:$AF$17,$B6)))</f>
        <v>1725.2395327179347</v>
      </c>
      <c r="EE24" s="56">
        <f>IF(EE$23&lt;'A&amp;Rs'!$V10,HLOOKUP(EE$21,$F$4:$Q$17,$B6),IF(AND(EE$23&gt;='A&amp;Rs'!$V10,EE$23&lt;'A&amp;Rs'!$X10),0,HLOOKUP(EE$21,$U$4:$AF$17,$B6)))</f>
        <v>1725.2395327179347</v>
      </c>
      <c r="EF24" s="56">
        <f>IF(EF$23&lt;'A&amp;Rs'!$V10,HLOOKUP(EF$21,$F$4:$Q$17,$B6),IF(AND(EF$23&gt;='A&amp;Rs'!$V10,EF$23&lt;'A&amp;Rs'!$X10),0,HLOOKUP(EF$21,$U$4:$AF$17,$B6)))</f>
        <v>1725.2395327179347</v>
      </c>
      <c r="EG24" s="56">
        <f>IF(EG$23&lt;'A&amp;Rs'!$V10,HLOOKUP(EG$21,$F$4:$Q$17,$B6),IF(AND(EG$23&gt;='A&amp;Rs'!$V10,EG$23&lt;'A&amp;Rs'!$X10),0,HLOOKUP(EG$21,$U$4:$AF$17,$B6)))</f>
        <v>1725.2395327179347</v>
      </c>
      <c r="EH24" s="56">
        <f>IF(EH$23&lt;'A&amp;Rs'!$V10,HLOOKUP(EH$21,$F$4:$Q$17,$B6),IF(AND(EH$23&gt;='A&amp;Rs'!$V10,EH$23&lt;'A&amp;Rs'!$X10),0,HLOOKUP(EH$21,$U$4:$AF$17,$B6)))</f>
        <v>1742.491928045114</v>
      </c>
      <c r="EI24" s="56">
        <f>IF(EI$23&lt;'A&amp;Rs'!$V10,HLOOKUP(EI$21,$F$4:$Q$17,$B6),IF(AND(EI$23&gt;='A&amp;Rs'!$V10,EI$23&lt;'A&amp;Rs'!$X10),0,HLOOKUP(EI$21,$U$4:$AF$17,$B6)))</f>
        <v>1742.491928045114</v>
      </c>
      <c r="EJ24" s="56">
        <f>IF(EJ$23&lt;'A&amp;Rs'!$V10,HLOOKUP(EJ$21,$F$4:$Q$17,$B6),IF(AND(EJ$23&gt;='A&amp;Rs'!$V10,EJ$23&lt;'A&amp;Rs'!$X10),0,HLOOKUP(EJ$21,$U$4:$AF$17,$B6)))</f>
        <v>1742.491928045114</v>
      </c>
      <c r="EK24" s="56">
        <f>IF(EK$23&lt;'A&amp;Rs'!$V10,HLOOKUP(EK$21,$F$4:$Q$17,$B6),IF(AND(EK$23&gt;='A&amp;Rs'!$V10,EK$23&lt;'A&amp;Rs'!$X10),0,HLOOKUP(EK$21,$U$4:$AF$17,$B6)))</f>
        <v>1742.491928045114</v>
      </c>
      <c r="EL24" s="56">
        <f>IF(EL$23&lt;'A&amp;Rs'!$V10,HLOOKUP(EL$21,$F$4:$Q$17,$B6),IF(AND(EL$23&gt;='A&amp;Rs'!$V10,EL$23&lt;'A&amp;Rs'!$X10),0,HLOOKUP(EL$21,$U$4:$AF$17,$B6)))</f>
        <v>1742.491928045114</v>
      </c>
      <c r="EM24" s="56">
        <f>IF(EM$23&lt;'A&amp;Rs'!$V10,HLOOKUP(EM$21,$F$4:$Q$17,$B6),IF(AND(EM$23&gt;='A&amp;Rs'!$V10,EM$23&lt;'A&amp;Rs'!$X10),0,HLOOKUP(EM$21,$U$4:$AF$17,$B6)))</f>
        <v>1742.491928045114</v>
      </c>
      <c r="EN24" s="56">
        <f>IF(EN$23&lt;'A&amp;Rs'!$V10,HLOOKUP(EN$21,$F$4:$Q$17,$B6),IF(AND(EN$23&gt;='A&amp;Rs'!$V10,EN$23&lt;'A&amp;Rs'!$X10),0,HLOOKUP(EN$21,$U$4:$AF$17,$B6)))</f>
        <v>1742.491928045114</v>
      </c>
      <c r="EO24" s="56">
        <f>IF(EO$23&lt;'A&amp;Rs'!$V10,HLOOKUP(EO$21,$F$4:$Q$17,$B6),IF(AND(EO$23&gt;='A&amp;Rs'!$V10,EO$23&lt;'A&amp;Rs'!$X10),0,HLOOKUP(EO$21,$U$4:$AF$17,$B6)))</f>
        <v>1742.491928045114</v>
      </c>
      <c r="EP24" s="56">
        <f>IF(EP$23&lt;'A&amp;Rs'!$V10,HLOOKUP(EP$21,$F$4:$Q$17,$B6),IF(AND(EP$23&gt;='A&amp;Rs'!$V10,EP$23&lt;'A&amp;Rs'!$X10),0,HLOOKUP(EP$21,$U$4:$AF$17,$B6)))</f>
        <v>1742.491928045114</v>
      </c>
      <c r="EQ24" s="56">
        <f>IF(EQ$23&lt;'A&amp;Rs'!$V10,HLOOKUP(EQ$21,$F$4:$Q$17,$B6),IF(AND(EQ$23&gt;='A&amp;Rs'!$V10,EQ$23&lt;'A&amp;Rs'!$X10),0,HLOOKUP(EQ$21,$U$4:$AF$17,$B6)))</f>
        <v>1742.491928045114</v>
      </c>
      <c r="ER24" s="56">
        <f>IF(ER$23&lt;'A&amp;Rs'!$V10,HLOOKUP(ER$21,$F$4:$Q$17,$B6),IF(AND(ER$23&gt;='A&amp;Rs'!$V10,ER$23&lt;'A&amp;Rs'!$X10),0,HLOOKUP(ER$21,$U$4:$AF$17,$B6)))</f>
        <v>1742.491928045114</v>
      </c>
      <c r="ES24" s="56">
        <f>IF(ES$23&lt;'A&amp;Rs'!$V10,HLOOKUP(ES$21,$F$4:$Q$17,$B6),IF(AND(ES$23&gt;='A&amp;Rs'!$V10,ES$23&lt;'A&amp;Rs'!$X10),0,HLOOKUP(ES$21,$U$4:$AF$17,$B6)))</f>
        <v>1742.491928045114</v>
      </c>
      <c r="ET24" s="56">
        <f>IF(ET$23&lt;'A&amp;Rs'!$V10,HLOOKUP(ET$21,$F$4:$Q$17,$B6),IF(AND(ET$23&gt;='A&amp;Rs'!$V10,ET$23&lt;'A&amp;Rs'!$X10),0,HLOOKUP(ET$21,$U$4:$AF$17,$B6)))</f>
        <v>1742.491928045114</v>
      </c>
      <c r="EU24" s="56">
        <f>IF(EU$23&lt;'A&amp;Rs'!$V10,HLOOKUP(EU$21,$F$4:$Q$17,$B6),IF(AND(EU$23&gt;='A&amp;Rs'!$V10,EU$23&lt;'A&amp;Rs'!$X10),0,HLOOKUP(EU$21,$U$4:$AF$17,$B6)))</f>
        <v>1742.491928045114</v>
      </c>
      <c r="EV24" s="56">
        <f>IF(EV$23&lt;'A&amp;Rs'!$V10,HLOOKUP(EV$21,$F$4:$Q$17,$B6),IF(AND(EV$23&gt;='A&amp;Rs'!$V10,EV$23&lt;'A&amp;Rs'!$X10),0,HLOOKUP(EV$21,$U$4:$AF$17,$B6)))</f>
        <v>1742.491928045114</v>
      </c>
      <c r="EW24" s="56">
        <f>IF(EW$23&lt;'A&amp;Rs'!$V10,HLOOKUP(EW$21,$F$4:$Q$17,$B6),IF(AND(EW$23&gt;='A&amp;Rs'!$V10,EW$23&lt;'A&amp;Rs'!$X10),0,HLOOKUP(EW$21,$U$4:$AF$17,$B6)))</f>
        <v>1742.491928045114</v>
      </c>
      <c r="EX24" s="56">
        <f>IF(EX$23&lt;'A&amp;Rs'!$V10,HLOOKUP(EX$21,$F$4:$Q$17,$B6),IF(AND(EX$23&gt;='A&amp;Rs'!$V10,EX$23&lt;'A&amp;Rs'!$X10),0,HLOOKUP(EX$21,$U$4:$AF$17,$B6)))</f>
        <v>1742.491928045114</v>
      </c>
      <c r="EY24" s="56">
        <f>IF(EY$23&lt;'A&amp;Rs'!$V10,HLOOKUP(EY$21,$F$4:$Q$17,$B6),IF(AND(EY$23&gt;='A&amp;Rs'!$V10,EY$23&lt;'A&amp;Rs'!$X10),0,HLOOKUP(EY$21,$U$4:$AF$17,$B6)))</f>
        <v>1742.491928045114</v>
      </c>
      <c r="EZ24" s="56">
        <f>IF(EZ$23&lt;'A&amp;Rs'!$V10,HLOOKUP(EZ$21,$F$4:$Q$17,$B6),IF(AND(EZ$23&gt;='A&amp;Rs'!$V10,EZ$23&lt;'A&amp;Rs'!$X10),0,HLOOKUP(EZ$21,$U$4:$AF$17,$B6)))</f>
        <v>1742.491928045114</v>
      </c>
      <c r="FA24" s="56">
        <f>IF(FA$23&lt;'A&amp;Rs'!$V10,HLOOKUP(FA$21,$F$4:$Q$17,$B6),IF(AND(FA$23&gt;='A&amp;Rs'!$V10,FA$23&lt;'A&amp;Rs'!$X10),0,HLOOKUP(FA$21,$U$4:$AF$17,$B6)))</f>
        <v>1742.491928045114</v>
      </c>
      <c r="FB24" s="56">
        <f>IF(FB$23&lt;'A&amp;Rs'!$V10,HLOOKUP(FB$21,$F$4:$Q$17,$B6),IF(AND(FB$23&gt;='A&amp;Rs'!$V10,FB$23&lt;'A&amp;Rs'!$X10),0,HLOOKUP(FB$21,$U$4:$AF$17,$B6)))</f>
        <v>1742.491928045114</v>
      </c>
      <c r="FC24" s="56">
        <f>IF(FC$23&lt;'A&amp;Rs'!$V10,HLOOKUP(FC$21,$F$4:$Q$17,$B6),IF(AND(FC$23&gt;='A&amp;Rs'!$V10,FC$23&lt;'A&amp;Rs'!$X10),0,HLOOKUP(FC$21,$U$4:$AF$17,$B6)))</f>
        <v>1742.491928045114</v>
      </c>
      <c r="FD24" s="56">
        <f>IF(FD$23&lt;'A&amp;Rs'!$V10,HLOOKUP(FD$21,$F$4:$Q$17,$B6),IF(AND(FD$23&gt;='A&amp;Rs'!$V10,FD$23&lt;'A&amp;Rs'!$X10),0,HLOOKUP(FD$21,$U$4:$AF$17,$B6)))</f>
        <v>1742.491928045114</v>
      </c>
      <c r="FE24" s="56">
        <f>IF(FE$23&lt;'A&amp;Rs'!$V10,HLOOKUP(FE$21,$F$4:$Q$17,$B6),IF(AND(FE$23&gt;='A&amp;Rs'!$V10,FE$23&lt;'A&amp;Rs'!$X10),0,HLOOKUP(FE$21,$U$4:$AF$17,$B6)))</f>
        <v>1742.491928045114</v>
      </c>
      <c r="FF24" s="1" t="s">
        <v>39</v>
      </c>
      <c r="FG24" s="1"/>
      <c r="FH24" s="1"/>
      <c r="FI24" s="99"/>
    </row>
    <row r="25" spans="2:165" x14ac:dyDescent="0.3">
      <c r="C25" s="98"/>
      <c r="D25" s="123">
        <f>'A&amp;Rs'!Q11</f>
        <v>2</v>
      </c>
      <c r="E25" s="56">
        <f t="shared" ref="E25:E35" si="11">E7</f>
        <v>1170</v>
      </c>
      <c r="F25" s="56">
        <f>IF(F$23&lt;'A&amp;Rs'!$V11,HLOOKUP(F$21,$F$4:$Q$17,$B7),IF(AND(F$23&gt;='A&amp;Rs'!$V11,F$23&lt;'A&amp;Rs'!$X11),0,HLOOKUP(F$21,$U$4:$AF$17,$B7)))</f>
        <v>1170</v>
      </c>
      <c r="G25" s="56">
        <f>IF(G$23&lt;'A&amp;Rs'!$V11,HLOOKUP(G$21,$F$4:$Q$17,$B7),IF(AND(G$23&gt;='A&amp;Rs'!$V11,G$23&lt;'A&amp;Rs'!$X11),0,HLOOKUP(G$21,$U$4:$AF$17,$B7)))</f>
        <v>0</v>
      </c>
      <c r="H25" s="56">
        <f>IF(H$23&lt;'A&amp;Rs'!$V11,HLOOKUP(H$21,$F$4:$Q$17,$B7),IF(AND(H$23&gt;='A&amp;Rs'!$V11,H$23&lt;'A&amp;Rs'!$X11),0,HLOOKUP(H$21,$U$4:$AF$17,$B7)))</f>
        <v>0</v>
      </c>
      <c r="I25" s="56">
        <f>IF(I$23&lt;'A&amp;Rs'!$V11,HLOOKUP(I$21,$F$4:$Q$17,$B7),IF(AND(I$23&gt;='A&amp;Rs'!$V11,I$23&lt;'A&amp;Rs'!$X11),0,HLOOKUP(I$21,$U$4:$AF$17,$B7)))</f>
        <v>1430</v>
      </c>
      <c r="J25" s="56">
        <f>IF(J$23&lt;'A&amp;Rs'!$V11,HLOOKUP(J$21,$F$4:$Q$17,$B7),IF(AND(J$23&gt;='A&amp;Rs'!$V11,J$23&lt;'A&amp;Rs'!$X11),0,HLOOKUP(J$21,$U$4:$AF$17,$B7)))</f>
        <v>1430</v>
      </c>
      <c r="K25" s="56">
        <f>IF(K$23&lt;'A&amp;Rs'!$V11,HLOOKUP(K$21,$F$4:$Q$17,$B7),IF(AND(K$23&gt;='A&amp;Rs'!$V11,K$23&lt;'A&amp;Rs'!$X11),0,HLOOKUP(K$21,$U$4:$AF$17,$B7)))</f>
        <v>1430</v>
      </c>
      <c r="L25" s="56">
        <f>IF(L$23&lt;'A&amp;Rs'!$V11,HLOOKUP(L$21,$F$4:$Q$17,$B7),IF(AND(L$23&gt;='A&amp;Rs'!$V11,L$23&lt;'A&amp;Rs'!$X11),0,HLOOKUP(L$21,$U$4:$AF$17,$B7)))</f>
        <v>1430</v>
      </c>
      <c r="M25" s="56">
        <f>IF(M$23&lt;'A&amp;Rs'!$V11,HLOOKUP(M$21,$F$4:$Q$17,$B7),IF(AND(M$23&gt;='A&amp;Rs'!$V11,M$23&lt;'A&amp;Rs'!$X11),0,HLOOKUP(M$21,$U$4:$AF$17,$B7)))</f>
        <v>1430</v>
      </c>
      <c r="N25" s="56">
        <f>IF(N$23&lt;'A&amp;Rs'!$V11,HLOOKUP(N$21,$F$4:$Q$17,$B7),IF(AND(N$23&gt;='A&amp;Rs'!$V11,N$23&lt;'A&amp;Rs'!$X11),0,HLOOKUP(N$21,$U$4:$AF$17,$B7)))</f>
        <v>1430</v>
      </c>
      <c r="O25" s="56">
        <f>IF(O$23&lt;'A&amp;Rs'!$V11,HLOOKUP(O$21,$F$4:$Q$17,$B7),IF(AND(O$23&gt;='A&amp;Rs'!$V11,O$23&lt;'A&amp;Rs'!$X11),0,HLOOKUP(O$21,$U$4:$AF$17,$B7)))</f>
        <v>1430</v>
      </c>
      <c r="P25" s="56">
        <f>IF(P$23&lt;'A&amp;Rs'!$V11,HLOOKUP(P$21,$F$4:$Q$17,$B7),IF(AND(P$23&gt;='A&amp;Rs'!$V11,P$23&lt;'A&amp;Rs'!$X11),0,HLOOKUP(P$21,$U$4:$AF$17,$B7)))</f>
        <v>1430</v>
      </c>
      <c r="Q25" s="56">
        <f>IF(Q$23&lt;'A&amp;Rs'!$V11,HLOOKUP(Q$21,$F$4:$Q$17,$B7),IF(AND(Q$23&gt;='A&amp;Rs'!$V11,Q$23&lt;'A&amp;Rs'!$X11),0,HLOOKUP(Q$21,$U$4:$AF$17,$B7)))</f>
        <v>1430</v>
      </c>
      <c r="R25" s="56">
        <f>IF(R$23&lt;'A&amp;Rs'!$V11,HLOOKUP(R$21,$F$4:$Q$17,$B7),IF(AND(R$23&gt;='A&amp;Rs'!$V11,R$23&lt;'A&amp;Rs'!$X11),0,HLOOKUP(R$21,$U$4:$AF$17,$B7)))</f>
        <v>1472.9</v>
      </c>
      <c r="S25" s="56">
        <f>IF(S$23&lt;'A&amp;Rs'!$V11,HLOOKUP(S$21,$F$4:$Q$17,$B7),IF(AND(S$23&gt;='A&amp;Rs'!$V11,S$23&lt;'A&amp;Rs'!$X11),0,HLOOKUP(S$21,$U$4:$AF$17,$B7)))</f>
        <v>1472.9</v>
      </c>
      <c r="T25" s="56">
        <f>IF(T$23&lt;'A&amp;Rs'!$V11,HLOOKUP(T$21,$F$4:$Q$17,$B7),IF(AND(T$23&gt;='A&amp;Rs'!$V11,T$23&lt;'A&amp;Rs'!$X11),0,HLOOKUP(T$21,$U$4:$AF$17,$B7)))</f>
        <v>1472.9</v>
      </c>
      <c r="U25" s="56">
        <f>IF(U$23&lt;'A&amp;Rs'!$V11,HLOOKUP(U$21,$F$4:$Q$17,$B7),IF(AND(U$23&gt;='A&amp;Rs'!$V11,U$23&lt;'A&amp;Rs'!$X11),0,HLOOKUP(U$21,$U$4:$AF$17,$B7)))</f>
        <v>1472.9</v>
      </c>
      <c r="V25" s="56">
        <f>IF(V$23&lt;'A&amp;Rs'!$V11,HLOOKUP(V$21,$F$4:$Q$17,$B7),IF(AND(V$23&gt;='A&amp;Rs'!$V11,V$23&lt;'A&amp;Rs'!$X11),0,HLOOKUP(V$21,$U$4:$AF$17,$B7)))</f>
        <v>1472.9</v>
      </c>
      <c r="W25" s="56">
        <f>IF(W$23&lt;'A&amp;Rs'!$V11,HLOOKUP(W$21,$F$4:$Q$17,$B7),IF(AND(W$23&gt;='A&amp;Rs'!$V11,W$23&lt;'A&amp;Rs'!$X11),0,HLOOKUP(W$21,$U$4:$AF$17,$B7)))</f>
        <v>1472.9</v>
      </c>
      <c r="X25" s="56">
        <f>IF(X$23&lt;'A&amp;Rs'!$V11,HLOOKUP(X$21,$F$4:$Q$17,$B7),IF(AND(X$23&gt;='A&amp;Rs'!$V11,X$23&lt;'A&amp;Rs'!$X11),0,HLOOKUP(X$21,$U$4:$AF$17,$B7)))</f>
        <v>1472.9</v>
      </c>
      <c r="Y25" s="56">
        <f>IF(Y$23&lt;'A&amp;Rs'!$V11,HLOOKUP(Y$21,$F$4:$Q$17,$B7),IF(AND(Y$23&gt;='A&amp;Rs'!$V11,Y$23&lt;'A&amp;Rs'!$X11),0,HLOOKUP(Y$21,$U$4:$AF$17,$B7)))</f>
        <v>1472.9</v>
      </c>
      <c r="Z25" s="56">
        <f>IF(Z$23&lt;'A&amp;Rs'!$V11,HLOOKUP(Z$21,$F$4:$Q$17,$B7),IF(AND(Z$23&gt;='A&amp;Rs'!$V11,Z$23&lt;'A&amp;Rs'!$X11),0,HLOOKUP(Z$21,$U$4:$AF$17,$B7)))</f>
        <v>1472.9</v>
      </c>
      <c r="AA25" s="56">
        <f>IF(AA$23&lt;'A&amp;Rs'!$V11,HLOOKUP(AA$21,$F$4:$Q$17,$B7),IF(AND(AA$23&gt;='A&amp;Rs'!$V11,AA$23&lt;'A&amp;Rs'!$X11),0,HLOOKUP(AA$21,$U$4:$AF$17,$B7)))</f>
        <v>1472.9</v>
      </c>
      <c r="AB25" s="56">
        <f>IF(AB$23&lt;'A&amp;Rs'!$V11,HLOOKUP(AB$21,$F$4:$Q$17,$B7),IF(AND(AB$23&gt;='A&amp;Rs'!$V11,AB$23&lt;'A&amp;Rs'!$X11),0,HLOOKUP(AB$21,$U$4:$AF$17,$B7)))</f>
        <v>1472.9</v>
      </c>
      <c r="AC25" s="56">
        <f>IF(AC$23&lt;'A&amp;Rs'!$V11,HLOOKUP(AC$21,$F$4:$Q$17,$B7),IF(AND(AC$23&gt;='A&amp;Rs'!$V11,AC$23&lt;'A&amp;Rs'!$X11),0,HLOOKUP(AC$21,$U$4:$AF$17,$B7)))</f>
        <v>1472.9</v>
      </c>
      <c r="AD25" s="56">
        <f>IF(AD$23&lt;'A&amp;Rs'!$V11,HLOOKUP(AD$21,$F$4:$Q$17,$B7),IF(AND(AD$23&gt;='A&amp;Rs'!$V11,AD$23&lt;'A&amp;Rs'!$X11),0,HLOOKUP(AD$21,$U$4:$AF$17,$B7)))</f>
        <v>1502.3580000000002</v>
      </c>
      <c r="AE25" s="56">
        <f>IF(AE$23&lt;'A&amp;Rs'!$V11,HLOOKUP(AE$21,$F$4:$Q$17,$B7),IF(AND(AE$23&gt;='A&amp;Rs'!$V11,AE$23&lt;'A&amp;Rs'!$X11),0,HLOOKUP(AE$21,$U$4:$AF$17,$B7)))</f>
        <v>1502.3580000000002</v>
      </c>
      <c r="AF25" s="56">
        <f>IF(AF$23&lt;'A&amp;Rs'!$V11,HLOOKUP(AF$21,$F$4:$Q$17,$B7),IF(AND(AF$23&gt;='A&amp;Rs'!$V11,AF$23&lt;'A&amp;Rs'!$X11),0,HLOOKUP(AF$21,$U$4:$AF$17,$B7)))</f>
        <v>1502.3580000000002</v>
      </c>
      <c r="AG25" s="56">
        <f>IF(AG$23&lt;'A&amp;Rs'!$V11,HLOOKUP(AG$21,$F$4:$Q$17,$B7),IF(AND(AG$23&gt;='A&amp;Rs'!$V11,AG$23&lt;'A&amp;Rs'!$X11),0,HLOOKUP(AG$21,$U$4:$AF$17,$B7)))</f>
        <v>1502.3580000000002</v>
      </c>
      <c r="AH25" s="56">
        <f>IF(AH$23&lt;'A&amp;Rs'!$V11,HLOOKUP(AH$21,$F$4:$Q$17,$B7),IF(AND(AH$23&gt;='A&amp;Rs'!$V11,AH$23&lt;'A&amp;Rs'!$X11),0,HLOOKUP(AH$21,$U$4:$AF$17,$B7)))</f>
        <v>1502.3580000000002</v>
      </c>
      <c r="AI25" s="56">
        <f>IF(AI$23&lt;'A&amp;Rs'!$V11,HLOOKUP(AI$21,$F$4:$Q$17,$B7),IF(AND(AI$23&gt;='A&amp;Rs'!$V11,AI$23&lt;'A&amp;Rs'!$X11),0,HLOOKUP(AI$21,$U$4:$AF$17,$B7)))</f>
        <v>1502.3580000000002</v>
      </c>
      <c r="AJ25" s="56">
        <f>IF(AJ$23&lt;'A&amp;Rs'!$V11,HLOOKUP(AJ$21,$F$4:$Q$17,$B7),IF(AND(AJ$23&gt;='A&amp;Rs'!$V11,AJ$23&lt;'A&amp;Rs'!$X11),0,HLOOKUP(AJ$21,$U$4:$AF$17,$B7)))</f>
        <v>1502.3580000000002</v>
      </c>
      <c r="AK25" s="56">
        <f>IF(AK$23&lt;'A&amp;Rs'!$V11,HLOOKUP(AK$21,$F$4:$Q$17,$B7),IF(AND(AK$23&gt;='A&amp;Rs'!$V11,AK$23&lt;'A&amp;Rs'!$X11),0,HLOOKUP(AK$21,$U$4:$AF$17,$B7)))</f>
        <v>1502.3580000000002</v>
      </c>
      <c r="AL25" s="56">
        <f>IF(AL$23&lt;'A&amp;Rs'!$V11,HLOOKUP(AL$21,$F$4:$Q$17,$B7),IF(AND(AL$23&gt;='A&amp;Rs'!$V11,AL$23&lt;'A&amp;Rs'!$X11),0,HLOOKUP(AL$21,$U$4:$AF$17,$B7)))</f>
        <v>1502.3580000000002</v>
      </c>
      <c r="AM25" s="56">
        <f>IF(AM$23&lt;'A&amp;Rs'!$V11,HLOOKUP(AM$21,$F$4:$Q$17,$B7),IF(AND(AM$23&gt;='A&amp;Rs'!$V11,AM$23&lt;'A&amp;Rs'!$X11),0,HLOOKUP(AM$21,$U$4:$AF$17,$B7)))</f>
        <v>1502.3580000000002</v>
      </c>
      <c r="AN25" s="56">
        <f>IF(AN$23&lt;'A&amp;Rs'!$V11,HLOOKUP(AN$21,$F$4:$Q$17,$B7),IF(AND(AN$23&gt;='A&amp;Rs'!$V11,AN$23&lt;'A&amp;Rs'!$X11),0,HLOOKUP(AN$21,$U$4:$AF$17,$B7)))</f>
        <v>1502.3580000000002</v>
      </c>
      <c r="AO25" s="56">
        <f>IF(AO$23&lt;'A&amp;Rs'!$V11,HLOOKUP(AO$21,$F$4:$Q$17,$B7),IF(AND(AO$23&gt;='A&amp;Rs'!$V11,AO$23&lt;'A&amp;Rs'!$X11),0,HLOOKUP(AO$21,$U$4:$AF$17,$B7)))</f>
        <v>1502.3580000000002</v>
      </c>
      <c r="AP25" s="56">
        <f>IF(AP$23&lt;'A&amp;Rs'!$V11,HLOOKUP(AP$21,$F$4:$Q$17,$B7),IF(AND(AP$23&gt;='A&amp;Rs'!$V11,AP$23&lt;'A&amp;Rs'!$X11),0,HLOOKUP(AP$21,$U$4:$AF$17,$B7)))</f>
        <v>1547.4287400000003</v>
      </c>
      <c r="AQ25" s="56">
        <f>IF(AQ$23&lt;'A&amp;Rs'!$V11,HLOOKUP(AQ$21,$F$4:$Q$17,$B7),IF(AND(AQ$23&gt;='A&amp;Rs'!$V11,AQ$23&lt;'A&amp;Rs'!$X11),0,HLOOKUP(AQ$21,$U$4:$AF$17,$B7)))</f>
        <v>1547.4287400000003</v>
      </c>
      <c r="AR25" s="56">
        <f>IF(AR$23&lt;'A&amp;Rs'!$V11,HLOOKUP(AR$21,$F$4:$Q$17,$B7),IF(AND(AR$23&gt;='A&amp;Rs'!$V11,AR$23&lt;'A&amp;Rs'!$X11),0,HLOOKUP(AR$21,$U$4:$AF$17,$B7)))</f>
        <v>1547.4287400000003</v>
      </c>
      <c r="AS25" s="56">
        <f>IF(AS$23&lt;'A&amp;Rs'!$V11,HLOOKUP(AS$21,$F$4:$Q$17,$B7),IF(AND(AS$23&gt;='A&amp;Rs'!$V11,AS$23&lt;'A&amp;Rs'!$X11),0,HLOOKUP(AS$21,$U$4:$AF$17,$B7)))</f>
        <v>1547.4287400000003</v>
      </c>
      <c r="AT25" s="56">
        <f>IF(AT$23&lt;'A&amp;Rs'!$V11,HLOOKUP(AT$21,$F$4:$Q$17,$B7),IF(AND(AT$23&gt;='A&amp;Rs'!$V11,AT$23&lt;'A&amp;Rs'!$X11),0,HLOOKUP(AT$21,$U$4:$AF$17,$B7)))</f>
        <v>1547.4287400000003</v>
      </c>
      <c r="AU25" s="56">
        <f>IF(AU$23&lt;'A&amp;Rs'!$V11,HLOOKUP(AU$21,$F$4:$Q$17,$B7),IF(AND(AU$23&gt;='A&amp;Rs'!$V11,AU$23&lt;'A&amp;Rs'!$X11),0,HLOOKUP(AU$21,$U$4:$AF$17,$B7)))</f>
        <v>1547.4287400000003</v>
      </c>
      <c r="AV25" s="56">
        <f>IF(AV$23&lt;'A&amp;Rs'!$V11,HLOOKUP(AV$21,$F$4:$Q$17,$B7),IF(AND(AV$23&gt;='A&amp;Rs'!$V11,AV$23&lt;'A&amp;Rs'!$X11),0,HLOOKUP(AV$21,$U$4:$AF$17,$B7)))</f>
        <v>1547.4287400000003</v>
      </c>
      <c r="AW25" s="56">
        <f>IF(AW$23&lt;'A&amp;Rs'!$V11,HLOOKUP(AW$21,$F$4:$Q$17,$B7),IF(AND(AW$23&gt;='A&amp;Rs'!$V11,AW$23&lt;'A&amp;Rs'!$X11),0,HLOOKUP(AW$21,$U$4:$AF$17,$B7)))</f>
        <v>1547.4287400000003</v>
      </c>
      <c r="AX25" s="56">
        <f>IF(AX$23&lt;'A&amp;Rs'!$V11,HLOOKUP(AX$21,$F$4:$Q$17,$B7),IF(AND(AX$23&gt;='A&amp;Rs'!$V11,AX$23&lt;'A&amp;Rs'!$X11),0,HLOOKUP(AX$21,$U$4:$AF$17,$B7)))</f>
        <v>1547.4287400000003</v>
      </c>
      <c r="AY25" s="56">
        <f>IF(AY$23&lt;'A&amp;Rs'!$V11,HLOOKUP(AY$21,$F$4:$Q$17,$B7),IF(AND(AY$23&gt;='A&amp;Rs'!$V11,AY$23&lt;'A&amp;Rs'!$X11),0,HLOOKUP(AY$21,$U$4:$AF$17,$B7)))</f>
        <v>1547.4287400000003</v>
      </c>
      <c r="AZ25" s="56">
        <f>IF(AZ$23&lt;'A&amp;Rs'!$V11,HLOOKUP(AZ$21,$F$4:$Q$17,$B7),IF(AND(AZ$23&gt;='A&amp;Rs'!$V11,AZ$23&lt;'A&amp;Rs'!$X11),0,HLOOKUP(AZ$21,$U$4:$AF$17,$B7)))</f>
        <v>1547.4287400000003</v>
      </c>
      <c r="BA25" s="56">
        <f>IF(BA$23&lt;'A&amp;Rs'!$V11,HLOOKUP(BA$21,$F$4:$Q$17,$B7),IF(AND(BA$23&gt;='A&amp;Rs'!$V11,BA$23&lt;'A&amp;Rs'!$X11),0,HLOOKUP(BA$21,$U$4:$AF$17,$B7)))</f>
        <v>1547.4287400000003</v>
      </c>
      <c r="BB25" s="56">
        <f>IF(BB$23&lt;'A&amp;Rs'!$V11,HLOOKUP(BB$21,$F$4:$Q$17,$B7),IF(AND(BB$23&gt;='A&amp;Rs'!$V11,BB$23&lt;'A&amp;Rs'!$X11),0,HLOOKUP(BB$21,$U$4:$AF$17,$B7)))</f>
        <v>1593.8516022000003</v>
      </c>
      <c r="BC25" s="56">
        <f>IF(BC$23&lt;'A&amp;Rs'!$V11,HLOOKUP(BC$21,$F$4:$Q$17,$B7),IF(AND(BC$23&gt;='A&amp;Rs'!$V11,BC$23&lt;'A&amp;Rs'!$X11),0,HLOOKUP(BC$21,$U$4:$AF$17,$B7)))</f>
        <v>1593.8516022000003</v>
      </c>
      <c r="BD25" s="56">
        <f>IF(BD$23&lt;'A&amp;Rs'!$V11,HLOOKUP(BD$21,$F$4:$Q$17,$B7),IF(AND(BD$23&gt;='A&amp;Rs'!$V11,BD$23&lt;'A&amp;Rs'!$X11),0,HLOOKUP(BD$21,$U$4:$AF$17,$B7)))</f>
        <v>1593.8516022000003</v>
      </c>
      <c r="BE25" s="56">
        <f>IF(BE$23&lt;'A&amp;Rs'!$V11,HLOOKUP(BE$21,$F$4:$Q$17,$B7),IF(AND(BE$23&gt;='A&amp;Rs'!$V11,BE$23&lt;'A&amp;Rs'!$X11),0,HLOOKUP(BE$21,$U$4:$AF$17,$B7)))</f>
        <v>1593.8516022000003</v>
      </c>
      <c r="BF25" s="56">
        <f>IF(BF$23&lt;'A&amp;Rs'!$V11,HLOOKUP(BF$21,$F$4:$Q$17,$B7),IF(AND(BF$23&gt;='A&amp;Rs'!$V11,BF$23&lt;'A&amp;Rs'!$X11),0,HLOOKUP(BF$21,$U$4:$AF$17,$B7)))</f>
        <v>1593.8516022000003</v>
      </c>
      <c r="BG25" s="56">
        <f>IF(BG$23&lt;'A&amp;Rs'!$V11,HLOOKUP(BG$21,$F$4:$Q$17,$B7),IF(AND(BG$23&gt;='A&amp;Rs'!$V11,BG$23&lt;'A&amp;Rs'!$X11),0,HLOOKUP(BG$21,$U$4:$AF$17,$B7)))</f>
        <v>1593.8516022000003</v>
      </c>
      <c r="BH25" s="56">
        <f>IF(BH$23&lt;'A&amp;Rs'!$V11,HLOOKUP(BH$21,$F$4:$Q$17,$B7),IF(AND(BH$23&gt;='A&amp;Rs'!$V11,BH$23&lt;'A&amp;Rs'!$X11),0,HLOOKUP(BH$21,$U$4:$AF$17,$B7)))</f>
        <v>1593.8516022000003</v>
      </c>
      <c r="BI25" s="56">
        <f>IF(BI$23&lt;'A&amp;Rs'!$V11,HLOOKUP(BI$21,$F$4:$Q$17,$B7),IF(AND(BI$23&gt;='A&amp;Rs'!$V11,BI$23&lt;'A&amp;Rs'!$X11),0,HLOOKUP(BI$21,$U$4:$AF$17,$B7)))</f>
        <v>1593.8516022000003</v>
      </c>
      <c r="BJ25" s="56">
        <f>IF(BJ$23&lt;'A&amp;Rs'!$V11,HLOOKUP(BJ$21,$F$4:$Q$17,$B7),IF(AND(BJ$23&gt;='A&amp;Rs'!$V11,BJ$23&lt;'A&amp;Rs'!$X11),0,HLOOKUP(BJ$21,$U$4:$AF$17,$B7)))</f>
        <v>1593.8516022000003</v>
      </c>
      <c r="BK25" s="56">
        <f>IF(BK$23&lt;'A&amp;Rs'!$V11,HLOOKUP(BK$21,$F$4:$Q$17,$B7),IF(AND(BK$23&gt;='A&amp;Rs'!$V11,BK$23&lt;'A&amp;Rs'!$X11),0,HLOOKUP(BK$21,$U$4:$AF$17,$B7)))</f>
        <v>1593.8516022000003</v>
      </c>
      <c r="BL25" s="56">
        <f>IF(BL$23&lt;'A&amp;Rs'!$V11,HLOOKUP(BL$21,$F$4:$Q$17,$B7),IF(AND(BL$23&gt;='A&amp;Rs'!$V11,BL$23&lt;'A&amp;Rs'!$X11),0,HLOOKUP(BL$21,$U$4:$AF$17,$B7)))</f>
        <v>1593.8516022000003</v>
      </c>
      <c r="BM25" s="56">
        <f>IF(BM$23&lt;'A&amp;Rs'!$V11,HLOOKUP(BM$21,$F$4:$Q$17,$B7),IF(AND(BM$23&gt;='A&amp;Rs'!$V11,BM$23&lt;'A&amp;Rs'!$X11),0,HLOOKUP(BM$21,$U$4:$AF$17,$B7)))</f>
        <v>1593.8516022000003</v>
      </c>
      <c r="BN25" s="56">
        <f>IF(BN$23&lt;'A&amp;Rs'!$V11,HLOOKUP(BN$21,$F$4:$Q$17,$B7),IF(AND(BN$23&gt;='A&amp;Rs'!$V11,BN$23&lt;'A&amp;Rs'!$X11),0,HLOOKUP(BN$21,$U$4:$AF$17,$B7)))</f>
        <v>1593.8516022000003</v>
      </c>
      <c r="BO25" s="56">
        <f>IF(BO$23&lt;'A&amp;Rs'!$V11,HLOOKUP(BO$21,$F$4:$Q$17,$B7),IF(AND(BO$23&gt;='A&amp;Rs'!$V11,BO$23&lt;'A&amp;Rs'!$X11),0,HLOOKUP(BO$21,$U$4:$AF$17,$B7)))</f>
        <v>1593.8516022000003</v>
      </c>
      <c r="BP25" s="56">
        <f>IF(BP$23&lt;'A&amp;Rs'!$V11,HLOOKUP(BP$21,$F$4:$Q$17,$B7),IF(AND(BP$23&gt;='A&amp;Rs'!$V11,BP$23&lt;'A&amp;Rs'!$X11),0,HLOOKUP(BP$21,$U$4:$AF$17,$B7)))</f>
        <v>1593.8516022000003</v>
      </c>
      <c r="BQ25" s="56">
        <f>IF(BQ$23&lt;'A&amp;Rs'!$V11,HLOOKUP(BQ$21,$F$4:$Q$17,$B7),IF(AND(BQ$23&gt;='A&amp;Rs'!$V11,BQ$23&lt;'A&amp;Rs'!$X11),0,HLOOKUP(BQ$21,$U$4:$AF$17,$B7)))</f>
        <v>1593.8516022000003</v>
      </c>
      <c r="BR25" s="56">
        <f>IF(BR$23&lt;'A&amp;Rs'!$V11,HLOOKUP(BR$21,$F$4:$Q$17,$B7),IF(AND(BR$23&gt;='A&amp;Rs'!$V11,BR$23&lt;'A&amp;Rs'!$X11),0,HLOOKUP(BR$21,$U$4:$AF$17,$B7)))</f>
        <v>1593.8516022000003</v>
      </c>
      <c r="BS25" s="56">
        <f>IF(BS$23&lt;'A&amp;Rs'!$V11,HLOOKUP(BS$21,$F$4:$Q$17,$B7),IF(AND(BS$23&gt;='A&amp;Rs'!$V11,BS$23&lt;'A&amp;Rs'!$X11),0,HLOOKUP(BS$21,$U$4:$AF$17,$B7)))</f>
        <v>1593.8516022000003</v>
      </c>
      <c r="BT25" s="56">
        <f>IF(BT$23&lt;'A&amp;Rs'!$V11,HLOOKUP(BT$21,$F$4:$Q$17,$B7),IF(AND(BT$23&gt;='A&amp;Rs'!$V11,BT$23&lt;'A&amp;Rs'!$X11),0,HLOOKUP(BT$21,$U$4:$AF$17,$B7)))</f>
        <v>1593.8516022000003</v>
      </c>
      <c r="BU25" s="56">
        <f>IF(BU$23&lt;'A&amp;Rs'!$V11,HLOOKUP(BU$21,$F$4:$Q$17,$B7),IF(AND(BU$23&gt;='A&amp;Rs'!$V11,BU$23&lt;'A&amp;Rs'!$X11),0,HLOOKUP(BU$21,$U$4:$AF$17,$B7)))</f>
        <v>1593.8516022000003</v>
      </c>
      <c r="BV25" s="56">
        <f>IF(BV$23&lt;'A&amp;Rs'!$V11,HLOOKUP(BV$21,$F$4:$Q$17,$B7),IF(AND(BV$23&gt;='A&amp;Rs'!$V11,BV$23&lt;'A&amp;Rs'!$X11),0,HLOOKUP(BV$21,$U$4:$AF$17,$B7)))</f>
        <v>1593.8516022000003</v>
      </c>
      <c r="BW25" s="56">
        <f>IF(BW$23&lt;'A&amp;Rs'!$V11,HLOOKUP(BW$21,$F$4:$Q$17,$B7),IF(AND(BW$23&gt;='A&amp;Rs'!$V11,BW$23&lt;'A&amp;Rs'!$X11),0,HLOOKUP(BW$21,$U$4:$AF$17,$B7)))</f>
        <v>1593.8516022000003</v>
      </c>
      <c r="BX25" s="56">
        <f>IF(BX$23&lt;'A&amp;Rs'!$V11,HLOOKUP(BX$21,$F$4:$Q$17,$B7),IF(AND(BX$23&gt;='A&amp;Rs'!$V11,BX$23&lt;'A&amp;Rs'!$X11),0,HLOOKUP(BX$21,$U$4:$AF$17,$B7)))</f>
        <v>1593.8516022000003</v>
      </c>
      <c r="BY25" s="56">
        <f>IF(BY$23&lt;'A&amp;Rs'!$V11,HLOOKUP(BY$21,$F$4:$Q$17,$B7),IF(AND(BY$23&gt;='A&amp;Rs'!$V11,BY$23&lt;'A&amp;Rs'!$X11),0,HLOOKUP(BY$21,$U$4:$AF$17,$B7)))</f>
        <v>1593.8516022000003</v>
      </c>
      <c r="BZ25" s="56">
        <f>IF(BZ$23&lt;'A&amp;Rs'!$V11,HLOOKUP(BZ$21,$F$4:$Q$17,$B7),IF(AND(BZ$23&gt;='A&amp;Rs'!$V11,BZ$23&lt;'A&amp;Rs'!$X11),0,HLOOKUP(BZ$21,$U$4:$AF$17,$B7)))</f>
        <v>1609.7901182220003</v>
      </c>
      <c r="CA25" s="56">
        <f>IF(CA$23&lt;'A&amp;Rs'!$V11,HLOOKUP(CA$21,$F$4:$Q$17,$B7),IF(AND(CA$23&gt;='A&amp;Rs'!$V11,CA$23&lt;'A&amp;Rs'!$X11),0,HLOOKUP(CA$21,$U$4:$AF$17,$B7)))</f>
        <v>1609.7901182220003</v>
      </c>
      <c r="CB25" s="56">
        <f>IF(CB$23&lt;'A&amp;Rs'!$V11,HLOOKUP(CB$21,$F$4:$Q$17,$B7),IF(AND(CB$23&gt;='A&amp;Rs'!$V11,CB$23&lt;'A&amp;Rs'!$X11),0,HLOOKUP(CB$21,$U$4:$AF$17,$B7)))</f>
        <v>1609.7901182220003</v>
      </c>
      <c r="CC25" s="56">
        <f>IF(CC$23&lt;'A&amp;Rs'!$V11,HLOOKUP(CC$21,$F$4:$Q$17,$B7),IF(AND(CC$23&gt;='A&amp;Rs'!$V11,CC$23&lt;'A&amp;Rs'!$X11),0,HLOOKUP(CC$21,$U$4:$AF$17,$B7)))</f>
        <v>1609.7901182220003</v>
      </c>
      <c r="CD25" s="56">
        <f>IF(CD$23&lt;'A&amp;Rs'!$V11,HLOOKUP(CD$21,$F$4:$Q$17,$B7),IF(AND(CD$23&gt;='A&amp;Rs'!$V11,CD$23&lt;'A&amp;Rs'!$X11),0,HLOOKUP(CD$21,$U$4:$AF$17,$B7)))</f>
        <v>1609.7901182220003</v>
      </c>
      <c r="CE25" s="56">
        <f>IF(CE$23&lt;'A&amp;Rs'!$V11,HLOOKUP(CE$21,$F$4:$Q$17,$B7),IF(AND(CE$23&gt;='A&amp;Rs'!$V11,CE$23&lt;'A&amp;Rs'!$X11),0,HLOOKUP(CE$21,$U$4:$AF$17,$B7)))</f>
        <v>1609.7901182220003</v>
      </c>
      <c r="CF25" s="56">
        <f>IF(CF$23&lt;'A&amp;Rs'!$V11,HLOOKUP(CF$21,$F$4:$Q$17,$B7),IF(AND(CF$23&gt;='A&amp;Rs'!$V11,CF$23&lt;'A&amp;Rs'!$X11),0,HLOOKUP(CF$21,$U$4:$AF$17,$B7)))</f>
        <v>1609.7901182220003</v>
      </c>
      <c r="CG25" s="56">
        <f>IF(CG$23&lt;'A&amp;Rs'!$V11,HLOOKUP(CG$21,$F$4:$Q$17,$B7),IF(AND(CG$23&gt;='A&amp;Rs'!$V11,CG$23&lt;'A&amp;Rs'!$X11),0,HLOOKUP(CG$21,$U$4:$AF$17,$B7)))</f>
        <v>1609.7901182220003</v>
      </c>
      <c r="CH25" s="56">
        <f>IF(CH$23&lt;'A&amp;Rs'!$V11,HLOOKUP(CH$21,$F$4:$Q$17,$B7),IF(AND(CH$23&gt;='A&amp;Rs'!$V11,CH$23&lt;'A&amp;Rs'!$X11),0,HLOOKUP(CH$21,$U$4:$AF$17,$B7)))</f>
        <v>1609.7901182220003</v>
      </c>
      <c r="CI25" s="56">
        <f>IF(CI$23&lt;'A&amp;Rs'!$V11,HLOOKUP(CI$21,$F$4:$Q$17,$B7),IF(AND(CI$23&gt;='A&amp;Rs'!$V11,CI$23&lt;'A&amp;Rs'!$X11),0,HLOOKUP(CI$21,$U$4:$AF$17,$B7)))</f>
        <v>1609.7901182220003</v>
      </c>
      <c r="CJ25" s="56">
        <f>IF(CJ$23&lt;'A&amp;Rs'!$V11,HLOOKUP(CJ$21,$F$4:$Q$17,$B7),IF(AND(CJ$23&gt;='A&amp;Rs'!$V11,CJ$23&lt;'A&amp;Rs'!$X11),0,HLOOKUP(CJ$21,$U$4:$AF$17,$B7)))</f>
        <v>1609.7901182220003</v>
      </c>
      <c r="CK25" s="56">
        <f>IF(CK$23&lt;'A&amp;Rs'!$V11,HLOOKUP(CK$21,$F$4:$Q$17,$B7),IF(AND(CK$23&gt;='A&amp;Rs'!$V11,CK$23&lt;'A&amp;Rs'!$X11),0,HLOOKUP(CK$21,$U$4:$AF$17,$B7)))</f>
        <v>1609.7901182220003</v>
      </c>
      <c r="CL25" s="56">
        <f>IF(CL$23&lt;'A&amp;Rs'!$V11,HLOOKUP(CL$21,$F$4:$Q$17,$B7),IF(AND(CL$23&gt;='A&amp;Rs'!$V11,CL$23&lt;'A&amp;Rs'!$X11),0,HLOOKUP(CL$21,$U$4:$AF$17,$B7)))</f>
        <v>1658.0838217686603</v>
      </c>
      <c r="CM25" s="56">
        <f>IF(CM$23&lt;'A&amp;Rs'!$V11,HLOOKUP(CM$21,$F$4:$Q$17,$B7),IF(AND(CM$23&gt;='A&amp;Rs'!$V11,CM$23&lt;'A&amp;Rs'!$X11),0,HLOOKUP(CM$21,$U$4:$AF$17,$B7)))</f>
        <v>1658.0838217686603</v>
      </c>
      <c r="CN25" s="56">
        <f>IF(CN$23&lt;'A&amp;Rs'!$V11,HLOOKUP(CN$21,$F$4:$Q$17,$B7),IF(AND(CN$23&gt;='A&amp;Rs'!$V11,CN$23&lt;'A&amp;Rs'!$X11),0,HLOOKUP(CN$21,$U$4:$AF$17,$B7)))</f>
        <v>1658.0838217686603</v>
      </c>
      <c r="CO25" s="56">
        <f>IF(CO$23&lt;'A&amp;Rs'!$V11,HLOOKUP(CO$21,$F$4:$Q$17,$B7),IF(AND(CO$23&gt;='A&amp;Rs'!$V11,CO$23&lt;'A&amp;Rs'!$X11),0,HLOOKUP(CO$21,$U$4:$AF$17,$B7)))</f>
        <v>1658.0838217686603</v>
      </c>
      <c r="CP25" s="56">
        <f>IF(CP$23&lt;'A&amp;Rs'!$V11,HLOOKUP(CP$21,$F$4:$Q$17,$B7),IF(AND(CP$23&gt;='A&amp;Rs'!$V11,CP$23&lt;'A&amp;Rs'!$X11),0,HLOOKUP(CP$21,$U$4:$AF$17,$B7)))</f>
        <v>1658.0838217686603</v>
      </c>
      <c r="CQ25" s="56">
        <f>IF(CQ$23&lt;'A&amp;Rs'!$V11,HLOOKUP(CQ$21,$F$4:$Q$17,$B7),IF(AND(CQ$23&gt;='A&amp;Rs'!$V11,CQ$23&lt;'A&amp;Rs'!$X11),0,HLOOKUP(CQ$21,$U$4:$AF$17,$B7)))</f>
        <v>1658.0838217686603</v>
      </c>
      <c r="CR25" s="56">
        <f>IF(CR$23&lt;'A&amp;Rs'!$V11,HLOOKUP(CR$21,$F$4:$Q$17,$B7),IF(AND(CR$23&gt;='A&amp;Rs'!$V11,CR$23&lt;'A&amp;Rs'!$X11),0,HLOOKUP(CR$21,$U$4:$AF$17,$B7)))</f>
        <v>1658.0838217686603</v>
      </c>
      <c r="CS25" s="56">
        <f>IF(CS$23&lt;'A&amp;Rs'!$V11,HLOOKUP(CS$21,$F$4:$Q$17,$B7),IF(AND(CS$23&gt;='A&amp;Rs'!$V11,CS$23&lt;'A&amp;Rs'!$X11),0,HLOOKUP(CS$21,$U$4:$AF$17,$B7)))</f>
        <v>1658.0838217686603</v>
      </c>
      <c r="CT25" s="56">
        <f>IF(CT$23&lt;'A&amp;Rs'!$V11,HLOOKUP(CT$21,$F$4:$Q$17,$B7),IF(AND(CT$23&gt;='A&amp;Rs'!$V11,CT$23&lt;'A&amp;Rs'!$X11),0,HLOOKUP(CT$21,$U$4:$AF$17,$B7)))</f>
        <v>1658.0838217686603</v>
      </c>
      <c r="CU25" s="56">
        <f>IF(CU$23&lt;'A&amp;Rs'!$V11,HLOOKUP(CU$21,$F$4:$Q$17,$B7),IF(AND(CU$23&gt;='A&amp;Rs'!$V11,CU$23&lt;'A&amp;Rs'!$X11),0,HLOOKUP(CU$21,$U$4:$AF$17,$B7)))</f>
        <v>1658.0838217686603</v>
      </c>
      <c r="CV25" s="56">
        <f>IF(CV$23&lt;'A&amp;Rs'!$V11,HLOOKUP(CV$21,$F$4:$Q$17,$B7),IF(AND(CV$23&gt;='A&amp;Rs'!$V11,CV$23&lt;'A&amp;Rs'!$X11),0,HLOOKUP(CV$21,$U$4:$AF$17,$B7)))</f>
        <v>1658.0838217686603</v>
      </c>
      <c r="CW25" s="56">
        <f>IF(CW$23&lt;'A&amp;Rs'!$V11,HLOOKUP(CW$21,$F$4:$Q$17,$B7),IF(AND(CW$23&gt;='A&amp;Rs'!$V11,CW$23&lt;'A&amp;Rs'!$X11),0,HLOOKUP(CW$21,$U$4:$AF$17,$B7)))</f>
        <v>1658.0838217686603</v>
      </c>
      <c r="CX25" s="56">
        <f>IF(CX$23&lt;'A&amp;Rs'!$V11,HLOOKUP(CX$21,$F$4:$Q$17,$B7),IF(AND(CX$23&gt;='A&amp;Rs'!$V11,CX$23&lt;'A&amp;Rs'!$X11),0,HLOOKUP(CX$21,$U$4:$AF$17,$B7)))</f>
        <v>1691.2454982040335</v>
      </c>
      <c r="CY25" s="56">
        <f>IF(CY$23&lt;'A&amp;Rs'!$V11,HLOOKUP(CY$21,$F$4:$Q$17,$B7),IF(AND(CY$23&gt;='A&amp;Rs'!$V11,CY$23&lt;'A&amp;Rs'!$X11),0,HLOOKUP(CY$21,$U$4:$AF$17,$B7)))</f>
        <v>1691.2454982040335</v>
      </c>
      <c r="CZ25" s="56">
        <f>IF(CZ$23&lt;'A&amp;Rs'!$V11,HLOOKUP(CZ$21,$F$4:$Q$17,$B7),IF(AND(CZ$23&gt;='A&amp;Rs'!$V11,CZ$23&lt;'A&amp;Rs'!$X11),0,HLOOKUP(CZ$21,$U$4:$AF$17,$B7)))</f>
        <v>1691.2454982040335</v>
      </c>
      <c r="DA25" s="56">
        <f>IF(DA$23&lt;'A&amp;Rs'!$V11,HLOOKUP(DA$21,$F$4:$Q$17,$B7),IF(AND(DA$23&gt;='A&amp;Rs'!$V11,DA$23&lt;'A&amp;Rs'!$X11),0,HLOOKUP(DA$21,$U$4:$AF$17,$B7)))</f>
        <v>1691.2454982040335</v>
      </c>
      <c r="DB25" s="56">
        <f>IF(DB$23&lt;'A&amp;Rs'!$V11,HLOOKUP(DB$21,$F$4:$Q$17,$B7),IF(AND(DB$23&gt;='A&amp;Rs'!$V11,DB$23&lt;'A&amp;Rs'!$X11),0,HLOOKUP(DB$21,$U$4:$AF$17,$B7)))</f>
        <v>1691.2454982040335</v>
      </c>
      <c r="DC25" s="56">
        <f>IF(DC$23&lt;'A&amp;Rs'!$V11,HLOOKUP(DC$21,$F$4:$Q$17,$B7),IF(AND(DC$23&gt;='A&amp;Rs'!$V11,DC$23&lt;'A&amp;Rs'!$X11),0,HLOOKUP(DC$21,$U$4:$AF$17,$B7)))</f>
        <v>1691.2454982040335</v>
      </c>
      <c r="DD25" s="56">
        <f>IF(DD$23&lt;'A&amp;Rs'!$V11,HLOOKUP(DD$21,$F$4:$Q$17,$B7),IF(AND(DD$23&gt;='A&amp;Rs'!$V11,DD$23&lt;'A&amp;Rs'!$X11),0,HLOOKUP(DD$21,$U$4:$AF$17,$B7)))</f>
        <v>1691.2454982040335</v>
      </c>
      <c r="DE25" s="56">
        <f>IF(DE$23&lt;'A&amp;Rs'!$V11,HLOOKUP(DE$21,$F$4:$Q$17,$B7),IF(AND(DE$23&gt;='A&amp;Rs'!$V11,DE$23&lt;'A&amp;Rs'!$X11),0,HLOOKUP(DE$21,$U$4:$AF$17,$B7)))</f>
        <v>1691.2454982040335</v>
      </c>
      <c r="DF25" s="56">
        <f>IF(DF$23&lt;'A&amp;Rs'!$V11,HLOOKUP(DF$21,$F$4:$Q$17,$B7),IF(AND(DF$23&gt;='A&amp;Rs'!$V11,DF$23&lt;'A&amp;Rs'!$X11),0,HLOOKUP(DF$21,$U$4:$AF$17,$B7)))</f>
        <v>1691.2454982040335</v>
      </c>
      <c r="DG25" s="56">
        <f>IF(DG$23&lt;'A&amp;Rs'!$V11,HLOOKUP(DG$21,$F$4:$Q$17,$B7),IF(AND(DG$23&gt;='A&amp;Rs'!$V11,DG$23&lt;'A&amp;Rs'!$X11),0,HLOOKUP(DG$21,$U$4:$AF$17,$B7)))</f>
        <v>1691.2454982040335</v>
      </c>
      <c r="DH25" s="56">
        <f>IF(DH$23&lt;'A&amp;Rs'!$V11,HLOOKUP(DH$21,$F$4:$Q$17,$B7),IF(AND(DH$23&gt;='A&amp;Rs'!$V11,DH$23&lt;'A&amp;Rs'!$X11),0,HLOOKUP(DH$21,$U$4:$AF$17,$B7)))</f>
        <v>1691.2454982040335</v>
      </c>
      <c r="DI25" s="56">
        <f>IF(DI$23&lt;'A&amp;Rs'!$V11,HLOOKUP(DI$21,$F$4:$Q$17,$B7),IF(AND(DI$23&gt;='A&amp;Rs'!$V11,DI$23&lt;'A&amp;Rs'!$X11),0,HLOOKUP(DI$21,$U$4:$AF$17,$B7)))</f>
        <v>1691.2454982040335</v>
      </c>
      <c r="DJ25" s="56">
        <f>IF(DJ$23&lt;'A&amp;Rs'!$V11,HLOOKUP(DJ$21,$F$4:$Q$17,$B7),IF(AND(DJ$23&gt;='A&amp;Rs'!$V11,DJ$23&lt;'A&amp;Rs'!$X11),0,HLOOKUP(DJ$21,$U$4:$AF$17,$B7)))</f>
        <v>1708.1579531860739</v>
      </c>
      <c r="DK25" s="56">
        <f>IF(DK$23&lt;'A&amp;Rs'!$V11,HLOOKUP(DK$21,$F$4:$Q$17,$B7),IF(AND(DK$23&gt;='A&amp;Rs'!$V11,DK$23&lt;'A&amp;Rs'!$X11),0,HLOOKUP(DK$21,$U$4:$AF$17,$B7)))</f>
        <v>1708.1579531860739</v>
      </c>
      <c r="DL25" s="56">
        <f>IF(DL$23&lt;'A&amp;Rs'!$V11,HLOOKUP(DL$21,$F$4:$Q$17,$B7),IF(AND(DL$23&gt;='A&amp;Rs'!$V11,DL$23&lt;'A&amp;Rs'!$X11),0,HLOOKUP(DL$21,$U$4:$AF$17,$B7)))</f>
        <v>1708.1579531860739</v>
      </c>
      <c r="DM25" s="56">
        <f>IF(DM$23&lt;'A&amp;Rs'!$V11,HLOOKUP(DM$21,$F$4:$Q$17,$B7),IF(AND(DM$23&gt;='A&amp;Rs'!$V11,DM$23&lt;'A&amp;Rs'!$X11),0,HLOOKUP(DM$21,$U$4:$AF$17,$B7)))</f>
        <v>1708.1579531860739</v>
      </c>
      <c r="DN25" s="56">
        <f>IF(DN$23&lt;'A&amp;Rs'!$V11,HLOOKUP(DN$21,$F$4:$Q$17,$B7),IF(AND(DN$23&gt;='A&amp;Rs'!$V11,DN$23&lt;'A&amp;Rs'!$X11),0,HLOOKUP(DN$21,$U$4:$AF$17,$B7)))</f>
        <v>1708.1579531860739</v>
      </c>
      <c r="DO25" s="56">
        <f>IF(DO$23&lt;'A&amp;Rs'!$V11,HLOOKUP(DO$21,$F$4:$Q$17,$B7),IF(AND(DO$23&gt;='A&amp;Rs'!$V11,DO$23&lt;'A&amp;Rs'!$X11),0,HLOOKUP(DO$21,$U$4:$AF$17,$B7)))</f>
        <v>1708.1579531860739</v>
      </c>
      <c r="DP25" s="56">
        <f>IF(DP$23&lt;'A&amp;Rs'!$V11,HLOOKUP(DP$21,$F$4:$Q$17,$B7),IF(AND(DP$23&gt;='A&amp;Rs'!$V11,DP$23&lt;'A&amp;Rs'!$X11),0,HLOOKUP(DP$21,$U$4:$AF$17,$B7)))</f>
        <v>1708.1579531860739</v>
      </c>
      <c r="DQ25" s="56">
        <f>IF(DQ$23&lt;'A&amp;Rs'!$V11,HLOOKUP(DQ$21,$F$4:$Q$17,$B7),IF(AND(DQ$23&gt;='A&amp;Rs'!$V11,DQ$23&lt;'A&amp;Rs'!$X11),0,HLOOKUP(DQ$21,$U$4:$AF$17,$B7)))</f>
        <v>1708.1579531860739</v>
      </c>
      <c r="DR25" s="56">
        <f>IF(DR$23&lt;'A&amp;Rs'!$V11,HLOOKUP(DR$21,$F$4:$Q$17,$B7),IF(AND(DR$23&gt;='A&amp;Rs'!$V11,DR$23&lt;'A&amp;Rs'!$X11),0,HLOOKUP(DR$21,$U$4:$AF$17,$B7)))</f>
        <v>1708.1579531860739</v>
      </c>
      <c r="DS25" s="56">
        <f>IF(DS$23&lt;'A&amp;Rs'!$V11,HLOOKUP(DS$21,$F$4:$Q$17,$B7),IF(AND(DS$23&gt;='A&amp;Rs'!$V11,DS$23&lt;'A&amp;Rs'!$X11),0,HLOOKUP(DS$21,$U$4:$AF$17,$B7)))</f>
        <v>1708.1579531860739</v>
      </c>
      <c r="DT25" s="56">
        <f>IF(DT$23&lt;'A&amp;Rs'!$V11,HLOOKUP(DT$21,$F$4:$Q$17,$B7),IF(AND(DT$23&gt;='A&amp;Rs'!$V11,DT$23&lt;'A&amp;Rs'!$X11),0,HLOOKUP(DT$21,$U$4:$AF$17,$B7)))</f>
        <v>1708.1579531860739</v>
      </c>
      <c r="DU25" s="56">
        <f>IF(DU$23&lt;'A&amp;Rs'!$V11,HLOOKUP(DU$21,$F$4:$Q$17,$B7),IF(AND(DU$23&gt;='A&amp;Rs'!$V11,DU$23&lt;'A&amp;Rs'!$X11),0,HLOOKUP(DU$21,$U$4:$AF$17,$B7)))</f>
        <v>1708.1579531860739</v>
      </c>
      <c r="DV25" s="56">
        <f>IF(DV$23&lt;'A&amp;Rs'!$V11,HLOOKUP(DV$21,$F$4:$Q$17,$B7),IF(AND(DV$23&gt;='A&amp;Rs'!$V11,DV$23&lt;'A&amp;Rs'!$X11),0,HLOOKUP(DV$21,$U$4:$AF$17,$B7)))</f>
        <v>1725.2395327179347</v>
      </c>
      <c r="DW25" s="56">
        <f>IF(DW$23&lt;'A&amp;Rs'!$V11,HLOOKUP(DW$21,$F$4:$Q$17,$B7),IF(AND(DW$23&gt;='A&amp;Rs'!$V11,DW$23&lt;'A&amp;Rs'!$X11),0,HLOOKUP(DW$21,$U$4:$AF$17,$B7)))</f>
        <v>1725.2395327179347</v>
      </c>
      <c r="DX25" s="56">
        <f>IF(DX$23&lt;'A&amp;Rs'!$V11,HLOOKUP(DX$21,$F$4:$Q$17,$B7),IF(AND(DX$23&gt;='A&amp;Rs'!$V11,DX$23&lt;'A&amp;Rs'!$X11),0,HLOOKUP(DX$21,$U$4:$AF$17,$B7)))</f>
        <v>1725.2395327179347</v>
      </c>
      <c r="DY25" s="56">
        <f>IF(DY$23&lt;'A&amp;Rs'!$V11,HLOOKUP(DY$21,$F$4:$Q$17,$B7),IF(AND(DY$23&gt;='A&amp;Rs'!$V11,DY$23&lt;'A&amp;Rs'!$X11),0,HLOOKUP(DY$21,$U$4:$AF$17,$B7)))</f>
        <v>1725.2395327179347</v>
      </c>
      <c r="DZ25" s="56">
        <f>IF(DZ$23&lt;'A&amp;Rs'!$V11,HLOOKUP(DZ$21,$F$4:$Q$17,$B7),IF(AND(DZ$23&gt;='A&amp;Rs'!$V11,DZ$23&lt;'A&amp;Rs'!$X11),0,HLOOKUP(DZ$21,$U$4:$AF$17,$B7)))</f>
        <v>1725.2395327179347</v>
      </c>
      <c r="EA25" s="56">
        <f>IF(EA$23&lt;'A&amp;Rs'!$V11,HLOOKUP(EA$21,$F$4:$Q$17,$B7),IF(AND(EA$23&gt;='A&amp;Rs'!$V11,EA$23&lt;'A&amp;Rs'!$X11),0,HLOOKUP(EA$21,$U$4:$AF$17,$B7)))</f>
        <v>1725.2395327179347</v>
      </c>
      <c r="EB25" s="56">
        <f>IF(EB$23&lt;'A&amp;Rs'!$V11,HLOOKUP(EB$21,$F$4:$Q$17,$B7),IF(AND(EB$23&gt;='A&amp;Rs'!$V11,EB$23&lt;'A&amp;Rs'!$X11),0,HLOOKUP(EB$21,$U$4:$AF$17,$B7)))</f>
        <v>1725.2395327179347</v>
      </c>
      <c r="EC25" s="56">
        <f>IF(EC$23&lt;'A&amp;Rs'!$V11,HLOOKUP(EC$21,$F$4:$Q$17,$B7),IF(AND(EC$23&gt;='A&amp;Rs'!$V11,EC$23&lt;'A&amp;Rs'!$X11),0,HLOOKUP(EC$21,$U$4:$AF$17,$B7)))</f>
        <v>1725.2395327179347</v>
      </c>
      <c r="ED25" s="56">
        <f>IF(ED$23&lt;'A&amp;Rs'!$V11,HLOOKUP(ED$21,$F$4:$Q$17,$B7),IF(AND(ED$23&gt;='A&amp;Rs'!$V11,ED$23&lt;'A&amp;Rs'!$X11),0,HLOOKUP(ED$21,$U$4:$AF$17,$B7)))</f>
        <v>1725.2395327179347</v>
      </c>
      <c r="EE25" s="56">
        <f>IF(EE$23&lt;'A&amp;Rs'!$V11,HLOOKUP(EE$21,$F$4:$Q$17,$B7),IF(AND(EE$23&gt;='A&amp;Rs'!$V11,EE$23&lt;'A&amp;Rs'!$X11),0,HLOOKUP(EE$21,$U$4:$AF$17,$B7)))</f>
        <v>1725.2395327179347</v>
      </c>
      <c r="EF25" s="56">
        <f>IF(EF$23&lt;'A&amp;Rs'!$V11,HLOOKUP(EF$21,$F$4:$Q$17,$B7),IF(AND(EF$23&gt;='A&amp;Rs'!$V11,EF$23&lt;'A&amp;Rs'!$X11),0,HLOOKUP(EF$21,$U$4:$AF$17,$B7)))</f>
        <v>1725.2395327179347</v>
      </c>
      <c r="EG25" s="56">
        <f>IF(EG$23&lt;'A&amp;Rs'!$V11,HLOOKUP(EG$21,$F$4:$Q$17,$B7),IF(AND(EG$23&gt;='A&amp;Rs'!$V11,EG$23&lt;'A&amp;Rs'!$X11),0,HLOOKUP(EG$21,$U$4:$AF$17,$B7)))</f>
        <v>1725.2395327179347</v>
      </c>
      <c r="EH25" s="56">
        <f>IF(EH$23&lt;'A&amp;Rs'!$V11,HLOOKUP(EH$21,$F$4:$Q$17,$B7),IF(AND(EH$23&gt;='A&amp;Rs'!$V11,EH$23&lt;'A&amp;Rs'!$X11),0,HLOOKUP(EH$21,$U$4:$AF$17,$B7)))</f>
        <v>1742.491928045114</v>
      </c>
      <c r="EI25" s="56">
        <f>IF(EI$23&lt;'A&amp;Rs'!$V11,HLOOKUP(EI$21,$F$4:$Q$17,$B7),IF(AND(EI$23&gt;='A&amp;Rs'!$V11,EI$23&lt;'A&amp;Rs'!$X11),0,HLOOKUP(EI$21,$U$4:$AF$17,$B7)))</f>
        <v>1742.491928045114</v>
      </c>
      <c r="EJ25" s="56">
        <f>IF(EJ$23&lt;'A&amp;Rs'!$V11,HLOOKUP(EJ$21,$F$4:$Q$17,$B7),IF(AND(EJ$23&gt;='A&amp;Rs'!$V11,EJ$23&lt;'A&amp;Rs'!$X11),0,HLOOKUP(EJ$21,$U$4:$AF$17,$B7)))</f>
        <v>1742.491928045114</v>
      </c>
      <c r="EK25" s="56">
        <f>IF(EK$23&lt;'A&amp;Rs'!$V11,HLOOKUP(EK$21,$F$4:$Q$17,$B7),IF(AND(EK$23&gt;='A&amp;Rs'!$V11,EK$23&lt;'A&amp;Rs'!$X11),0,HLOOKUP(EK$21,$U$4:$AF$17,$B7)))</f>
        <v>1742.491928045114</v>
      </c>
      <c r="EL25" s="56">
        <f>IF(EL$23&lt;'A&amp;Rs'!$V11,HLOOKUP(EL$21,$F$4:$Q$17,$B7),IF(AND(EL$23&gt;='A&amp;Rs'!$V11,EL$23&lt;'A&amp;Rs'!$X11),0,HLOOKUP(EL$21,$U$4:$AF$17,$B7)))</f>
        <v>1742.491928045114</v>
      </c>
      <c r="EM25" s="56">
        <f>IF(EM$23&lt;'A&amp;Rs'!$V11,HLOOKUP(EM$21,$F$4:$Q$17,$B7),IF(AND(EM$23&gt;='A&amp;Rs'!$V11,EM$23&lt;'A&amp;Rs'!$X11),0,HLOOKUP(EM$21,$U$4:$AF$17,$B7)))</f>
        <v>1742.491928045114</v>
      </c>
      <c r="EN25" s="56">
        <f>IF(EN$23&lt;'A&amp;Rs'!$V11,HLOOKUP(EN$21,$F$4:$Q$17,$B7),IF(AND(EN$23&gt;='A&amp;Rs'!$V11,EN$23&lt;'A&amp;Rs'!$X11),0,HLOOKUP(EN$21,$U$4:$AF$17,$B7)))</f>
        <v>1742.491928045114</v>
      </c>
      <c r="EO25" s="56">
        <f>IF(EO$23&lt;'A&amp;Rs'!$V11,HLOOKUP(EO$21,$F$4:$Q$17,$B7),IF(AND(EO$23&gt;='A&amp;Rs'!$V11,EO$23&lt;'A&amp;Rs'!$X11),0,HLOOKUP(EO$21,$U$4:$AF$17,$B7)))</f>
        <v>1742.491928045114</v>
      </c>
      <c r="EP25" s="56">
        <f>IF(EP$23&lt;'A&amp;Rs'!$V11,HLOOKUP(EP$21,$F$4:$Q$17,$B7),IF(AND(EP$23&gt;='A&amp;Rs'!$V11,EP$23&lt;'A&amp;Rs'!$X11),0,HLOOKUP(EP$21,$U$4:$AF$17,$B7)))</f>
        <v>1742.491928045114</v>
      </c>
      <c r="EQ25" s="56">
        <f>IF(EQ$23&lt;'A&amp;Rs'!$V11,HLOOKUP(EQ$21,$F$4:$Q$17,$B7),IF(AND(EQ$23&gt;='A&amp;Rs'!$V11,EQ$23&lt;'A&amp;Rs'!$X11),0,HLOOKUP(EQ$21,$U$4:$AF$17,$B7)))</f>
        <v>1742.491928045114</v>
      </c>
      <c r="ER25" s="56">
        <f>IF(ER$23&lt;'A&amp;Rs'!$V11,HLOOKUP(ER$21,$F$4:$Q$17,$B7),IF(AND(ER$23&gt;='A&amp;Rs'!$V11,ER$23&lt;'A&amp;Rs'!$X11),0,HLOOKUP(ER$21,$U$4:$AF$17,$B7)))</f>
        <v>1742.491928045114</v>
      </c>
      <c r="ES25" s="56">
        <f>IF(ES$23&lt;'A&amp;Rs'!$V11,HLOOKUP(ES$21,$F$4:$Q$17,$B7),IF(AND(ES$23&gt;='A&amp;Rs'!$V11,ES$23&lt;'A&amp;Rs'!$X11),0,HLOOKUP(ES$21,$U$4:$AF$17,$B7)))</f>
        <v>1742.491928045114</v>
      </c>
      <c r="ET25" s="56">
        <f>IF(ET$23&lt;'A&amp;Rs'!$V11,HLOOKUP(ET$21,$F$4:$Q$17,$B7),IF(AND(ET$23&gt;='A&amp;Rs'!$V11,ET$23&lt;'A&amp;Rs'!$X11),0,HLOOKUP(ET$21,$U$4:$AF$17,$B7)))</f>
        <v>1742.491928045114</v>
      </c>
      <c r="EU25" s="56">
        <f>IF(EU$23&lt;'A&amp;Rs'!$V11,HLOOKUP(EU$21,$F$4:$Q$17,$B7),IF(AND(EU$23&gt;='A&amp;Rs'!$V11,EU$23&lt;'A&amp;Rs'!$X11),0,HLOOKUP(EU$21,$U$4:$AF$17,$B7)))</f>
        <v>1742.491928045114</v>
      </c>
      <c r="EV25" s="56">
        <f>IF(EV$23&lt;'A&amp;Rs'!$V11,HLOOKUP(EV$21,$F$4:$Q$17,$B7),IF(AND(EV$23&gt;='A&amp;Rs'!$V11,EV$23&lt;'A&amp;Rs'!$X11),0,HLOOKUP(EV$21,$U$4:$AF$17,$B7)))</f>
        <v>1742.491928045114</v>
      </c>
      <c r="EW25" s="56">
        <f>IF(EW$23&lt;'A&amp;Rs'!$V11,HLOOKUP(EW$21,$F$4:$Q$17,$B7),IF(AND(EW$23&gt;='A&amp;Rs'!$V11,EW$23&lt;'A&amp;Rs'!$X11),0,HLOOKUP(EW$21,$U$4:$AF$17,$B7)))</f>
        <v>1742.491928045114</v>
      </c>
      <c r="EX25" s="56">
        <f>IF(EX$23&lt;'A&amp;Rs'!$V11,HLOOKUP(EX$21,$F$4:$Q$17,$B7),IF(AND(EX$23&gt;='A&amp;Rs'!$V11,EX$23&lt;'A&amp;Rs'!$X11),0,HLOOKUP(EX$21,$U$4:$AF$17,$B7)))</f>
        <v>1742.491928045114</v>
      </c>
      <c r="EY25" s="56">
        <f>IF(EY$23&lt;'A&amp;Rs'!$V11,HLOOKUP(EY$21,$F$4:$Q$17,$B7),IF(AND(EY$23&gt;='A&amp;Rs'!$V11,EY$23&lt;'A&amp;Rs'!$X11),0,HLOOKUP(EY$21,$U$4:$AF$17,$B7)))</f>
        <v>1742.491928045114</v>
      </c>
      <c r="EZ25" s="56">
        <f>IF(EZ$23&lt;'A&amp;Rs'!$V11,HLOOKUP(EZ$21,$F$4:$Q$17,$B7),IF(AND(EZ$23&gt;='A&amp;Rs'!$V11,EZ$23&lt;'A&amp;Rs'!$X11),0,HLOOKUP(EZ$21,$U$4:$AF$17,$B7)))</f>
        <v>1742.491928045114</v>
      </c>
      <c r="FA25" s="56">
        <f>IF(FA$23&lt;'A&amp;Rs'!$V11,HLOOKUP(FA$21,$F$4:$Q$17,$B7),IF(AND(FA$23&gt;='A&amp;Rs'!$V11,FA$23&lt;'A&amp;Rs'!$X11),0,HLOOKUP(FA$21,$U$4:$AF$17,$B7)))</f>
        <v>1742.491928045114</v>
      </c>
      <c r="FB25" s="56">
        <f>IF(FB$23&lt;'A&amp;Rs'!$V11,HLOOKUP(FB$21,$F$4:$Q$17,$B7),IF(AND(FB$23&gt;='A&amp;Rs'!$V11,FB$23&lt;'A&amp;Rs'!$X11),0,HLOOKUP(FB$21,$U$4:$AF$17,$B7)))</f>
        <v>1742.491928045114</v>
      </c>
      <c r="FC25" s="56">
        <f>IF(FC$23&lt;'A&amp;Rs'!$V11,HLOOKUP(FC$21,$F$4:$Q$17,$B7),IF(AND(FC$23&gt;='A&amp;Rs'!$V11,FC$23&lt;'A&amp;Rs'!$X11),0,HLOOKUP(FC$21,$U$4:$AF$17,$B7)))</f>
        <v>1742.491928045114</v>
      </c>
      <c r="FD25" s="56">
        <f>IF(FD$23&lt;'A&amp;Rs'!$V11,HLOOKUP(FD$21,$F$4:$Q$17,$B7),IF(AND(FD$23&gt;='A&amp;Rs'!$V11,FD$23&lt;'A&amp;Rs'!$X11),0,HLOOKUP(FD$21,$U$4:$AF$17,$B7)))</f>
        <v>1742.491928045114</v>
      </c>
      <c r="FE25" s="56">
        <f>IF(FE$23&lt;'A&amp;Rs'!$V11,HLOOKUP(FE$21,$F$4:$Q$17,$B7),IF(AND(FE$23&gt;='A&amp;Rs'!$V11,FE$23&lt;'A&amp;Rs'!$X11),0,HLOOKUP(FE$21,$U$4:$AF$17,$B7)))</f>
        <v>1742.491928045114</v>
      </c>
      <c r="FF25" s="1" t="s">
        <v>39</v>
      </c>
      <c r="FG25" s="1"/>
      <c r="FH25" s="1"/>
      <c r="FI25" s="99"/>
    </row>
    <row r="26" spans="2:165" x14ac:dyDescent="0.3">
      <c r="C26" s="98"/>
      <c r="D26" s="123">
        <f>'A&amp;Rs'!Q12</f>
        <v>3</v>
      </c>
      <c r="E26" s="56">
        <f t="shared" si="11"/>
        <v>1200</v>
      </c>
      <c r="F26" s="56">
        <f>IF(F$23&lt;'A&amp;Rs'!$V12,HLOOKUP(F$21,$F$4:$Q$17,$B8),IF(AND(F$23&gt;='A&amp;Rs'!$V12,F$23&lt;'A&amp;Rs'!$X12),0,HLOOKUP(F$21,$U$4:$AF$17,$B8)))</f>
        <v>1200</v>
      </c>
      <c r="G26" s="56">
        <f>IF(G$23&lt;'A&amp;Rs'!$V12,HLOOKUP(G$21,$F$4:$Q$17,$B8),IF(AND(G$23&gt;='A&amp;Rs'!$V12,G$23&lt;'A&amp;Rs'!$X12),0,HLOOKUP(G$21,$U$4:$AF$17,$B8)))</f>
        <v>0</v>
      </c>
      <c r="H26" s="56">
        <f>IF(H$23&lt;'A&amp;Rs'!$V12,HLOOKUP(H$21,$F$4:$Q$17,$B8),IF(AND(H$23&gt;='A&amp;Rs'!$V12,H$23&lt;'A&amp;Rs'!$X12),0,HLOOKUP(H$21,$U$4:$AF$17,$B8)))</f>
        <v>0</v>
      </c>
      <c r="I26" s="56">
        <f>IF(I$23&lt;'A&amp;Rs'!$V12,HLOOKUP(I$21,$F$4:$Q$17,$B8),IF(AND(I$23&gt;='A&amp;Rs'!$V12,I$23&lt;'A&amp;Rs'!$X12),0,HLOOKUP(I$21,$U$4:$AF$17,$B8)))</f>
        <v>1460</v>
      </c>
      <c r="J26" s="56">
        <f>IF(J$23&lt;'A&amp;Rs'!$V12,HLOOKUP(J$21,$F$4:$Q$17,$B8),IF(AND(J$23&gt;='A&amp;Rs'!$V12,J$23&lt;'A&amp;Rs'!$X12),0,HLOOKUP(J$21,$U$4:$AF$17,$B8)))</f>
        <v>1460</v>
      </c>
      <c r="K26" s="56">
        <f>IF(K$23&lt;'A&amp;Rs'!$V12,HLOOKUP(K$21,$F$4:$Q$17,$B8),IF(AND(K$23&gt;='A&amp;Rs'!$V12,K$23&lt;'A&amp;Rs'!$X12),0,HLOOKUP(K$21,$U$4:$AF$17,$B8)))</f>
        <v>1460</v>
      </c>
      <c r="L26" s="56">
        <f>IF(L$23&lt;'A&amp;Rs'!$V12,HLOOKUP(L$21,$F$4:$Q$17,$B8),IF(AND(L$23&gt;='A&amp;Rs'!$V12,L$23&lt;'A&amp;Rs'!$X12),0,HLOOKUP(L$21,$U$4:$AF$17,$B8)))</f>
        <v>1460</v>
      </c>
      <c r="M26" s="56">
        <f>IF(M$23&lt;'A&amp;Rs'!$V12,HLOOKUP(M$21,$F$4:$Q$17,$B8),IF(AND(M$23&gt;='A&amp;Rs'!$V12,M$23&lt;'A&amp;Rs'!$X12),0,HLOOKUP(M$21,$U$4:$AF$17,$B8)))</f>
        <v>1460</v>
      </c>
      <c r="N26" s="56">
        <f>IF(N$23&lt;'A&amp;Rs'!$V12,HLOOKUP(N$21,$F$4:$Q$17,$B8),IF(AND(N$23&gt;='A&amp;Rs'!$V12,N$23&lt;'A&amp;Rs'!$X12),0,HLOOKUP(N$21,$U$4:$AF$17,$B8)))</f>
        <v>1460</v>
      </c>
      <c r="O26" s="56">
        <f>IF(O$23&lt;'A&amp;Rs'!$V12,HLOOKUP(O$21,$F$4:$Q$17,$B8),IF(AND(O$23&gt;='A&amp;Rs'!$V12,O$23&lt;'A&amp;Rs'!$X12),0,HLOOKUP(O$21,$U$4:$AF$17,$B8)))</f>
        <v>1460</v>
      </c>
      <c r="P26" s="56">
        <f>IF(P$23&lt;'A&amp;Rs'!$V12,HLOOKUP(P$21,$F$4:$Q$17,$B8),IF(AND(P$23&gt;='A&amp;Rs'!$V12,P$23&lt;'A&amp;Rs'!$X12),0,HLOOKUP(P$21,$U$4:$AF$17,$B8)))</f>
        <v>1460</v>
      </c>
      <c r="Q26" s="56">
        <f>IF(Q$23&lt;'A&amp;Rs'!$V12,HLOOKUP(Q$21,$F$4:$Q$17,$B8),IF(AND(Q$23&gt;='A&amp;Rs'!$V12,Q$23&lt;'A&amp;Rs'!$X12),0,HLOOKUP(Q$21,$U$4:$AF$17,$B8)))</f>
        <v>1460</v>
      </c>
      <c r="R26" s="56">
        <f>IF(R$23&lt;'A&amp;Rs'!$V12,HLOOKUP(R$21,$F$4:$Q$17,$B8),IF(AND(R$23&gt;='A&amp;Rs'!$V12,R$23&lt;'A&amp;Rs'!$X12),0,HLOOKUP(R$21,$U$4:$AF$17,$B8)))</f>
        <v>1503.8</v>
      </c>
      <c r="S26" s="56">
        <f>IF(S$23&lt;'A&amp;Rs'!$V12,HLOOKUP(S$21,$F$4:$Q$17,$B8),IF(AND(S$23&gt;='A&amp;Rs'!$V12,S$23&lt;'A&amp;Rs'!$X12),0,HLOOKUP(S$21,$U$4:$AF$17,$B8)))</f>
        <v>1503.8</v>
      </c>
      <c r="T26" s="56">
        <f>IF(T$23&lt;'A&amp;Rs'!$V12,HLOOKUP(T$21,$F$4:$Q$17,$B8),IF(AND(T$23&gt;='A&amp;Rs'!$V12,T$23&lt;'A&amp;Rs'!$X12),0,HLOOKUP(T$21,$U$4:$AF$17,$B8)))</f>
        <v>1503.8</v>
      </c>
      <c r="U26" s="56">
        <f>IF(U$23&lt;'A&amp;Rs'!$V12,HLOOKUP(U$21,$F$4:$Q$17,$B8),IF(AND(U$23&gt;='A&amp;Rs'!$V12,U$23&lt;'A&amp;Rs'!$X12),0,HLOOKUP(U$21,$U$4:$AF$17,$B8)))</f>
        <v>1503.8</v>
      </c>
      <c r="V26" s="56">
        <f>IF(V$23&lt;'A&amp;Rs'!$V12,HLOOKUP(V$21,$F$4:$Q$17,$B8),IF(AND(V$23&gt;='A&amp;Rs'!$V12,V$23&lt;'A&amp;Rs'!$X12),0,HLOOKUP(V$21,$U$4:$AF$17,$B8)))</f>
        <v>1503.8</v>
      </c>
      <c r="W26" s="56">
        <f>IF(W$23&lt;'A&amp;Rs'!$V12,HLOOKUP(W$21,$F$4:$Q$17,$B8),IF(AND(W$23&gt;='A&amp;Rs'!$V12,W$23&lt;'A&amp;Rs'!$X12),0,HLOOKUP(W$21,$U$4:$AF$17,$B8)))</f>
        <v>1503.8</v>
      </c>
      <c r="X26" s="56">
        <f>IF(X$23&lt;'A&amp;Rs'!$V12,HLOOKUP(X$21,$F$4:$Q$17,$B8),IF(AND(X$23&gt;='A&amp;Rs'!$V12,X$23&lt;'A&amp;Rs'!$X12),0,HLOOKUP(X$21,$U$4:$AF$17,$B8)))</f>
        <v>1503.8</v>
      </c>
      <c r="Y26" s="56">
        <f>IF(Y$23&lt;'A&amp;Rs'!$V12,HLOOKUP(Y$21,$F$4:$Q$17,$B8),IF(AND(Y$23&gt;='A&amp;Rs'!$V12,Y$23&lt;'A&amp;Rs'!$X12),0,HLOOKUP(Y$21,$U$4:$AF$17,$B8)))</f>
        <v>1503.8</v>
      </c>
      <c r="Z26" s="56">
        <f>IF(Z$23&lt;'A&amp;Rs'!$V12,HLOOKUP(Z$21,$F$4:$Q$17,$B8),IF(AND(Z$23&gt;='A&amp;Rs'!$V12,Z$23&lt;'A&amp;Rs'!$X12),0,HLOOKUP(Z$21,$U$4:$AF$17,$B8)))</f>
        <v>1503.8</v>
      </c>
      <c r="AA26" s="56">
        <f>IF(AA$23&lt;'A&amp;Rs'!$V12,HLOOKUP(AA$21,$F$4:$Q$17,$B8),IF(AND(AA$23&gt;='A&amp;Rs'!$V12,AA$23&lt;'A&amp;Rs'!$X12),0,HLOOKUP(AA$21,$U$4:$AF$17,$B8)))</f>
        <v>1503.8</v>
      </c>
      <c r="AB26" s="56">
        <f>IF(AB$23&lt;'A&amp;Rs'!$V12,HLOOKUP(AB$21,$F$4:$Q$17,$B8),IF(AND(AB$23&gt;='A&amp;Rs'!$V12,AB$23&lt;'A&amp;Rs'!$X12),0,HLOOKUP(AB$21,$U$4:$AF$17,$B8)))</f>
        <v>1503.8</v>
      </c>
      <c r="AC26" s="56">
        <f>IF(AC$23&lt;'A&amp;Rs'!$V12,HLOOKUP(AC$21,$F$4:$Q$17,$B8),IF(AND(AC$23&gt;='A&amp;Rs'!$V12,AC$23&lt;'A&amp;Rs'!$X12),0,HLOOKUP(AC$21,$U$4:$AF$17,$B8)))</f>
        <v>1503.8</v>
      </c>
      <c r="AD26" s="56">
        <f>IF(AD$23&lt;'A&amp;Rs'!$V12,HLOOKUP(AD$21,$F$4:$Q$17,$B8),IF(AND(AD$23&gt;='A&amp;Rs'!$V12,AD$23&lt;'A&amp;Rs'!$X12),0,HLOOKUP(AD$21,$U$4:$AF$17,$B8)))</f>
        <v>1533.876</v>
      </c>
      <c r="AE26" s="56">
        <f>IF(AE$23&lt;'A&amp;Rs'!$V12,HLOOKUP(AE$21,$F$4:$Q$17,$B8),IF(AND(AE$23&gt;='A&amp;Rs'!$V12,AE$23&lt;'A&amp;Rs'!$X12),0,HLOOKUP(AE$21,$U$4:$AF$17,$B8)))</f>
        <v>1533.876</v>
      </c>
      <c r="AF26" s="56">
        <f>IF(AF$23&lt;'A&amp;Rs'!$V12,HLOOKUP(AF$21,$F$4:$Q$17,$B8),IF(AND(AF$23&gt;='A&amp;Rs'!$V12,AF$23&lt;'A&amp;Rs'!$X12),0,HLOOKUP(AF$21,$U$4:$AF$17,$B8)))</f>
        <v>1533.876</v>
      </c>
      <c r="AG26" s="56">
        <f>IF(AG$23&lt;'A&amp;Rs'!$V12,HLOOKUP(AG$21,$F$4:$Q$17,$B8),IF(AND(AG$23&gt;='A&amp;Rs'!$V12,AG$23&lt;'A&amp;Rs'!$X12),0,HLOOKUP(AG$21,$U$4:$AF$17,$B8)))</f>
        <v>1533.876</v>
      </c>
      <c r="AH26" s="56">
        <f>IF(AH$23&lt;'A&amp;Rs'!$V12,HLOOKUP(AH$21,$F$4:$Q$17,$B8),IF(AND(AH$23&gt;='A&amp;Rs'!$V12,AH$23&lt;'A&amp;Rs'!$X12),0,HLOOKUP(AH$21,$U$4:$AF$17,$B8)))</f>
        <v>1533.876</v>
      </c>
      <c r="AI26" s="56">
        <f>IF(AI$23&lt;'A&amp;Rs'!$V12,HLOOKUP(AI$21,$F$4:$Q$17,$B8),IF(AND(AI$23&gt;='A&amp;Rs'!$V12,AI$23&lt;'A&amp;Rs'!$X12),0,HLOOKUP(AI$21,$U$4:$AF$17,$B8)))</f>
        <v>1533.876</v>
      </c>
      <c r="AJ26" s="56">
        <f>IF(AJ$23&lt;'A&amp;Rs'!$V12,HLOOKUP(AJ$21,$F$4:$Q$17,$B8),IF(AND(AJ$23&gt;='A&amp;Rs'!$V12,AJ$23&lt;'A&amp;Rs'!$X12),0,HLOOKUP(AJ$21,$U$4:$AF$17,$B8)))</f>
        <v>1533.876</v>
      </c>
      <c r="AK26" s="56">
        <f>IF(AK$23&lt;'A&amp;Rs'!$V12,HLOOKUP(AK$21,$F$4:$Q$17,$B8),IF(AND(AK$23&gt;='A&amp;Rs'!$V12,AK$23&lt;'A&amp;Rs'!$X12),0,HLOOKUP(AK$21,$U$4:$AF$17,$B8)))</f>
        <v>1533.876</v>
      </c>
      <c r="AL26" s="56">
        <f>IF(AL$23&lt;'A&amp;Rs'!$V12,HLOOKUP(AL$21,$F$4:$Q$17,$B8),IF(AND(AL$23&gt;='A&amp;Rs'!$V12,AL$23&lt;'A&amp;Rs'!$X12),0,HLOOKUP(AL$21,$U$4:$AF$17,$B8)))</f>
        <v>1533.876</v>
      </c>
      <c r="AM26" s="56">
        <f>IF(AM$23&lt;'A&amp;Rs'!$V12,HLOOKUP(AM$21,$F$4:$Q$17,$B8),IF(AND(AM$23&gt;='A&amp;Rs'!$V12,AM$23&lt;'A&amp;Rs'!$X12),0,HLOOKUP(AM$21,$U$4:$AF$17,$B8)))</f>
        <v>1533.876</v>
      </c>
      <c r="AN26" s="56">
        <f>IF(AN$23&lt;'A&amp;Rs'!$V12,HLOOKUP(AN$21,$F$4:$Q$17,$B8),IF(AND(AN$23&gt;='A&amp;Rs'!$V12,AN$23&lt;'A&amp;Rs'!$X12),0,HLOOKUP(AN$21,$U$4:$AF$17,$B8)))</f>
        <v>1533.876</v>
      </c>
      <c r="AO26" s="56">
        <f>IF(AO$23&lt;'A&amp;Rs'!$V12,HLOOKUP(AO$21,$F$4:$Q$17,$B8),IF(AND(AO$23&gt;='A&amp;Rs'!$V12,AO$23&lt;'A&amp;Rs'!$X12),0,HLOOKUP(AO$21,$U$4:$AF$17,$B8)))</f>
        <v>1533.876</v>
      </c>
      <c r="AP26" s="56">
        <f>IF(AP$23&lt;'A&amp;Rs'!$V12,HLOOKUP(AP$21,$F$4:$Q$17,$B8),IF(AND(AP$23&gt;='A&amp;Rs'!$V12,AP$23&lt;'A&amp;Rs'!$X12),0,HLOOKUP(AP$21,$U$4:$AF$17,$B8)))</f>
        <v>1579.89228</v>
      </c>
      <c r="AQ26" s="56">
        <f>IF(AQ$23&lt;'A&amp;Rs'!$V12,HLOOKUP(AQ$21,$F$4:$Q$17,$B8),IF(AND(AQ$23&gt;='A&amp;Rs'!$V12,AQ$23&lt;'A&amp;Rs'!$X12),0,HLOOKUP(AQ$21,$U$4:$AF$17,$B8)))</f>
        <v>1579.89228</v>
      </c>
      <c r="AR26" s="56">
        <f>IF(AR$23&lt;'A&amp;Rs'!$V12,HLOOKUP(AR$21,$F$4:$Q$17,$B8),IF(AND(AR$23&gt;='A&amp;Rs'!$V12,AR$23&lt;'A&amp;Rs'!$X12),0,HLOOKUP(AR$21,$U$4:$AF$17,$B8)))</f>
        <v>1579.89228</v>
      </c>
      <c r="AS26" s="56">
        <f>IF(AS$23&lt;'A&amp;Rs'!$V12,HLOOKUP(AS$21,$F$4:$Q$17,$B8),IF(AND(AS$23&gt;='A&amp;Rs'!$V12,AS$23&lt;'A&amp;Rs'!$X12),0,HLOOKUP(AS$21,$U$4:$AF$17,$B8)))</f>
        <v>1579.89228</v>
      </c>
      <c r="AT26" s="56">
        <f>IF(AT$23&lt;'A&amp;Rs'!$V12,HLOOKUP(AT$21,$F$4:$Q$17,$B8),IF(AND(AT$23&gt;='A&amp;Rs'!$V12,AT$23&lt;'A&amp;Rs'!$X12),0,HLOOKUP(AT$21,$U$4:$AF$17,$B8)))</f>
        <v>1579.89228</v>
      </c>
      <c r="AU26" s="56">
        <f>IF(AU$23&lt;'A&amp;Rs'!$V12,HLOOKUP(AU$21,$F$4:$Q$17,$B8),IF(AND(AU$23&gt;='A&amp;Rs'!$V12,AU$23&lt;'A&amp;Rs'!$X12),0,HLOOKUP(AU$21,$U$4:$AF$17,$B8)))</f>
        <v>1579.89228</v>
      </c>
      <c r="AV26" s="56">
        <f>IF(AV$23&lt;'A&amp;Rs'!$V12,HLOOKUP(AV$21,$F$4:$Q$17,$B8),IF(AND(AV$23&gt;='A&amp;Rs'!$V12,AV$23&lt;'A&amp;Rs'!$X12),0,HLOOKUP(AV$21,$U$4:$AF$17,$B8)))</f>
        <v>1579.89228</v>
      </c>
      <c r="AW26" s="56">
        <f>IF(AW$23&lt;'A&amp;Rs'!$V12,HLOOKUP(AW$21,$F$4:$Q$17,$B8),IF(AND(AW$23&gt;='A&amp;Rs'!$V12,AW$23&lt;'A&amp;Rs'!$X12),0,HLOOKUP(AW$21,$U$4:$AF$17,$B8)))</f>
        <v>1579.89228</v>
      </c>
      <c r="AX26" s="56">
        <f>IF(AX$23&lt;'A&amp;Rs'!$V12,HLOOKUP(AX$21,$F$4:$Q$17,$B8),IF(AND(AX$23&gt;='A&amp;Rs'!$V12,AX$23&lt;'A&amp;Rs'!$X12),0,HLOOKUP(AX$21,$U$4:$AF$17,$B8)))</f>
        <v>1579.89228</v>
      </c>
      <c r="AY26" s="56">
        <f>IF(AY$23&lt;'A&amp;Rs'!$V12,HLOOKUP(AY$21,$F$4:$Q$17,$B8),IF(AND(AY$23&gt;='A&amp;Rs'!$V12,AY$23&lt;'A&amp;Rs'!$X12),0,HLOOKUP(AY$21,$U$4:$AF$17,$B8)))</f>
        <v>1579.89228</v>
      </c>
      <c r="AZ26" s="56">
        <f>IF(AZ$23&lt;'A&amp;Rs'!$V12,HLOOKUP(AZ$21,$F$4:$Q$17,$B8),IF(AND(AZ$23&gt;='A&amp;Rs'!$V12,AZ$23&lt;'A&amp;Rs'!$X12),0,HLOOKUP(AZ$21,$U$4:$AF$17,$B8)))</f>
        <v>1579.89228</v>
      </c>
      <c r="BA26" s="56">
        <f>IF(BA$23&lt;'A&amp;Rs'!$V12,HLOOKUP(BA$21,$F$4:$Q$17,$B8),IF(AND(BA$23&gt;='A&amp;Rs'!$V12,BA$23&lt;'A&amp;Rs'!$X12),0,HLOOKUP(BA$21,$U$4:$AF$17,$B8)))</f>
        <v>1579.89228</v>
      </c>
      <c r="BB26" s="56">
        <f>IF(BB$23&lt;'A&amp;Rs'!$V12,HLOOKUP(BB$21,$F$4:$Q$17,$B8),IF(AND(BB$23&gt;='A&amp;Rs'!$V12,BB$23&lt;'A&amp;Rs'!$X12),0,HLOOKUP(BB$21,$U$4:$AF$17,$B8)))</f>
        <v>1627.2890484000002</v>
      </c>
      <c r="BC26" s="56">
        <f>IF(BC$23&lt;'A&amp;Rs'!$V12,HLOOKUP(BC$21,$F$4:$Q$17,$B8),IF(AND(BC$23&gt;='A&amp;Rs'!$V12,BC$23&lt;'A&amp;Rs'!$X12),0,HLOOKUP(BC$21,$U$4:$AF$17,$B8)))</f>
        <v>1627.2890484000002</v>
      </c>
      <c r="BD26" s="56">
        <f>IF(BD$23&lt;'A&amp;Rs'!$V12,HLOOKUP(BD$21,$F$4:$Q$17,$B8),IF(AND(BD$23&gt;='A&amp;Rs'!$V12,BD$23&lt;'A&amp;Rs'!$X12),0,HLOOKUP(BD$21,$U$4:$AF$17,$B8)))</f>
        <v>1627.2890484000002</v>
      </c>
      <c r="BE26" s="56">
        <f>IF(BE$23&lt;'A&amp;Rs'!$V12,HLOOKUP(BE$21,$F$4:$Q$17,$B8),IF(AND(BE$23&gt;='A&amp;Rs'!$V12,BE$23&lt;'A&amp;Rs'!$X12),0,HLOOKUP(BE$21,$U$4:$AF$17,$B8)))</f>
        <v>1627.2890484000002</v>
      </c>
      <c r="BF26" s="56">
        <f>IF(BF$23&lt;'A&amp;Rs'!$V12,HLOOKUP(BF$21,$F$4:$Q$17,$B8),IF(AND(BF$23&gt;='A&amp;Rs'!$V12,BF$23&lt;'A&amp;Rs'!$X12),0,HLOOKUP(BF$21,$U$4:$AF$17,$B8)))</f>
        <v>1627.2890484000002</v>
      </c>
      <c r="BG26" s="56">
        <f>IF(BG$23&lt;'A&amp;Rs'!$V12,HLOOKUP(BG$21,$F$4:$Q$17,$B8),IF(AND(BG$23&gt;='A&amp;Rs'!$V12,BG$23&lt;'A&amp;Rs'!$X12),0,HLOOKUP(BG$21,$U$4:$AF$17,$B8)))</f>
        <v>1627.2890484000002</v>
      </c>
      <c r="BH26" s="56">
        <f>IF(BH$23&lt;'A&amp;Rs'!$V12,HLOOKUP(BH$21,$F$4:$Q$17,$B8),IF(AND(BH$23&gt;='A&amp;Rs'!$V12,BH$23&lt;'A&amp;Rs'!$X12),0,HLOOKUP(BH$21,$U$4:$AF$17,$B8)))</f>
        <v>1627.2890484000002</v>
      </c>
      <c r="BI26" s="56">
        <f>IF(BI$23&lt;'A&amp;Rs'!$V12,HLOOKUP(BI$21,$F$4:$Q$17,$B8),IF(AND(BI$23&gt;='A&amp;Rs'!$V12,BI$23&lt;'A&amp;Rs'!$X12),0,HLOOKUP(BI$21,$U$4:$AF$17,$B8)))</f>
        <v>1627.2890484000002</v>
      </c>
      <c r="BJ26" s="56">
        <f>IF(BJ$23&lt;'A&amp;Rs'!$V12,HLOOKUP(BJ$21,$F$4:$Q$17,$B8),IF(AND(BJ$23&gt;='A&amp;Rs'!$V12,BJ$23&lt;'A&amp;Rs'!$X12),0,HLOOKUP(BJ$21,$U$4:$AF$17,$B8)))</f>
        <v>1627.2890484000002</v>
      </c>
      <c r="BK26" s="56">
        <f>IF(BK$23&lt;'A&amp;Rs'!$V12,HLOOKUP(BK$21,$F$4:$Q$17,$B8),IF(AND(BK$23&gt;='A&amp;Rs'!$V12,BK$23&lt;'A&amp;Rs'!$X12),0,HLOOKUP(BK$21,$U$4:$AF$17,$B8)))</f>
        <v>1627.2890484000002</v>
      </c>
      <c r="BL26" s="56">
        <f>IF(BL$23&lt;'A&amp;Rs'!$V12,HLOOKUP(BL$21,$F$4:$Q$17,$B8),IF(AND(BL$23&gt;='A&amp;Rs'!$V12,BL$23&lt;'A&amp;Rs'!$X12),0,HLOOKUP(BL$21,$U$4:$AF$17,$B8)))</f>
        <v>1627.2890484000002</v>
      </c>
      <c r="BM26" s="56">
        <f>IF(BM$23&lt;'A&amp;Rs'!$V12,HLOOKUP(BM$21,$F$4:$Q$17,$B8),IF(AND(BM$23&gt;='A&amp;Rs'!$V12,BM$23&lt;'A&amp;Rs'!$X12),0,HLOOKUP(BM$21,$U$4:$AF$17,$B8)))</f>
        <v>1627.2890484000002</v>
      </c>
      <c r="BN26" s="56">
        <f>IF(BN$23&lt;'A&amp;Rs'!$V12,HLOOKUP(BN$21,$F$4:$Q$17,$B8),IF(AND(BN$23&gt;='A&amp;Rs'!$V12,BN$23&lt;'A&amp;Rs'!$X12),0,HLOOKUP(BN$21,$U$4:$AF$17,$B8)))</f>
        <v>1627.2890484000002</v>
      </c>
      <c r="BO26" s="56">
        <f>IF(BO$23&lt;'A&amp;Rs'!$V12,HLOOKUP(BO$21,$F$4:$Q$17,$B8),IF(AND(BO$23&gt;='A&amp;Rs'!$V12,BO$23&lt;'A&amp;Rs'!$X12),0,HLOOKUP(BO$21,$U$4:$AF$17,$B8)))</f>
        <v>1627.2890484000002</v>
      </c>
      <c r="BP26" s="56">
        <f>IF(BP$23&lt;'A&amp;Rs'!$V12,HLOOKUP(BP$21,$F$4:$Q$17,$B8),IF(AND(BP$23&gt;='A&amp;Rs'!$V12,BP$23&lt;'A&amp;Rs'!$X12),0,HLOOKUP(BP$21,$U$4:$AF$17,$B8)))</f>
        <v>1627.2890484000002</v>
      </c>
      <c r="BQ26" s="56">
        <f>IF(BQ$23&lt;'A&amp;Rs'!$V12,HLOOKUP(BQ$21,$F$4:$Q$17,$B8),IF(AND(BQ$23&gt;='A&amp;Rs'!$V12,BQ$23&lt;'A&amp;Rs'!$X12),0,HLOOKUP(BQ$21,$U$4:$AF$17,$B8)))</f>
        <v>1627.2890484000002</v>
      </c>
      <c r="BR26" s="56">
        <f>IF(BR$23&lt;'A&amp;Rs'!$V12,HLOOKUP(BR$21,$F$4:$Q$17,$B8),IF(AND(BR$23&gt;='A&amp;Rs'!$V12,BR$23&lt;'A&amp;Rs'!$X12),0,HLOOKUP(BR$21,$U$4:$AF$17,$B8)))</f>
        <v>1627.2890484000002</v>
      </c>
      <c r="BS26" s="56">
        <f>IF(BS$23&lt;'A&amp;Rs'!$V12,HLOOKUP(BS$21,$F$4:$Q$17,$B8),IF(AND(BS$23&gt;='A&amp;Rs'!$V12,BS$23&lt;'A&amp;Rs'!$X12),0,HLOOKUP(BS$21,$U$4:$AF$17,$B8)))</f>
        <v>1627.2890484000002</v>
      </c>
      <c r="BT26" s="56">
        <f>IF(BT$23&lt;'A&amp;Rs'!$V12,HLOOKUP(BT$21,$F$4:$Q$17,$B8),IF(AND(BT$23&gt;='A&amp;Rs'!$V12,BT$23&lt;'A&amp;Rs'!$X12),0,HLOOKUP(BT$21,$U$4:$AF$17,$B8)))</f>
        <v>1627.2890484000002</v>
      </c>
      <c r="BU26" s="56">
        <f>IF(BU$23&lt;'A&amp;Rs'!$V12,HLOOKUP(BU$21,$F$4:$Q$17,$B8),IF(AND(BU$23&gt;='A&amp;Rs'!$V12,BU$23&lt;'A&amp;Rs'!$X12),0,HLOOKUP(BU$21,$U$4:$AF$17,$B8)))</f>
        <v>1627.2890484000002</v>
      </c>
      <c r="BV26" s="56">
        <f>IF(BV$23&lt;'A&amp;Rs'!$V12,HLOOKUP(BV$21,$F$4:$Q$17,$B8),IF(AND(BV$23&gt;='A&amp;Rs'!$V12,BV$23&lt;'A&amp;Rs'!$X12),0,HLOOKUP(BV$21,$U$4:$AF$17,$B8)))</f>
        <v>1627.2890484000002</v>
      </c>
      <c r="BW26" s="56">
        <f>IF(BW$23&lt;'A&amp;Rs'!$V12,HLOOKUP(BW$21,$F$4:$Q$17,$B8),IF(AND(BW$23&gt;='A&amp;Rs'!$V12,BW$23&lt;'A&amp;Rs'!$X12),0,HLOOKUP(BW$21,$U$4:$AF$17,$B8)))</f>
        <v>1627.2890484000002</v>
      </c>
      <c r="BX26" s="56">
        <f>IF(BX$23&lt;'A&amp;Rs'!$V12,HLOOKUP(BX$21,$F$4:$Q$17,$B8),IF(AND(BX$23&gt;='A&amp;Rs'!$V12,BX$23&lt;'A&amp;Rs'!$X12),0,HLOOKUP(BX$21,$U$4:$AF$17,$B8)))</f>
        <v>1627.2890484000002</v>
      </c>
      <c r="BY26" s="56">
        <f>IF(BY$23&lt;'A&amp;Rs'!$V12,HLOOKUP(BY$21,$F$4:$Q$17,$B8),IF(AND(BY$23&gt;='A&amp;Rs'!$V12,BY$23&lt;'A&amp;Rs'!$X12),0,HLOOKUP(BY$21,$U$4:$AF$17,$B8)))</f>
        <v>1627.2890484000002</v>
      </c>
      <c r="BZ26" s="56">
        <f>IF(BZ$23&lt;'A&amp;Rs'!$V12,HLOOKUP(BZ$21,$F$4:$Q$17,$B8),IF(AND(BZ$23&gt;='A&amp;Rs'!$V12,BZ$23&lt;'A&amp;Rs'!$X12),0,HLOOKUP(BZ$21,$U$4:$AF$17,$B8)))</f>
        <v>1643.5619388840003</v>
      </c>
      <c r="CA26" s="56">
        <f>IF(CA$23&lt;'A&amp;Rs'!$V12,HLOOKUP(CA$21,$F$4:$Q$17,$B8),IF(AND(CA$23&gt;='A&amp;Rs'!$V12,CA$23&lt;'A&amp;Rs'!$X12),0,HLOOKUP(CA$21,$U$4:$AF$17,$B8)))</f>
        <v>1643.5619388840003</v>
      </c>
      <c r="CB26" s="56">
        <f>IF(CB$23&lt;'A&amp;Rs'!$V12,HLOOKUP(CB$21,$F$4:$Q$17,$B8),IF(AND(CB$23&gt;='A&amp;Rs'!$V12,CB$23&lt;'A&amp;Rs'!$X12),0,HLOOKUP(CB$21,$U$4:$AF$17,$B8)))</f>
        <v>1643.5619388840003</v>
      </c>
      <c r="CC26" s="56">
        <f>IF(CC$23&lt;'A&amp;Rs'!$V12,HLOOKUP(CC$21,$F$4:$Q$17,$B8),IF(AND(CC$23&gt;='A&amp;Rs'!$V12,CC$23&lt;'A&amp;Rs'!$X12),0,HLOOKUP(CC$21,$U$4:$AF$17,$B8)))</f>
        <v>1643.5619388840003</v>
      </c>
      <c r="CD26" s="56">
        <f>IF(CD$23&lt;'A&amp;Rs'!$V12,HLOOKUP(CD$21,$F$4:$Q$17,$B8),IF(AND(CD$23&gt;='A&amp;Rs'!$V12,CD$23&lt;'A&amp;Rs'!$X12),0,HLOOKUP(CD$21,$U$4:$AF$17,$B8)))</f>
        <v>1643.5619388840003</v>
      </c>
      <c r="CE26" s="56">
        <f>IF(CE$23&lt;'A&amp;Rs'!$V12,HLOOKUP(CE$21,$F$4:$Q$17,$B8),IF(AND(CE$23&gt;='A&amp;Rs'!$V12,CE$23&lt;'A&amp;Rs'!$X12),0,HLOOKUP(CE$21,$U$4:$AF$17,$B8)))</f>
        <v>1643.5619388840003</v>
      </c>
      <c r="CF26" s="56">
        <f>IF(CF$23&lt;'A&amp;Rs'!$V12,HLOOKUP(CF$21,$F$4:$Q$17,$B8),IF(AND(CF$23&gt;='A&amp;Rs'!$V12,CF$23&lt;'A&amp;Rs'!$X12),0,HLOOKUP(CF$21,$U$4:$AF$17,$B8)))</f>
        <v>1643.5619388840003</v>
      </c>
      <c r="CG26" s="56">
        <f>IF(CG$23&lt;'A&amp;Rs'!$V12,HLOOKUP(CG$21,$F$4:$Q$17,$B8),IF(AND(CG$23&gt;='A&amp;Rs'!$V12,CG$23&lt;'A&amp;Rs'!$X12),0,HLOOKUP(CG$21,$U$4:$AF$17,$B8)))</f>
        <v>1643.5619388840003</v>
      </c>
      <c r="CH26" s="56">
        <f>IF(CH$23&lt;'A&amp;Rs'!$V12,HLOOKUP(CH$21,$F$4:$Q$17,$B8),IF(AND(CH$23&gt;='A&amp;Rs'!$V12,CH$23&lt;'A&amp;Rs'!$X12),0,HLOOKUP(CH$21,$U$4:$AF$17,$B8)))</f>
        <v>1643.5619388840003</v>
      </c>
      <c r="CI26" s="56">
        <f>IF(CI$23&lt;'A&amp;Rs'!$V12,HLOOKUP(CI$21,$F$4:$Q$17,$B8),IF(AND(CI$23&gt;='A&amp;Rs'!$V12,CI$23&lt;'A&amp;Rs'!$X12),0,HLOOKUP(CI$21,$U$4:$AF$17,$B8)))</f>
        <v>1643.5619388840003</v>
      </c>
      <c r="CJ26" s="56">
        <f>IF(CJ$23&lt;'A&amp;Rs'!$V12,HLOOKUP(CJ$21,$F$4:$Q$17,$B8),IF(AND(CJ$23&gt;='A&amp;Rs'!$V12,CJ$23&lt;'A&amp;Rs'!$X12),0,HLOOKUP(CJ$21,$U$4:$AF$17,$B8)))</f>
        <v>1643.5619388840003</v>
      </c>
      <c r="CK26" s="56">
        <f>IF(CK$23&lt;'A&amp;Rs'!$V12,HLOOKUP(CK$21,$F$4:$Q$17,$B8),IF(AND(CK$23&gt;='A&amp;Rs'!$V12,CK$23&lt;'A&amp;Rs'!$X12),0,HLOOKUP(CK$21,$U$4:$AF$17,$B8)))</f>
        <v>1643.5619388840003</v>
      </c>
      <c r="CL26" s="56">
        <f>IF(CL$23&lt;'A&amp;Rs'!$V12,HLOOKUP(CL$21,$F$4:$Q$17,$B8),IF(AND(CL$23&gt;='A&amp;Rs'!$V12,CL$23&lt;'A&amp;Rs'!$X12),0,HLOOKUP(CL$21,$U$4:$AF$17,$B8)))</f>
        <v>1692.8687970505202</v>
      </c>
      <c r="CM26" s="56">
        <f>IF(CM$23&lt;'A&amp;Rs'!$V12,HLOOKUP(CM$21,$F$4:$Q$17,$B8),IF(AND(CM$23&gt;='A&amp;Rs'!$V12,CM$23&lt;'A&amp;Rs'!$X12),0,HLOOKUP(CM$21,$U$4:$AF$17,$B8)))</f>
        <v>1692.8687970505202</v>
      </c>
      <c r="CN26" s="56">
        <f>IF(CN$23&lt;'A&amp;Rs'!$V12,HLOOKUP(CN$21,$F$4:$Q$17,$B8),IF(AND(CN$23&gt;='A&amp;Rs'!$V12,CN$23&lt;'A&amp;Rs'!$X12),0,HLOOKUP(CN$21,$U$4:$AF$17,$B8)))</f>
        <v>1692.8687970505202</v>
      </c>
      <c r="CO26" s="56">
        <f>IF(CO$23&lt;'A&amp;Rs'!$V12,HLOOKUP(CO$21,$F$4:$Q$17,$B8),IF(AND(CO$23&gt;='A&amp;Rs'!$V12,CO$23&lt;'A&amp;Rs'!$X12),0,HLOOKUP(CO$21,$U$4:$AF$17,$B8)))</f>
        <v>1692.8687970505202</v>
      </c>
      <c r="CP26" s="56">
        <f>IF(CP$23&lt;'A&amp;Rs'!$V12,HLOOKUP(CP$21,$F$4:$Q$17,$B8),IF(AND(CP$23&gt;='A&amp;Rs'!$V12,CP$23&lt;'A&amp;Rs'!$X12),0,HLOOKUP(CP$21,$U$4:$AF$17,$B8)))</f>
        <v>1692.8687970505202</v>
      </c>
      <c r="CQ26" s="56">
        <f>IF(CQ$23&lt;'A&amp;Rs'!$V12,HLOOKUP(CQ$21,$F$4:$Q$17,$B8),IF(AND(CQ$23&gt;='A&amp;Rs'!$V12,CQ$23&lt;'A&amp;Rs'!$X12),0,HLOOKUP(CQ$21,$U$4:$AF$17,$B8)))</f>
        <v>1692.8687970505202</v>
      </c>
      <c r="CR26" s="56">
        <f>IF(CR$23&lt;'A&amp;Rs'!$V12,HLOOKUP(CR$21,$F$4:$Q$17,$B8),IF(AND(CR$23&gt;='A&amp;Rs'!$V12,CR$23&lt;'A&amp;Rs'!$X12),0,HLOOKUP(CR$21,$U$4:$AF$17,$B8)))</f>
        <v>1692.8687970505202</v>
      </c>
      <c r="CS26" s="56">
        <f>IF(CS$23&lt;'A&amp;Rs'!$V12,HLOOKUP(CS$21,$F$4:$Q$17,$B8),IF(AND(CS$23&gt;='A&amp;Rs'!$V12,CS$23&lt;'A&amp;Rs'!$X12),0,HLOOKUP(CS$21,$U$4:$AF$17,$B8)))</f>
        <v>1692.8687970505202</v>
      </c>
      <c r="CT26" s="56">
        <f>IF(CT$23&lt;'A&amp;Rs'!$V12,HLOOKUP(CT$21,$F$4:$Q$17,$B8),IF(AND(CT$23&gt;='A&amp;Rs'!$V12,CT$23&lt;'A&amp;Rs'!$X12),0,HLOOKUP(CT$21,$U$4:$AF$17,$B8)))</f>
        <v>1692.8687970505202</v>
      </c>
      <c r="CU26" s="56">
        <f>IF(CU$23&lt;'A&amp;Rs'!$V12,HLOOKUP(CU$21,$F$4:$Q$17,$B8),IF(AND(CU$23&gt;='A&amp;Rs'!$V12,CU$23&lt;'A&amp;Rs'!$X12),0,HLOOKUP(CU$21,$U$4:$AF$17,$B8)))</f>
        <v>1692.8687970505202</v>
      </c>
      <c r="CV26" s="56">
        <f>IF(CV$23&lt;'A&amp;Rs'!$V12,HLOOKUP(CV$21,$F$4:$Q$17,$B8),IF(AND(CV$23&gt;='A&amp;Rs'!$V12,CV$23&lt;'A&amp;Rs'!$X12),0,HLOOKUP(CV$21,$U$4:$AF$17,$B8)))</f>
        <v>1692.8687970505202</v>
      </c>
      <c r="CW26" s="56">
        <f>IF(CW$23&lt;'A&amp;Rs'!$V12,HLOOKUP(CW$21,$F$4:$Q$17,$B8),IF(AND(CW$23&gt;='A&amp;Rs'!$V12,CW$23&lt;'A&amp;Rs'!$X12),0,HLOOKUP(CW$21,$U$4:$AF$17,$B8)))</f>
        <v>1692.8687970505202</v>
      </c>
      <c r="CX26" s="56">
        <f>IF(CX$23&lt;'A&amp;Rs'!$V12,HLOOKUP(CX$21,$F$4:$Q$17,$B8),IF(AND(CX$23&gt;='A&amp;Rs'!$V12,CX$23&lt;'A&amp;Rs'!$X12),0,HLOOKUP(CX$21,$U$4:$AF$17,$B8)))</f>
        <v>1726.7261729915306</v>
      </c>
      <c r="CY26" s="56">
        <f>IF(CY$23&lt;'A&amp;Rs'!$V12,HLOOKUP(CY$21,$F$4:$Q$17,$B8),IF(AND(CY$23&gt;='A&amp;Rs'!$V12,CY$23&lt;'A&amp;Rs'!$X12),0,HLOOKUP(CY$21,$U$4:$AF$17,$B8)))</f>
        <v>1726.7261729915306</v>
      </c>
      <c r="CZ26" s="56">
        <f>IF(CZ$23&lt;'A&amp;Rs'!$V12,HLOOKUP(CZ$21,$F$4:$Q$17,$B8),IF(AND(CZ$23&gt;='A&amp;Rs'!$V12,CZ$23&lt;'A&amp;Rs'!$X12),0,HLOOKUP(CZ$21,$U$4:$AF$17,$B8)))</f>
        <v>1726.7261729915306</v>
      </c>
      <c r="DA26" s="56">
        <f>IF(DA$23&lt;'A&amp;Rs'!$V12,HLOOKUP(DA$21,$F$4:$Q$17,$B8),IF(AND(DA$23&gt;='A&amp;Rs'!$V12,DA$23&lt;'A&amp;Rs'!$X12),0,HLOOKUP(DA$21,$U$4:$AF$17,$B8)))</f>
        <v>1726.7261729915306</v>
      </c>
      <c r="DB26" s="56">
        <f>IF(DB$23&lt;'A&amp;Rs'!$V12,HLOOKUP(DB$21,$F$4:$Q$17,$B8),IF(AND(DB$23&gt;='A&amp;Rs'!$V12,DB$23&lt;'A&amp;Rs'!$X12),0,HLOOKUP(DB$21,$U$4:$AF$17,$B8)))</f>
        <v>1726.7261729915306</v>
      </c>
      <c r="DC26" s="56">
        <f>IF(DC$23&lt;'A&amp;Rs'!$V12,HLOOKUP(DC$21,$F$4:$Q$17,$B8),IF(AND(DC$23&gt;='A&amp;Rs'!$V12,DC$23&lt;'A&amp;Rs'!$X12),0,HLOOKUP(DC$21,$U$4:$AF$17,$B8)))</f>
        <v>1726.7261729915306</v>
      </c>
      <c r="DD26" s="56">
        <f>IF(DD$23&lt;'A&amp;Rs'!$V12,HLOOKUP(DD$21,$F$4:$Q$17,$B8),IF(AND(DD$23&gt;='A&amp;Rs'!$V12,DD$23&lt;'A&amp;Rs'!$X12),0,HLOOKUP(DD$21,$U$4:$AF$17,$B8)))</f>
        <v>1726.7261729915306</v>
      </c>
      <c r="DE26" s="56">
        <f>IF(DE$23&lt;'A&amp;Rs'!$V12,HLOOKUP(DE$21,$F$4:$Q$17,$B8),IF(AND(DE$23&gt;='A&amp;Rs'!$V12,DE$23&lt;'A&amp;Rs'!$X12),0,HLOOKUP(DE$21,$U$4:$AF$17,$B8)))</f>
        <v>1726.7261729915306</v>
      </c>
      <c r="DF26" s="56">
        <f>IF(DF$23&lt;'A&amp;Rs'!$V12,HLOOKUP(DF$21,$F$4:$Q$17,$B8),IF(AND(DF$23&gt;='A&amp;Rs'!$V12,DF$23&lt;'A&amp;Rs'!$X12),0,HLOOKUP(DF$21,$U$4:$AF$17,$B8)))</f>
        <v>1726.7261729915306</v>
      </c>
      <c r="DG26" s="56">
        <f>IF(DG$23&lt;'A&amp;Rs'!$V12,HLOOKUP(DG$21,$F$4:$Q$17,$B8),IF(AND(DG$23&gt;='A&amp;Rs'!$V12,DG$23&lt;'A&amp;Rs'!$X12),0,HLOOKUP(DG$21,$U$4:$AF$17,$B8)))</f>
        <v>1726.7261729915306</v>
      </c>
      <c r="DH26" s="56">
        <f>IF(DH$23&lt;'A&amp;Rs'!$V12,HLOOKUP(DH$21,$F$4:$Q$17,$B8),IF(AND(DH$23&gt;='A&amp;Rs'!$V12,DH$23&lt;'A&amp;Rs'!$X12),0,HLOOKUP(DH$21,$U$4:$AF$17,$B8)))</f>
        <v>1726.7261729915306</v>
      </c>
      <c r="DI26" s="56">
        <f>IF(DI$23&lt;'A&amp;Rs'!$V12,HLOOKUP(DI$21,$F$4:$Q$17,$B8),IF(AND(DI$23&gt;='A&amp;Rs'!$V12,DI$23&lt;'A&amp;Rs'!$X12),0,HLOOKUP(DI$21,$U$4:$AF$17,$B8)))</f>
        <v>1726.7261729915306</v>
      </c>
      <c r="DJ26" s="56">
        <f>IF(DJ$23&lt;'A&amp;Rs'!$V12,HLOOKUP(DJ$21,$F$4:$Q$17,$B8),IF(AND(DJ$23&gt;='A&amp;Rs'!$V12,DJ$23&lt;'A&amp;Rs'!$X12),0,HLOOKUP(DJ$21,$U$4:$AF$17,$B8)))</f>
        <v>1743.993434721446</v>
      </c>
      <c r="DK26" s="56">
        <f>IF(DK$23&lt;'A&amp;Rs'!$V12,HLOOKUP(DK$21,$F$4:$Q$17,$B8),IF(AND(DK$23&gt;='A&amp;Rs'!$V12,DK$23&lt;'A&amp;Rs'!$X12),0,HLOOKUP(DK$21,$U$4:$AF$17,$B8)))</f>
        <v>1743.993434721446</v>
      </c>
      <c r="DL26" s="56">
        <f>IF(DL$23&lt;'A&amp;Rs'!$V12,HLOOKUP(DL$21,$F$4:$Q$17,$B8),IF(AND(DL$23&gt;='A&amp;Rs'!$V12,DL$23&lt;'A&amp;Rs'!$X12),0,HLOOKUP(DL$21,$U$4:$AF$17,$B8)))</f>
        <v>1743.993434721446</v>
      </c>
      <c r="DM26" s="56">
        <f>IF(DM$23&lt;'A&amp;Rs'!$V12,HLOOKUP(DM$21,$F$4:$Q$17,$B8),IF(AND(DM$23&gt;='A&amp;Rs'!$V12,DM$23&lt;'A&amp;Rs'!$X12),0,HLOOKUP(DM$21,$U$4:$AF$17,$B8)))</f>
        <v>1743.993434721446</v>
      </c>
      <c r="DN26" s="56">
        <f>IF(DN$23&lt;'A&amp;Rs'!$V12,HLOOKUP(DN$21,$F$4:$Q$17,$B8),IF(AND(DN$23&gt;='A&amp;Rs'!$V12,DN$23&lt;'A&amp;Rs'!$X12),0,HLOOKUP(DN$21,$U$4:$AF$17,$B8)))</f>
        <v>1743.993434721446</v>
      </c>
      <c r="DO26" s="56">
        <f>IF(DO$23&lt;'A&amp;Rs'!$V12,HLOOKUP(DO$21,$F$4:$Q$17,$B8),IF(AND(DO$23&gt;='A&amp;Rs'!$V12,DO$23&lt;'A&amp;Rs'!$X12),0,HLOOKUP(DO$21,$U$4:$AF$17,$B8)))</f>
        <v>1743.993434721446</v>
      </c>
      <c r="DP26" s="56">
        <f>IF(DP$23&lt;'A&amp;Rs'!$V12,HLOOKUP(DP$21,$F$4:$Q$17,$B8),IF(AND(DP$23&gt;='A&amp;Rs'!$V12,DP$23&lt;'A&amp;Rs'!$X12),0,HLOOKUP(DP$21,$U$4:$AF$17,$B8)))</f>
        <v>1743.993434721446</v>
      </c>
      <c r="DQ26" s="56">
        <f>IF(DQ$23&lt;'A&amp;Rs'!$V12,HLOOKUP(DQ$21,$F$4:$Q$17,$B8),IF(AND(DQ$23&gt;='A&amp;Rs'!$V12,DQ$23&lt;'A&amp;Rs'!$X12),0,HLOOKUP(DQ$21,$U$4:$AF$17,$B8)))</f>
        <v>1743.993434721446</v>
      </c>
      <c r="DR26" s="56">
        <f>IF(DR$23&lt;'A&amp;Rs'!$V12,HLOOKUP(DR$21,$F$4:$Q$17,$B8),IF(AND(DR$23&gt;='A&amp;Rs'!$V12,DR$23&lt;'A&amp;Rs'!$X12),0,HLOOKUP(DR$21,$U$4:$AF$17,$B8)))</f>
        <v>1743.993434721446</v>
      </c>
      <c r="DS26" s="56">
        <f>IF(DS$23&lt;'A&amp;Rs'!$V12,HLOOKUP(DS$21,$F$4:$Q$17,$B8),IF(AND(DS$23&gt;='A&amp;Rs'!$V12,DS$23&lt;'A&amp;Rs'!$X12),0,HLOOKUP(DS$21,$U$4:$AF$17,$B8)))</f>
        <v>1743.993434721446</v>
      </c>
      <c r="DT26" s="56">
        <f>IF(DT$23&lt;'A&amp;Rs'!$V12,HLOOKUP(DT$21,$F$4:$Q$17,$B8),IF(AND(DT$23&gt;='A&amp;Rs'!$V12,DT$23&lt;'A&amp;Rs'!$X12),0,HLOOKUP(DT$21,$U$4:$AF$17,$B8)))</f>
        <v>1743.993434721446</v>
      </c>
      <c r="DU26" s="56">
        <f>IF(DU$23&lt;'A&amp;Rs'!$V12,HLOOKUP(DU$21,$F$4:$Q$17,$B8),IF(AND(DU$23&gt;='A&amp;Rs'!$V12,DU$23&lt;'A&amp;Rs'!$X12),0,HLOOKUP(DU$21,$U$4:$AF$17,$B8)))</f>
        <v>1743.993434721446</v>
      </c>
      <c r="DV26" s="56">
        <f>IF(DV$23&lt;'A&amp;Rs'!$V12,HLOOKUP(DV$21,$F$4:$Q$17,$B8),IF(AND(DV$23&gt;='A&amp;Rs'!$V12,DV$23&lt;'A&amp;Rs'!$X12),0,HLOOKUP(DV$21,$U$4:$AF$17,$B8)))</f>
        <v>1761.4333690686603</v>
      </c>
      <c r="DW26" s="56">
        <f>IF(DW$23&lt;'A&amp;Rs'!$V12,HLOOKUP(DW$21,$F$4:$Q$17,$B8),IF(AND(DW$23&gt;='A&amp;Rs'!$V12,DW$23&lt;'A&amp;Rs'!$X12),0,HLOOKUP(DW$21,$U$4:$AF$17,$B8)))</f>
        <v>1761.4333690686603</v>
      </c>
      <c r="DX26" s="56">
        <f>IF(DX$23&lt;'A&amp;Rs'!$V12,HLOOKUP(DX$21,$F$4:$Q$17,$B8),IF(AND(DX$23&gt;='A&amp;Rs'!$V12,DX$23&lt;'A&amp;Rs'!$X12),0,HLOOKUP(DX$21,$U$4:$AF$17,$B8)))</f>
        <v>1761.4333690686603</v>
      </c>
      <c r="DY26" s="56">
        <f>IF(DY$23&lt;'A&amp;Rs'!$V12,HLOOKUP(DY$21,$F$4:$Q$17,$B8),IF(AND(DY$23&gt;='A&amp;Rs'!$V12,DY$23&lt;'A&amp;Rs'!$X12),0,HLOOKUP(DY$21,$U$4:$AF$17,$B8)))</f>
        <v>1761.4333690686603</v>
      </c>
      <c r="DZ26" s="56">
        <f>IF(DZ$23&lt;'A&amp;Rs'!$V12,HLOOKUP(DZ$21,$F$4:$Q$17,$B8),IF(AND(DZ$23&gt;='A&amp;Rs'!$V12,DZ$23&lt;'A&amp;Rs'!$X12),0,HLOOKUP(DZ$21,$U$4:$AF$17,$B8)))</f>
        <v>1761.4333690686603</v>
      </c>
      <c r="EA26" s="56">
        <f>IF(EA$23&lt;'A&amp;Rs'!$V12,HLOOKUP(EA$21,$F$4:$Q$17,$B8),IF(AND(EA$23&gt;='A&amp;Rs'!$V12,EA$23&lt;'A&amp;Rs'!$X12),0,HLOOKUP(EA$21,$U$4:$AF$17,$B8)))</f>
        <v>1761.4333690686603</v>
      </c>
      <c r="EB26" s="56">
        <f>IF(EB$23&lt;'A&amp;Rs'!$V12,HLOOKUP(EB$21,$F$4:$Q$17,$B8),IF(AND(EB$23&gt;='A&amp;Rs'!$V12,EB$23&lt;'A&amp;Rs'!$X12),0,HLOOKUP(EB$21,$U$4:$AF$17,$B8)))</f>
        <v>1761.4333690686603</v>
      </c>
      <c r="EC26" s="56">
        <f>IF(EC$23&lt;'A&amp;Rs'!$V12,HLOOKUP(EC$21,$F$4:$Q$17,$B8),IF(AND(EC$23&gt;='A&amp;Rs'!$V12,EC$23&lt;'A&amp;Rs'!$X12),0,HLOOKUP(EC$21,$U$4:$AF$17,$B8)))</f>
        <v>1761.4333690686603</v>
      </c>
      <c r="ED26" s="56">
        <f>IF(ED$23&lt;'A&amp;Rs'!$V12,HLOOKUP(ED$21,$F$4:$Q$17,$B8),IF(AND(ED$23&gt;='A&amp;Rs'!$V12,ED$23&lt;'A&amp;Rs'!$X12),0,HLOOKUP(ED$21,$U$4:$AF$17,$B8)))</f>
        <v>1761.4333690686603</v>
      </c>
      <c r="EE26" s="56">
        <f>IF(EE$23&lt;'A&amp;Rs'!$V12,HLOOKUP(EE$21,$F$4:$Q$17,$B8),IF(AND(EE$23&gt;='A&amp;Rs'!$V12,EE$23&lt;'A&amp;Rs'!$X12),0,HLOOKUP(EE$21,$U$4:$AF$17,$B8)))</f>
        <v>1761.4333690686603</v>
      </c>
      <c r="EF26" s="56">
        <f>IF(EF$23&lt;'A&amp;Rs'!$V12,HLOOKUP(EF$21,$F$4:$Q$17,$B8),IF(AND(EF$23&gt;='A&amp;Rs'!$V12,EF$23&lt;'A&amp;Rs'!$X12),0,HLOOKUP(EF$21,$U$4:$AF$17,$B8)))</f>
        <v>1761.4333690686603</v>
      </c>
      <c r="EG26" s="56">
        <f>IF(EG$23&lt;'A&amp;Rs'!$V12,HLOOKUP(EG$21,$F$4:$Q$17,$B8),IF(AND(EG$23&gt;='A&amp;Rs'!$V12,EG$23&lt;'A&amp;Rs'!$X12),0,HLOOKUP(EG$21,$U$4:$AF$17,$B8)))</f>
        <v>1761.4333690686603</v>
      </c>
      <c r="EH26" s="56">
        <f>IF(EH$23&lt;'A&amp;Rs'!$V12,HLOOKUP(EH$21,$F$4:$Q$17,$B8),IF(AND(EH$23&gt;='A&amp;Rs'!$V12,EH$23&lt;'A&amp;Rs'!$X12),0,HLOOKUP(EH$21,$U$4:$AF$17,$B8)))</f>
        <v>1779.047702759347</v>
      </c>
      <c r="EI26" s="56">
        <f>IF(EI$23&lt;'A&amp;Rs'!$V12,HLOOKUP(EI$21,$F$4:$Q$17,$B8),IF(AND(EI$23&gt;='A&amp;Rs'!$V12,EI$23&lt;'A&amp;Rs'!$X12),0,HLOOKUP(EI$21,$U$4:$AF$17,$B8)))</f>
        <v>1779.047702759347</v>
      </c>
      <c r="EJ26" s="56">
        <f>IF(EJ$23&lt;'A&amp;Rs'!$V12,HLOOKUP(EJ$21,$F$4:$Q$17,$B8),IF(AND(EJ$23&gt;='A&amp;Rs'!$V12,EJ$23&lt;'A&amp;Rs'!$X12),0,HLOOKUP(EJ$21,$U$4:$AF$17,$B8)))</f>
        <v>1779.047702759347</v>
      </c>
      <c r="EK26" s="56">
        <f>IF(EK$23&lt;'A&amp;Rs'!$V12,HLOOKUP(EK$21,$F$4:$Q$17,$B8),IF(AND(EK$23&gt;='A&amp;Rs'!$V12,EK$23&lt;'A&amp;Rs'!$X12),0,HLOOKUP(EK$21,$U$4:$AF$17,$B8)))</f>
        <v>1779.047702759347</v>
      </c>
      <c r="EL26" s="56">
        <f>IF(EL$23&lt;'A&amp;Rs'!$V12,HLOOKUP(EL$21,$F$4:$Q$17,$B8),IF(AND(EL$23&gt;='A&amp;Rs'!$V12,EL$23&lt;'A&amp;Rs'!$X12),0,HLOOKUP(EL$21,$U$4:$AF$17,$B8)))</f>
        <v>1779.047702759347</v>
      </c>
      <c r="EM26" s="56">
        <f>IF(EM$23&lt;'A&amp;Rs'!$V12,HLOOKUP(EM$21,$F$4:$Q$17,$B8),IF(AND(EM$23&gt;='A&amp;Rs'!$V12,EM$23&lt;'A&amp;Rs'!$X12),0,HLOOKUP(EM$21,$U$4:$AF$17,$B8)))</f>
        <v>1779.047702759347</v>
      </c>
      <c r="EN26" s="56">
        <f>IF(EN$23&lt;'A&amp;Rs'!$V12,HLOOKUP(EN$21,$F$4:$Q$17,$B8),IF(AND(EN$23&gt;='A&amp;Rs'!$V12,EN$23&lt;'A&amp;Rs'!$X12),0,HLOOKUP(EN$21,$U$4:$AF$17,$B8)))</f>
        <v>1779.047702759347</v>
      </c>
      <c r="EO26" s="56">
        <f>IF(EO$23&lt;'A&amp;Rs'!$V12,HLOOKUP(EO$21,$F$4:$Q$17,$B8),IF(AND(EO$23&gt;='A&amp;Rs'!$V12,EO$23&lt;'A&amp;Rs'!$X12),0,HLOOKUP(EO$21,$U$4:$AF$17,$B8)))</f>
        <v>1779.047702759347</v>
      </c>
      <c r="EP26" s="56">
        <f>IF(EP$23&lt;'A&amp;Rs'!$V12,HLOOKUP(EP$21,$F$4:$Q$17,$B8),IF(AND(EP$23&gt;='A&amp;Rs'!$V12,EP$23&lt;'A&amp;Rs'!$X12),0,HLOOKUP(EP$21,$U$4:$AF$17,$B8)))</f>
        <v>1779.047702759347</v>
      </c>
      <c r="EQ26" s="56">
        <f>IF(EQ$23&lt;'A&amp;Rs'!$V12,HLOOKUP(EQ$21,$F$4:$Q$17,$B8),IF(AND(EQ$23&gt;='A&amp;Rs'!$V12,EQ$23&lt;'A&amp;Rs'!$X12),0,HLOOKUP(EQ$21,$U$4:$AF$17,$B8)))</f>
        <v>1779.047702759347</v>
      </c>
      <c r="ER26" s="56">
        <f>IF(ER$23&lt;'A&amp;Rs'!$V12,HLOOKUP(ER$21,$F$4:$Q$17,$B8),IF(AND(ER$23&gt;='A&amp;Rs'!$V12,ER$23&lt;'A&amp;Rs'!$X12),0,HLOOKUP(ER$21,$U$4:$AF$17,$B8)))</f>
        <v>1779.047702759347</v>
      </c>
      <c r="ES26" s="56">
        <f>IF(ES$23&lt;'A&amp;Rs'!$V12,HLOOKUP(ES$21,$F$4:$Q$17,$B8),IF(AND(ES$23&gt;='A&amp;Rs'!$V12,ES$23&lt;'A&amp;Rs'!$X12),0,HLOOKUP(ES$21,$U$4:$AF$17,$B8)))</f>
        <v>1779.047702759347</v>
      </c>
      <c r="ET26" s="56">
        <f>IF(ET$23&lt;'A&amp;Rs'!$V12,HLOOKUP(ET$21,$F$4:$Q$17,$B8),IF(AND(ET$23&gt;='A&amp;Rs'!$V12,ET$23&lt;'A&amp;Rs'!$X12),0,HLOOKUP(ET$21,$U$4:$AF$17,$B8)))</f>
        <v>1779.047702759347</v>
      </c>
      <c r="EU26" s="56">
        <f>IF(EU$23&lt;'A&amp;Rs'!$V12,HLOOKUP(EU$21,$F$4:$Q$17,$B8),IF(AND(EU$23&gt;='A&amp;Rs'!$V12,EU$23&lt;'A&amp;Rs'!$X12),0,HLOOKUP(EU$21,$U$4:$AF$17,$B8)))</f>
        <v>1779.047702759347</v>
      </c>
      <c r="EV26" s="56">
        <f>IF(EV$23&lt;'A&amp;Rs'!$V12,HLOOKUP(EV$21,$F$4:$Q$17,$B8),IF(AND(EV$23&gt;='A&amp;Rs'!$V12,EV$23&lt;'A&amp;Rs'!$X12),0,HLOOKUP(EV$21,$U$4:$AF$17,$B8)))</f>
        <v>1779.047702759347</v>
      </c>
      <c r="EW26" s="56">
        <f>IF(EW$23&lt;'A&amp;Rs'!$V12,HLOOKUP(EW$21,$F$4:$Q$17,$B8),IF(AND(EW$23&gt;='A&amp;Rs'!$V12,EW$23&lt;'A&amp;Rs'!$X12),0,HLOOKUP(EW$21,$U$4:$AF$17,$B8)))</f>
        <v>1779.047702759347</v>
      </c>
      <c r="EX26" s="56">
        <f>IF(EX$23&lt;'A&amp;Rs'!$V12,HLOOKUP(EX$21,$F$4:$Q$17,$B8),IF(AND(EX$23&gt;='A&amp;Rs'!$V12,EX$23&lt;'A&amp;Rs'!$X12),0,HLOOKUP(EX$21,$U$4:$AF$17,$B8)))</f>
        <v>1779.047702759347</v>
      </c>
      <c r="EY26" s="56">
        <f>IF(EY$23&lt;'A&amp;Rs'!$V12,HLOOKUP(EY$21,$F$4:$Q$17,$B8),IF(AND(EY$23&gt;='A&amp;Rs'!$V12,EY$23&lt;'A&amp;Rs'!$X12),0,HLOOKUP(EY$21,$U$4:$AF$17,$B8)))</f>
        <v>1779.047702759347</v>
      </c>
      <c r="EZ26" s="56">
        <f>IF(EZ$23&lt;'A&amp;Rs'!$V12,HLOOKUP(EZ$21,$F$4:$Q$17,$B8),IF(AND(EZ$23&gt;='A&amp;Rs'!$V12,EZ$23&lt;'A&amp;Rs'!$X12),0,HLOOKUP(EZ$21,$U$4:$AF$17,$B8)))</f>
        <v>1779.047702759347</v>
      </c>
      <c r="FA26" s="56">
        <f>IF(FA$23&lt;'A&amp;Rs'!$V12,HLOOKUP(FA$21,$F$4:$Q$17,$B8),IF(AND(FA$23&gt;='A&amp;Rs'!$V12,FA$23&lt;'A&amp;Rs'!$X12),0,HLOOKUP(FA$21,$U$4:$AF$17,$B8)))</f>
        <v>1779.047702759347</v>
      </c>
      <c r="FB26" s="56">
        <f>IF(FB$23&lt;'A&amp;Rs'!$V12,HLOOKUP(FB$21,$F$4:$Q$17,$B8),IF(AND(FB$23&gt;='A&amp;Rs'!$V12,FB$23&lt;'A&amp;Rs'!$X12),0,HLOOKUP(FB$21,$U$4:$AF$17,$B8)))</f>
        <v>1779.047702759347</v>
      </c>
      <c r="FC26" s="56">
        <f>IF(FC$23&lt;'A&amp;Rs'!$V12,HLOOKUP(FC$21,$F$4:$Q$17,$B8),IF(AND(FC$23&gt;='A&amp;Rs'!$V12,FC$23&lt;'A&amp;Rs'!$X12),0,HLOOKUP(FC$21,$U$4:$AF$17,$B8)))</f>
        <v>1779.047702759347</v>
      </c>
      <c r="FD26" s="56">
        <f>IF(FD$23&lt;'A&amp;Rs'!$V12,HLOOKUP(FD$21,$F$4:$Q$17,$B8),IF(AND(FD$23&gt;='A&amp;Rs'!$V12,FD$23&lt;'A&amp;Rs'!$X12),0,HLOOKUP(FD$21,$U$4:$AF$17,$B8)))</f>
        <v>1779.047702759347</v>
      </c>
      <c r="FE26" s="56">
        <f>IF(FE$23&lt;'A&amp;Rs'!$V12,HLOOKUP(FE$21,$F$4:$Q$17,$B8),IF(AND(FE$23&gt;='A&amp;Rs'!$V12,FE$23&lt;'A&amp;Rs'!$X12),0,HLOOKUP(FE$21,$U$4:$AF$17,$B8)))</f>
        <v>1779.047702759347</v>
      </c>
      <c r="FF26" s="1" t="s">
        <v>39</v>
      </c>
      <c r="FG26" s="1"/>
      <c r="FH26" s="1"/>
      <c r="FI26" s="99"/>
    </row>
    <row r="27" spans="2:165" x14ac:dyDescent="0.3">
      <c r="C27" s="98"/>
      <c r="D27" s="123">
        <f>'A&amp;Rs'!Q13</f>
        <v>4</v>
      </c>
      <c r="E27" s="56">
        <f t="shared" si="11"/>
        <v>1240</v>
      </c>
      <c r="F27" s="56">
        <f>IF(F$23&lt;'A&amp;Rs'!$V13,HLOOKUP(F$21,$F$4:$Q$17,$B9),IF(AND(F$23&gt;='A&amp;Rs'!$V13,F$23&lt;'A&amp;Rs'!$X13),0,HLOOKUP(F$21,$U$4:$AF$17,$B9)))</f>
        <v>1240</v>
      </c>
      <c r="G27" s="56">
        <f>IF(G$23&lt;'A&amp;Rs'!$V13,HLOOKUP(G$21,$F$4:$Q$17,$B9),IF(AND(G$23&gt;='A&amp;Rs'!$V13,G$23&lt;'A&amp;Rs'!$X13),0,HLOOKUP(G$21,$U$4:$AF$17,$B9)))</f>
        <v>1240</v>
      </c>
      <c r="H27" s="56">
        <f>IF(H$23&lt;'A&amp;Rs'!$V13,HLOOKUP(H$21,$F$4:$Q$17,$B9),IF(AND(H$23&gt;='A&amp;Rs'!$V13,H$23&lt;'A&amp;Rs'!$X13),0,HLOOKUP(H$21,$U$4:$AF$17,$B9)))</f>
        <v>1240</v>
      </c>
      <c r="I27" s="56">
        <f>IF(I$23&lt;'A&amp;Rs'!$V13,HLOOKUP(I$21,$F$4:$Q$17,$B9),IF(AND(I$23&gt;='A&amp;Rs'!$V13,I$23&lt;'A&amp;Rs'!$X13),0,HLOOKUP(I$21,$U$4:$AF$17,$B9)))</f>
        <v>0</v>
      </c>
      <c r="J27" s="56">
        <f>IF(J$23&lt;'A&amp;Rs'!$V13,HLOOKUP(J$21,$F$4:$Q$17,$B9),IF(AND(J$23&gt;='A&amp;Rs'!$V13,J$23&lt;'A&amp;Rs'!$X13),0,HLOOKUP(J$21,$U$4:$AF$17,$B9)))</f>
        <v>0</v>
      </c>
      <c r="K27" s="56">
        <f>IF(K$23&lt;'A&amp;Rs'!$V13,HLOOKUP(K$21,$F$4:$Q$17,$B9),IF(AND(K$23&gt;='A&amp;Rs'!$V13,K$23&lt;'A&amp;Rs'!$X13),0,HLOOKUP(K$21,$U$4:$AF$17,$B9)))</f>
        <v>0</v>
      </c>
      <c r="L27" s="56">
        <f>IF(L$23&lt;'A&amp;Rs'!$V13,HLOOKUP(L$21,$F$4:$Q$17,$B9),IF(AND(L$23&gt;='A&amp;Rs'!$V13,L$23&lt;'A&amp;Rs'!$X13),0,HLOOKUP(L$21,$U$4:$AF$17,$B9)))</f>
        <v>1500</v>
      </c>
      <c r="M27" s="56">
        <f>IF(M$23&lt;'A&amp;Rs'!$V13,HLOOKUP(M$21,$F$4:$Q$17,$B9),IF(AND(M$23&gt;='A&amp;Rs'!$V13,M$23&lt;'A&amp;Rs'!$X13),0,HLOOKUP(M$21,$U$4:$AF$17,$B9)))</f>
        <v>1500</v>
      </c>
      <c r="N27" s="56">
        <f>IF(N$23&lt;'A&amp;Rs'!$V13,HLOOKUP(N$21,$F$4:$Q$17,$B9),IF(AND(N$23&gt;='A&amp;Rs'!$V13,N$23&lt;'A&amp;Rs'!$X13),0,HLOOKUP(N$21,$U$4:$AF$17,$B9)))</f>
        <v>1500</v>
      </c>
      <c r="O27" s="56">
        <f>IF(O$23&lt;'A&amp;Rs'!$V13,HLOOKUP(O$21,$F$4:$Q$17,$B9),IF(AND(O$23&gt;='A&amp;Rs'!$V13,O$23&lt;'A&amp;Rs'!$X13),0,HLOOKUP(O$21,$U$4:$AF$17,$B9)))</f>
        <v>1500</v>
      </c>
      <c r="P27" s="56">
        <f>IF(P$23&lt;'A&amp;Rs'!$V13,HLOOKUP(P$21,$F$4:$Q$17,$B9),IF(AND(P$23&gt;='A&amp;Rs'!$V13,P$23&lt;'A&amp;Rs'!$X13),0,HLOOKUP(P$21,$U$4:$AF$17,$B9)))</f>
        <v>1500</v>
      </c>
      <c r="Q27" s="56">
        <f>IF(Q$23&lt;'A&amp;Rs'!$V13,HLOOKUP(Q$21,$F$4:$Q$17,$B9),IF(AND(Q$23&gt;='A&amp;Rs'!$V13,Q$23&lt;'A&amp;Rs'!$X13),0,HLOOKUP(Q$21,$U$4:$AF$17,$B9)))</f>
        <v>1500</v>
      </c>
      <c r="R27" s="56">
        <f>IF(R$23&lt;'A&amp;Rs'!$V13,HLOOKUP(R$21,$F$4:$Q$17,$B9),IF(AND(R$23&gt;='A&amp;Rs'!$V13,R$23&lt;'A&amp;Rs'!$X13),0,HLOOKUP(R$21,$U$4:$AF$17,$B9)))</f>
        <v>1545</v>
      </c>
      <c r="S27" s="56">
        <f>IF(S$23&lt;'A&amp;Rs'!$V13,HLOOKUP(S$21,$F$4:$Q$17,$B9),IF(AND(S$23&gt;='A&amp;Rs'!$V13,S$23&lt;'A&amp;Rs'!$X13),0,HLOOKUP(S$21,$U$4:$AF$17,$B9)))</f>
        <v>1545</v>
      </c>
      <c r="T27" s="56">
        <f>IF(T$23&lt;'A&amp;Rs'!$V13,HLOOKUP(T$21,$F$4:$Q$17,$B9),IF(AND(T$23&gt;='A&amp;Rs'!$V13,T$23&lt;'A&amp;Rs'!$X13),0,HLOOKUP(T$21,$U$4:$AF$17,$B9)))</f>
        <v>1545</v>
      </c>
      <c r="U27" s="56">
        <f>IF(U$23&lt;'A&amp;Rs'!$V13,HLOOKUP(U$21,$F$4:$Q$17,$B9),IF(AND(U$23&gt;='A&amp;Rs'!$V13,U$23&lt;'A&amp;Rs'!$X13),0,HLOOKUP(U$21,$U$4:$AF$17,$B9)))</f>
        <v>1545</v>
      </c>
      <c r="V27" s="56">
        <f>IF(V$23&lt;'A&amp;Rs'!$V13,HLOOKUP(V$21,$F$4:$Q$17,$B9),IF(AND(V$23&gt;='A&amp;Rs'!$V13,V$23&lt;'A&amp;Rs'!$X13),0,HLOOKUP(V$21,$U$4:$AF$17,$B9)))</f>
        <v>1545</v>
      </c>
      <c r="W27" s="56">
        <f>IF(W$23&lt;'A&amp;Rs'!$V13,HLOOKUP(W$21,$F$4:$Q$17,$B9),IF(AND(W$23&gt;='A&amp;Rs'!$V13,W$23&lt;'A&amp;Rs'!$X13),0,HLOOKUP(W$21,$U$4:$AF$17,$B9)))</f>
        <v>1545</v>
      </c>
      <c r="X27" s="56">
        <f>IF(X$23&lt;'A&amp;Rs'!$V13,HLOOKUP(X$21,$F$4:$Q$17,$B9),IF(AND(X$23&gt;='A&amp;Rs'!$V13,X$23&lt;'A&amp;Rs'!$X13),0,HLOOKUP(X$21,$U$4:$AF$17,$B9)))</f>
        <v>1545</v>
      </c>
      <c r="Y27" s="56">
        <f>IF(Y$23&lt;'A&amp;Rs'!$V13,HLOOKUP(Y$21,$F$4:$Q$17,$B9),IF(AND(Y$23&gt;='A&amp;Rs'!$V13,Y$23&lt;'A&amp;Rs'!$X13),0,HLOOKUP(Y$21,$U$4:$AF$17,$B9)))</f>
        <v>1545</v>
      </c>
      <c r="Z27" s="56">
        <f>IF(Z$23&lt;'A&amp;Rs'!$V13,HLOOKUP(Z$21,$F$4:$Q$17,$B9),IF(AND(Z$23&gt;='A&amp;Rs'!$V13,Z$23&lt;'A&amp;Rs'!$X13),0,HLOOKUP(Z$21,$U$4:$AF$17,$B9)))</f>
        <v>1545</v>
      </c>
      <c r="AA27" s="56">
        <f>IF(AA$23&lt;'A&amp;Rs'!$V13,HLOOKUP(AA$21,$F$4:$Q$17,$B9),IF(AND(AA$23&gt;='A&amp;Rs'!$V13,AA$23&lt;'A&amp;Rs'!$X13),0,HLOOKUP(AA$21,$U$4:$AF$17,$B9)))</f>
        <v>1545</v>
      </c>
      <c r="AB27" s="56">
        <f>IF(AB$23&lt;'A&amp;Rs'!$V13,HLOOKUP(AB$21,$F$4:$Q$17,$B9),IF(AND(AB$23&gt;='A&amp;Rs'!$V13,AB$23&lt;'A&amp;Rs'!$X13),0,HLOOKUP(AB$21,$U$4:$AF$17,$B9)))</f>
        <v>1545</v>
      </c>
      <c r="AC27" s="56">
        <f>IF(AC$23&lt;'A&amp;Rs'!$V13,HLOOKUP(AC$21,$F$4:$Q$17,$B9),IF(AND(AC$23&gt;='A&amp;Rs'!$V13,AC$23&lt;'A&amp;Rs'!$X13),0,HLOOKUP(AC$21,$U$4:$AF$17,$B9)))</f>
        <v>1545</v>
      </c>
      <c r="AD27" s="56">
        <f>IF(AD$23&lt;'A&amp;Rs'!$V13,HLOOKUP(AD$21,$F$4:$Q$17,$B9),IF(AND(AD$23&gt;='A&amp;Rs'!$V13,AD$23&lt;'A&amp;Rs'!$X13),0,HLOOKUP(AD$21,$U$4:$AF$17,$B9)))</f>
        <v>1575.9</v>
      </c>
      <c r="AE27" s="56">
        <f>IF(AE$23&lt;'A&amp;Rs'!$V13,HLOOKUP(AE$21,$F$4:$Q$17,$B9),IF(AND(AE$23&gt;='A&amp;Rs'!$V13,AE$23&lt;'A&amp;Rs'!$X13),0,HLOOKUP(AE$21,$U$4:$AF$17,$B9)))</f>
        <v>1575.9</v>
      </c>
      <c r="AF27" s="56">
        <f>IF(AF$23&lt;'A&amp;Rs'!$V13,HLOOKUP(AF$21,$F$4:$Q$17,$B9),IF(AND(AF$23&gt;='A&amp;Rs'!$V13,AF$23&lt;'A&amp;Rs'!$X13),0,HLOOKUP(AF$21,$U$4:$AF$17,$B9)))</f>
        <v>1575.9</v>
      </c>
      <c r="AG27" s="56">
        <f>IF(AG$23&lt;'A&amp;Rs'!$V13,HLOOKUP(AG$21,$F$4:$Q$17,$B9),IF(AND(AG$23&gt;='A&amp;Rs'!$V13,AG$23&lt;'A&amp;Rs'!$X13),0,HLOOKUP(AG$21,$U$4:$AF$17,$B9)))</f>
        <v>1575.9</v>
      </c>
      <c r="AH27" s="56">
        <f>IF(AH$23&lt;'A&amp;Rs'!$V13,HLOOKUP(AH$21,$F$4:$Q$17,$B9),IF(AND(AH$23&gt;='A&amp;Rs'!$V13,AH$23&lt;'A&amp;Rs'!$X13),0,HLOOKUP(AH$21,$U$4:$AF$17,$B9)))</f>
        <v>1575.9</v>
      </c>
      <c r="AI27" s="56">
        <f>IF(AI$23&lt;'A&amp;Rs'!$V13,HLOOKUP(AI$21,$F$4:$Q$17,$B9),IF(AND(AI$23&gt;='A&amp;Rs'!$V13,AI$23&lt;'A&amp;Rs'!$X13),0,HLOOKUP(AI$21,$U$4:$AF$17,$B9)))</f>
        <v>1575.9</v>
      </c>
      <c r="AJ27" s="56">
        <f>IF(AJ$23&lt;'A&amp;Rs'!$V13,HLOOKUP(AJ$21,$F$4:$Q$17,$B9),IF(AND(AJ$23&gt;='A&amp;Rs'!$V13,AJ$23&lt;'A&amp;Rs'!$X13),0,HLOOKUP(AJ$21,$U$4:$AF$17,$B9)))</f>
        <v>1575.9</v>
      </c>
      <c r="AK27" s="56">
        <f>IF(AK$23&lt;'A&amp;Rs'!$V13,HLOOKUP(AK$21,$F$4:$Q$17,$B9),IF(AND(AK$23&gt;='A&amp;Rs'!$V13,AK$23&lt;'A&amp;Rs'!$X13),0,HLOOKUP(AK$21,$U$4:$AF$17,$B9)))</f>
        <v>1575.9</v>
      </c>
      <c r="AL27" s="56">
        <f>IF(AL$23&lt;'A&amp;Rs'!$V13,HLOOKUP(AL$21,$F$4:$Q$17,$B9),IF(AND(AL$23&gt;='A&amp;Rs'!$V13,AL$23&lt;'A&amp;Rs'!$X13),0,HLOOKUP(AL$21,$U$4:$AF$17,$B9)))</f>
        <v>1575.9</v>
      </c>
      <c r="AM27" s="56">
        <f>IF(AM$23&lt;'A&amp;Rs'!$V13,HLOOKUP(AM$21,$F$4:$Q$17,$B9),IF(AND(AM$23&gt;='A&amp;Rs'!$V13,AM$23&lt;'A&amp;Rs'!$X13),0,HLOOKUP(AM$21,$U$4:$AF$17,$B9)))</f>
        <v>1575.9</v>
      </c>
      <c r="AN27" s="56">
        <f>IF(AN$23&lt;'A&amp;Rs'!$V13,HLOOKUP(AN$21,$F$4:$Q$17,$B9),IF(AND(AN$23&gt;='A&amp;Rs'!$V13,AN$23&lt;'A&amp;Rs'!$X13),0,HLOOKUP(AN$21,$U$4:$AF$17,$B9)))</f>
        <v>1575.9</v>
      </c>
      <c r="AO27" s="56">
        <f>IF(AO$23&lt;'A&amp;Rs'!$V13,HLOOKUP(AO$21,$F$4:$Q$17,$B9),IF(AND(AO$23&gt;='A&amp;Rs'!$V13,AO$23&lt;'A&amp;Rs'!$X13),0,HLOOKUP(AO$21,$U$4:$AF$17,$B9)))</f>
        <v>1575.9</v>
      </c>
      <c r="AP27" s="56">
        <f>IF(AP$23&lt;'A&amp;Rs'!$V13,HLOOKUP(AP$21,$F$4:$Q$17,$B9),IF(AND(AP$23&gt;='A&amp;Rs'!$V13,AP$23&lt;'A&amp;Rs'!$X13),0,HLOOKUP(AP$21,$U$4:$AF$17,$B9)))</f>
        <v>1623.1770000000001</v>
      </c>
      <c r="AQ27" s="56">
        <f>IF(AQ$23&lt;'A&amp;Rs'!$V13,HLOOKUP(AQ$21,$F$4:$Q$17,$B9),IF(AND(AQ$23&gt;='A&amp;Rs'!$V13,AQ$23&lt;'A&amp;Rs'!$X13),0,HLOOKUP(AQ$21,$U$4:$AF$17,$B9)))</f>
        <v>1623.1770000000001</v>
      </c>
      <c r="AR27" s="56">
        <f>IF(AR$23&lt;'A&amp;Rs'!$V13,HLOOKUP(AR$21,$F$4:$Q$17,$B9),IF(AND(AR$23&gt;='A&amp;Rs'!$V13,AR$23&lt;'A&amp;Rs'!$X13),0,HLOOKUP(AR$21,$U$4:$AF$17,$B9)))</f>
        <v>1623.1770000000001</v>
      </c>
      <c r="AS27" s="56">
        <f>IF(AS$23&lt;'A&amp;Rs'!$V13,HLOOKUP(AS$21,$F$4:$Q$17,$B9),IF(AND(AS$23&gt;='A&amp;Rs'!$V13,AS$23&lt;'A&amp;Rs'!$X13),0,HLOOKUP(AS$21,$U$4:$AF$17,$B9)))</f>
        <v>1623.1770000000001</v>
      </c>
      <c r="AT27" s="56">
        <f>IF(AT$23&lt;'A&amp;Rs'!$V13,HLOOKUP(AT$21,$F$4:$Q$17,$B9),IF(AND(AT$23&gt;='A&amp;Rs'!$V13,AT$23&lt;'A&amp;Rs'!$X13),0,HLOOKUP(AT$21,$U$4:$AF$17,$B9)))</f>
        <v>1623.1770000000001</v>
      </c>
      <c r="AU27" s="56">
        <f>IF(AU$23&lt;'A&amp;Rs'!$V13,HLOOKUP(AU$21,$F$4:$Q$17,$B9),IF(AND(AU$23&gt;='A&amp;Rs'!$V13,AU$23&lt;'A&amp;Rs'!$X13),0,HLOOKUP(AU$21,$U$4:$AF$17,$B9)))</f>
        <v>1623.1770000000001</v>
      </c>
      <c r="AV27" s="56">
        <f>IF(AV$23&lt;'A&amp;Rs'!$V13,HLOOKUP(AV$21,$F$4:$Q$17,$B9),IF(AND(AV$23&gt;='A&amp;Rs'!$V13,AV$23&lt;'A&amp;Rs'!$X13),0,HLOOKUP(AV$21,$U$4:$AF$17,$B9)))</f>
        <v>1623.1770000000001</v>
      </c>
      <c r="AW27" s="56">
        <f>IF(AW$23&lt;'A&amp;Rs'!$V13,HLOOKUP(AW$21,$F$4:$Q$17,$B9),IF(AND(AW$23&gt;='A&amp;Rs'!$V13,AW$23&lt;'A&amp;Rs'!$X13),0,HLOOKUP(AW$21,$U$4:$AF$17,$B9)))</f>
        <v>1623.1770000000001</v>
      </c>
      <c r="AX27" s="56">
        <f>IF(AX$23&lt;'A&amp;Rs'!$V13,HLOOKUP(AX$21,$F$4:$Q$17,$B9),IF(AND(AX$23&gt;='A&amp;Rs'!$V13,AX$23&lt;'A&amp;Rs'!$X13),0,HLOOKUP(AX$21,$U$4:$AF$17,$B9)))</f>
        <v>1623.1770000000001</v>
      </c>
      <c r="AY27" s="56">
        <f>IF(AY$23&lt;'A&amp;Rs'!$V13,HLOOKUP(AY$21,$F$4:$Q$17,$B9),IF(AND(AY$23&gt;='A&amp;Rs'!$V13,AY$23&lt;'A&amp;Rs'!$X13),0,HLOOKUP(AY$21,$U$4:$AF$17,$B9)))</f>
        <v>1623.1770000000001</v>
      </c>
      <c r="AZ27" s="56">
        <f>IF(AZ$23&lt;'A&amp;Rs'!$V13,HLOOKUP(AZ$21,$F$4:$Q$17,$B9),IF(AND(AZ$23&gt;='A&amp;Rs'!$V13,AZ$23&lt;'A&amp;Rs'!$X13),0,HLOOKUP(AZ$21,$U$4:$AF$17,$B9)))</f>
        <v>1623.1770000000001</v>
      </c>
      <c r="BA27" s="56">
        <f>IF(BA$23&lt;'A&amp;Rs'!$V13,HLOOKUP(BA$21,$F$4:$Q$17,$B9),IF(AND(BA$23&gt;='A&amp;Rs'!$V13,BA$23&lt;'A&amp;Rs'!$X13),0,HLOOKUP(BA$21,$U$4:$AF$17,$B9)))</f>
        <v>1623.1770000000001</v>
      </c>
      <c r="BB27" s="56">
        <f>IF(BB$23&lt;'A&amp;Rs'!$V13,HLOOKUP(BB$21,$F$4:$Q$17,$B9),IF(AND(BB$23&gt;='A&amp;Rs'!$V13,BB$23&lt;'A&amp;Rs'!$X13),0,HLOOKUP(BB$21,$U$4:$AF$17,$B9)))</f>
        <v>1671.8723100000002</v>
      </c>
      <c r="BC27" s="56">
        <f>IF(BC$23&lt;'A&amp;Rs'!$V13,HLOOKUP(BC$21,$F$4:$Q$17,$B9),IF(AND(BC$23&gt;='A&amp;Rs'!$V13,BC$23&lt;'A&amp;Rs'!$X13),0,HLOOKUP(BC$21,$U$4:$AF$17,$B9)))</f>
        <v>1671.8723100000002</v>
      </c>
      <c r="BD27" s="56">
        <f>IF(BD$23&lt;'A&amp;Rs'!$V13,HLOOKUP(BD$21,$F$4:$Q$17,$B9),IF(AND(BD$23&gt;='A&amp;Rs'!$V13,BD$23&lt;'A&amp;Rs'!$X13),0,HLOOKUP(BD$21,$U$4:$AF$17,$B9)))</f>
        <v>1671.8723100000002</v>
      </c>
      <c r="BE27" s="56">
        <f>IF(BE$23&lt;'A&amp;Rs'!$V13,HLOOKUP(BE$21,$F$4:$Q$17,$B9),IF(AND(BE$23&gt;='A&amp;Rs'!$V13,BE$23&lt;'A&amp;Rs'!$X13),0,HLOOKUP(BE$21,$U$4:$AF$17,$B9)))</f>
        <v>1671.8723100000002</v>
      </c>
      <c r="BF27" s="56">
        <f>IF(BF$23&lt;'A&amp;Rs'!$V13,HLOOKUP(BF$21,$F$4:$Q$17,$B9),IF(AND(BF$23&gt;='A&amp;Rs'!$V13,BF$23&lt;'A&amp;Rs'!$X13),0,HLOOKUP(BF$21,$U$4:$AF$17,$B9)))</f>
        <v>1671.8723100000002</v>
      </c>
      <c r="BG27" s="56">
        <f>IF(BG$23&lt;'A&amp;Rs'!$V13,HLOOKUP(BG$21,$F$4:$Q$17,$B9),IF(AND(BG$23&gt;='A&amp;Rs'!$V13,BG$23&lt;'A&amp;Rs'!$X13),0,HLOOKUP(BG$21,$U$4:$AF$17,$B9)))</f>
        <v>1671.8723100000002</v>
      </c>
      <c r="BH27" s="56">
        <f>IF(BH$23&lt;'A&amp;Rs'!$V13,HLOOKUP(BH$21,$F$4:$Q$17,$B9),IF(AND(BH$23&gt;='A&amp;Rs'!$V13,BH$23&lt;'A&amp;Rs'!$X13),0,HLOOKUP(BH$21,$U$4:$AF$17,$B9)))</f>
        <v>1671.8723100000002</v>
      </c>
      <c r="BI27" s="56">
        <f>IF(BI$23&lt;'A&amp;Rs'!$V13,HLOOKUP(BI$21,$F$4:$Q$17,$B9),IF(AND(BI$23&gt;='A&amp;Rs'!$V13,BI$23&lt;'A&amp;Rs'!$X13),0,HLOOKUP(BI$21,$U$4:$AF$17,$B9)))</f>
        <v>1671.8723100000002</v>
      </c>
      <c r="BJ27" s="56">
        <f>IF(BJ$23&lt;'A&amp;Rs'!$V13,HLOOKUP(BJ$21,$F$4:$Q$17,$B9),IF(AND(BJ$23&gt;='A&amp;Rs'!$V13,BJ$23&lt;'A&amp;Rs'!$X13),0,HLOOKUP(BJ$21,$U$4:$AF$17,$B9)))</f>
        <v>1671.8723100000002</v>
      </c>
      <c r="BK27" s="56">
        <f>IF(BK$23&lt;'A&amp;Rs'!$V13,HLOOKUP(BK$21,$F$4:$Q$17,$B9),IF(AND(BK$23&gt;='A&amp;Rs'!$V13,BK$23&lt;'A&amp;Rs'!$X13),0,HLOOKUP(BK$21,$U$4:$AF$17,$B9)))</f>
        <v>1671.8723100000002</v>
      </c>
      <c r="BL27" s="56">
        <f>IF(BL$23&lt;'A&amp;Rs'!$V13,HLOOKUP(BL$21,$F$4:$Q$17,$B9),IF(AND(BL$23&gt;='A&amp;Rs'!$V13,BL$23&lt;'A&amp;Rs'!$X13),0,HLOOKUP(BL$21,$U$4:$AF$17,$B9)))</f>
        <v>1671.8723100000002</v>
      </c>
      <c r="BM27" s="56">
        <f>IF(BM$23&lt;'A&amp;Rs'!$V13,HLOOKUP(BM$21,$F$4:$Q$17,$B9),IF(AND(BM$23&gt;='A&amp;Rs'!$V13,BM$23&lt;'A&amp;Rs'!$X13),0,HLOOKUP(BM$21,$U$4:$AF$17,$B9)))</f>
        <v>1671.8723100000002</v>
      </c>
      <c r="BN27" s="56">
        <f>IF(BN$23&lt;'A&amp;Rs'!$V13,HLOOKUP(BN$21,$F$4:$Q$17,$B9),IF(AND(BN$23&gt;='A&amp;Rs'!$V13,BN$23&lt;'A&amp;Rs'!$X13),0,HLOOKUP(BN$21,$U$4:$AF$17,$B9)))</f>
        <v>1671.8723100000002</v>
      </c>
      <c r="BO27" s="56">
        <f>IF(BO$23&lt;'A&amp;Rs'!$V13,HLOOKUP(BO$21,$F$4:$Q$17,$B9),IF(AND(BO$23&gt;='A&amp;Rs'!$V13,BO$23&lt;'A&amp;Rs'!$X13),0,HLOOKUP(BO$21,$U$4:$AF$17,$B9)))</f>
        <v>1671.8723100000002</v>
      </c>
      <c r="BP27" s="56">
        <f>IF(BP$23&lt;'A&amp;Rs'!$V13,HLOOKUP(BP$21,$F$4:$Q$17,$B9),IF(AND(BP$23&gt;='A&amp;Rs'!$V13,BP$23&lt;'A&amp;Rs'!$X13),0,HLOOKUP(BP$21,$U$4:$AF$17,$B9)))</f>
        <v>1671.8723100000002</v>
      </c>
      <c r="BQ27" s="56">
        <f>IF(BQ$23&lt;'A&amp;Rs'!$V13,HLOOKUP(BQ$21,$F$4:$Q$17,$B9),IF(AND(BQ$23&gt;='A&amp;Rs'!$V13,BQ$23&lt;'A&amp;Rs'!$X13),0,HLOOKUP(BQ$21,$U$4:$AF$17,$B9)))</f>
        <v>1671.8723100000002</v>
      </c>
      <c r="BR27" s="56">
        <f>IF(BR$23&lt;'A&amp;Rs'!$V13,HLOOKUP(BR$21,$F$4:$Q$17,$B9),IF(AND(BR$23&gt;='A&amp;Rs'!$V13,BR$23&lt;'A&amp;Rs'!$X13),0,HLOOKUP(BR$21,$U$4:$AF$17,$B9)))</f>
        <v>1671.8723100000002</v>
      </c>
      <c r="BS27" s="56">
        <f>IF(BS$23&lt;'A&amp;Rs'!$V13,HLOOKUP(BS$21,$F$4:$Q$17,$B9),IF(AND(BS$23&gt;='A&amp;Rs'!$V13,BS$23&lt;'A&amp;Rs'!$X13),0,HLOOKUP(BS$21,$U$4:$AF$17,$B9)))</f>
        <v>1671.8723100000002</v>
      </c>
      <c r="BT27" s="56">
        <f>IF(BT$23&lt;'A&amp;Rs'!$V13,HLOOKUP(BT$21,$F$4:$Q$17,$B9),IF(AND(BT$23&gt;='A&amp;Rs'!$V13,BT$23&lt;'A&amp;Rs'!$X13),0,HLOOKUP(BT$21,$U$4:$AF$17,$B9)))</f>
        <v>1671.8723100000002</v>
      </c>
      <c r="BU27" s="56">
        <f>IF(BU$23&lt;'A&amp;Rs'!$V13,HLOOKUP(BU$21,$F$4:$Q$17,$B9),IF(AND(BU$23&gt;='A&amp;Rs'!$V13,BU$23&lt;'A&amp;Rs'!$X13),0,HLOOKUP(BU$21,$U$4:$AF$17,$B9)))</f>
        <v>1671.8723100000002</v>
      </c>
      <c r="BV27" s="56">
        <f>IF(BV$23&lt;'A&amp;Rs'!$V13,HLOOKUP(BV$21,$F$4:$Q$17,$B9),IF(AND(BV$23&gt;='A&amp;Rs'!$V13,BV$23&lt;'A&amp;Rs'!$X13),0,HLOOKUP(BV$21,$U$4:$AF$17,$B9)))</f>
        <v>1671.8723100000002</v>
      </c>
      <c r="BW27" s="56">
        <f>IF(BW$23&lt;'A&amp;Rs'!$V13,HLOOKUP(BW$21,$F$4:$Q$17,$B9),IF(AND(BW$23&gt;='A&amp;Rs'!$V13,BW$23&lt;'A&amp;Rs'!$X13),0,HLOOKUP(BW$21,$U$4:$AF$17,$B9)))</f>
        <v>1671.8723100000002</v>
      </c>
      <c r="BX27" s="56">
        <f>IF(BX$23&lt;'A&amp;Rs'!$V13,HLOOKUP(BX$21,$F$4:$Q$17,$B9),IF(AND(BX$23&gt;='A&amp;Rs'!$V13,BX$23&lt;'A&amp;Rs'!$X13),0,HLOOKUP(BX$21,$U$4:$AF$17,$B9)))</f>
        <v>1671.8723100000002</v>
      </c>
      <c r="BY27" s="56">
        <f>IF(BY$23&lt;'A&amp;Rs'!$V13,HLOOKUP(BY$21,$F$4:$Q$17,$B9),IF(AND(BY$23&gt;='A&amp;Rs'!$V13,BY$23&lt;'A&amp;Rs'!$X13),0,HLOOKUP(BY$21,$U$4:$AF$17,$B9)))</f>
        <v>1671.8723100000002</v>
      </c>
      <c r="BZ27" s="56">
        <f>IF(BZ$23&lt;'A&amp;Rs'!$V13,HLOOKUP(BZ$21,$F$4:$Q$17,$B9),IF(AND(BZ$23&gt;='A&amp;Rs'!$V13,BZ$23&lt;'A&amp;Rs'!$X13),0,HLOOKUP(BZ$21,$U$4:$AF$17,$B9)))</f>
        <v>1688.5910331000002</v>
      </c>
      <c r="CA27" s="56">
        <f>IF(CA$23&lt;'A&amp;Rs'!$V13,HLOOKUP(CA$21,$F$4:$Q$17,$B9),IF(AND(CA$23&gt;='A&amp;Rs'!$V13,CA$23&lt;'A&amp;Rs'!$X13),0,HLOOKUP(CA$21,$U$4:$AF$17,$B9)))</f>
        <v>1688.5910331000002</v>
      </c>
      <c r="CB27" s="56">
        <f>IF(CB$23&lt;'A&amp;Rs'!$V13,HLOOKUP(CB$21,$F$4:$Q$17,$B9),IF(AND(CB$23&gt;='A&amp;Rs'!$V13,CB$23&lt;'A&amp;Rs'!$X13),0,HLOOKUP(CB$21,$U$4:$AF$17,$B9)))</f>
        <v>1688.5910331000002</v>
      </c>
      <c r="CC27" s="56">
        <f>IF(CC$23&lt;'A&amp;Rs'!$V13,HLOOKUP(CC$21,$F$4:$Q$17,$B9),IF(AND(CC$23&gt;='A&amp;Rs'!$V13,CC$23&lt;'A&amp;Rs'!$X13),0,HLOOKUP(CC$21,$U$4:$AF$17,$B9)))</f>
        <v>1688.5910331000002</v>
      </c>
      <c r="CD27" s="56">
        <f>IF(CD$23&lt;'A&amp;Rs'!$V13,HLOOKUP(CD$21,$F$4:$Q$17,$B9),IF(AND(CD$23&gt;='A&amp;Rs'!$V13,CD$23&lt;'A&amp;Rs'!$X13),0,HLOOKUP(CD$21,$U$4:$AF$17,$B9)))</f>
        <v>1688.5910331000002</v>
      </c>
      <c r="CE27" s="56">
        <f>IF(CE$23&lt;'A&amp;Rs'!$V13,HLOOKUP(CE$21,$F$4:$Q$17,$B9),IF(AND(CE$23&gt;='A&amp;Rs'!$V13,CE$23&lt;'A&amp;Rs'!$X13),0,HLOOKUP(CE$21,$U$4:$AF$17,$B9)))</f>
        <v>1688.5910331000002</v>
      </c>
      <c r="CF27" s="56">
        <f>IF(CF$23&lt;'A&amp;Rs'!$V13,HLOOKUP(CF$21,$F$4:$Q$17,$B9),IF(AND(CF$23&gt;='A&amp;Rs'!$V13,CF$23&lt;'A&amp;Rs'!$X13),0,HLOOKUP(CF$21,$U$4:$AF$17,$B9)))</f>
        <v>1688.5910331000002</v>
      </c>
      <c r="CG27" s="56">
        <f>IF(CG$23&lt;'A&amp;Rs'!$V13,HLOOKUP(CG$21,$F$4:$Q$17,$B9),IF(AND(CG$23&gt;='A&amp;Rs'!$V13,CG$23&lt;'A&amp;Rs'!$X13),0,HLOOKUP(CG$21,$U$4:$AF$17,$B9)))</f>
        <v>1688.5910331000002</v>
      </c>
      <c r="CH27" s="56">
        <f>IF(CH$23&lt;'A&amp;Rs'!$V13,HLOOKUP(CH$21,$F$4:$Q$17,$B9),IF(AND(CH$23&gt;='A&amp;Rs'!$V13,CH$23&lt;'A&amp;Rs'!$X13),0,HLOOKUP(CH$21,$U$4:$AF$17,$B9)))</f>
        <v>1688.5910331000002</v>
      </c>
      <c r="CI27" s="56">
        <f>IF(CI$23&lt;'A&amp;Rs'!$V13,HLOOKUP(CI$21,$F$4:$Q$17,$B9),IF(AND(CI$23&gt;='A&amp;Rs'!$V13,CI$23&lt;'A&amp;Rs'!$X13),0,HLOOKUP(CI$21,$U$4:$AF$17,$B9)))</f>
        <v>1688.5910331000002</v>
      </c>
      <c r="CJ27" s="56">
        <f>IF(CJ$23&lt;'A&amp;Rs'!$V13,HLOOKUP(CJ$21,$F$4:$Q$17,$B9),IF(AND(CJ$23&gt;='A&amp;Rs'!$V13,CJ$23&lt;'A&amp;Rs'!$X13),0,HLOOKUP(CJ$21,$U$4:$AF$17,$B9)))</f>
        <v>1688.5910331000002</v>
      </c>
      <c r="CK27" s="56">
        <f>IF(CK$23&lt;'A&amp;Rs'!$V13,HLOOKUP(CK$21,$F$4:$Q$17,$B9),IF(AND(CK$23&gt;='A&amp;Rs'!$V13,CK$23&lt;'A&amp;Rs'!$X13),0,HLOOKUP(CK$21,$U$4:$AF$17,$B9)))</f>
        <v>1688.5910331000002</v>
      </c>
      <c r="CL27" s="56">
        <f>IF(CL$23&lt;'A&amp;Rs'!$V13,HLOOKUP(CL$21,$F$4:$Q$17,$B9),IF(AND(CL$23&gt;='A&amp;Rs'!$V13,CL$23&lt;'A&amp;Rs'!$X13),0,HLOOKUP(CL$21,$U$4:$AF$17,$B9)))</f>
        <v>1739.2487640930003</v>
      </c>
      <c r="CM27" s="56">
        <f>IF(CM$23&lt;'A&amp;Rs'!$V13,HLOOKUP(CM$21,$F$4:$Q$17,$B9),IF(AND(CM$23&gt;='A&amp;Rs'!$V13,CM$23&lt;'A&amp;Rs'!$X13),0,HLOOKUP(CM$21,$U$4:$AF$17,$B9)))</f>
        <v>1739.2487640930003</v>
      </c>
      <c r="CN27" s="56">
        <f>IF(CN$23&lt;'A&amp;Rs'!$V13,HLOOKUP(CN$21,$F$4:$Q$17,$B9),IF(AND(CN$23&gt;='A&amp;Rs'!$V13,CN$23&lt;'A&amp;Rs'!$X13),0,HLOOKUP(CN$21,$U$4:$AF$17,$B9)))</f>
        <v>1739.2487640930003</v>
      </c>
      <c r="CO27" s="56">
        <f>IF(CO$23&lt;'A&amp;Rs'!$V13,HLOOKUP(CO$21,$F$4:$Q$17,$B9),IF(AND(CO$23&gt;='A&amp;Rs'!$V13,CO$23&lt;'A&amp;Rs'!$X13),0,HLOOKUP(CO$21,$U$4:$AF$17,$B9)))</f>
        <v>1739.2487640930003</v>
      </c>
      <c r="CP27" s="56">
        <f>IF(CP$23&lt;'A&amp;Rs'!$V13,HLOOKUP(CP$21,$F$4:$Q$17,$B9),IF(AND(CP$23&gt;='A&amp;Rs'!$V13,CP$23&lt;'A&amp;Rs'!$X13),0,HLOOKUP(CP$21,$U$4:$AF$17,$B9)))</f>
        <v>1739.2487640930003</v>
      </c>
      <c r="CQ27" s="56">
        <f>IF(CQ$23&lt;'A&amp;Rs'!$V13,HLOOKUP(CQ$21,$F$4:$Q$17,$B9),IF(AND(CQ$23&gt;='A&amp;Rs'!$V13,CQ$23&lt;'A&amp;Rs'!$X13),0,HLOOKUP(CQ$21,$U$4:$AF$17,$B9)))</f>
        <v>1739.2487640930003</v>
      </c>
      <c r="CR27" s="56">
        <f>IF(CR$23&lt;'A&amp;Rs'!$V13,HLOOKUP(CR$21,$F$4:$Q$17,$B9),IF(AND(CR$23&gt;='A&amp;Rs'!$V13,CR$23&lt;'A&amp;Rs'!$X13),0,HLOOKUP(CR$21,$U$4:$AF$17,$B9)))</f>
        <v>1739.2487640930003</v>
      </c>
      <c r="CS27" s="56">
        <f>IF(CS$23&lt;'A&amp;Rs'!$V13,HLOOKUP(CS$21,$F$4:$Q$17,$B9),IF(AND(CS$23&gt;='A&amp;Rs'!$V13,CS$23&lt;'A&amp;Rs'!$X13),0,HLOOKUP(CS$21,$U$4:$AF$17,$B9)))</f>
        <v>1739.2487640930003</v>
      </c>
      <c r="CT27" s="56">
        <f>IF(CT$23&lt;'A&amp;Rs'!$V13,HLOOKUP(CT$21,$F$4:$Q$17,$B9),IF(AND(CT$23&gt;='A&amp;Rs'!$V13,CT$23&lt;'A&amp;Rs'!$X13),0,HLOOKUP(CT$21,$U$4:$AF$17,$B9)))</f>
        <v>1739.2487640930003</v>
      </c>
      <c r="CU27" s="56">
        <f>IF(CU$23&lt;'A&amp;Rs'!$V13,HLOOKUP(CU$21,$F$4:$Q$17,$B9),IF(AND(CU$23&gt;='A&amp;Rs'!$V13,CU$23&lt;'A&amp;Rs'!$X13),0,HLOOKUP(CU$21,$U$4:$AF$17,$B9)))</f>
        <v>1739.2487640930003</v>
      </c>
      <c r="CV27" s="56">
        <f>IF(CV$23&lt;'A&amp;Rs'!$V13,HLOOKUP(CV$21,$F$4:$Q$17,$B9),IF(AND(CV$23&gt;='A&amp;Rs'!$V13,CV$23&lt;'A&amp;Rs'!$X13),0,HLOOKUP(CV$21,$U$4:$AF$17,$B9)))</f>
        <v>1739.2487640930003</v>
      </c>
      <c r="CW27" s="56">
        <f>IF(CW$23&lt;'A&amp;Rs'!$V13,HLOOKUP(CW$21,$F$4:$Q$17,$B9),IF(AND(CW$23&gt;='A&amp;Rs'!$V13,CW$23&lt;'A&amp;Rs'!$X13),0,HLOOKUP(CW$21,$U$4:$AF$17,$B9)))</f>
        <v>1739.2487640930003</v>
      </c>
      <c r="CX27" s="56">
        <f>IF(CX$23&lt;'A&amp;Rs'!$V13,HLOOKUP(CX$21,$F$4:$Q$17,$B9),IF(AND(CX$23&gt;='A&amp;Rs'!$V13,CX$23&lt;'A&amp;Rs'!$X13),0,HLOOKUP(CX$21,$U$4:$AF$17,$B9)))</f>
        <v>1774.0337393748603</v>
      </c>
      <c r="CY27" s="56">
        <f>IF(CY$23&lt;'A&amp;Rs'!$V13,HLOOKUP(CY$21,$F$4:$Q$17,$B9),IF(AND(CY$23&gt;='A&amp;Rs'!$V13,CY$23&lt;'A&amp;Rs'!$X13),0,HLOOKUP(CY$21,$U$4:$AF$17,$B9)))</f>
        <v>1774.0337393748603</v>
      </c>
      <c r="CZ27" s="56">
        <f>IF(CZ$23&lt;'A&amp;Rs'!$V13,HLOOKUP(CZ$21,$F$4:$Q$17,$B9),IF(AND(CZ$23&gt;='A&amp;Rs'!$V13,CZ$23&lt;'A&amp;Rs'!$X13),0,HLOOKUP(CZ$21,$U$4:$AF$17,$B9)))</f>
        <v>1774.0337393748603</v>
      </c>
      <c r="DA27" s="56">
        <f>IF(DA$23&lt;'A&amp;Rs'!$V13,HLOOKUP(DA$21,$F$4:$Q$17,$B9),IF(AND(DA$23&gt;='A&amp;Rs'!$V13,DA$23&lt;'A&amp;Rs'!$X13),0,HLOOKUP(DA$21,$U$4:$AF$17,$B9)))</f>
        <v>1774.0337393748603</v>
      </c>
      <c r="DB27" s="56">
        <f>IF(DB$23&lt;'A&amp;Rs'!$V13,HLOOKUP(DB$21,$F$4:$Q$17,$B9),IF(AND(DB$23&gt;='A&amp;Rs'!$V13,DB$23&lt;'A&amp;Rs'!$X13),0,HLOOKUP(DB$21,$U$4:$AF$17,$B9)))</f>
        <v>1774.0337393748603</v>
      </c>
      <c r="DC27" s="56">
        <f>IF(DC$23&lt;'A&amp;Rs'!$V13,HLOOKUP(DC$21,$F$4:$Q$17,$B9),IF(AND(DC$23&gt;='A&amp;Rs'!$V13,DC$23&lt;'A&amp;Rs'!$X13),0,HLOOKUP(DC$21,$U$4:$AF$17,$B9)))</f>
        <v>1774.0337393748603</v>
      </c>
      <c r="DD27" s="56">
        <f>IF(DD$23&lt;'A&amp;Rs'!$V13,HLOOKUP(DD$21,$F$4:$Q$17,$B9),IF(AND(DD$23&gt;='A&amp;Rs'!$V13,DD$23&lt;'A&amp;Rs'!$X13),0,HLOOKUP(DD$21,$U$4:$AF$17,$B9)))</f>
        <v>1774.0337393748603</v>
      </c>
      <c r="DE27" s="56">
        <f>IF(DE$23&lt;'A&amp;Rs'!$V13,HLOOKUP(DE$21,$F$4:$Q$17,$B9),IF(AND(DE$23&gt;='A&amp;Rs'!$V13,DE$23&lt;'A&amp;Rs'!$X13),0,HLOOKUP(DE$21,$U$4:$AF$17,$B9)))</f>
        <v>1774.0337393748603</v>
      </c>
      <c r="DF27" s="56">
        <f>IF(DF$23&lt;'A&amp;Rs'!$V13,HLOOKUP(DF$21,$F$4:$Q$17,$B9),IF(AND(DF$23&gt;='A&amp;Rs'!$V13,DF$23&lt;'A&amp;Rs'!$X13),0,HLOOKUP(DF$21,$U$4:$AF$17,$B9)))</f>
        <v>1774.0337393748603</v>
      </c>
      <c r="DG27" s="56">
        <f>IF(DG$23&lt;'A&amp;Rs'!$V13,HLOOKUP(DG$21,$F$4:$Q$17,$B9),IF(AND(DG$23&gt;='A&amp;Rs'!$V13,DG$23&lt;'A&amp;Rs'!$X13),0,HLOOKUP(DG$21,$U$4:$AF$17,$B9)))</f>
        <v>1774.0337393748603</v>
      </c>
      <c r="DH27" s="56">
        <f>IF(DH$23&lt;'A&amp;Rs'!$V13,HLOOKUP(DH$21,$F$4:$Q$17,$B9),IF(AND(DH$23&gt;='A&amp;Rs'!$V13,DH$23&lt;'A&amp;Rs'!$X13),0,HLOOKUP(DH$21,$U$4:$AF$17,$B9)))</f>
        <v>1774.0337393748603</v>
      </c>
      <c r="DI27" s="56">
        <f>IF(DI$23&lt;'A&amp;Rs'!$V13,HLOOKUP(DI$21,$F$4:$Q$17,$B9),IF(AND(DI$23&gt;='A&amp;Rs'!$V13,DI$23&lt;'A&amp;Rs'!$X13),0,HLOOKUP(DI$21,$U$4:$AF$17,$B9)))</f>
        <v>1774.0337393748603</v>
      </c>
      <c r="DJ27" s="56">
        <f>IF(DJ$23&lt;'A&amp;Rs'!$V13,HLOOKUP(DJ$21,$F$4:$Q$17,$B9),IF(AND(DJ$23&gt;='A&amp;Rs'!$V13,DJ$23&lt;'A&amp;Rs'!$X13),0,HLOOKUP(DJ$21,$U$4:$AF$17,$B9)))</f>
        <v>1791.7740767686089</v>
      </c>
      <c r="DK27" s="56">
        <f>IF(DK$23&lt;'A&amp;Rs'!$V13,HLOOKUP(DK$21,$F$4:$Q$17,$B9),IF(AND(DK$23&gt;='A&amp;Rs'!$V13,DK$23&lt;'A&amp;Rs'!$X13),0,HLOOKUP(DK$21,$U$4:$AF$17,$B9)))</f>
        <v>1791.7740767686089</v>
      </c>
      <c r="DL27" s="56">
        <f>IF(DL$23&lt;'A&amp;Rs'!$V13,HLOOKUP(DL$21,$F$4:$Q$17,$B9),IF(AND(DL$23&gt;='A&amp;Rs'!$V13,DL$23&lt;'A&amp;Rs'!$X13),0,HLOOKUP(DL$21,$U$4:$AF$17,$B9)))</f>
        <v>1791.7740767686089</v>
      </c>
      <c r="DM27" s="56">
        <f>IF(DM$23&lt;'A&amp;Rs'!$V13,HLOOKUP(DM$21,$F$4:$Q$17,$B9),IF(AND(DM$23&gt;='A&amp;Rs'!$V13,DM$23&lt;'A&amp;Rs'!$X13),0,HLOOKUP(DM$21,$U$4:$AF$17,$B9)))</f>
        <v>1791.7740767686089</v>
      </c>
      <c r="DN27" s="56">
        <f>IF(DN$23&lt;'A&amp;Rs'!$V13,HLOOKUP(DN$21,$F$4:$Q$17,$B9),IF(AND(DN$23&gt;='A&amp;Rs'!$V13,DN$23&lt;'A&amp;Rs'!$X13),0,HLOOKUP(DN$21,$U$4:$AF$17,$B9)))</f>
        <v>1791.7740767686089</v>
      </c>
      <c r="DO27" s="56">
        <f>IF(DO$23&lt;'A&amp;Rs'!$V13,HLOOKUP(DO$21,$F$4:$Q$17,$B9),IF(AND(DO$23&gt;='A&amp;Rs'!$V13,DO$23&lt;'A&amp;Rs'!$X13),0,HLOOKUP(DO$21,$U$4:$AF$17,$B9)))</f>
        <v>1791.7740767686089</v>
      </c>
      <c r="DP27" s="56">
        <f>IF(DP$23&lt;'A&amp;Rs'!$V13,HLOOKUP(DP$21,$F$4:$Q$17,$B9),IF(AND(DP$23&gt;='A&amp;Rs'!$V13,DP$23&lt;'A&amp;Rs'!$X13),0,HLOOKUP(DP$21,$U$4:$AF$17,$B9)))</f>
        <v>1791.7740767686089</v>
      </c>
      <c r="DQ27" s="56">
        <f>IF(DQ$23&lt;'A&amp;Rs'!$V13,HLOOKUP(DQ$21,$F$4:$Q$17,$B9),IF(AND(DQ$23&gt;='A&amp;Rs'!$V13,DQ$23&lt;'A&amp;Rs'!$X13),0,HLOOKUP(DQ$21,$U$4:$AF$17,$B9)))</f>
        <v>1791.7740767686089</v>
      </c>
      <c r="DR27" s="56">
        <f>IF(DR$23&lt;'A&amp;Rs'!$V13,HLOOKUP(DR$21,$F$4:$Q$17,$B9),IF(AND(DR$23&gt;='A&amp;Rs'!$V13,DR$23&lt;'A&amp;Rs'!$X13),0,HLOOKUP(DR$21,$U$4:$AF$17,$B9)))</f>
        <v>1791.7740767686089</v>
      </c>
      <c r="DS27" s="56">
        <f>IF(DS$23&lt;'A&amp;Rs'!$V13,HLOOKUP(DS$21,$F$4:$Q$17,$B9),IF(AND(DS$23&gt;='A&amp;Rs'!$V13,DS$23&lt;'A&amp;Rs'!$X13),0,HLOOKUP(DS$21,$U$4:$AF$17,$B9)))</f>
        <v>1791.7740767686089</v>
      </c>
      <c r="DT27" s="56">
        <f>IF(DT$23&lt;'A&amp;Rs'!$V13,HLOOKUP(DT$21,$F$4:$Q$17,$B9),IF(AND(DT$23&gt;='A&amp;Rs'!$V13,DT$23&lt;'A&amp;Rs'!$X13),0,HLOOKUP(DT$21,$U$4:$AF$17,$B9)))</f>
        <v>1791.7740767686089</v>
      </c>
      <c r="DU27" s="56">
        <f>IF(DU$23&lt;'A&amp;Rs'!$V13,HLOOKUP(DU$21,$F$4:$Q$17,$B9),IF(AND(DU$23&gt;='A&amp;Rs'!$V13,DU$23&lt;'A&amp;Rs'!$X13),0,HLOOKUP(DU$21,$U$4:$AF$17,$B9)))</f>
        <v>1791.7740767686089</v>
      </c>
      <c r="DV27" s="56">
        <f>IF(DV$23&lt;'A&amp;Rs'!$V13,HLOOKUP(DV$21,$F$4:$Q$17,$B9),IF(AND(DV$23&gt;='A&amp;Rs'!$V13,DV$23&lt;'A&amp;Rs'!$X13),0,HLOOKUP(DV$21,$U$4:$AF$17,$B9)))</f>
        <v>1809.691817536295</v>
      </c>
      <c r="DW27" s="56">
        <f>IF(DW$23&lt;'A&amp;Rs'!$V13,HLOOKUP(DW$21,$F$4:$Q$17,$B9),IF(AND(DW$23&gt;='A&amp;Rs'!$V13,DW$23&lt;'A&amp;Rs'!$X13),0,HLOOKUP(DW$21,$U$4:$AF$17,$B9)))</f>
        <v>1809.691817536295</v>
      </c>
      <c r="DX27" s="56">
        <f>IF(DX$23&lt;'A&amp;Rs'!$V13,HLOOKUP(DX$21,$F$4:$Q$17,$B9),IF(AND(DX$23&gt;='A&amp;Rs'!$V13,DX$23&lt;'A&amp;Rs'!$X13),0,HLOOKUP(DX$21,$U$4:$AF$17,$B9)))</f>
        <v>1809.691817536295</v>
      </c>
      <c r="DY27" s="56">
        <f>IF(DY$23&lt;'A&amp;Rs'!$V13,HLOOKUP(DY$21,$F$4:$Q$17,$B9),IF(AND(DY$23&gt;='A&amp;Rs'!$V13,DY$23&lt;'A&amp;Rs'!$X13),0,HLOOKUP(DY$21,$U$4:$AF$17,$B9)))</f>
        <v>1809.691817536295</v>
      </c>
      <c r="DZ27" s="56">
        <f>IF(DZ$23&lt;'A&amp;Rs'!$V13,HLOOKUP(DZ$21,$F$4:$Q$17,$B9),IF(AND(DZ$23&gt;='A&amp;Rs'!$V13,DZ$23&lt;'A&amp;Rs'!$X13),0,HLOOKUP(DZ$21,$U$4:$AF$17,$B9)))</f>
        <v>1809.691817536295</v>
      </c>
      <c r="EA27" s="56">
        <f>IF(EA$23&lt;'A&amp;Rs'!$V13,HLOOKUP(EA$21,$F$4:$Q$17,$B9),IF(AND(EA$23&gt;='A&amp;Rs'!$V13,EA$23&lt;'A&amp;Rs'!$X13),0,HLOOKUP(EA$21,$U$4:$AF$17,$B9)))</f>
        <v>1809.691817536295</v>
      </c>
      <c r="EB27" s="56">
        <f>IF(EB$23&lt;'A&amp;Rs'!$V13,HLOOKUP(EB$21,$F$4:$Q$17,$B9),IF(AND(EB$23&gt;='A&amp;Rs'!$V13,EB$23&lt;'A&amp;Rs'!$X13),0,HLOOKUP(EB$21,$U$4:$AF$17,$B9)))</f>
        <v>1809.691817536295</v>
      </c>
      <c r="EC27" s="56">
        <f>IF(EC$23&lt;'A&amp;Rs'!$V13,HLOOKUP(EC$21,$F$4:$Q$17,$B9),IF(AND(EC$23&gt;='A&amp;Rs'!$V13,EC$23&lt;'A&amp;Rs'!$X13),0,HLOOKUP(EC$21,$U$4:$AF$17,$B9)))</f>
        <v>1809.691817536295</v>
      </c>
      <c r="ED27" s="56">
        <f>IF(ED$23&lt;'A&amp;Rs'!$V13,HLOOKUP(ED$21,$F$4:$Q$17,$B9),IF(AND(ED$23&gt;='A&amp;Rs'!$V13,ED$23&lt;'A&amp;Rs'!$X13),0,HLOOKUP(ED$21,$U$4:$AF$17,$B9)))</f>
        <v>1809.691817536295</v>
      </c>
      <c r="EE27" s="56">
        <f>IF(EE$23&lt;'A&amp;Rs'!$V13,HLOOKUP(EE$21,$F$4:$Q$17,$B9),IF(AND(EE$23&gt;='A&amp;Rs'!$V13,EE$23&lt;'A&amp;Rs'!$X13),0,HLOOKUP(EE$21,$U$4:$AF$17,$B9)))</f>
        <v>1809.691817536295</v>
      </c>
      <c r="EF27" s="56">
        <f>IF(EF$23&lt;'A&amp;Rs'!$V13,HLOOKUP(EF$21,$F$4:$Q$17,$B9),IF(AND(EF$23&gt;='A&amp;Rs'!$V13,EF$23&lt;'A&amp;Rs'!$X13),0,HLOOKUP(EF$21,$U$4:$AF$17,$B9)))</f>
        <v>1809.691817536295</v>
      </c>
      <c r="EG27" s="56">
        <f>IF(EG$23&lt;'A&amp;Rs'!$V13,HLOOKUP(EG$21,$F$4:$Q$17,$B9),IF(AND(EG$23&gt;='A&amp;Rs'!$V13,EG$23&lt;'A&amp;Rs'!$X13),0,HLOOKUP(EG$21,$U$4:$AF$17,$B9)))</f>
        <v>1809.691817536295</v>
      </c>
      <c r="EH27" s="56">
        <f>IF(EH$23&lt;'A&amp;Rs'!$V13,HLOOKUP(EH$21,$F$4:$Q$17,$B9),IF(AND(EH$23&gt;='A&amp;Rs'!$V13,EH$23&lt;'A&amp;Rs'!$X13),0,HLOOKUP(EH$21,$U$4:$AF$17,$B9)))</f>
        <v>1827.7887357116581</v>
      </c>
      <c r="EI27" s="56">
        <f>IF(EI$23&lt;'A&amp;Rs'!$V13,HLOOKUP(EI$21,$F$4:$Q$17,$B9),IF(AND(EI$23&gt;='A&amp;Rs'!$V13,EI$23&lt;'A&amp;Rs'!$X13),0,HLOOKUP(EI$21,$U$4:$AF$17,$B9)))</f>
        <v>1827.7887357116581</v>
      </c>
      <c r="EJ27" s="56">
        <f>IF(EJ$23&lt;'A&amp;Rs'!$V13,HLOOKUP(EJ$21,$F$4:$Q$17,$B9),IF(AND(EJ$23&gt;='A&amp;Rs'!$V13,EJ$23&lt;'A&amp;Rs'!$X13),0,HLOOKUP(EJ$21,$U$4:$AF$17,$B9)))</f>
        <v>1827.7887357116581</v>
      </c>
      <c r="EK27" s="56">
        <f>IF(EK$23&lt;'A&amp;Rs'!$V13,HLOOKUP(EK$21,$F$4:$Q$17,$B9),IF(AND(EK$23&gt;='A&amp;Rs'!$V13,EK$23&lt;'A&amp;Rs'!$X13),0,HLOOKUP(EK$21,$U$4:$AF$17,$B9)))</f>
        <v>1827.7887357116581</v>
      </c>
      <c r="EL27" s="56">
        <f>IF(EL$23&lt;'A&amp;Rs'!$V13,HLOOKUP(EL$21,$F$4:$Q$17,$B9),IF(AND(EL$23&gt;='A&amp;Rs'!$V13,EL$23&lt;'A&amp;Rs'!$X13),0,HLOOKUP(EL$21,$U$4:$AF$17,$B9)))</f>
        <v>1827.7887357116581</v>
      </c>
      <c r="EM27" s="56">
        <f>IF(EM$23&lt;'A&amp;Rs'!$V13,HLOOKUP(EM$21,$F$4:$Q$17,$B9),IF(AND(EM$23&gt;='A&amp;Rs'!$V13,EM$23&lt;'A&amp;Rs'!$X13),0,HLOOKUP(EM$21,$U$4:$AF$17,$B9)))</f>
        <v>1827.7887357116581</v>
      </c>
      <c r="EN27" s="56">
        <f>IF(EN$23&lt;'A&amp;Rs'!$V13,HLOOKUP(EN$21,$F$4:$Q$17,$B9),IF(AND(EN$23&gt;='A&amp;Rs'!$V13,EN$23&lt;'A&amp;Rs'!$X13),0,HLOOKUP(EN$21,$U$4:$AF$17,$B9)))</f>
        <v>1827.7887357116581</v>
      </c>
      <c r="EO27" s="56">
        <f>IF(EO$23&lt;'A&amp;Rs'!$V13,HLOOKUP(EO$21,$F$4:$Q$17,$B9),IF(AND(EO$23&gt;='A&amp;Rs'!$V13,EO$23&lt;'A&amp;Rs'!$X13),0,HLOOKUP(EO$21,$U$4:$AF$17,$B9)))</f>
        <v>1827.7887357116581</v>
      </c>
      <c r="EP27" s="56">
        <f>IF(EP$23&lt;'A&amp;Rs'!$V13,HLOOKUP(EP$21,$F$4:$Q$17,$B9),IF(AND(EP$23&gt;='A&amp;Rs'!$V13,EP$23&lt;'A&amp;Rs'!$X13),0,HLOOKUP(EP$21,$U$4:$AF$17,$B9)))</f>
        <v>1827.7887357116581</v>
      </c>
      <c r="EQ27" s="56">
        <f>IF(EQ$23&lt;'A&amp;Rs'!$V13,HLOOKUP(EQ$21,$F$4:$Q$17,$B9),IF(AND(EQ$23&gt;='A&amp;Rs'!$V13,EQ$23&lt;'A&amp;Rs'!$X13),0,HLOOKUP(EQ$21,$U$4:$AF$17,$B9)))</f>
        <v>1827.7887357116581</v>
      </c>
      <c r="ER27" s="56">
        <f>IF(ER$23&lt;'A&amp;Rs'!$V13,HLOOKUP(ER$21,$F$4:$Q$17,$B9),IF(AND(ER$23&gt;='A&amp;Rs'!$V13,ER$23&lt;'A&amp;Rs'!$X13),0,HLOOKUP(ER$21,$U$4:$AF$17,$B9)))</f>
        <v>1827.7887357116581</v>
      </c>
      <c r="ES27" s="56">
        <f>IF(ES$23&lt;'A&amp;Rs'!$V13,HLOOKUP(ES$21,$F$4:$Q$17,$B9),IF(AND(ES$23&gt;='A&amp;Rs'!$V13,ES$23&lt;'A&amp;Rs'!$X13),0,HLOOKUP(ES$21,$U$4:$AF$17,$B9)))</f>
        <v>1827.7887357116581</v>
      </c>
      <c r="ET27" s="56">
        <f>IF(ET$23&lt;'A&amp;Rs'!$V13,HLOOKUP(ET$21,$F$4:$Q$17,$B9),IF(AND(ET$23&gt;='A&amp;Rs'!$V13,ET$23&lt;'A&amp;Rs'!$X13),0,HLOOKUP(ET$21,$U$4:$AF$17,$B9)))</f>
        <v>1827.7887357116581</v>
      </c>
      <c r="EU27" s="56">
        <f>IF(EU$23&lt;'A&amp;Rs'!$V13,HLOOKUP(EU$21,$F$4:$Q$17,$B9),IF(AND(EU$23&gt;='A&amp;Rs'!$V13,EU$23&lt;'A&amp;Rs'!$X13),0,HLOOKUP(EU$21,$U$4:$AF$17,$B9)))</f>
        <v>1827.7887357116581</v>
      </c>
      <c r="EV27" s="56">
        <f>IF(EV$23&lt;'A&amp;Rs'!$V13,HLOOKUP(EV$21,$F$4:$Q$17,$B9),IF(AND(EV$23&gt;='A&amp;Rs'!$V13,EV$23&lt;'A&amp;Rs'!$X13),0,HLOOKUP(EV$21,$U$4:$AF$17,$B9)))</f>
        <v>1827.7887357116581</v>
      </c>
      <c r="EW27" s="56">
        <f>IF(EW$23&lt;'A&amp;Rs'!$V13,HLOOKUP(EW$21,$F$4:$Q$17,$B9),IF(AND(EW$23&gt;='A&amp;Rs'!$V13,EW$23&lt;'A&amp;Rs'!$X13),0,HLOOKUP(EW$21,$U$4:$AF$17,$B9)))</f>
        <v>1827.7887357116581</v>
      </c>
      <c r="EX27" s="56">
        <f>IF(EX$23&lt;'A&amp;Rs'!$V13,HLOOKUP(EX$21,$F$4:$Q$17,$B9),IF(AND(EX$23&gt;='A&amp;Rs'!$V13,EX$23&lt;'A&amp;Rs'!$X13),0,HLOOKUP(EX$21,$U$4:$AF$17,$B9)))</f>
        <v>1827.7887357116581</v>
      </c>
      <c r="EY27" s="56">
        <f>IF(EY$23&lt;'A&amp;Rs'!$V13,HLOOKUP(EY$21,$F$4:$Q$17,$B9),IF(AND(EY$23&gt;='A&amp;Rs'!$V13,EY$23&lt;'A&amp;Rs'!$X13),0,HLOOKUP(EY$21,$U$4:$AF$17,$B9)))</f>
        <v>1827.7887357116581</v>
      </c>
      <c r="EZ27" s="56">
        <f>IF(EZ$23&lt;'A&amp;Rs'!$V13,HLOOKUP(EZ$21,$F$4:$Q$17,$B9),IF(AND(EZ$23&gt;='A&amp;Rs'!$V13,EZ$23&lt;'A&amp;Rs'!$X13),0,HLOOKUP(EZ$21,$U$4:$AF$17,$B9)))</f>
        <v>1827.7887357116581</v>
      </c>
      <c r="FA27" s="56">
        <f>IF(FA$23&lt;'A&amp;Rs'!$V13,HLOOKUP(FA$21,$F$4:$Q$17,$B9),IF(AND(FA$23&gt;='A&amp;Rs'!$V13,FA$23&lt;'A&amp;Rs'!$X13),0,HLOOKUP(FA$21,$U$4:$AF$17,$B9)))</f>
        <v>1827.7887357116581</v>
      </c>
      <c r="FB27" s="56">
        <f>IF(FB$23&lt;'A&amp;Rs'!$V13,HLOOKUP(FB$21,$F$4:$Q$17,$B9),IF(AND(FB$23&gt;='A&amp;Rs'!$V13,FB$23&lt;'A&amp;Rs'!$X13),0,HLOOKUP(FB$21,$U$4:$AF$17,$B9)))</f>
        <v>1827.7887357116581</v>
      </c>
      <c r="FC27" s="56">
        <f>IF(FC$23&lt;'A&amp;Rs'!$V13,HLOOKUP(FC$21,$F$4:$Q$17,$B9),IF(AND(FC$23&gt;='A&amp;Rs'!$V13,FC$23&lt;'A&amp;Rs'!$X13),0,HLOOKUP(FC$21,$U$4:$AF$17,$B9)))</f>
        <v>1827.7887357116581</v>
      </c>
      <c r="FD27" s="56">
        <f>IF(FD$23&lt;'A&amp;Rs'!$V13,HLOOKUP(FD$21,$F$4:$Q$17,$B9),IF(AND(FD$23&gt;='A&amp;Rs'!$V13,FD$23&lt;'A&amp;Rs'!$X13),0,HLOOKUP(FD$21,$U$4:$AF$17,$B9)))</f>
        <v>1827.7887357116581</v>
      </c>
      <c r="FE27" s="56">
        <f>IF(FE$23&lt;'A&amp;Rs'!$V13,HLOOKUP(FE$21,$F$4:$Q$17,$B9),IF(AND(FE$23&gt;='A&amp;Rs'!$V13,FE$23&lt;'A&amp;Rs'!$X13),0,HLOOKUP(FE$21,$U$4:$AF$17,$B9)))</f>
        <v>1827.7887357116581</v>
      </c>
      <c r="FF27" s="1" t="s">
        <v>39</v>
      </c>
      <c r="FG27" s="1"/>
      <c r="FH27" s="1"/>
      <c r="FI27" s="99"/>
    </row>
    <row r="28" spans="2:165" x14ac:dyDescent="0.3">
      <c r="C28" s="98"/>
      <c r="D28" s="123">
        <f>'A&amp;Rs'!Q14</f>
        <v>5</v>
      </c>
      <c r="E28" s="56">
        <f t="shared" si="11"/>
        <v>1312</v>
      </c>
      <c r="F28" s="56">
        <f>IF(F$23&lt;'A&amp;Rs'!$V14,HLOOKUP(F$21,$F$4:$Q$17,$B10),IF(AND(F$23&gt;='A&amp;Rs'!$V14,F$23&lt;'A&amp;Rs'!$X14),0,HLOOKUP(F$21,$U$4:$AF$17,$B10)))</f>
        <v>1312</v>
      </c>
      <c r="G28" s="56">
        <f>IF(G$23&lt;'A&amp;Rs'!$V14,HLOOKUP(G$21,$F$4:$Q$17,$B10),IF(AND(G$23&gt;='A&amp;Rs'!$V14,G$23&lt;'A&amp;Rs'!$X14),0,HLOOKUP(G$21,$U$4:$AF$17,$B10)))</f>
        <v>1312</v>
      </c>
      <c r="H28" s="56">
        <f>IF(H$23&lt;'A&amp;Rs'!$V14,HLOOKUP(H$21,$F$4:$Q$17,$B10),IF(AND(H$23&gt;='A&amp;Rs'!$V14,H$23&lt;'A&amp;Rs'!$X14),0,HLOOKUP(H$21,$U$4:$AF$17,$B10)))</f>
        <v>1312</v>
      </c>
      <c r="I28" s="56">
        <f>IF(I$23&lt;'A&amp;Rs'!$V14,HLOOKUP(I$21,$F$4:$Q$17,$B10),IF(AND(I$23&gt;='A&amp;Rs'!$V14,I$23&lt;'A&amp;Rs'!$X14),0,HLOOKUP(I$21,$U$4:$AF$17,$B10)))</f>
        <v>0</v>
      </c>
      <c r="J28" s="56">
        <f>IF(J$23&lt;'A&amp;Rs'!$V14,HLOOKUP(J$21,$F$4:$Q$17,$B10),IF(AND(J$23&gt;='A&amp;Rs'!$V14,J$23&lt;'A&amp;Rs'!$X14),0,HLOOKUP(J$21,$U$4:$AF$17,$B10)))</f>
        <v>0</v>
      </c>
      <c r="K28" s="56">
        <f>IF(K$23&lt;'A&amp;Rs'!$V14,HLOOKUP(K$21,$F$4:$Q$17,$B10),IF(AND(K$23&gt;='A&amp;Rs'!$V14,K$23&lt;'A&amp;Rs'!$X14),0,HLOOKUP(K$21,$U$4:$AF$17,$B10)))</f>
        <v>0</v>
      </c>
      <c r="L28" s="56">
        <f>IF(L$23&lt;'A&amp;Rs'!$V14,HLOOKUP(L$21,$F$4:$Q$17,$B10),IF(AND(L$23&gt;='A&amp;Rs'!$V14,L$23&lt;'A&amp;Rs'!$X14),0,HLOOKUP(L$21,$U$4:$AF$17,$B10)))</f>
        <v>1592</v>
      </c>
      <c r="M28" s="56">
        <f>IF(M$23&lt;'A&amp;Rs'!$V14,HLOOKUP(M$21,$F$4:$Q$17,$B10),IF(AND(M$23&gt;='A&amp;Rs'!$V14,M$23&lt;'A&amp;Rs'!$X14),0,HLOOKUP(M$21,$U$4:$AF$17,$B10)))</f>
        <v>1592</v>
      </c>
      <c r="N28" s="56">
        <f>IF(N$23&lt;'A&amp;Rs'!$V14,HLOOKUP(N$21,$F$4:$Q$17,$B10),IF(AND(N$23&gt;='A&amp;Rs'!$V14,N$23&lt;'A&amp;Rs'!$X14),0,HLOOKUP(N$21,$U$4:$AF$17,$B10)))</f>
        <v>1592</v>
      </c>
      <c r="O28" s="56">
        <f>IF(O$23&lt;'A&amp;Rs'!$V14,HLOOKUP(O$21,$F$4:$Q$17,$B10),IF(AND(O$23&gt;='A&amp;Rs'!$V14,O$23&lt;'A&amp;Rs'!$X14),0,HLOOKUP(O$21,$U$4:$AF$17,$B10)))</f>
        <v>1592</v>
      </c>
      <c r="P28" s="56">
        <f>IF(P$23&lt;'A&amp;Rs'!$V14,HLOOKUP(P$21,$F$4:$Q$17,$B10),IF(AND(P$23&gt;='A&amp;Rs'!$V14,P$23&lt;'A&amp;Rs'!$X14),0,HLOOKUP(P$21,$U$4:$AF$17,$B10)))</f>
        <v>1592</v>
      </c>
      <c r="Q28" s="56">
        <f>IF(Q$23&lt;'A&amp;Rs'!$V14,HLOOKUP(Q$21,$F$4:$Q$17,$B10),IF(AND(Q$23&gt;='A&amp;Rs'!$V14,Q$23&lt;'A&amp;Rs'!$X14),0,HLOOKUP(Q$21,$U$4:$AF$17,$B10)))</f>
        <v>1592</v>
      </c>
      <c r="R28" s="56">
        <f>IF(R$23&lt;'A&amp;Rs'!$V14,HLOOKUP(R$21,$F$4:$Q$17,$B10),IF(AND(R$23&gt;='A&amp;Rs'!$V14,R$23&lt;'A&amp;Rs'!$X14),0,HLOOKUP(R$21,$U$4:$AF$17,$B10)))</f>
        <v>1639.76</v>
      </c>
      <c r="S28" s="56">
        <f>IF(S$23&lt;'A&amp;Rs'!$V14,HLOOKUP(S$21,$F$4:$Q$17,$B10),IF(AND(S$23&gt;='A&amp;Rs'!$V14,S$23&lt;'A&amp;Rs'!$X14),0,HLOOKUP(S$21,$U$4:$AF$17,$B10)))</f>
        <v>1639.76</v>
      </c>
      <c r="T28" s="56">
        <f>IF(T$23&lt;'A&amp;Rs'!$V14,HLOOKUP(T$21,$F$4:$Q$17,$B10),IF(AND(T$23&gt;='A&amp;Rs'!$V14,T$23&lt;'A&amp;Rs'!$X14),0,HLOOKUP(T$21,$U$4:$AF$17,$B10)))</f>
        <v>1639.76</v>
      </c>
      <c r="U28" s="56">
        <f>IF(U$23&lt;'A&amp;Rs'!$V14,HLOOKUP(U$21,$F$4:$Q$17,$B10),IF(AND(U$23&gt;='A&amp;Rs'!$V14,U$23&lt;'A&amp;Rs'!$X14),0,HLOOKUP(U$21,$U$4:$AF$17,$B10)))</f>
        <v>1639.76</v>
      </c>
      <c r="V28" s="56">
        <f>IF(V$23&lt;'A&amp;Rs'!$V14,HLOOKUP(V$21,$F$4:$Q$17,$B10),IF(AND(V$23&gt;='A&amp;Rs'!$V14,V$23&lt;'A&amp;Rs'!$X14),0,HLOOKUP(V$21,$U$4:$AF$17,$B10)))</f>
        <v>1639.76</v>
      </c>
      <c r="W28" s="56">
        <f>IF(W$23&lt;'A&amp;Rs'!$V14,HLOOKUP(W$21,$F$4:$Q$17,$B10),IF(AND(W$23&gt;='A&amp;Rs'!$V14,W$23&lt;'A&amp;Rs'!$X14),0,HLOOKUP(W$21,$U$4:$AF$17,$B10)))</f>
        <v>1639.76</v>
      </c>
      <c r="X28" s="56">
        <f>IF(X$23&lt;'A&amp;Rs'!$V14,HLOOKUP(X$21,$F$4:$Q$17,$B10),IF(AND(X$23&gt;='A&amp;Rs'!$V14,X$23&lt;'A&amp;Rs'!$X14),0,HLOOKUP(X$21,$U$4:$AF$17,$B10)))</f>
        <v>1639.76</v>
      </c>
      <c r="Y28" s="56">
        <f>IF(Y$23&lt;'A&amp;Rs'!$V14,HLOOKUP(Y$21,$F$4:$Q$17,$B10),IF(AND(Y$23&gt;='A&amp;Rs'!$V14,Y$23&lt;'A&amp;Rs'!$X14),0,HLOOKUP(Y$21,$U$4:$AF$17,$B10)))</f>
        <v>1639.76</v>
      </c>
      <c r="Z28" s="56">
        <f>IF(Z$23&lt;'A&amp;Rs'!$V14,HLOOKUP(Z$21,$F$4:$Q$17,$B10),IF(AND(Z$23&gt;='A&amp;Rs'!$V14,Z$23&lt;'A&amp;Rs'!$X14),0,HLOOKUP(Z$21,$U$4:$AF$17,$B10)))</f>
        <v>1639.76</v>
      </c>
      <c r="AA28" s="56">
        <f>IF(AA$23&lt;'A&amp;Rs'!$V14,HLOOKUP(AA$21,$F$4:$Q$17,$B10),IF(AND(AA$23&gt;='A&amp;Rs'!$V14,AA$23&lt;'A&amp;Rs'!$X14),0,HLOOKUP(AA$21,$U$4:$AF$17,$B10)))</f>
        <v>1639.76</v>
      </c>
      <c r="AB28" s="56">
        <f>IF(AB$23&lt;'A&amp;Rs'!$V14,HLOOKUP(AB$21,$F$4:$Q$17,$B10),IF(AND(AB$23&gt;='A&amp;Rs'!$V14,AB$23&lt;'A&amp;Rs'!$X14),0,HLOOKUP(AB$21,$U$4:$AF$17,$B10)))</f>
        <v>1639.76</v>
      </c>
      <c r="AC28" s="56">
        <f>IF(AC$23&lt;'A&amp;Rs'!$V14,HLOOKUP(AC$21,$F$4:$Q$17,$B10),IF(AND(AC$23&gt;='A&amp;Rs'!$V14,AC$23&lt;'A&amp;Rs'!$X14),0,HLOOKUP(AC$21,$U$4:$AF$17,$B10)))</f>
        <v>1639.76</v>
      </c>
      <c r="AD28" s="56">
        <f>IF(AD$23&lt;'A&amp;Rs'!$V14,HLOOKUP(AD$21,$F$4:$Q$17,$B10),IF(AND(AD$23&gt;='A&amp;Rs'!$V14,AD$23&lt;'A&amp;Rs'!$X14),0,HLOOKUP(AD$21,$U$4:$AF$17,$B10)))</f>
        <v>1672.5552</v>
      </c>
      <c r="AE28" s="56">
        <f>IF(AE$23&lt;'A&amp;Rs'!$V14,HLOOKUP(AE$21,$F$4:$Q$17,$B10),IF(AND(AE$23&gt;='A&amp;Rs'!$V14,AE$23&lt;'A&amp;Rs'!$X14),0,HLOOKUP(AE$21,$U$4:$AF$17,$B10)))</f>
        <v>1672.5552</v>
      </c>
      <c r="AF28" s="56">
        <f>IF(AF$23&lt;'A&amp;Rs'!$V14,HLOOKUP(AF$21,$F$4:$Q$17,$B10),IF(AND(AF$23&gt;='A&amp;Rs'!$V14,AF$23&lt;'A&amp;Rs'!$X14),0,HLOOKUP(AF$21,$U$4:$AF$17,$B10)))</f>
        <v>1672.5552</v>
      </c>
      <c r="AG28" s="56">
        <f>IF(AG$23&lt;'A&amp;Rs'!$V14,HLOOKUP(AG$21,$F$4:$Q$17,$B10),IF(AND(AG$23&gt;='A&amp;Rs'!$V14,AG$23&lt;'A&amp;Rs'!$X14),0,HLOOKUP(AG$21,$U$4:$AF$17,$B10)))</f>
        <v>1672.5552</v>
      </c>
      <c r="AH28" s="56">
        <f>IF(AH$23&lt;'A&amp;Rs'!$V14,HLOOKUP(AH$21,$F$4:$Q$17,$B10),IF(AND(AH$23&gt;='A&amp;Rs'!$V14,AH$23&lt;'A&amp;Rs'!$X14),0,HLOOKUP(AH$21,$U$4:$AF$17,$B10)))</f>
        <v>1672.5552</v>
      </c>
      <c r="AI28" s="56">
        <f>IF(AI$23&lt;'A&amp;Rs'!$V14,HLOOKUP(AI$21,$F$4:$Q$17,$B10),IF(AND(AI$23&gt;='A&amp;Rs'!$V14,AI$23&lt;'A&amp;Rs'!$X14),0,HLOOKUP(AI$21,$U$4:$AF$17,$B10)))</f>
        <v>1672.5552</v>
      </c>
      <c r="AJ28" s="56">
        <f>IF(AJ$23&lt;'A&amp;Rs'!$V14,HLOOKUP(AJ$21,$F$4:$Q$17,$B10),IF(AND(AJ$23&gt;='A&amp;Rs'!$V14,AJ$23&lt;'A&amp;Rs'!$X14),0,HLOOKUP(AJ$21,$U$4:$AF$17,$B10)))</f>
        <v>1672.5552</v>
      </c>
      <c r="AK28" s="56">
        <f>IF(AK$23&lt;'A&amp;Rs'!$V14,HLOOKUP(AK$21,$F$4:$Q$17,$B10),IF(AND(AK$23&gt;='A&amp;Rs'!$V14,AK$23&lt;'A&amp;Rs'!$X14),0,HLOOKUP(AK$21,$U$4:$AF$17,$B10)))</f>
        <v>1672.5552</v>
      </c>
      <c r="AL28" s="56">
        <f>IF(AL$23&lt;'A&amp;Rs'!$V14,HLOOKUP(AL$21,$F$4:$Q$17,$B10),IF(AND(AL$23&gt;='A&amp;Rs'!$V14,AL$23&lt;'A&amp;Rs'!$X14),0,HLOOKUP(AL$21,$U$4:$AF$17,$B10)))</f>
        <v>1672.5552</v>
      </c>
      <c r="AM28" s="56">
        <f>IF(AM$23&lt;'A&amp;Rs'!$V14,HLOOKUP(AM$21,$F$4:$Q$17,$B10),IF(AND(AM$23&gt;='A&amp;Rs'!$V14,AM$23&lt;'A&amp;Rs'!$X14),0,HLOOKUP(AM$21,$U$4:$AF$17,$B10)))</f>
        <v>1672.5552</v>
      </c>
      <c r="AN28" s="56">
        <f>IF(AN$23&lt;'A&amp;Rs'!$V14,HLOOKUP(AN$21,$F$4:$Q$17,$B10),IF(AND(AN$23&gt;='A&amp;Rs'!$V14,AN$23&lt;'A&amp;Rs'!$X14),0,HLOOKUP(AN$21,$U$4:$AF$17,$B10)))</f>
        <v>1672.5552</v>
      </c>
      <c r="AO28" s="56">
        <f>IF(AO$23&lt;'A&amp;Rs'!$V14,HLOOKUP(AO$21,$F$4:$Q$17,$B10),IF(AND(AO$23&gt;='A&amp;Rs'!$V14,AO$23&lt;'A&amp;Rs'!$X14),0,HLOOKUP(AO$21,$U$4:$AF$17,$B10)))</f>
        <v>1672.5552</v>
      </c>
      <c r="AP28" s="56">
        <f>IF(AP$23&lt;'A&amp;Rs'!$V14,HLOOKUP(AP$21,$F$4:$Q$17,$B10),IF(AND(AP$23&gt;='A&amp;Rs'!$V14,AP$23&lt;'A&amp;Rs'!$X14),0,HLOOKUP(AP$21,$U$4:$AF$17,$B10)))</f>
        <v>1722.7318560000001</v>
      </c>
      <c r="AQ28" s="56">
        <f>IF(AQ$23&lt;'A&amp;Rs'!$V14,HLOOKUP(AQ$21,$F$4:$Q$17,$B10),IF(AND(AQ$23&gt;='A&amp;Rs'!$V14,AQ$23&lt;'A&amp;Rs'!$X14),0,HLOOKUP(AQ$21,$U$4:$AF$17,$B10)))</f>
        <v>1722.7318560000001</v>
      </c>
      <c r="AR28" s="56">
        <f>IF(AR$23&lt;'A&amp;Rs'!$V14,HLOOKUP(AR$21,$F$4:$Q$17,$B10),IF(AND(AR$23&gt;='A&amp;Rs'!$V14,AR$23&lt;'A&amp;Rs'!$X14),0,HLOOKUP(AR$21,$U$4:$AF$17,$B10)))</f>
        <v>1722.7318560000001</v>
      </c>
      <c r="AS28" s="56">
        <f>IF(AS$23&lt;'A&amp;Rs'!$V14,HLOOKUP(AS$21,$F$4:$Q$17,$B10),IF(AND(AS$23&gt;='A&amp;Rs'!$V14,AS$23&lt;'A&amp;Rs'!$X14),0,HLOOKUP(AS$21,$U$4:$AF$17,$B10)))</f>
        <v>1722.7318560000001</v>
      </c>
      <c r="AT28" s="56">
        <f>IF(AT$23&lt;'A&amp;Rs'!$V14,HLOOKUP(AT$21,$F$4:$Q$17,$B10),IF(AND(AT$23&gt;='A&amp;Rs'!$V14,AT$23&lt;'A&amp;Rs'!$X14),0,HLOOKUP(AT$21,$U$4:$AF$17,$B10)))</f>
        <v>1722.7318560000001</v>
      </c>
      <c r="AU28" s="56">
        <f>IF(AU$23&lt;'A&amp;Rs'!$V14,HLOOKUP(AU$21,$F$4:$Q$17,$B10),IF(AND(AU$23&gt;='A&amp;Rs'!$V14,AU$23&lt;'A&amp;Rs'!$X14),0,HLOOKUP(AU$21,$U$4:$AF$17,$B10)))</f>
        <v>1722.7318560000001</v>
      </c>
      <c r="AV28" s="56">
        <f>IF(AV$23&lt;'A&amp;Rs'!$V14,HLOOKUP(AV$21,$F$4:$Q$17,$B10),IF(AND(AV$23&gt;='A&amp;Rs'!$V14,AV$23&lt;'A&amp;Rs'!$X14),0,HLOOKUP(AV$21,$U$4:$AF$17,$B10)))</f>
        <v>1722.7318560000001</v>
      </c>
      <c r="AW28" s="56">
        <f>IF(AW$23&lt;'A&amp;Rs'!$V14,HLOOKUP(AW$21,$F$4:$Q$17,$B10),IF(AND(AW$23&gt;='A&amp;Rs'!$V14,AW$23&lt;'A&amp;Rs'!$X14),0,HLOOKUP(AW$21,$U$4:$AF$17,$B10)))</f>
        <v>1722.7318560000001</v>
      </c>
      <c r="AX28" s="56">
        <f>IF(AX$23&lt;'A&amp;Rs'!$V14,HLOOKUP(AX$21,$F$4:$Q$17,$B10),IF(AND(AX$23&gt;='A&amp;Rs'!$V14,AX$23&lt;'A&amp;Rs'!$X14),0,HLOOKUP(AX$21,$U$4:$AF$17,$B10)))</f>
        <v>1722.7318560000001</v>
      </c>
      <c r="AY28" s="56">
        <f>IF(AY$23&lt;'A&amp;Rs'!$V14,HLOOKUP(AY$21,$F$4:$Q$17,$B10),IF(AND(AY$23&gt;='A&amp;Rs'!$V14,AY$23&lt;'A&amp;Rs'!$X14),0,HLOOKUP(AY$21,$U$4:$AF$17,$B10)))</f>
        <v>1722.7318560000001</v>
      </c>
      <c r="AZ28" s="56">
        <f>IF(AZ$23&lt;'A&amp;Rs'!$V14,HLOOKUP(AZ$21,$F$4:$Q$17,$B10),IF(AND(AZ$23&gt;='A&amp;Rs'!$V14,AZ$23&lt;'A&amp;Rs'!$X14),0,HLOOKUP(AZ$21,$U$4:$AF$17,$B10)))</f>
        <v>1722.7318560000001</v>
      </c>
      <c r="BA28" s="56">
        <f>IF(BA$23&lt;'A&amp;Rs'!$V14,HLOOKUP(BA$21,$F$4:$Q$17,$B10),IF(AND(BA$23&gt;='A&amp;Rs'!$V14,BA$23&lt;'A&amp;Rs'!$X14),0,HLOOKUP(BA$21,$U$4:$AF$17,$B10)))</f>
        <v>1722.7318560000001</v>
      </c>
      <c r="BB28" s="56">
        <f>IF(BB$23&lt;'A&amp;Rs'!$V14,HLOOKUP(BB$21,$F$4:$Q$17,$B10),IF(AND(BB$23&gt;='A&amp;Rs'!$V14,BB$23&lt;'A&amp;Rs'!$X14),0,HLOOKUP(BB$21,$U$4:$AF$17,$B10)))</f>
        <v>1774.4138116800002</v>
      </c>
      <c r="BC28" s="56">
        <f>IF(BC$23&lt;'A&amp;Rs'!$V14,HLOOKUP(BC$21,$F$4:$Q$17,$B10),IF(AND(BC$23&gt;='A&amp;Rs'!$V14,BC$23&lt;'A&amp;Rs'!$X14),0,HLOOKUP(BC$21,$U$4:$AF$17,$B10)))</f>
        <v>1774.4138116800002</v>
      </c>
      <c r="BD28" s="56">
        <f>IF(BD$23&lt;'A&amp;Rs'!$V14,HLOOKUP(BD$21,$F$4:$Q$17,$B10),IF(AND(BD$23&gt;='A&amp;Rs'!$V14,BD$23&lt;'A&amp;Rs'!$X14),0,HLOOKUP(BD$21,$U$4:$AF$17,$B10)))</f>
        <v>1774.4138116800002</v>
      </c>
      <c r="BE28" s="56">
        <f>IF(BE$23&lt;'A&amp;Rs'!$V14,HLOOKUP(BE$21,$F$4:$Q$17,$B10),IF(AND(BE$23&gt;='A&amp;Rs'!$V14,BE$23&lt;'A&amp;Rs'!$X14),0,HLOOKUP(BE$21,$U$4:$AF$17,$B10)))</f>
        <v>1774.4138116800002</v>
      </c>
      <c r="BF28" s="56">
        <f>IF(BF$23&lt;'A&amp;Rs'!$V14,HLOOKUP(BF$21,$F$4:$Q$17,$B10),IF(AND(BF$23&gt;='A&amp;Rs'!$V14,BF$23&lt;'A&amp;Rs'!$X14),0,HLOOKUP(BF$21,$U$4:$AF$17,$B10)))</f>
        <v>1774.4138116800002</v>
      </c>
      <c r="BG28" s="56">
        <f>IF(BG$23&lt;'A&amp;Rs'!$V14,HLOOKUP(BG$21,$F$4:$Q$17,$B10),IF(AND(BG$23&gt;='A&amp;Rs'!$V14,BG$23&lt;'A&amp;Rs'!$X14),0,HLOOKUP(BG$21,$U$4:$AF$17,$B10)))</f>
        <v>1774.4138116800002</v>
      </c>
      <c r="BH28" s="56">
        <f>IF(BH$23&lt;'A&amp;Rs'!$V14,HLOOKUP(BH$21,$F$4:$Q$17,$B10),IF(AND(BH$23&gt;='A&amp;Rs'!$V14,BH$23&lt;'A&amp;Rs'!$X14),0,HLOOKUP(BH$21,$U$4:$AF$17,$B10)))</f>
        <v>1774.4138116800002</v>
      </c>
      <c r="BI28" s="56">
        <f>IF(BI$23&lt;'A&amp;Rs'!$V14,HLOOKUP(BI$21,$F$4:$Q$17,$B10),IF(AND(BI$23&gt;='A&amp;Rs'!$V14,BI$23&lt;'A&amp;Rs'!$X14),0,HLOOKUP(BI$21,$U$4:$AF$17,$B10)))</f>
        <v>1774.4138116800002</v>
      </c>
      <c r="BJ28" s="56">
        <f>IF(BJ$23&lt;'A&amp;Rs'!$V14,HLOOKUP(BJ$21,$F$4:$Q$17,$B10),IF(AND(BJ$23&gt;='A&amp;Rs'!$V14,BJ$23&lt;'A&amp;Rs'!$X14),0,HLOOKUP(BJ$21,$U$4:$AF$17,$B10)))</f>
        <v>1774.4138116800002</v>
      </c>
      <c r="BK28" s="56">
        <f>IF(BK$23&lt;'A&amp;Rs'!$V14,HLOOKUP(BK$21,$F$4:$Q$17,$B10),IF(AND(BK$23&gt;='A&amp;Rs'!$V14,BK$23&lt;'A&amp;Rs'!$X14),0,HLOOKUP(BK$21,$U$4:$AF$17,$B10)))</f>
        <v>1774.4138116800002</v>
      </c>
      <c r="BL28" s="56">
        <f>IF(BL$23&lt;'A&amp;Rs'!$V14,HLOOKUP(BL$21,$F$4:$Q$17,$B10),IF(AND(BL$23&gt;='A&amp;Rs'!$V14,BL$23&lt;'A&amp;Rs'!$X14),0,HLOOKUP(BL$21,$U$4:$AF$17,$B10)))</f>
        <v>1774.4138116800002</v>
      </c>
      <c r="BM28" s="56">
        <f>IF(BM$23&lt;'A&amp;Rs'!$V14,HLOOKUP(BM$21,$F$4:$Q$17,$B10),IF(AND(BM$23&gt;='A&amp;Rs'!$V14,BM$23&lt;'A&amp;Rs'!$X14),0,HLOOKUP(BM$21,$U$4:$AF$17,$B10)))</f>
        <v>1774.4138116800002</v>
      </c>
      <c r="BN28" s="56">
        <f>IF(BN$23&lt;'A&amp;Rs'!$V14,HLOOKUP(BN$21,$F$4:$Q$17,$B10),IF(AND(BN$23&gt;='A&amp;Rs'!$V14,BN$23&lt;'A&amp;Rs'!$X14),0,HLOOKUP(BN$21,$U$4:$AF$17,$B10)))</f>
        <v>1774.4138116800002</v>
      </c>
      <c r="BO28" s="56">
        <f>IF(BO$23&lt;'A&amp;Rs'!$V14,HLOOKUP(BO$21,$F$4:$Q$17,$B10),IF(AND(BO$23&gt;='A&amp;Rs'!$V14,BO$23&lt;'A&amp;Rs'!$X14),0,HLOOKUP(BO$21,$U$4:$AF$17,$B10)))</f>
        <v>1774.4138116800002</v>
      </c>
      <c r="BP28" s="56">
        <f>IF(BP$23&lt;'A&amp;Rs'!$V14,HLOOKUP(BP$21,$F$4:$Q$17,$B10),IF(AND(BP$23&gt;='A&amp;Rs'!$V14,BP$23&lt;'A&amp;Rs'!$X14),0,HLOOKUP(BP$21,$U$4:$AF$17,$B10)))</f>
        <v>1774.4138116800002</v>
      </c>
      <c r="BQ28" s="56">
        <f>IF(BQ$23&lt;'A&amp;Rs'!$V14,HLOOKUP(BQ$21,$F$4:$Q$17,$B10),IF(AND(BQ$23&gt;='A&amp;Rs'!$V14,BQ$23&lt;'A&amp;Rs'!$X14),0,HLOOKUP(BQ$21,$U$4:$AF$17,$B10)))</f>
        <v>1774.4138116800002</v>
      </c>
      <c r="BR28" s="56">
        <f>IF(BR$23&lt;'A&amp;Rs'!$V14,HLOOKUP(BR$21,$F$4:$Q$17,$B10),IF(AND(BR$23&gt;='A&amp;Rs'!$V14,BR$23&lt;'A&amp;Rs'!$X14),0,HLOOKUP(BR$21,$U$4:$AF$17,$B10)))</f>
        <v>1774.4138116800002</v>
      </c>
      <c r="BS28" s="56">
        <f>IF(BS$23&lt;'A&amp;Rs'!$V14,HLOOKUP(BS$21,$F$4:$Q$17,$B10),IF(AND(BS$23&gt;='A&amp;Rs'!$V14,BS$23&lt;'A&amp;Rs'!$X14),0,HLOOKUP(BS$21,$U$4:$AF$17,$B10)))</f>
        <v>1774.4138116800002</v>
      </c>
      <c r="BT28" s="56">
        <f>IF(BT$23&lt;'A&amp;Rs'!$V14,HLOOKUP(BT$21,$F$4:$Q$17,$B10),IF(AND(BT$23&gt;='A&amp;Rs'!$V14,BT$23&lt;'A&amp;Rs'!$X14),0,HLOOKUP(BT$21,$U$4:$AF$17,$B10)))</f>
        <v>1774.4138116800002</v>
      </c>
      <c r="BU28" s="56">
        <f>IF(BU$23&lt;'A&amp;Rs'!$V14,HLOOKUP(BU$21,$F$4:$Q$17,$B10),IF(AND(BU$23&gt;='A&amp;Rs'!$V14,BU$23&lt;'A&amp;Rs'!$X14),0,HLOOKUP(BU$21,$U$4:$AF$17,$B10)))</f>
        <v>1774.4138116800002</v>
      </c>
      <c r="BV28" s="56">
        <f>IF(BV$23&lt;'A&amp;Rs'!$V14,HLOOKUP(BV$21,$F$4:$Q$17,$B10),IF(AND(BV$23&gt;='A&amp;Rs'!$V14,BV$23&lt;'A&amp;Rs'!$X14),0,HLOOKUP(BV$21,$U$4:$AF$17,$B10)))</f>
        <v>1774.4138116800002</v>
      </c>
      <c r="BW28" s="56">
        <f>IF(BW$23&lt;'A&amp;Rs'!$V14,HLOOKUP(BW$21,$F$4:$Q$17,$B10),IF(AND(BW$23&gt;='A&amp;Rs'!$V14,BW$23&lt;'A&amp;Rs'!$X14),0,HLOOKUP(BW$21,$U$4:$AF$17,$B10)))</f>
        <v>1774.4138116800002</v>
      </c>
      <c r="BX28" s="56">
        <f>IF(BX$23&lt;'A&amp;Rs'!$V14,HLOOKUP(BX$21,$F$4:$Q$17,$B10),IF(AND(BX$23&gt;='A&amp;Rs'!$V14,BX$23&lt;'A&amp;Rs'!$X14),0,HLOOKUP(BX$21,$U$4:$AF$17,$B10)))</f>
        <v>1774.4138116800002</v>
      </c>
      <c r="BY28" s="56">
        <f>IF(BY$23&lt;'A&amp;Rs'!$V14,HLOOKUP(BY$21,$F$4:$Q$17,$B10),IF(AND(BY$23&gt;='A&amp;Rs'!$V14,BY$23&lt;'A&amp;Rs'!$X14),0,HLOOKUP(BY$21,$U$4:$AF$17,$B10)))</f>
        <v>1774.4138116800002</v>
      </c>
      <c r="BZ28" s="56">
        <f>IF(BZ$23&lt;'A&amp;Rs'!$V14,HLOOKUP(BZ$21,$F$4:$Q$17,$B10),IF(AND(BZ$23&gt;='A&amp;Rs'!$V14,BZ$23&lt;'A&amp;Rs'!$X14),0,HLOOKUP(BZ$21,$U$4:$AF$17,$B10)))</f>
        <v>1792.1579497968003</v>
      </c>
      <c r="CA28" s="56">
        <f>IF(CA$23&lt;'A&amp;Rs'!$V14,HLOOKUP(CA$21,$F$4:$Q$17,$B10),IF(AND(CA$23&gt;='A&amp;Rs'!$V14,CA$23&lt;'A&amp;Rs'!$X14),0,HLOOKUP(CA$21,$U$4:$AF$17,$B10)))</f>
        <v>1792.1579497968003</v>
      </c>
      <c r="CB28" s="56">
        <f>IF(CB$23&lt;'A&amp;Rs'!$V14,HLOOKUP(CB$21,$F$4:$Q$17,$B10),IF(AND(CB$23&gt;='A&amp;Rs'!$V14,CB$23&lt;'A&amp;Rs'!$X14),0,HLOOKUP(CB$21,$U$4:$AF$17,$B10)))</f>
        <v>1792.1579497968003</v>
      </c>
      <c r="CC28" s="56">
        <f>IF(CC$23&lt;'A&amp;Rs'!$V14,HLOOKUP(CC$21,$F$4:$Q$17,$B10),IF(AND(CC$23&gt;='A&amp;Rs'!$V14,CC$23&lt;'A&amp;Rs'!$X14),0,HLOOKUP(CC$21,$U$4:$AF$17,$B10)))</f>
        <v>1792.1579497968003</v>
      </c>
      <c r="CD28" s="56">
        <f>IF(CD$23&lt;'A&amp;Rs'!$V14,HLOOKUP(CD$21,$F$4:$Q$17,$B10),IF(AND(CD$23&gt;='A&amp;Rs'!$V14,CD$23&lt;'A&amp;Rs'!$X14),0,HLOOKUP(CD$21,$U$4:$AF$17,$B10)))</f>
        <v>1792.1579497968003</v>
      </c>
      <c r="CE28" s="56">
        <f>IF(CE$23&lt;'A&amp;Rs'!$V14,HLOOKUP(CE$21,$F$4:$Q$17,$B10),IF(AND(CE$23&gt;='A&amp;Rs'!$V14,CE$23&lt;'A&amp;Rs'!$X14),0,HLOOKUP(CE$21,$U$4:$AF$17,$B10)))</f>
        <v>1792.1579497968003</v>
      </c>
      <c r="CF28" s="56">
        <f>IF(CF$23&lt;'A&amp;Rs'!$V14,HLOOKUP(CF$21,$F$4:$Q$17,$B10),IF(AND(CF$23&gt;='A&amp;Rs'!$V14,CF$23&lt;'A&amp;Rs'!$X14),0,HLOOKUP(CF$21,$U$4:$AF$17,$B10)))</f>
        <v>1792.1579497968003</v>
      </c>
      <c r="CG28" s="56">
        <f>IF(CG$23&lt;'A&amp;Rs'!$V14,HLOOKUP(CG$21,$F$4:$Q$17,$B10),IF(AND(CG$23&gt;='A&amp;Rs'!$V14,CG$23&lt;'A&amp;Rs'!$X14),0,HLOOKUP(CG$21,$U$4:$AF$17,$B10)))</f>
        <v>1792.1579497968003</v>
      </c>
      <c r="CH28" s="56">
        <f>IF(CH$23&lt;'A&amp;Rs'!$V14,HLOOKUP(CH$21,$F$4:$Q$17,$B10),IF(AND(CH$23&gt;='A&amp;Rs'!$V14,CH$23&lt;'A&amp;Rs'!$X14),0,HLOOKUP(CH$21,$U$4:$AF$17,$B10)))</f>
        <v>1792.1579497968003</v>
      </c>
      <c r="CI28" s="56">
        <f>IF(CI$23&lt;'A&amp;Rs'!$V14,HLOOKUP(CI$21,$F$4:$Q$17,$B10),IF(AND(CI$23&gt;='A&amp;Rs'!$V14,CI$23&lt;'A&amp;Rs'!$X14),0,HLOOKUP(CI$21,$U$4:$AF$17,$B10)))</f>
        <v>1792.1579497968003</v>
      </c>
      <c r="CJ28" s="56">
        <f>IF(CJ$23&lt;'A&amp;Rs'!$V14,HLOOKUP(CJ$21,$F$4:$Q$17,$B10),IF(AND(CJ$23&gt;='A&amp;Rs'!$V14,CJ$23&lt;'A&amp;Rs'!$X14),0,HLOOKUP(CJ$21,$U$4:$AF$17,$B10)))</f>
        <v>1792.1579497968003</v>
      </c>
      <c r="CK28" s="56">
        <f>IF(CK$23&lt;'A&amp;Rs'!$V14,HLOOKUP(CK$21,$F$4:$Q$17,$B10),IF(AND(CK$23&gt;='A&amp;Rs'!$V14,CK$23&lt;'A&amp;Rs'!$X14),0,HLOOKUP(CK$21,$U$4:$AF$17,$B10)))</f>
        <v>1792.1579497968003</v>
      </c>
      <c r="CL28" s="56">
        <f>IF(CL$23&lt;'A&amp;Rs'!$V14,HLOOKUP(CL$21,$F$4:$Q$17,$B10),IF(AND(CL$23&gt;='A&amp;Rs'!$V14,CL$23&lt;'A&amp;Rs'!$X14),0,HLOOKUP(CL$21,$U$4:$AF$17,$B10)))</f>
        <v>1845.9226882907044</v>
      </c>
      <c r="CM28" s="56">
        <f>IF(CM$23&lt;'A&amp;Rs'!$V14,HLOOKUP(CM$21,$F$4:$Q$17,$B10),IF(AND(CM$23&gt;='A&amp;Rs'!$V14,CM$23&lt;'A&amp;Rs'!$X14),0,HLOOKUP(CM$21,$U$4:$AF$17,$B10)))</f>
        <v>1845.9226882907044</v>
      </c>
      <c r="CN28" s="56">
        <f>IF(CN$23&lt;'A&amp;Rs'!$V14,HLOOKUP(CN$21,$F$4:$Q$17,$B10),IF(AND(CN$23&gt;='A&amp;Rs'!$V14,CN$23&lt;'A&amp;Rs'!$X14),0,HLOOKUP(CN$21,$U$4:$AF$17,$B10)))</f>
        <v>1845.9226882907044</v>
      </c>
      <c r="CO28" s="56">
        <f>IF(CO$23&lt;'A&amp;Rs'!$V14,HLOOKUP(CO$21,$F$4:$Q$17,$B10),IF(AND(CO$23&gt;='A&amp;Rs'!$V14,CO$23&lt;'A&amp;Rs'!$X14),0,HLOOKUP(CO$21,$U$4:$AF$17,$B10)))</f>
        <v>1845.9226882907044</v>
      </c>
      <c r="CP28" s="56">
        <f>IF(CP$23&lt;'A&amp;Rs'!$V14,HLOOKUP(CP$21,$F$4:$Q$17,$B10),IF(AND(CP$23&gt;='A&amp;Rs'!$V14,CP$23&lt;'A&amp;Rs'!$X14),0,HLOOKUP(CP$21,$U$4:$AF$17,$B10)))</f>
        <v>1845.9226882907044</v>
      </c>
      <c r="CQ28" s="56">
        <f>IF(CQ$23&lt;'A&amp;Rs'!$V14,HLOOKUP(CQ$21,$F$4:$Q$17,$B10),IF(AND(CQ$23&gt;='A&amp;Rs'!$V14,CQ$23&lt;'A&amp;Rs'!$X14),0,HLOOKUP(CQ$21,$U$4:$AF$17,$B10)))</f>
        <v>1845.9226882907044</v>
      </c>
      <c r="CR28" s="56">
        <f>IF(CR$23&lt;'A&amp;Rs'!$V14,HLOOKUP(CR$21,$F$4:$Q$17,$B10),IF(AND(CR$23&gt;='A&amp;Rs'!$V14,CR$23&lt;'A&amp;Rs'!$X14),0,HLOOKUP(CR$21,$U$4:$AF$17,$B10)))</f>
        <v>1845.9226882907044</v>
      </c>
      <c r="CS28" s="56">
        <f>IF(CS$23&lt;'A&amp;Rs'!$V14,HLOOKUP(CS$21,$F$4:$Q$17,$B10),IF(AND(CS$23&gt;='A&amp;Rs'!$V14,CS$23&lt;'A&amp;Rs'!$X14),0,HLOOKUP(CS$21,$U$4:$AF$17,$B10)))</f>
        <v>1845.9226882907044</v>
      </c>
      <c r="CT28" s="56">
        <f>IF(CT$23&lt;'A&amp;Rs'!$V14,HLOOKUP(CT$21,$F$4:$Q$17,$B10),IF(AND(CT$23&gt;='A&amp;Rs'!$V14,CT$23&lt;'A&amp;Rs'!$X14),0,HLOOKUP(CT$21,$U$4:$AF$17,$B10)))</f>
        <v>1845.9226882907044</v>
      </c>
      <c r="CU28" s="56">
        <f>IF(CU$23&lt;'A&amp;Rs'!$V14,HLOOKUP(CU$21,$F$4:$Q$17,$B10),IF(AND(CU$23&gt;='A&amp;Rs'!$V14,CU$23&lt;'A&amp;Rs'!$X14),0,HLOOKUP(CU$21,$U$4:$AF$17,$B10)))</f>
        <v>1845.9226882907044</v>
      </c>
      <c r="CV28" s="56">
        <f>IF(CV$23&lt;'A&amp;Rs'!$V14,HLOOKUP(CV$21,$F$4:$Q$17,$B10),IF(AND(CV$23&gt;='A&amp;Rs'!$V14,CV$23&lt;'A&amp;Rs'!$X14),0,HLOOKUP(CV$21,$U$4:$AF$17,$B10)))</f>
        <v>1845.9226882907044</v>
      </c>
      <c r="CW28" s="56">
        <f>IF(CW$23&lt;'A&amp;Rs'!$V14,HLOOKUP(CW$21,$F$4:$Q$17,$B10),IF(AND(CW$23&gt;='A&amp;Rs'!$V14,CW$23&lt;'A&amp;Rs'!$X14),0,HLOOKUP(CW$21,$U$4:$AF$17,$B10)))</f>
        <v>1845.9226882907044</v>
      </c>
      <c r="CX28" s="56">
        <f>IF(CX$23&lt;'A&amp;Rs'!$V14,HLOOKUP(CX$21,$F$4:$Q$17,$B10),IF(AND(CX$23&gt;='A&amp;Rs'!$V14,CX$23&lt;'A&amp;Rs'!$X14),0,HLOOKUP(CX$21,$U$4:$AF$17,$B10)))</f>
        <v>1882.8411420565185</v>
      </c>
      <c r="CY28" s="56">
        <f>IF(CY$23&lt;'A&amp;Rs'!$V14,HLOOKUP(CY$21,$F$4:$Q$17,$B10),IF(AND(CY$23&gt;='A&amp;Rs'!$V14,CY$23&lt;'A&amp;Rs'!$X14),0,HLOOKUP(CY$21,$U$4:$AF$17,$B10)))</f>
        <v>1882.8411420565185</v>
      </c>
      <c r="CZ28" s="56">
        <f>IF(CZ$23&lt;'A&amp;Rs'!$V14,HLOOKUP(CZ$21,$F$4:$Q$17,$B10),IF(AND(CZ$23&gt;='A&amp;Rs'!$V14,CZ$23&lt;'A&amp;Rs'!$X14),0,HLOOKUP(CZ$21,$U$4:$AF$17,$B10)))</f>
        <v>1882.8411420565185</v>
      </c>
      <c r="DA28" s="56">
        <f>IF(DA$23&lt;'A&amp;Rs'!$V14,HLOOKUP(DA$21,$F$4:$Q$17,$B10),IF(AND(DA$23&gt;='A&amp;Rs'!$V14,DA$23&lt;'A&amp;Rs'!$X14),0,HLOOKUP(DA$21,$U$4:$AF$17,$B10)))</f>
        <v>1882.8411420565185</v>
      </c>
      <c r="DB28" s="56">
        <f>IF(DB$23&lt;'A&amp;Rs'!$V14,HLOOKUP(DB$21,$F$4:$Q$17,$B10),IF(AND(DB$23&gt;='A&amp;Rs'!$V14,DB$23&lt;'A&amp;Rs'!$X14),0,HLOOKUP(DB$21,$U$4:$AF$17,$B10)))</f>
        <v>1882.8411420565185</v>
      </c>
      <c r="DC28" s="56">
        <f>IF(DC$23&lt;'A&amp;Rs'!$V14,HLOOKUP(DC$21,$F$4:$Q$17,$B10),IF(AND(DC$23&gt;='A&amp;Rs'!$V14,DC$23&lt;'A&amp;Rs'!$X14),0,HLOOKUP(DC$21,$U$4:$AF$17,$B10)))</f>
        <v>1882.8411420565185</v>
      </c>
      <c r="DD28" s="56">
        <f>IF(DD$23&lt;'A&amp;Rs'!$V14,HLOOKUP(DD$21,$F$4:$Q$17,$B10),IF(AND(DD$23&gt;='A&amp;Rs'!$V14,DD$23&lt;'A&amp;Rs'!$X14),0,HLOOKUP(DD$21,$U$4:$AF$17,$B10)))</f>
        <v>1882.8411420565185</v>
      </c>
      <c r="DE28" s="56">
        <f>IF(DE$23&lt;'A&amp;Rs'!$V14,HLOOKUP(DE$21,$F$4:$Q$17,$B10),IF(AND(DE$23&gt;='A&amp;Rs'!$V14,DE$23&lt;'A&amp;Rs'!$X14),0,HLOOKUP(DE$21,$U$4:$AF$17,$B10)))</f>
        <v>1882.8411420565185</v>
      </c>
      <c r="DF28" s="56">
        <f>IF(DF$23&lt;'A&amp;Rs'!$V14,HLOOKUP(DF$21,$F$4:$Q$17,$B10),IF(AND(DF$23&gt;='A&amp;Rs'!$V14,DF$23&lt;'A&amp;Rs'!$X14),0,HLOOKUP(DF$21,$U$4:$AF$17,$B10)))</f>
        <v>1882.8411420565185</v>
      </c>
      <c r="DG28" s="56">
        <f>IF(DG$23&lt;'A&amp;Rs'!$V14,HLOOKUP(DG$21,$F$4:$Q$17,$B10),IF(AND(DG$23&gt;='A&amp;Rs'!$V14,DG$23&lt;'A&amp;Rs'!$X14),0,HLOOKUP(DG$21,$U$4:$AF$17,$B10)))</f>
        <v>1882.8411420565185</v>
      </c>
      <c r="DH28" s="56">
        <f>IF(DH$23&lt;'A&amp;Rs'!$V14,HLOOKUP(DH$21,$F$4:$Q$17,$B10),IF(AND(DH$23&gt;='A&amp;Rs'!$V14,DH$23&lt;'A&amp;Rs'!$X14),0,HLOOKUP(DH$21,$U$4:$AF$17,$B10)))</f>
        <v>1882.8411420565185</v>
      </c>
      <c r="DI28" s="56">
        <f>IF(DI$23&lt;'A&amp;Rs'!$V14,HLOOKUP(DI$21,$F$4:$Q$17,$B10),IF(AND(DI$23&gt;='A&amp;Rs'!$V14,DI$23&lt;'A&amp;Rs'!$X14),0,HLOOKUP(DI$21,$U$4:$AF$17,$B10)))</f>
        <v>1882.8411420565185</v>
      </c>
      <c r="DJ28" s="56">
        <f>IF(DJ$23&lt;'A&amp;Rs'!$V14,HLOOKUP(DJ$21,$F$4:$Q$17,$B10),IF(AND(DJ$23&gt;='A&amp;Rs'!$V14,DJ$23&lt;'A&amp;Rs'!$X14),0,HLOOKUP(DJ$21,$U$4:$AF$17,$B10)))</f>
        <v>1901.6695534770836</v>
      </c>
      <c r="DK28" s="56">
        <f>IF(DK$23&lt;'A&amp;Rs'!$V14,HLOOKUP(DK$21,$F$4:$Q$17,$B10),IF(AND(DK$23&gt;='A&amp;Rs'!$V14,DK$23&lt;'A&amp;Rs'!$X14),0,HLOOKUP(DK$21,$U$4:$AF$17,$B10)))</f>
        <v>1901.6695534770836</v>
      </c>
      <c r="DL28" s="56">
        <f>IF(DL$23&lt;'A&amp;Rs'!$V14,HLOOKUP(DL$21,$F$4:$Q$17,$B10),IF(AND(DL$23&gt;='A&amp;Rs'!$V14,DL$23&lt;'A&amp;Rs'!$X14),0,HLOOKUP(DL$21,$U$4:$AF$17,$B10)))</f>
        <v>1901.6695534770836</v>
      </c>
      <c r="DM28" s="56">
        <f>IF(DM$23&lt;'A&amp;Rs'!$V14,HLOOKUP(DM$21,$F$4:$Q$17,$B10),IF(AND(DM$23&gt;='A&amp;Rs'!$V14,DM$23&lt;'A&amp;Rs'!$X14),0,HLOOKUP(DM$21,$U$4:$AF$17,$B10)))</f>
        <v>1901.6695534770836</v>
      </c>
      <c r="DN28" s="56">
        <f>IF(DN$23&lt;'A&amp;Rs'!$V14,HLOOKUP(DN$21,$F$4:$Q$17,$B10),IF(AND(DN$23&gt;='A&amp;Rs'!$V14,DN$23&lt;'A&amp;Rs'!$X14),0,HLOOKUP(DN$21,$U$4:$AF$17,$B10)))</f>
        <v>1901.6695534770836</v>
      </c>
      <c r="DO28" s="56">
        <f>IF(DO$23&lt;'A&amp;Rs'!$V14,HLOOKUP(DO$21,$F$4:$Q$17,$B10),IF(AND(DO$23&gt;='A&amp;Rs'!$V14,DO$23&lt;'A&amp;Rs'!$X14),0,HLOOKUP(DO$21,$U$4:$AF$17,$B10)))</f>
        <v>1901.6695534770836</v>
      </c>
      <c r="DP28" s="56">
        <f>IF(DP$23&lt;'A&amp;Rs'!$V14,HLOOKUP(DP$21,$F$4:$Q$17,$B10),IF(AND(DP$23&gt;='A&amp;Rs'!$V14,DP$23&lt;'A&amp;Rs'!$X14),0,HLOOKUP(DP$21,$U$4:$AF$17,$B10)))</f>
        <v>1901.6695534770836</v>
      </c>
      <c r="DQ28" s="56">
        <f>IF(DQ$23&lt;'A&amp;Rs'!$V14,HLOOKUP(DQ$21,$F$4:$Q$17,$B10),IF(AND(DQ$23&gt;='A&amp;Rs'!$V14,DQ$23&lt;'A&amp;Rs'!$X14),0,HLOOKUP(DQ$21,$U$4:$AF$17,$B10)))</f>
        <v>1901.6695534770836</v>
      </c>
      <c r="DR28" s="56">
        <f>IF(DR$23&lt;'A&amp;Rs'!$V14,HLOOKUP(DR$21,$F$4:$Q$17,$B10),IF(AND(DR$23&gt;='A&amp;Rs'!$V14,DR$23&lt;'A&amp;Rs'!$X14),0,HLOOKUP(DR$21,$U$4:$AF$17,$B10)))</f>
        <v>1901.6695534770836</v>
      </c>
      <c r="DS28" s="56">
        <f>IF(DS$23&lt;'A&amp;Rs'!$V14,HLOOKUP(DS$21,$F$4:$Q$17,$B10),IF(AND(DS$23&gt;='A&amp;Rs'!$V14,DS$23&lt;'A&amp;Rs'!$X14),0,HLOOKUP(DS$21,$U$4:$AF$17,$B10)))</f>
        <v>1901.6695534770836</v>
      </c>
      <c r="DT28" s="56">
        <f>IF(DT$23&lt;'A&amp;Rs'!$V14,HLOOKUP(DT$21,$F$4:$Q$17,$B10),IF(AND(DT$23&gt;='A&amp;Rs'!$V14,DT$23&lt;'A&amp;Rs'!$X14),0,HLOOKUP(DT$21,$U$4:$AF$17,$B10)))</f>
        <v>1901.6695534770836</v>
      </c>
      <c r="DU28" s="56">
        <f>IF(DU$23&lt;'A&amp;Rs'!$V14,HLOOKUP(DU$21,$F$4:$Q$17,$B10),IF(AND(DU$23&gt;='A&amp;Rs'!$V14,DU$23&lt;'A&amp;Rs'!$X14),0,HLOOKUP(DU$21,$U$4:$AF$17,$B10)))</f>
        <v>1901.6695534770836</v>
      </c>
      <c r="DV28" s="56">
        <f>IF(DV$23&lt;'A&amp;Rs'!$V14,HLOOKUP(DV$21,$F$4:$Q$17,$B10),IF(AND(DV$23&gt;='A&amp;Rs'!$V14,DV$23&lt;'A&amp;Rs'!$X14),0,HLOOKUP(DV$21,$U$4:$AF$17,$B10)))</f>
        <v>1920.6862490118544</v>
      </c>
      <c r="DW28" s="56">
        <f>IF(DW$23&lt;'A&amp;Rs'!$V14,HLOOKUP(DW$21,$F$4:$Q$17,$B10),IF(AND(DW$23&gt;='A&amp;Rs'!$V14,DW$23&lt;'A&amp;Rs'!$X14),0,HLOOKUP(DW$21,$U$4:$AF$17,$B10)))</f>
        <v>1920.6862490118544</v>
      </c>
      <c r="DX28" s="56">
        <f>IF(DX$23&lt;'A&amp;Rs'!$V14,HLOOKUP(DX$21,$F$4:$Q$17,$B10),IF(AND(DX$23&gt;='A&amp;Rs'!$V14,DX$23&lt;'A&amp;Rs'!$X14),0,HLOOKUP(DX$21,$U$4:$AF$17,$B10)))</f>
        <v>1920.6862490118544</v>
      </c>
      <c r="DY28" s="56">
        <f>IF(DY$23&lt;'A&amp;Rs'!$V14,HLOOKUP(DY$21,$F$4:$Q$17,$B10),IF(AND(DY$23&gt;='A&amp;Rs'!$V14,DY$23&lt;'A&amp;Rs'!$X14),0,HLOOKUP(DY$21,$U$4:$AF$17,$B10)))</f>
        <v>1920.6862490118544</v>
      </c>
      <c r="DZ28" s="56">
        <f>IF(DZ$23&lt;'A&amp;Rs'!$V14,HLOOKUP(DZ$21,$F$4:$Q$17,$B10),IF(AND(DZ$23&gt;='A&amp;Rs'!$V14,DZ$23&lt;'A&amp;Rs'!$X14),0,HLOOKUP(DZ$21,$U$4:$AF$17,$B10)))</f>
        <v>1920.6862490118544</v>
      </c>
      <c r="EA28" s="56">
        <f>IF(EA$23&lt;'A&amp;Rs'!$V14,HLOOKUP(EA$21,$F$4:$Q$17,$B10),IF(AND(EA$23&gt;='A&amp;Rs'!$V14,EA$23&lt;'A&amp;Rs'!$X14),0,HLOOKUP(EA$21,$U$4:$AF$17,$B10)))</f>
        <v>1920.6862490118544</v>
      </c>
      <c r="EB28" s="56">
        <f>IF(EB$23&lt;'A&amp;Rs'!$V14,HLOOKUP(EB$21,$F$4:$Q$17,$B10),IF(AND(EB$23&gt;='A&amp;Rs'!$V14,EB$23&lt;'A&amp;Rs'!$X14),0,HLOOKUP(EB$21,$U$4:$AF$17,$B10)))</f>
        <v>1920.6862490118544</v>
      </c>
      <c r="EC28" s="56">
        <f>IF(EC$23&lt;'A&amp;Rs'!$V14,HLOOKUP(EC$21,$F$4:$Q$17,$B10),IF(AND(EC$23&gt;='A&amp;Rs'!$V14,EC$23&lt;'A&amp;Rs'!$X14),0,HLOOKUP(EC$21,$U$4:$AF$17,$B10)))</f>
        <v>1920.6862490118544</v>
      </c>
      <c r="ED28" s="56">
        <f>IF(ED$23&lt;'A&amp;Rs'!$V14,HLOOKUP(ED$21,$F$4:$Q$17,$B10),IF(AND(ED$23&gt;='A&amp;Rs'!$V14,ED$23&lt;'A&amp;Rs'!$X14),0,HLOOKUP(ED$21,$U$4:$AF$17,$B10)))</f>
        <v>1920.6862490118544</v>
      </c>
      <c r="EE28" s="56">
        <f>IF(EE$23&lt;'A&amp;Rs'!$V14,HLOOKUP(EE$21,$F$4:$Q$17,$B10),IF(AND(EE$23&gt;='A&amp;Rs'!$V14,EE$23&lt;'A&amp;Rs'!$X14),0,HLOOKUP(EE$21,$U$4:$AF$17,$B10)))</f>
        <v>1920.6862490118544</v>
      </c>
      <c r="EF28" s="56">
        <f>IF(EF$23&lt;'A&amp;Rs'!$V14,HLOOKUP(EF$21,$F$4:$Q$17,$B10),IF(AND(EF$23&gt;='A&amp;Rs'!$V14,EF$23&lt;'A&amp;Rs'!$X14),0,HLOOKUP(EF$21,$U$4:$AF$17,$B10)))</f>
        <v>1920.6862490118544</v>
      </c>
      <c r="EG28" s="56">
        <f>IF(EG$23&lt;'A&amp;Rs'!$V14,HLOOKUP(EG$21,$F$4:$Q$17,$B10),IF(AND(EG$23&gt;='A&amp;Rs'!$V14,EG$23&lt;'A&amp;Rs'!$X14),0,HLOOKUP(EG$21,$U$4:$AF$17,$B10)))</f>
        <v>1920.6862490118544</v>
      </c>
      <c r="EH28" s="56">
        <f>IF(EH$23&lt;'A&amp;Rs'!$V14,HLOOKUP(EH$21,$F$4:$Q$17,$B10),IF(AND(EH$23&gt;='A&amp;Rs'!$V14,EH$23&lt;'A&amp;Rs'!$X14),0,HLOOKUP(EH$21,$U$4:$AF$17,$B10)))</f>
        <v>1939.893111501973</v>
      </c>
      <c r="EI28" s="56">
        <f>IF(EI$23&lt;'A&amp;Rs'!$V14,HLOOKUP(EI$21,$F$4:$Q$17,$B10),IF(AND(EI$23&gt;='A&amp;Rs'!$V14,EI$23&lt;'A&amp;Rs'!$X14),0,HLOOKUP(EI$21,$U$4:$AF$17,$B10)))</f>
        <v>1939.893111501973</v>
      </c>
      <c r="EJ28" s="56">
        <f>IF(EJ$23&lt;'A&amp;Rs'!$V14,HLOOKUP(EJ$21,$F$4:$Q$17,$B10),IF(AND(EJ$23&gt;='A&amp;Rs'!$V14,EJ$23&lt;'A&amp;Rs'!$X14),0,HLOOKUP(EJ$21,$U$4:$AF$17,$B10)))</f>
        <v>1939.893111501973</v>
      </c>
      <c r="EK28" s="56">
        <f>IF(EK$23&lt;'A&amp;Rs'!$V14,HLOOKUP(EK$21,$F$4:$Q$17,$B10),IF(AND(EK$23&gt;='A&amp;Rs'!$V14,EK$23&lt;'A&amp;Rs'!$X14),0,HLOOKUP(EK$21,$U$4:$AF$17,$B10)))</f>
        <v>1939.893111501973</v>
      </c>
      <c r="EL28" s="56">
        <f>IF(EL$23&lt;'A&amp;Rs'!$V14,HLOOKUP(EL$21,$F$4:$Q$17,$B10),IF(AND(EL$23&gt;='A&amp;Rs'!$V14,EL$23&lt;'A&amp;Rs'!$X14),0,HLOOKUP(EL$21,$U$4:$AF$17,$B10)))</f>
        <v>1939.893111501973</v>
      </c>
      <c r="EM28" s="56">
        <f>IF(EM$23&lt;'A&amp;Rs'!$V14,HLOOKUP(EM$21,$F$4:$Q$17,$B10),IF(AND(EM$23&gt;='A&amp;Rs'!$V14,EM$23&lt;'A&amp;Rs'!$X14),0,HLOOKUP(EM$21,$U$4:$AF$17,$B10)))</f>
        <v>1939.893111501973</v>
      </c>
      <c r="EN28" s="56">
        <f>IF(EN$23&lt;'A&amp;Rs'!$V14,HLOOKUP(EN$21,$F$4:$Q$17,$B10),IF(AND(EN$23&gt;='A&amp;Rs'!$V14,EN$23&lt;'A&amp;Rs'!$X14),0,HLOOKUP(EN$21,$U$4:$AF$17,$B10)))</f>
        <v>1939.893111501973</v>
      </c>
      <c r="EO28" s="56">
        <f>IF(EO$23&lt;'A&amp;Rs'!$V14,HLOOKUP(EO$21,$F$4:$Q$17,$B10),IF(AND(EO$23&gt;='A&amp;Rs'!$V14,EO$23&lt;'A&amp;Rs'!$X14),0,HLOOKUP(EO$21,$U$4:$AF$17,$B10)))</f>
        <v>1939.893111501973</v>
      </c>
      <c r="EP28" s="56">
        <f>IF(EP$23&lt;'A&amp;Rs'!$V14,HLOOKUP(EP$21,$F$4:$Q$17,$B10),IF(AND(EP$23&gt;='A&amp;Rs'!$V14,EP$23&lt;'A&amp;Rs'!$X14),0,HLOOKUP(EP$21,$U$4:$AF$17,$B10)))</f>
        <v>1939.893111501973</v>
      </c>
      <c r="EQ28" s="56">
        <f>IF(EQ$23&lt;'A&amp;Rs'!$V14,HLOOKUP(EQ$21,$F$4:$Q$17,$B10),IF(AND(EQ$23&gt;='A&amp;Rs'!$V14,EQ$23&lt;'A&amp;Rs'!$X14),0,HLOOKUP(EQ$21,$U$4:$AF$17,$B10)))</f>
        <v>1939.893111501973</v>
      </c>
      <c r="ER28" s="56">
        <f>IF(ER$23&lt;'A&amp;Rs'!$V14,HLOOKUP(ER$21,$F$4:$Q$17,$B10),IF(AND(ER$23&gt;='A&amp;Rs'!$V14,ER$23&lt;'A&amp;Rs'!$X14),0,HLOOKUP(ER$21,$U$4:$AF$17,$B10)))</f>
        <v>1939.893111501973</v>
      </c>
      <c r="ES28" s="56">
        <f>IF(ES$23&lt;'A&amp;Rs'!$V14,HLOOKUP(ES$21,$F$4:$Q$17,$B10),IF(AND(ES$23&gt;='A&amp;Rs'!$V14,ES$23&lt;'A&amp;Rs'!$X14),0,HLOOKUP(ES$21,$U$4:$AF$17,$B10)))</f>
        <v>1939.893111501973</v>
      </c>
      <c r="ET28" s="56">
        <f>IF(ET$23&lt;'A&amp;Rs'!$V14,HLOOKUP(ET$21,$F$4:$Q$17,$B10),IF(AND(ET$23&gt;='A&amp;Rs'!$V14,ET$23&lt;'A&amp;Rs'!$X14),0,HLOOKUP(ET$21,$U$4:$AF$17,$B10)))</f>
        <v>1939.893111501973</v>
      </c>
      <c r="EU28" s="56">
        <f>IF(EU$23&lt;'A&amp;Rs'!$V14,HLOOKUP(EU$21,$F$4:$Q$17,$B10),IF(AND(EU$23&gt;='A&amp;Rs'!$V14,EU$23&lt;'A&amp;Rs'!$X14),0,HLOOKUP(EU$21,$U$4:$AF$17,$B10)))</f>
        <v>1939.893111501973</v>
      </c>
      <c r="EV28" s="56">
        <f>IF(EV$23&lt;'A&amp;Rs'!$V14,HLOOKUP(EV$21,$F$4:$Q$17,$B10),IF(AND(EV$23&gt;='A&amp;Rs'!$V14,EV$23&lt;'A&amp;Rs'!$X14),0,HLOOKUP(EV$21,$U$4:$AF$17,$B10)))</f>
        <v>1939.893111501973</v>
      </c>
      <c r="EW28" s="56">
        <f>IF(EW$23&lt;'A&amp;Rs'!$V14,HLOOKUP(EW$21,$F$4:$Q$17,$B10),IF(AND(EW$23&gt;='A&amp;Rs'!$V14,EW$23&lt;'A&amp;Rs'!$X14),0,HLOOKUP(EW$21,$U$4:$AF$17,$B10)))</f>
        <v>1939.893111501973</v>
      </c>
      <c r="EX28" s="56">
        <f>IF(EX$23&lt;'A&amp;Rs'!$V14,HLOOKUP(EX$21,$F$4:$Q$17,$B10),IF(AND(EX$23&gt;='A&amp;Rs'!$V14,EX$23&lt;'A&amp;Rs'!$X14),0,HLOOKUP(EX$21,$U$4:$AF$17,$B10)))</f>
        <v>1939.893111501973</v>
      </c>
      <c r="EY28" s="56">
        <f>IF(EY$23&lt;'A&amp;Rs'!$V14,HLOOKUP(EY$21,$F$4:$Q$17,$B10),IF(AND(EY$23&gt;='A&amp;Rs'!$V14,EY$23&lt;'A&amp;Rs'!$X14),0,HLOOKUP(EY$21,$U$4:$AF$17,$B10)))</f>
        <v>1939.893111501973</v>
      </c>
      <c r="EZ28" s="56">
        <f>IF(EZ$23&lt;'A&amp;Rs'!$V14,HLOOKUP(EZ$21,$F$4:$Q$17,$B10),IF(AND(EZ$23&gt;='A&amp;Rs'!$V14,EZ$23&lt;'A&amp;Rs'!$X14),0,HLOOKUP(EZ$21,$U$4:$AF$17,$B10)))</f>
        <v>1939.893111501973</v>
      </c>
      <c r="FA28" s="56">
        <f>IF(FA$23&lt;'A&amp;Rs'!$V14,HLOOKUP(FA$21,$F$4:$Q$17,$B10),IF(AND(FA$23&gt;='A&amp;Rs'!$V14,FA$23&lt;'A&amp;Rs'!$X14),0,HLOOKUP(FA$21,$U$4:$AF$17,$B10)))</f>
        <v>1939.893111501973</v>
      </c>
      <c r="FB28" s="56">
        <f>IF(FB$23&lt;'A&amp;Rs'!$V14,HLOOKUP(FB$21,$F$4:$Q$17,$B10),IF(AND(FB$23&gt;='A&amp;Rs'!$V14,FB$23&lt;'A&amp;Rs'!$X14),0,HLOOKUP(FB$21,$U$4:$AF$17,$B10)))</f>
        <v>1939.893111501973</v>
      </c>
      <c r="FC28" s="56">
        <f>IF(FC$23&lt;'A&amp;Rs'!$V14,HLOOKUP(FC$21,$F$4:$Q$17,$B10),IF(AND(FC$23&gt;='A&amp;Rs'!$V14,FC$23&lt;'A&amp;Rs'!$X14),0,HLOOKUP(FC$21,$U$4:$AF$17,$B10)))</f>
        <v>1939.893111501973</v>
      </c>
      <c r="FD28" s="56">
        <f>IF(FD$23&lt;'A&amp;Rs'!$V14,HLOOKUP(FD$21,$F$4:$Q$17,$B10),IF(AND(FD$23&gt;='A&amp;Rs'!$V14,FD$23&lt;'A&amp;Rs'!$X14),0,HLOOKUP(FD$21,$U$4:$AF$17,$B10)))</f>
        <v>1939.893111501973</v>
      </c>
      <c r="FE28" s="56">
        <f>IF(FE$23&lt;'A&amp;Rs'!$V14,HLOOKUP(FE$21,$F$4:$Q$17,$B10),IF(AND(FE$23&gt;='A&amp;Rs'!$V14,FE$23&lt;'A&amp;Rs'!$X14),0,HLOOKUP(FE$21,$U$4:$AF$17,$B10)))</f>
        <v>1939.893111501973</v>
      </c>
      <c r="FF28" s="1" t="s">
        <v>39</v>
      </c>
      <c r="FG28" s="1"/>
      <c r="FH28" s="1"/>
      <c r="FI28" s="99"/>
    </row>
    <row r="29" spans="2:165" x14ac:dyDescent="0.3">
      <c r="C29" s="98"/>
      <c r="D29" s="123">
        <f>'A&amp;Rs'!Q15</f>
        <v>6</v>
      </c>
      <c r="E29" s="56">
        <f t="shared" si="11"/>
        <v>1346</v>
      </c>
      <c r="F29" s="56">
        <f>IF(F$23&lt;'A&amp;Rs'!$V15,HLOOKUP(F$21,$F$4:$Q$17,$B11),IF(AND(F$23&gt;='A&amp;Rs'!$V15,F$23&lt;'A&amp;Rs'!$X15),0,HLOOKUP(F$21,$U$4:$AF$17,$B11)))</f>
        <v>1346</v>
      </c>
      <c r="G29" s="56">
        <f>IF(G$23&lt;'A&amp;Rs'!$V15,HLOOKUP(G$21,$F$4:$Q$17,$B11),IF(AND(G$23&gt;='A&amp;Rs'!$V15,G$23&lt;'A&amp;Rs'!$X15),0,HLOOKUP(G$21,$U$4:$AF$17,$B11)))</f>
        <v>1346</v>
      </c>
      <c r="H29" s="56">
        <f>IF(H$23&lt;'A&amp;Rs'!$V15,HLOOKUP(H$21,$F$4:$Q$17,$B11),IF(AND(H$23&gt;='A&amp;Rs'!$V15,H$23&lt;'A&amp;Rs'!$X15),0,HLOOKUP(H$21,$U$4:$AF$17,$B11)))</f>
        <v>1346</v>
      </c>
      <c r="I29" s="56">
        <f>IF(I$23&lt;'A&amp;Rs'!$V15,HLOOKUP(I$21,$F$4:$Q$17,$B11),IF(AND(I$23&gt;='A&amp;Rs'!$V15,I$23&lt;'A&amp;Rs'!$X15),0,HLOOKUP(I$21,$U$4:$AF$17,$B11)))</f>
        <v>1346</v>
      </c>
      <c r="J29" s="56">
        <f>IF(J$23&lt;'A&amp;Rs'!$V15,HLOOKUP(J$21,$F$4:$Q$17,$B11),IF(AND(J$23&gt;='A&amp;Rs'!$V15,J$23&lt;'A&amp;Rs'!$X15),0,HLOOKUP(J$21,$U$4:$AF$17,$B11)))</f>
        <v>1346</v>
      </c>
      <c r="K29" s="56">
        <f>IF(K$23&lt;'A&amp;Rs'!$V15,HLOOKUP(K$21,$F$4:$Q$17,$B11),IF(AND(K$23&gt;='A&amp;Rs'!$V15,K$23&lt;'A&amp;Rs'!$X15),0,HLOOKUP(K$21,$U$4:$AF$17,$B11)))</f>
        <v>0</v>
      </c>
      <c r="L29" s="56">
        <f>IF(L$23&lt;'A&amp;Rs'!$V15,HLOOKUP(L$21,$F$4:$Q$17,$B11),IF(AND(L$23&gt;='A&amp;Rs'!$V15,L$23&lt;'A&amp;Rs'!$X15),0,HLOOKUP(L$21,$U$4:$AF$17,$B11)))</f>
        <v>0</v>
      </c>
      <c r="M29" s="56">
        <f>IF(M$23&lt;'A&amp;Rs'!$V15,HLOOKUP(M$21,$F$4:$Q$17,$B11),IF(AND(M$23&gt;='A&amp;Rs'!$V15,M$23&lt;'A&amp;Rs'!$X15),0,HLOOKUP(M$21,$U$4:$AF$17,$B11)))</f>
        <v>0</v>
      </c>
      <c r="N29" s="56">
        <f>IF(N$23&lt;'A&amp;Rs'!$V15,HLOOKUP(N$21,$F$4:$Q$17,$B11),IF(AND(N$23&gt;='A&amp;Rs'!$V15,N$23&lt;'A&amp;Rs'!$X15),0,HLOOKUP(N$21,$U$4:$AF$17,$B11)))</f>
        <v>1626</v>
      </c>
      <c r="O29" s="56">
        <f>IF(O$23&lt;'A&amp;Rs'!$V15,HLOOKUP(O$21,$F$4:$Q$17,$B11),IF(AND(O$23&gt;='A&amp;Rs'!$V15,O$23&lt;'A&amp;Rs'!$X15),0,HLOOKUP(O$21,$U$4:$AF$17,$B11)))</f>
        <v>1626</v>
      </c>
      <c r="P29" s="56">
        <f>IF(P$23&lt;'A&amp;Rs'!$V15,HLOOKUP(P$21,$F$4:$Q$17,$B11),IF(AND(P$23&gt;='A&amp;Rs'!$V15,P$23&lt;'A&amp;Rs'!$X15),0,HLOOKUP(P$21,$U$4:$AF$17,$B11)))</f>
        <v>1626</v>
      </c>
      <c r="Q29" s="56">
        <f>IF(Q$23&lt;'A&amp;Rs'!$V15,HLOOKUP(Q$21,$F$4:$Q$17,$B11),IF(AND(Q$23&gt;='A&amp;Rs'!$V15,Q$23&lt;'A&amp;Rs'!$X15),0,HLOOKUP(Q$21,$U$4:$AF$17,$B11)))</f>
        <v>1626</v>
      </c>
      <c r="R29" s="56">
        <f>IF(R$23&lt;'A&amp;Rs'!$V15,HLOOKUP(R$21,$F$4:$Q$17,$B11),IF(AND(R$23&gt;='A&amp;Rs'!$V15,R$23&lt;'A&amp;Rs'!$X15),0,HLOOKUP(R$21,$U$4:$AF$17,$B11)))</f>
        <v>1674.78</v>
      </c>
      <c r="S29" s="56">
        <f>IF(S$23&lt;'A&amp;Rs'!$V15,HLOOKUP(S$21,$F$4:$Q$17,$B11),IF(AND(S$23&gt;='A&amp;Rs'!$V15,S$23&lt;'A&amp;Rs'!$X15),0,HLOOKUP(S$21,$U$4:$AF$17,$B11)))</f>
        <v>1674.78</v>
      </c>
      <c r="T29" s="56">
        <f>IF(T$23&lt;'A&amp;Rs'!$V15,HLOOKUP(T$21,$F$4:$Q$17,$B11),IF(AND(T$23&gt;='A&amp;Rs'!$V15,T$23&lt;'A&amp;Rs'!$X15),0,HLOOKUP(T$21,$U$4:$AF$17,$B11)))</f>
        <v>1674.78</v>
      </c>
      <c r="U29" s="56">
        <f>IF(U$23&lt;'A&amp;Rs'!$V15,HLOOKUP(U$21,$F$4:$Q$17,$B11),IF(AND(U$23&gt;='A&amp;Rs'!$V15,U$23&lt;'A&amp;Rs'!$X15),0,HLOOKUP(U$21,$U$4:$AF$17,$B11)))</f>
        <v>1674.78</v>
      </c>
      <c r="V29" s="56">
        <f>IF(V$23&lt;'A&amp;Rs'!$V15,HLOOKUP(V$21,$F$4:$Q$17,$B11),IF(AND(V$23&gt;='A&amp;Rs'!$V15,V$23&lt;'A&amp;Rs'!$X15),0,HLOOKUP(V$21,$U$4:$AF$17,$B11)))</f>
        <v>1674.78</v>
      </c>
      <c r="W29" s="56">
        <f>IF(W$23&lt;'A&amp;Rs'!$V15,HLOOKUP(W$21,$F$4:$Q$17,$B11),IF(AND(W$23&gt;='A&amp;Rs'!$V15,W$23&lt;'A&amp;Rs'!$X15),0,HLOOKUP(W$21,$U$4:$AF$17,$B11)))</f>
        <v>1674.78</v>
      </c>
      <c r="X29" s="56">
        <f>IF(X$23&lt;'A&amp;Rs'!$V15,HLOOKUP(X$21,$F$4:$Q$17,$B11),IF(AND(X$23&gt;='A&amp;Rs'!$V15,X$23&lt;'A&amp;Rs'!$X15),0,HLOOKUP(X$21,$U$4:$AF$17,$B11)))</f>
        <v>1674.78</v>
      </c>
      <c r="Y29" s="56">
        <f>IF(Y$23&lt;'A&amp;Rs'!$V15,HLOOKUP(Y$21,$F$4:$Q$17,$B11),IF(AND(Y$23&gt;='A&amp;Rs'!$V15,Y$23&lt;'A&amp;Rs'!$X15),0,HLOOKUP(Y$21,$U$4:$AF$17,$B11)))</f>
        <v>1674.78</v>
      </c>
      <c r="Z29" s="56">
        <f>IF(Z$23&lt;'A&amp;Rs'!$V15,HLOOKUP(Z$21,$F$4:$Q$17,$B11),IF(AND(Z$23&gt;='A&amp;Rs'!$V15,Z$23&lt;'A&amp;Rs'!$X15),0,HLOOKUP(Z$21,$U$4:$AF$17,$B11)))</f>
        <v>1674.78</v>
      </c>
      <c r="AA29" s="56">
        <f>IF(AA$23&lt;'A&amp;Rs'!$V15,HLOOKUP(AA$21,$F$4:$Q$17,$B11),IF(AND(AA$23&gt;='A&amp;Rs'!$V15,AA$23&lt;'A&amp;Rs'!$X15),0,HLOOKUP(AA$21,$U$4:$AF$17,$B11)))</f>
        <v>1674.78</v>
      </c>
      <c r="AB29" s="56">
        <f>IF(AB$23&lt;'A&amp;Rs'!$V15,HLOOKUP(AB$21,$F$4:$Q$17,$B11),IF(AND(AB$23&gt;='A&amp;Rs'!$V15,AB$23&lt;'A&amp;Rs'!$X15),0,HLOOKUP(AB$21,$U$4:$AF$17,$B11)))</f>
        <v>1674.78</v>
      </c>
      <c r="AC29" s="56">
        <f>IF(AC$23&lt;'A&amp;Rs'!$V15,HLOOKUP(AC$21,$F$4:$Q$17,$B11),IF(AND(AC$23&gt;='A&amp;Rs'!$V15,AC$23&lt;'A&amp;Rs'!$X15),0,HLOOKUP(AC$21,$U$4:$AF$17,$B11)))</f>
        <v>1674.78</v>
      </c>
      <c r="AD29" s="56">
        <f>IF(AD$23&lt;'A&amp;Rs'!$V15,HLOOKUP(AD$21,$F$4:$Q$17,$B11),IF(AND(AD$23&gt;='A&amp;Rs'!$V15,AD$23&lt;'A&amp;Rs'!$X15),0,HLOOKUP(AD$21,$U$4:$AF$17,$B11)))</f>
        <v>1708.2755999999999</v>
      </c>
      <c r="AE29" s="56">
        <f>IF(AE$23&lt;'A&amp;Rs'!$V15,HLOOKUP(AE$21,$F$4:$Q$17,$B11),IF(AND(AE$23&gt;='A&amp;Rs'!$V15,AE$23&lt;'A&amp;Rs'!$X15),0,HLOOKUP(AE$21,$U$4:$AF$17,$B11)))</f>
        <v>1708.2755999999999</v>
      </c>
      <c r="AF29" s="56">
        <f>IF(AF$23&lt;'A&amp;Rs'!$V15,HLOOKUP(AF$21,$F$4:$Q$17,$B11),IF(AND(AF$23&gt;='A&amp;Rs'!$V15,AF$23&lt;'A&amp;Rs'!$X15),0,HLOOKUP(AF$21,$U$4:$AF$17,$B11)))</f>
        <v>1708.2755999999999</v>
      </c>
      <c r="AG29" s="56">
        <f>IF(AG$23&lt;'A&amp;Rs'!$V15,HLOOKUP(AG$21,$F$4:$Q$17,$B11),IF(AND(AG$23&gt;='A&amp;Rs'!$V15,AG$23&lt;'A&amp;Rs'!$X15),0,HLOOKUP(AG$21,$U$4:$AF$17,$B11)))</f>
        <v>1708.2755999999999</v>
      </c>
      <c r="AH29" s="56">
        <f>IF(AH$23&lt;'A&amp;Rs'!$V15,HLOOKUP(AH$21,$F$4:$Q$17,$B11),IF(AND(AH$23&gt;='A&amp;Rs'!$V15,AH$23&lt;'A&amp;Rs'!$X15),0,HLOOKUP(AH$21,$U$4:$AF$17,$B11)))</f>
        <v>1708.2755999999999</v>
      </c>
      <c r="AI29" s="56">
        <f>IF(AI$23&lt;'A&amp;Rs'!$V15,HLOOKUP(AI$21,$F$4:$Q$17,$B11),IF(AND(AI$23&gt;='A&amp;Rs'!$V15,AI$23&lt;'A&amp;Rs'!$X15),0,HLOOKUP(AI$21,$U$4:$AF$17,$B11)))</f>
        <v>1708.2755999999999</v>
      </c>
      <c r="AJ29" s="56">
        <f>IF(AJ$23&lt;'A&amp;Rs'!$V15,HLOOKUP(AJ$21,$F$4:$Q$17,$B11),IF(AND(AJ$23&gt;='A&amp;Rs'!$V15,AJ$23&lt;'A&amp;Rs'!$X15),0,HLOOKUP(AJ$21,$U$4:$AF$17,$B11)))</f>
        <v>1708.2755999999999</v>
      </c>
      <c r="AK29" s="56">
        <f>IF(AK$23&lt;'A&amp;Rs'!$V15,HLOOKUP(AK$21,$F$4:$Q$17,$B11),IF(AND(AK$23&gt;='A&amp;Rs'!$V15,AK$23&lt;'A&amp;Rs'!$X15),0,HLOOKUP(AK$21,$U$4:$AF$17,$B11)))</f>
        <v>1708.2755999999999</v>
      </c>
      <c r="AL29" s="56">
        <f>IF(AL$23&lt;'A&amp;Rs'!$V15,HLOOKUP(AL$21,$F$4:$Q$17,$B11),IF(AND(AL$23&gt;='A&amp;Rs'!$V15,AL$23&lt;'A&amp;Rs'!$X15),0,HLOOKUP(AL$21,$U$4:$AF$17,$B11)))</f>
        <v>1708.2755999999999</v>
      </c>
      <c r="AM29" s="56">
        <f>IF(AM$23&lt;'A&amp;Rs'!$V15,HLOOKUP(AM$21,$F$4:$Q$17,$B11),IF(AND(AM$23&gt;='A&amp;Rs'!$V15,AM$23&lt;'A&amp;Rs'!$X15),0,HLOOKUP(AM$21,$U$4:$AF$17,$B11)))</f>
        <v>1708.2755999999999</v>
      </c>
      <c r="AN29" s="56">
        <f>IF(AN$23&lt;'A&amp;Rs'!$V15,HLOOKUP(AN$21,$F$4:$Q$17,$B11),IF(AND(AN$23&gt;='A&amp;Rs'!$V15,AN$23&lt;'A&amp;Rs'!$X15),0,HLOOKUP(AN$21,$U$4:$AF$17,$B11)))</f>
        <v>1708.2755999999999</v>
      </c>
      <c r="AO29" s="56">
        <f>IF(AO$23&lt;'A&amp;Rs'!$V15,HLOOKUP(AO$21,$F$4:$Q$17,$B11),IF(AND(AO$23&gt;='A&amp;Rs'!$V15,AO$23&lt;'A&amp;Rs'!$X15),0,HLOOKUP(AO$21,$U$4:$AF$17,$B11)))</f>
        <v>1708.2755999999999</v>
      </c>
      <c r="AP29" s="56">
        <f>IF(AP$23&lt;'A&amp;Rs'!$V15,HLOOKUP(AP$21,$F$4:$Q$17,$B11),IF(AND(AP$23&gt;='A&amp;Rs'!$V15,AP$23&lt;'A&amp;Rs'!$X15),0,HLOOKUP(AP$21,$U$4:$AF$17,$B11)))</f>
        <v>1759.523868</v>
      </c>
      <c r="AQ29" s="56">
        <f>IF(AQ$23&lt;'A&amp;Rs'!$V15,HLOOKUP(AQ$21,$F$4:$Q$17,$B11),IF(AND(AQ$23&gt;='A&amp;Rs'!$V15,AQ$23&lt;'A&amp;Rs'!$X15),0,HLOOKUP(AQ$21,$U$4:$AF$17,$B11)))</f>
        <v>1759.523868</v>
      </c>
      <c r="AR29" s="56">
        <f>IF(AR$23&lt;'A&amp;Rs'!$V15,HLOOKUP(AR$21,$F$4:$Q$17,$B11),IF(AND(AR$23&gt;='A&amp;Rs'!$V15,AR$23&lt;'A&amp;Rs'!$X15),0,HLOOKUP(AR$21,$U$4:$AF$17,$B11)))</f>
        <v>1759.523868</v>
      </c>
      <c r="AS29" s="56">
        <f>IF(AS$23&lt;'A&amp;Rs'!$V15,HLOOKUP(AS$21,$F$4:$Q$17,$B11),IF(AND(AS$23&gt;='A&amp;Rs'!$V15,AS$23&lt;'A&amp;Rs'!$X15),0,HLOOKUP(AS$21,$U$4:$AF$17,$B11)))</f>
        <v>1759.523868</v>
      </c>
      <c r="AT29" s="56">
        <f>IF(AT$23&lt;'A&amp;Rs'!$V15,HLOOKUP(AT$21,$F$4:$Q$17,$B11),IF(AND(AT$23&gt;='A&amp;Rs'!$V15,AT$23&lt;'A&amp;Rs'!$X15),0,HLOOKUP(AT$21,$U$4:$AF$17,$B11)))</f>
        <v>1759.523868</v>
      </c>
      <c r="AU29" s="56">
        <f>IF(AU$23&lt;'A&amp;Rs'!$V15,HLOOKUP(AU$21,$F$4:$Q$17,$B11),IF(AND(AU$23&gt;='A&amp;Rs'!$V15,AU$23&lt;'A&amp;Rs'!$X15),0,HLOOKUP(AU$21,$U$4:$AF$17,$B11)))</f>
        <v>1759.523868</v>
      </c>
      <c r="AV29" s="56">
        <f>IF(AV$23&lt;'A&amp;Rs'!$V15,HLOOKUP(AV$21,$F$4:$Q$17,$B11),IF(AND(AV$23&gt;='A&amp;Rs'!$V15,AV$23&lt;'A&amp;Rs'!$X15),0,HLOOKUP(AV$21,$U$4:$AF$17,$B11)))</f>
        <v>1759.523868</v>
      </c>
      <c r="AW29" s="56">
        <f>IF(AW$23&lt;'A&amp;Rs'!$V15,HLOOKUP(AW$21,$F$4:$Q$17,$B11),IF(AND(AW$23&gt;='A&amp;Rs'!$V15,AW$23&lt;'A&amp;Rs'!$X15),0,HLOOKUP(AW$21,$U$4:$AF$17,$B11)))</f>
        <v>1759.523868</v>
      </c>
      <c r="AX29" s="56">
        <f>IF(AX$23&lt;'A&amp;Rs'!$V15,HLOOKUP(AX$21,$F$4:$Q$17,$B11),IF(AND(AX$23&gt;='A&amp;Rs'!$V15,AX$23&lt;'A&amp;Rs'!$X15),0,HLOOKUP(AX$21,$U$4:$AF$17,$B11)))</f>
        <v>1759.523868</v>
      </c>
      <c r="AY29" s="56">
        <f>IF(AY$23&lt;'A&amp;Rs'!$V15,HLOOKUP(AY$21,$F$4:$Q$17,$B11),IF(AND(AY$23&gt;='A&amp;Rs'!$V15,AY$23&lt;'A&amp;Rs'!$X15),0,HLOOKUP(AY$21,$U$4:$AF$17,$B11)))</f>
        <v>1759.523868</v>
      </c>
      <c r="AZ29" s="56">
        <f>IF(AZ$23&lt;'A&amp;Rs'!$V15,HLOOKUP(AZ$21,$F$4:$Q$17,$B11),IF(AND(AZ$23&gt;='A&amp;Rs'!$V15,AZ$23&lt;'A&amp;Rs'!$X15),0,HLOOKUP(AZ$21,$U$4:$AF$17,$B11)))</f>
        <v>1759.523868</v>
      </c>
      <c r="BA29" s="56">
        <f>IF(BA$23&lt;'A&amp;Rs'!$V15,HLOOKUP(BA$21,$F$4:$Q$17,$B11),IF(AND(BA$23&gt;='A&amp;Rs'!$V15,BA$23&lt;'A&amp;Rs'!$X15),0,HLOOKUP(BA$21,$U$4:$AF$17,$B11)))</f>
        <v>1759.523868</v>
      </c>
      <c r="BB29" s="56">
        <f>IF(BB$23&lt;'A&amp;Rs'!$V15,HLOOKUP(BB$21,$F$4:$Q$17,$B11),IF(AND(BB$23&gt;='A&amp;Rs'!$V15,BB$23&lt;'A&amp;Rs'!$X15),0,HLOOKUP(BB$21,$U$4:$AF$17,$B11)))</f>
        <v>1812.3095840400001</v>
      </c>
      <c r="BC29" s="56">
        <f>IF(BC$23&lt;'A&amp;Rs'!$V15,HLOOKUP(BC$21,$F$4:$Q$17,$B11),IF(AND(BC$23&gt;='A&amp;Rs'!$V15,BC$23&lt;'A&amp;Rs'!$X15),0,HLOOKUP(BC$21,$U$4:$AF$17,$B11)))</f>
        <v>1812.3095840400001</v>
      </c>
      <c r="BD29" s="56">
        <f>IF(BD$23&lt;'A&amp;Rs'!$V15,HLOOKUP(BD$21,$F$4:$Q$17,$B11),IF(AND(BD$23&gt;='A&amp;Rs'!$V15,BD$23&lt;'A&amp;Rs'!$X15),0,HLOOKUP(BD$21,$U$4:$AF$17,$B11)))</f>
        <v>1812.3095840400001</v>
      </c>
      <c r="BE29" s="56">
        <f>IF(BE$23&lt;'A&amp;Rs'!$V15,HLOOKUP(BE$21,$F$4:$Q$17,$B11),IF(AND(BE$23&gt;='A&amp;Rs'!$V15,BE$23&lt;'A&amp;Rs'!$X15),0,HLOOKUP(BE$21,$U$4:$AF$17,$B11)))</f>
        <v>1812.3095840400001</v>
      </c>
      <c r="BF29" s="56">
        <f>IF(BF$23&lt;'A&amp;Rs'!$V15,HLOOKUP(BF$21,$F$4:$Q$17,$B11),IF(AND(BF$23&gt;='A&amp;Rs'!$V15,BF$23&lt;'A&amp;Rs'!$X15),0,HLOOKUP(BF$21,$U$4:$AF$17,$B11)))</f>
        <v>1812.3095840400001</v>
      </c>
      <c r="BG29" s="56">
        <f>IF(BG$23&lt;'A&amp;Rs'!$V15,HLOOKUP(BG$21,$F$4:$Q$17,$B11),IF(AND(BG$23&gt;='A&amp;Rs'!$V15,BG$23&lt;'A&amp;Rs'!$X15),0,HLOOKUP(BG$21,$U$4:$AF$17,$B11)))</f>
        <v>1812.3095840400001</v>
      </c>
      <c r="BH29" s="56">
        <f>IF(BH$23&lt;'A&amp;Rs'!$V15,HLOOKUP(BH$21,$F$4:$Q$17,$B11),IF(AND(BH$23&gt;='A&amp;Rs'!$V15,BH$23&lt;'A&amp;Rs'!$X15),0,HLOOKUP(BH$21,$U$4:$AF$17,$B11)))</f>
        <v>1812.3095840400001</v>
      </c>
      <c r="BI29" s="56">
        <f>IF(BI$23&lt;'A&amp;Rs'!$V15,HLOOKUP(BI$21,$F$4:$Q$17,$B11),IF(AND(BI$23&gt;='A&amp;Rs'!$V15,BI$23&lt;'A&amp;Rs'!$X15),0,HLOOKUP(BI$21,$U$4:$AF$17,$B11)))</f>
        <v>1812.3095840400001</v>
      </c>
      <c r="BJ29" s="56">
        <f>IF(BJ$23&lt;'A&amp;Rs'!$V15,HLOOKUP(BJ$21,$F$4:$Q$17,$B11),IF(AND(BJ$23&gt;='A&amp;Rs'!$V15,BJ$23&lt;'A&amp;Rs'!$X15),0,HLOOKUP(BJ$21,$U$4:$AF$17,$B11)))</f>
        <v>1812.3095840400001</v>
      </c>
      <c r="BK29" s="56">
        <f>IF(BK$23&lt;'A&amp;Rs'!$V15,HLOOKUP(BK$21,$F$4:$Q$17,$B11),IF(AND(BK$23&gt;='A&amp;Rs'!$V15,BK$23&lt;'A&amp;Rs'!$X15),0,HLOOKUP(BK$21,$U$4:$AF$17,$B11)))</f>
        <v>1812.3095840400001</v>
      </c>
      <c r="BL29" s="56">
        <f>IF(BL$23&lt;'A&amp;Rs'!$V15,HLOOKUP(BL$21,$F$4:$Q$17,$B11),IF(AND(BL$23&gt;='A&amp;Rs'!$V15,BL$23&lt;'A&amp;Rs'!$X15),0,HLOOKUP(BL$21,$U$4:$AF$17,$B11)))</f>
        <v>1812.3095840400001</v>
      </c>
      <c r="BM29" s="56">
        <f>IF(BM$23&lt;'A&amp;Rs'!$V15,HLOOKUP(BM$21,$F$4:$Q$17,$B11),IF(AND(BM$23&gt;='A&amp;Rs'!$V15,BM$23&lt;'A&amp;Rs'!$X15),0,HLOOKUP(BM$21,$U$4:$AF$17,$B11)))</f>
        <v>1812.3095840400001</v>
      </c>
      <c r="BN29" s="56">
        <f>IF(BN$23&lt;'A&amp;Rs'!$V15,HLOOKUP(BN$21,$F$4:$Q$17,$B11),IF(AND(BN$23&gt;='A&amp;Rs'!$V15,BN$23&lt;'A&amp;Rs'!$X15),0,HLOOKUP(BN$21,$U$4:$AF$17,$B11)))</f>
        <v>1812.3095840400001</v>
      </c>
      <c r="BO29" s="56">
        <f>IF(BO$23&lt;'A&amp;Rs'!$V15,HLOOKUP(BO$21,$F$4:$Q$17,$B11),IF(AND(BO$23&gt;='A&amp;Rs'!$V15,BO$23&lt;'A&amp;Rs'!$X15),0,HLOOKUP(BO$21,$U$4:$AF$17,$B11)))</f>
        <v>1812.3095840400001</v>
      </c>
      <c r="BP29" s="56">
        <f>IF(BP$23&lt;'A&amp;Rs'!$V15,HLOOKUP(BP$21,$F$4:$Q$17,$B11),IF(AND(BP$23&gt;='A&amp;Rs'!$V15,BP$23&lt;'A&amp;Rs'!$X15),0,HLOOKUP(BP$21,$U$4:$AF$17,$B11)))</f>
        <v>1812.3095840400001</v>
      </c>
      <c r="BQ29" s="56">
        <f>IF(BQ$23&lt;'A&amp;Rs'!$V15,HLOOKUP(BQ$21,$F$4:$Q$17,$B11),IF(AND(BQ$23&gt;='A&amp;Rs'!$V15,BQ$23&lt;'A&amp;Rs'!$X15),0,HLOOKUP(BQ$21,$U$4:$AF$17,$B11)))</f>
        <v>1812.3095840400001</v>
      </c>
      <c r="BR29" s="56">
        <f>IF(BR$23&lt;'A&amp;Rs'!$V15,HLOOKUP(BR$21,$F$4:$Q$17,$B11),IF(AND(BR$23&gt;='A&amp;Rs'!$V15,BR$23&lt;'A&amp;Rs'!$X15),0,HLOOKUP(BR$21,$U$4:$AF$17,$B11)))</f>
        <v>1812.3095840400001</v>
      </c>
      <c r="BS29" s="56">
        <f>IF(BS$23&lt;'A&amp;Rs'!$V15,HLOOKUP(BS$21,$F$4:$Q$17,$B11),IF(AND(BS$23&gt;='A&amp;Rs'!$V15,BS$23&lt;'A&amp;Rs'!$X15),0,HLOOKUP(BS$21,$U$4:$AF$17,$B11)))</f>
        <v>1812.3095840400001</v>
      </c>
      <c r="BT29" s="56">
        <f>IF(BT$23&lt;'A&amp;Rs'!$V15,HLOOKUP(BT$21,$F$4:$Q$17,$B11),IF(AND(BT$23&gt;='A&amp;Rs'!$V15,BT$23&lt;'A&amp;Rs'!$X15),0,HLOOKUP(BT$21,$U$4:$AF$17,$B11)))</f>
        <v>1812.3095840400001</v>
      </c>
      <c r="BU29" s="56">
        <f>IF(BU$23&lt;'A&amp;Rs'!$V15,HLOOKUP(BU$21,$F$4:$Q$17,$B11),IF(AND(BU$23&gt;='A&amp;Rs'!$V15,BU$23&lt;'A&amp;Rs'!$X15),0,HLOOKUP(BU$21,$U$4:$AF$17,$B11)))</f>
        <v>1812.3095840400001</v>
      </c>
      <c r="BV29" s="56">
        <f>IF(BV$23&lt;'A&amp;Rs'!$V15,HLOOKUP(BV$21,$F$4:$Q$17,$B11),IF(AND(BV$23&gt;='A&amp;Rs'!$V15,BV$23&lt;'A&amp;Rs'!$X15),0,HLOOKUP(BV$21,$U$4:$AF$17,$B11)))</f>
        <v>1812.3095840400001</v>
      </c>
      <c r="BW29" s="56">
        <f>IF(BW$23&lt;'A&amp;Rs'!$V15,HLOOKUP(BW$21,$F$4:$Q$17,$B11),IF(AND(BW$23&gt;='A&amp;Rs'!$V15,BW$23&lt;'A&amp;Rs'!$X15),0,HLOOKUP(BW$21,$U$4:$AF$17,$B11)))</f>
        <v>1812.3095840400001</v>
      </c>
      <c r="BX29" s="56">
        <f>IF(BX$23&lt;'A&amp;Rs'!$V15,HLOOKUP(BX$21,$F$4:$Q$17,$B11),IF(AND(BX$23&gt;='A&amp;Rs'!$V15,BX$23&lt;'A&amp;Rs'!$X15),0,HLOOKUP(BX$21,$U$4:$AF$17,$B11)))</f>
        <v>1812.3095840400001</v>
      </c>
      <c r="BY29" s="56">
        <f>IF(BY$23&lt;'A&amp;Rs'!$V15,HLOOKUP(BY$21,$F$4:$Q$17,$B11),IF(AND(BY$23&gt;='A&amp;Rs'!$V15,BY$23&lt;'A&amp;Rs'!$X15),0,HLOOKUP(BY$21,$U$4:$AF$17,$B11)))</f>
        <v>1812.3095840400001</v>
      </c>
      <c r="BZ29" s="56">
        <f>IF(BZ$23&lt;'A&amp;Rs'!$V15,HLOOKUP(BZ$21,$F$4:$Q$17,$B11),IF(AND(BZ$23&gt;='A&amp;Rs'!$V15,BZ$23&lt;'A&amp;Rs'!$X15),0,HLOOKUP(BZ$21,$U$4:$AF$17,$B11)))</f>
        <v>1830.4326798804002</v>
      </c>
      <c r="CA29" s="56">
        <f>IF(CA$23&lt;'A&amp;Rs'!$V15,HLOOKUP(CA$21,$F$4:$Q$17,$B11),IF(AND(CA$23&gt;='A&amp;Rs'!$V15,CA$23&lt;'A&amp;Rs'!$X15),0,HLOOKUP(CA$21,$U$4:$AF$17,$B11)))</f>
        <v>1830.4326798804002</v>
      </c>
      <c r="CB29" s="56">
        <f>IF(CB$23&lt;'A&amp;Rs'!$V15,HLOOKUP(CB$21,$F$4:$Q$17,$B11),IF(AND(CB$23&gt;='A&amp;Rs'!$V15,CB$23&lt;'A&amp;Rs'!$X15),0,HLOOKUP(CB$21,$U$4:$AF$17,$B11)))</f>
        <v>1830.4326798804002</v>
      </c>
      <c r="CC29" s="56">
        <f>IF(CC$23&lt;'A&amp;Rs'!$V15,HLOOKUP(CC$21,$F$4:$Q$17,$B11),IF(AND(CC$23&gt;='A&amp;Rs'!$V15,CC$23&lt;'A&amp;Rs'!$X15),0,HLOOKUP(CC$21,$U$4:$AF$17,$B11)))</f>
        <v>1830.4326798804002</v>
      </c>
      <c r="CD29" s="56">
        <f>IF(CD$23&lt;'A&amp;Rs'!$V15,HLOOKUP(CD$21,$F$4:$Q$17,$B11),IF(AND(CD$23&gt;='A&amp;Rs'!$V15,CD$23&lt;'A&amp;Rs'!$X15),0,HLOOKUP(CD$21,$U$4:$AF$17,$B11)))</f>
        <v>1830.4326798804002</v>
      </c>
      <c r="CE29" s="56">
        <f>IF(CE$23&lt;'A&amp;Rs'!$V15,HLOOKUP(CE$21,$F$4:$Q$17,$B11),IF(AND(CE$23&gt;='A&amp;Rs'!$V15,CE$23&lt;'A&amp;Rs'!$X15),0,HLOOKUP(CE$21,$U$4:$AF$17,$B11)))</f>
        <v>1830.4326798804002</v>
      </c>
      <c r="CF29" s="56">
        <f>IF(CF$23&lt;'A&amp;Rs'!$V15,HLOOKUP(CF$21,$F$4:$Q$17,$B11),IF(AND(CF$23&gt;='A&amp;Rs'!$V15,CF$23&lt;'A&amp;Rs'!$X15),0,HLOOKUP(CF$21,$U$4:$AF$17,$B11)))</f>
        <v>1830.4326798804002</v>
      </c>
      <c r="CG29" s="56">
        <f>IF(CG$23&lt;'A&amp;Rs'!$V15,HLOOKUP(CG$21,$F$4:$Q$17,$B11),IF(AND(CG$23&gt;='A&amp;Rs'!$V15,CG$23&lt;'A&amp;Rs'!$X15),0,HLOOKUP(CG$21,$U$4:$AF$17,$B11)))</f>
        <v>1830.4326798804002</v>
      </c>
      <c r="CH29" s="56">
        <f>IF(CH$23&lt;'A&amp;Rs'!$V15,HLOOKUP(CH$21,$F$4:$Q$17,$B11),IF(AND(CH$23&gt;='A&amp;Rs'!$V15,CH$23&lt;'A&amp;Rs'!$X15),0,HLOOKUP(CH$21,$U$4:$AF$17,$B11)))</f>
        <v>1830.4326798804002</v>
      </c>
      <c r="CI29" s="56">
        <f>IF(CI$23&lt;'A&amp;Rs'!$V15,HLOOKUP(CI$21,$F$4:$Q$17,$B11),IF(AND(CI$23&gt;='A&amp;Rs'!$V15,CI$23&lt;'A&amp;Rs'!$X15),0,HLOOKUP(CI$21,$U$4:$AF$17,$B11)))</f>
        <v>1830.4326798804002</v>
      </c>
      <c r="CJ29" s="56">
        <f>IF(CJ$23&lt;'A&amp;Rs'!$V15,HLOOKUP(CJ$21,$F$4:$Q$17,$B11),IF(AND(CJ$23&gt;='A&amp;Rs'!$V15,CJ$23&lt;'A&amp;Rs'!$X15),0,HLOOKUP(CJ$21,$U$4:$AF$17,$B11)))</f>
        <v>1830.4326798804002</v>
      </c>
      <c r="CK29" s="56">
        <f>IF(CK$23&lt;'A&amp;Rs'!$V15,HLOOKUP(CK$21,$F$4:$Q$17,$B11),IF(AND(CK$23&gt;='A&amp;Rs'!$V15,CK$23&lt;'A&amp;Rs'!$X15),0,HLOOKUP(CK$21,$U$4:$AF$17,$B11)))</f>
        <v>1830.4326798804002</v>
      </c>
      <c r="CL29" s="56">
        <f>IF(CL$23&lt;'A&amp;Rs'!$V15,HLOOKUP(CL$21,$F$4:$Q$17,$B11),IF(AND(CL$23&gt;='A&amp;Rs'!$V15,CL$23&lt;'A&amp;Rs'!$X15),0,HLOOKUP(CL$21,$U$4:$AF$17,$B11)))</f>
        <v>1885.3456602768122</v>
      </c>
      <c r="CM29" s="56">
        <f>IF(CM$23&lt;'A&amp;Rs'!$V15,HLOOKUP(CM$21,$F$4:$Q$17,$B11),IF(AND(CM$23&gt;='A&amp;Rs'!$V15,CM$23&lt;'A&amp;Rs'!$X15),0,HLOOKUP(CM$21,$U$4:$AF$17,$B11)))</f>
        <v>1885.3456602768122</v>
      </c>
      <c r="CN29" s="56">
        <f>IF(CN$23&lt;'A&amp;Rs'!$V15,HLOOKUP(CN$21,$F$4:$Q$17,$B11),IF(AND(CN$23&gt;='A&amp;Rs'!$V15,CN$23&lt;'A&amp;Rs'!$X15),0,HLOOKUP(CN$21,$U$4:$AF$17,$B11)))</f>
        <v>1885.3456602768122</v>
      </c>
      <c r="CO29" s="56">
        <f>IF(CO$23&lt;'A&amp;Rs'!$V15,HLOOKUP(CO$21,$F$4:$Q$17,$B11),IF(AND(CO$23&gt;='A&amp;Rs'!$V15,CO$23&lt;'A&amp;Rs'!$X15),0,HLOOKUP(CO$21,$U$4:$AF$17,$B11)))</f>
        <v>1885.3456602768122</v>
      </c>
      <c r="CP29" s="56">
        <f>IF(CP$23&lt;'A&amp;Rs'!$V15,HLOOKUP(CP$21,$F$4:$Q$17,$B11),IF(AND(CP$23&gt;='A&amp;Rs'!$V15,CP$23&lt;'A&amp;Rs'!$X15),0,HLOOKUP(CP$21,$U$4:$AF$17,$B11)))</f>
        <v>1885.3456602768122</v>
      </c>
      <c r="CQ29" s="56">
        <f>IF(CQ$23&lt;'A&amp;Rs'!$V15,HLOOKUP(CQ$21,$F$4:$Q$17,$B11),IF(AND(CQ$23&gt;='A&amp;Rs'!$V15,CQ$23&lt;'A&amp;Rs'!$X15),0,HLOOKUP(CQ$21,$U$4:$AF$17,$B11)))</f>
        <v>1885.3456602768122</v>
      </c>
      <c r="CR29" s="56">
        <f>IF(CR$23&lt;'A&amp;Rs'!$V15,HLOOKUP(CR$21,$F$4:$Q$17,$B11),IF(AND(CR$23&gt;='A&amp;Rs'!$V15,CR$23&lt;'A&amp;Rs'!$X15),0,HLOOKUP(CR$21,$U$4:$AF$17,$B11)))</f>
        <v>1885.3456602768122</v>
      </c>
      <c r="CS29" s="56">
        <f>IF(CS$23&lt;'A&amp;Rs'!$V15,HLOOKUP(CS$21,$F$4:$Q$17,$B11),IF(AND(CS$23&gt;='A&amp;Rs'!$V15,CS$23&lt;'A&amp;Rs'!$X15),0,HLOOKUP(CS$21,$U$4:$AF$17,$B11)))</f>
        <v>1885.3456602768122</v>
      </c>
      <c r="CT29" s="56">
        <f>IF(CT$23&lt;'A&amp;Rs'!$V15,HLOOKUP(CT$21,$F$4:$Q$17,$B11),IF(AND(CT$23&gt;='A&amp;Rs'!$V15,CT$23&lt;'A&amp;Rs'!$X15),0,HLOOKUP(CT$21,$U$4:$AF$17,$B11)))</f>
        <v>1885.3456602768122</v>
      </c>
      <c r="CU29" s="56">
        <f>IF(CU$23&lt;'A&amp;Rs'!$V15,HLOOKUP(CU$21,$F$4:$Q$17,$B11),IF(AND(CU$23&gt;='A&amp;Rs'!$V15,CU$23&lt;'A&amp;Rs'!$X15),0,HLOOKUP(CU$21,$U$4:$AF$17,$B11)))</f>
        <v>1885.3456602768122</v>
      </c>
      <c r="CV29" s="56">
        <f>IF(CV$23&lt;'A&amp;Rs'!$V15,HLOOKUP(CV$21,$F$4:$Q$17,$B11),IF(AND(CV$23&gt;='A&amp;Rs'!$V15,CV$23&lt;'A&amp;Rs'!$X15),0,HLOOKUP(CV$21,$U$4:$AF$17,$B11)))</f>
        <v>1885.3456602768122</v>
      </c>
      <c r="CW29" s="56">
        <f>IF(CW$23&lt;'A&amp;Rs'!$V15,HLOOKUP(CW$21,$F$4:$Q$17,$B11),IF(AND(CW$23&gt;='A&amp;Rs'!$V15,CW$23&lt;'A&amp;Rs'!$X15),0,HLOOKUP(CW$21,$U$4:$AF$17,$B11)))</f>
        <v>1885.3456602768122</v>
      </c>
      <c r="CX29" s="56">
        <f>IF(CX$23&lt;'A&amp;Rs'!$V15,HLOOKUP(CX$21,$F$4:$Q$17,$B11),IF(AND(CX$23&gt;='A&amp;Rs'!$V15,CX$23&lt;'A&amp;Rs'!$X15),0,HLOOKUP(CX$21,$U$4:$AF$17,$B11)))</f>
        <v>1923.0525734823484</v>
      </c>
      <c r="CY29" s="56">
        <f>IF(CY$23&lt;'A&amp;Rs'!$V15,HLOOKUP(CY$21,$F$4:$Q$17,$B11),IF(AND(CY$23&gt;='A&amp;Rs'!$V15,CY$23&lt;'A&amp;Rs'!$X15),0,HLOOKUP(CY$21,$U$4:$AF$17,$B11)))</f>
        <v>1923.0525734823484</v>
      </c>
      <c r="CZ29" s="56">
        <f>IF(CZ$23&lt;'A&amp;Rs'!$V15,HLOOKUP(CZ$21,$F$4:$Q$17,$B11),IF(AND(CZ$23&gt;='A&amp;Rs'!$V15,CZ$23&lt;'A&amp;Rs'!$X15),0,HLOOKUP(CZ$21,$U$4:$AF$17,$B11)))</f>
        <v>1923.0525734823484</v>
      </c>
      <c r="DA29" s="56">
        <f>IF(DA$23&lt;'A&amp;Rs'!$V15,HLOOKUP(DA$21,$F$4:$Q$17,$B11),IF(AND(DA$23&gt;='A&amp;Rs'!$V15,DA$23&lt;'A&amp;Rs'!$X15),0,HLOOKUP(DA$21,$U$4:$AF$17,$B11)))</f>
        <v>1923.0525734823484</v>
      </c>
      <c r="DB29" s="56">
        <f>IF(DB$23&lt;'A&amp;Rs'!$V15,HLOOKUP(DB$21,$F$4:$Q$17,$B11),IF(AND(DB$23&gt;='A&amp;Rs'!$V15,DB$23&lt;'A&amp;Rs'!$X15),0,HLOOKUP(DB$21,$U$4:$AF$17,$B11)))</f>
        <v>1923.0525734823484</v>
      </c>
      <c r="DC29" s="56">
        <f>IF(DC$23&lt;'A&amp;Rs'!$V15,HLOOKUP(DC$21,$F$4:$Q$17,$B11),IF(AND(DC$23&gt;='A&amp;Rs'!$V15,DC$23&lt;'A&amp;Rs'!$X15),0,HLOOKUP(DC$21,$U$4:$AF$17,$B11)))</f>
        <v>1923.0525734823484</v>
      </c>
      <c r="DD29" s="56">
        <f>IF(DD$23&lt;'A&amp;Rs'!$V15,HLOOKUP(DD$21,$F$4:$Q$17,$B11),IF(AND(DD$23&gt;='A&amp;Rs'!$V15,DD$23&lt;'A&amp;Rs'!$X15),0,HLOOKUP(DD$21,$U$4:$AF$17,$B11)))</f>
        <v>1923.0525734823484</v>
      </c>
      <c r="DE29" s="56">
        <f>IF(DE$23&lt;'A&amp;Rs'!$V15,HLOOKUP(DE$21,$F$4:$Q$17,$B11),IF(AND(DE$23&gt;='A&amp;Rs'!$V15,DE$23&lt;'A&amp;Rs'!$X15),0,HLOOKUP(DE$21,$U$4:$AF$17,$B11)))</f>
        <v>1923.0525734823484</v>
      </c>
      <c r="DF29" s="56">
        <f>IF(DF$23&lt;'A&amp;Rs'!$V15,HLOOKUP(DF$21,$F$4:$Q$17,$B11),IF(AND(DF$23&gt;='A&amp;Rs'!$V15,DF$23&lt;'A&amp;Rs'!$X15),0,HLOOKUP(DF$21,$U$4:$AF$17,$B11)))</f>
        <v>1923.0525734823484</v>
      </c>
      <c r="DG29" s="56">
        <f>IF(DG$23&lt;'A&amp;Rs'!$V15,HLOOKUP(DG$21,$F$4:$Q$17,$B11),IF(AND(DG$23&gt;='A&amp;Rs'!$V15,DG$23&lt;'A&amp;Rs'!$X15),0,HLOOKUP(DG$21,$U$4:$AF$17,$B11)))</f>
        <v>1923.0525734823484</v>
      </c>
      <c r="DH29" s="56">
        <f>IF(DH$23&lt;'A&amp;Rs'!$V15,HLOOKUP(DH$21,$F$4:$Q$17,$B11),IF(AND(DH$23&gt;='A&amp;Rs'!$V15,DH$23&lt;'A&amp;Rs'!$X15),0,HLOOKUP(DH$21,$U$4:$AF$17,$B11)))</f>
        <v>1923.0525734823484</v>
      </c>
      <c r="DI29" s="56">
        <f>IF(DI$23&lt;'A&amp;Rs'!$V15,HLOOKUP(DI$21,$F$4:$Q$17,$B11),IF(AND(DI$23&gt;='A&amp;Rs'!$V15,DI$23&lt;'A&amp;Rs'!$X15),0,HLOOKUP(DI$21,$U$4:$AF$17,$B11)))</f>
        <v>1923.0525734823484</v>
      </c>
      <c r="DJ29" s="56">
        <f>IF(DJ$23&lt;'A&amp;Rs'!$V15,HLOOKUP(DJ$21,$F$4:$Q$17,$B11),IF(AND(DJ$23&gt;='A&amp;Rs'!$V15,DJ$23&lt;'A&amp;Rs'!$X15),0,HLOOKUP(DJ$21,$U$4:$AF$17,$B11)))</f>
        <v>1942.2830992171719</v>
      </c>
      <c r="DK29" s="56">
        <f>IF(DK$23&lt;'A&amp;Rs'!$V15,HLOOKUP(DK$21,$F$4:$Q$17,$B11),IF(AND(DK$23&gt;='A&amp;Rs'!$V15,DK$23&lt;'A&amp;Rs'!$X15),0,HLOOKUP(DK$21,$U$4:$AF$17,$B11)))</f>
        <v>1942.2830992171719</v>
      </c>
      <c r="DL29" s="56">
        <f>IF(DL$23&lt;'A&amp;Rs'!$V15,HLOOKUP(DL$21,$F$4:$Q$17,$B11),IF(AND(DL$23&gt;='A&amp;Rs'!$V15,DL$23&lt;'A&amp;Rs'!$X15),0,HLOOKUP(DL$21,$U$4:$AF$17,$B11)))</f>
        <v>1942.2830992171719</v>
      </c>
      <c r="DM29" s="56">
        <f>IF(DM$23&lt;'A&amp;Rs'!$V15,HLOOKUP(DM$21,$F$4:$Q$17,$B11),IF(AND(DM$23&gt;='A&amp;Rs'!$V15,DM$23&lt;'A&amp;Rs'!$X15),0,HLOOKUP(DM$21,$U$4:$AF$17,$B11)))</f>
        <v>1942.2830992171719</v>
      </c>
      <c r="DN29" s="56">
        <f>IF(DN$23&lt;'A&amp;Rs'!$V15,HLOOKUP(DN$21,$F$4:$Q$17,$B11),IF(AND(DN$23&gt;='A&amp;Rs'!$V15,DN$23&lt;'A&amp;Rs'!$X15),0,HLOOKUP(DN$21,$U$4:$AF$17,$B11)))</f>
        <v>1942.2830992171719</v>
      </c>
      <c r="DO29" s="56">
        <f>IF(DO$23&lt;'A&amp;Rs'!$V15,HLOOKUP(DO$21,$F$4:$Q$17,$B11),IF(AND(DO$23&gt;='A&amp;Rs'!$V15,DO$23&lt;'A&amp;Rs'!$X15),0,HLOOKUP(DO$21,$U$4:$AF$17,$B11)))</f>
        <v>1942.2830992171719</v>
      </c>
      <c r="DP29" s="56">
        <f>IF(DP$23&lt;'A&amp;Rs'!$V15,HLOOKUP(DP$21,$F$4:$Q$17,$B11),IF(AND(DP$23&gt;='A&amp;Rs'!$V15,DP$23&lt;'A&amp;Rs'!$X15),0,HLOOKUP(DP$21,$U$4:$AF$17,$B11)))</f>
        <v>1942.2830992171719</v>
      </c>
      <c r="DQ29" s="56">
        <f>IF(DQ$23&lt;'A&amp;Rs'!$V15,HLOOKUP(DQ$21,$F$4:$Q$17,$B11),IF(AND(DQ$23&gt;='A&amp;Rs'!$V15,DQ$23&lt;'A&amp;Rs'!$X15),0,HLOOKUP(DQ$21,$U$4:$AF$17,$B11)))</f>
        <v>1942.2830992171719</v>
      </c>
      <c r="DR29" s="56">
        <f>IF(DR$23&lt;'A&amp;Rs'!$V15,HLOOKUP(DR$21,$F$4:$Q$17,$B11),IF(AND(DR$23&gt;='A&amp;Rs'!$V15,DR$23&lt;'A&amp;Rs'!$X15),0,HLOOKUP(DR$21,$U$4:$AF$17,$B11)))</f>
        <v>1942.2830992171719</v>
      </c>
      <c r="DS29" s="56">
        <f>IF(DS$23&lt;'A&amp;Rs'!$V15,HLOOKUP(DS$21,$F$4:$Q$17,$B11),IF(AND(DS$23&gt;='A&amp;Rs'!$V15,DS$23&lt;'A&amp;Rs'!$X15),0,HLOOKUP(DS$21,$U$4:$AF$17,$B11)))</f>
        <v>1942.2830992171719</v>
      </c>
      <c r="DT29" s="56">
        <f>IF(DT$23&lt;'A&amp;Rs'!$V15,HLOOKUP(DT$21,$F$4:$Q$17,$B11),IF(AND(DT$23&gt;='A&amp;Rs'!$V15,DT$23&lt;'A&amp;Rs'!$X15),0,HLOOKUP(DT$21,$U$4:$AF$17,$B11)))</f>
        <v>1942.2830992171719</v>
      </c>
      <c r="DU29" s="56">
        <f>IF(DU$23&lt;'A&amp;Rs'!$V15,HLOOKUP(DU$21,$F$4:$Q$17,$B11),IF(AND(DU$23&gt;='A&amp;Rs'!$V15,DU$23&lt;'A&amp;Rs'!$X15),0,HLOOKUP(DU$21,$U$4:$AF$17,$B11)))</f>
        <v>1942.2830992171719</v>
      </c>
      <c r="DV29" s="56">
        <f>IF(DV$23&lt;'A&amp;Rs'!$V15,HLOOKUP(DV$21,$F$4:$Q$17,$B11),IF(AND(DV$23&gt;='A&amp;Rs'!$V15,DV$23&lt;'A&amp;Rs'!$X15),0,HLOOKUP(DV$21,$U$4:$AF$17,$B11)))</f>
        <v>1961.7059302093437</v>
      </c>
      <c r="DW29" s="56">
        <f>IF(DW$23&lt;'A&amp;Rs'!$V15,HLOOKUP(DW$21,$F$4:$Q$17,$B11),IF(AND(DW$23&gt;='A&amp;Rs'!$V15,DW$23&lt;'A&amp;Rs'!$X15),0,HLOOKUP(DW$21,$U$4:$AF$17,$B11)))</f>
        <v>1961.7059302093437</v>
      </c>
      <c r="DX29" s="56">
        <f>IF(DX$23&lt;'A&amp;Rs'!$V15,HLOOKUP(DX$21,$F$4:$Q$17,$B11),IF(AND(DX$23&gt;='A&amp;Rs'!$V15,DX$23&lt;'A&amp;Rs'!$X15),0,HLOOKUP(DX$21,$U$4:$AF$17,$B11)))</f>
        <v>1961.7059302093437</v>
      </c>
      <c r="DY29" s="56">
        <f>IF(DY$23&lt;'A&amp;Rs'!$V15,HLOOKUP(DY$21,$F$4:$Q$17,$B11),IF(AND(DY$23&gt;='A&amp;Rs'!$V15,DY$23&lt;'A&amp;Rs'!$X15),0,HLOOKUP(DY$21,$U$4:$AF$17,$B11)))</f>
        <v>1961.7059302093437</v>
      </c>
      <c r="DZ29" s="56">
        <f>IF(DZ$23&lt;'A&amp;Rs'!$V15,HLOOKUP(DZ$21,$F$4:$Q$17,$B11),IF(AND(DZ$23&gt;='A&amp;Rs'!$V15,DZ$23&lt;'A&amp;Rs'!$X15),0,HLOOKUP(DZ$21,$U$4:$AF$17,$B11)))</f>
        <v>1961.7059302093437</v>
      </c>
      <c r="EA29" s="56">
        <f>IF(EA$23&lt;'A&amp;Rs'!$V15,HLOOKUP(EA$21,$F$4:$Q$17,$B11),IF(AND(EA$23&gt;='A&amp;Rs'!$V15,EA$23&lt;'A&amp;Rs'!$X15),0,HLOOKUP(EA$21,$U$4:$AF$17,$B11)))</f>
        <v>1961.7059302093437</v>
      </c>
      <c r="EB29" s="56">
        <f>IF(EB$23&lt;'A&amp;Rs'!$V15,HLOOKUP(EB$21,$F$4:$Q$17,$B11),IF(AND(EB$23&gt;='A&amp;Rs'!$V15,EB$23&lt;'A&amp;Rs'!$X15),0,HLOOKUP(EB$21,$U$4:$AF$17,$B11)))</f>
        <v>1961.7059302093437</v>
      </c>
      <c r="EC29" s="56">
        <f>IF(EC$23&lt;'A&amp;Rs'!$V15,HLOOKUP(EC$21,$F$4:$Q$17,$B11),IF(AND(EC$23&gt;='A&amp;Rs'!$V15,EC$23&lt;'A&amp;Rs'!$X15),0,HLOOKUP(EC$21,$U$4:$AF$17,$B11)))</f>
        <v>1961.7059302093437</v>
      </c>
      <c r="ED29" s="56">
        <f>IF(ED$23&lt;'A&amp;Rs'!$V15,HLOOKUP(ED$21,$F$4:$Q$17,$B11),IF(AND(ED$23&gt;='A&amp;Rs'!$V15,ED$23&lt;'A&amp;Rs'!$X15),0,HLOOKUP(ED$21,$U$4:$AF$17,$B11)))</f>
        <v>1961.7059302093437</v>
      </c>
      <c r="EE29" s="56">
        <f>IF(EE$23&lt;'A&amp;Rs'!$V15,HLOOKUP(EE$21,$F$4:$Q$17,$B11),IF(AND(EE$23&gt;='A&amp;Rs'!$V15,EE$23&lt;'A&amp;Rs'!$X15),0,HLOOKUP(EE$21,$U$4:$AF$17,$B11)))</f>
        <v>1961.7059302093437</v>
      </c>
      <c r="EF29" s="56">
        <f>IF(EF$23&lt;'A&amp;Rs'!$V15,HLOOKUP(EF$21,$F$4:$Q$17,$B11),IF(AND(EF$23&gt;='A&amp;Rs'!$V15,EF$23&lt;'A&amp;Rs'!$X15),0,HLOOKUP(EF$21,$U$4:$AF$17,$B11)))</f>
        <v>1961.7059302093437</v>
      </c>
      <c r="EG29" s="56">
        <f>IF(EG$23&lt;'A&amp;Rs'!$V15,HLOOKUP(EG$21,$F$4:$Q$17,$B11),IF(AND(EG$23&gt;='A&amp;Rs'!$V15,EG$23&lt;'A&amp;Rs'!$X15),0,HLOOKUP(EG$21,$U$4:$AF$17,$B11)))</f>
        <v>1961.7059302093437</v>
      </c>
      <c r="EH29" s="56">
        <f>IF(EH$23&lt;'A&amp;Rs'!$V15,HLOOKUP(EH$21,$F$4:$Q$17,$B11),IF(AND(EH$23&gt;='A&amp;Rs'!$V15,EH$23&lt;'A&amp;Rs'!$X15),0,HLOOKUP(EH$21,$U$4:$AF$17,$B11)))</f>
        <v>1981.3229895114371</v>
      </c>
      <c r="EI29" s="56">
        <f>IF(EI$23&lt;'A&amp;Rs'!$V15,HLOOKUP(EI$21,$F$4:$Q$17,$B11),IF(AND(EI$23&gt;='A&amp;Rs'!$V15,EI$23&lt;'A&amp;Rs'!$X15),0,HLOOKUP(EI$21,$U$4:$AF$17,$B11)))</f>
        <v>1981.3229895114371</v>
      </c>
      <c r="EJ29" s="56">
        <f>IF(EJ$23&lt;'A&amp;Rs'!$V15,HLOOKUP(EJ$21,$F$4:$Q$17,$B11),IF(AND(EJ$23&gt;='A&amp;Rs'!$V15,EJ$23&lt;'A&amp;Rs'!$X15),0,HLOOKUP(EJ$21,$U$4:$AF$17,$B11)))</f>
        <v>1981.3229895114371</v>
      </c>
      <c r="EK29" s="56">
        <f>IF(EK$23&lt;'A&amp;Rs'!$V15,HLOOKUP(EK$21,$F$4:$Q$17,$B11),IF(AND(EK$23&gt;='A&amp;Rs'!$V15,EK$23&lt;'A&amp;Rs'!$X15),0,HLOOKUP(EK$21,$U$4:$AF$17,$B11)))</f>
        <v>1981.3229895114371</v>
      </c>
      <c r="EL29" s="56">
        <f>IF(EL$23&lt;'A&amp;Rs'!$V15,HLOOKUP(EL$21,$F$4:$Q$17,$B11),IF(AND(EL$23&gt;='A&amp;Rs'!$V15,EL$23&lt;'A&amp;Rs'!$X15),0,HLOOKUP(EL$21,$U$4:$AF$17,$B11)))</f>
        <v>1981.3229895114371</v>
      </c>
      <c r="EM29" s="56">
        <f>IF(EM$23&lt;'A&amp;Rs'!$V15,HLOOKUP(EM$21,$F$4:$Q$17,$B11),IF(AND(EM$23&gt;='A&amp;Rs'!$V15,EM$23&lt;'A&amp;Rs'!$X15),0,HLOOKUP(EM$21,$U$4:$AF$17,$B11)))</f>
        <v>1981.3229895114371</v>
      </c>
      <c r="EN29" s="56">
        <f>IF(EN$23&lt;'A&amp;Rs'!$V15,HLOOKUP(EN$21,$F$4:$Q$17,$B11),IF(AND(EN$23&gt;='A&amp;Rs'!$V15,EN$23&lt;'A&amp;Rs'!$X15),0,HLOOKUP(EN$21,$U$4:$AF$17,$B11)))</f>
        <v>1981.3229895114371</v>
      </c>
      <c r="EO29" s="56">
        <f>IF(EO$23&lt;'A&amp;Rs'!$V15,HLOOKUP(EO$21,$F$4:$Q$17,$B11),IF(AND(EO$23&gt;='A&amp;Rs'!$V15,EO$23&lt;'A&amp;Rs'!$X15),0,HLOOKUP(EO$21,$U$4:$AF$17,$B11)))</f>
        <v>1981.3229895114371</v>
      </c>
      <c r="EP29" s="56">
        <f>IF(EP$23&lt;'A&amp;Rs'!$V15,HLOOKUP(EP$21,$F$4:$Q$17,$B11),IF(AND(EP$23&gt;='A&amp;Rs'!$V15,EP$23&lt;'A&amp;Rs'!$X15),0,HLOOKUP(EP$21,$U$4:$AF$17,$B11)))</f>
        <v>1981.3229895114371</v>
      </c>
      <c r="EQ29" s="56">
        <f>IF(EQ$23&lt;'A&amp;Rs'!$V15,HLOOKUP(EQ$21,$F$4:$Q$17,$B11),IF(AND(EQ$23&gt;='A&amp;Rs'!$V15,EQ$23&lt;'A&amp;Rs'!$X15),0,HLOOKUP(EQ$21,$U$4:$AF$17,$B11)))</f>
        <v>1981.3229895114371</v>
      </c>
      <c r="ER29" s="56">
        <f>IF(ER$23&lt;'A&amp;Rs'!$V15,HLOOKUP(ER$21,$F$4:$Q$17,$B11),IF(AND(ER$23&gt;='A&amp;Rs'!$V15,ER$23&lt;'A&amp;Rs'!$X15),0,HLOOKUP(ER$21,$U$4:$AF$17,$B11)))</f>
        <v>1981.3229895114371</v>
      </c>
      <c r="ES29" s="56">
        <f>IF(ES$23&lt;'A&amp;Rs'!$V15,HLOOKUP(ES$21,$F$4:$Q$17,$B11),IF(AND(ES$23&gt;='A&amp;Rs'!$V15,ES$23&lt;'A&amp;Rs'!$X15),0,HLOOKUP(ES$21,$U$4:$AF$17,$B11)))</f>
        <v>1981.3229895114371</v>
      </c>
      <c r="ET29" s="56">
        <f>IF(ET$23&lt;'A&amp;Rs'!$V15,HLOOKUP(ET$21,$F$4:$Q$17,$B11),IF(AND(ET$23&gt;='A&amp;Rs'!$V15,ET$23&lt;'A&amp;Rs'!$X15),0,HLOOKUP(ET$21,$U$4:$AF$17,$B11)))</f>
        <v>1981.3229895114371</v>
      </c>
      <c r="EU29" s="56">
        <f>IF(EU$23&lt;'A&amp;Rs'!$V15,HLOOKUP(EU$21,$F$4:$Q$17,$B11),IF(AND(EU$23&gt;='A&amp;Rs'!$V15,EU$23&lt;'A&amp;Rs'!$X15),0,HLOOKUP(EU$21,$U$4:$AF$17,$B11)))</f>
        <v>1981.3229895114371</v>
      </c>
      <c r="EV29" s="56">
        <f>IF(EV$23&lt;'A&amp;Rs'!$V15,HLOOKUP(EV$21,$F$4:$Q$17,$B11),IF(AND(EV$23&gt;='A&amp;Rs'!$V15,EV$23&lt;'A&amp;Rs'!$X15),0,HLOOKUP(EV$21,$U$4:$AF$17,$B11)))</f>
        <v>1981.3229895114371</v>
      </c>
      <c r="EW29" s="56">
        <f>IF(EW$23&lt;'A&amp;Rs'!$V15,HLOOKUP(EW$21,$F$4:$Q$17,$B11),IF(AND(EW$23&gt;='A&amp;Rs'!$V15,EW$23&lt;'A&amp;Rs'!$X15),0,HLOOKUP(EW$21,$U$4:$AF$17,$B11)))</f>
        <v>1981.3229895114371</v>
      </c>
      <c r="EX29" s="56">
        <f>IF(EX$23&lt;'A&amp;Rs'!$V15,HLOOKUP(EX$21,$F$4:$Q$17,$B11),IF(AND(EX$23&gt;='A&amp;Rs'!$V15,EX$23&lt;'A&amp;Rs'!$X15),0,HLOOKUP(EX$21,$U$4:$AF$17,$B11)))</f>
        <v>1981.3229895114371</v>
      </c>
      <c r="EY29" s="56">
        <f>IF(EY$23&lt;'A&amp;Rs'!$V15,HLOOKUP(EY$21,$F$4:$Q$17,$B11),IF(AND(EY$23&gt;='A&amp;Rs'!$V15,EY$23&lt;'A&amp;Rs'!$X15),0,HLOOKUP(EY$21,$U$4:$AF$17,$B11)))</f>
        <v>1981.3229895114371</v>
      </c>
      <c r="EZ29" s="56">
        <f>IF(EZ$23&lt;'A&amp;Rs'!$V15,HLOOKUP(EZ$21,$F$4:$Q$17,$B11),IF(AND(EZ$23&gt;='A&amp;Rs'!$V15,EZ$23&lt;'A&amp;Rs'!$X15),0,HLOOKUP(EZ$21,$U$4:$AF$17,$B11)))</f>
        <v>1981.3229895114371</v>
      </c>
      <c r="FA29" s="56">
        <f>IF(FA$23&lt;'A&amp;Rs'!$V15,HLOOKUP(FA$21,$F$4:$Q$17,$B11),IF(AND(FA$23&gt;='A&amp;Rs'!$V15,FA$23&lt;'A&amp;Rs'!$X15),0,HLOOKUP(FA$21,$U$4:$AF$17,$B11)))</f>
        <v>1981.3229895114371</v>
      </c>
      <c r="FB29" s="56">
        <f>IF(FB$23&lt;'A&amp;Rs'!$V15,HLOOKUP(FB$21,$F$4:$Q$17,$B11),IF(AND(FB$23&gt;='A&amp;Rs'!$V15,FB$23&lt;'A&amp;Rs'!$X15),0,HLOOKUP(FB$21,$U$4:$AF$17,$B11)))</f>
        <v>1981.3229895114371</v>
      </c>
      <c r="FC29" s="56">
        <f>IF(FC$23&lt;'A&amp;Rs'!$V15,HLOOKUP(FC$21,$F$4:$Q$17,$B11),IF(AND(FC$23&gt;='A&amp;Rs'!$V15,FC$23&lt;'A&amp;Rs'!$X15),0,HLOOKUP(FC$21,$U$4:$AF$17,$B11)))</f>
        <v>1981.3229895114371</v>
      </c>
      <c r="FD29" s="56">
        <f>IF(FD$23&lt;'A&amp;Rs'!$V15,HLOOKUP(FD$21,$F$4:$Q$17,$B11),IF(AND(FD$23&gt;='A&amp;Rs'!$V15,FD$23&lt;'A&amp;Rs'!$X15),0,HLOOKUP(FD$21,$U$4:$AF$17,$B11)))</f>
        <v>1981.3229895114371</v>
      </c>
      <c r="FE29" s="56">
        <f>IF(FE$23&lt;'A&amp;Rs'!$V15,HLOOKUP(FE$21,$F$4:$Q$17,$B11),IF(AND(FE$23&gt;='A&amp;Rs'!$V15,FE$23&lt;'A&amp;Rs'!$X15),0,HLOOKUP(FE$21,$U$4:$AF$17,$B11)))</f>
        <v>1981.3229895114371</v>
      </c>
      <c r="FF29" s="1" t="s">
        <v>39</v>
      </c>
      <c r="FG29" s="1"/>
      <c r="FH29" s="1"/>
      <c r="FI29" s="99"/>
    </row>
    <row r="30" spans="2:165" x14ac:dyDescent="0.3">
      <c r="C30" s="98"/>
      <c r="D30" s="123">
        <f>'A&amp;Rs'!Q16</f>
        <v>7</v>
      </c>
      <c r="E30" s="56">
        <f t="shared" si="11"/>
        <v>1413</v>
      </c>
      <c r="F30" s="56">
        <f>IF(F$23&lt;'A&amp;Rs'!$V16,HLOOKUP(F$21,$F$4:$Q$17,$B12),IF(AND(F$23&gt;='A&amp;Rs'!$V16,F$23&lt;'A&amp;Rs'!$X16),0,HLOOKUP(F$21,$U$4:$AF$17,$B12)))</f>
        <v>1413</v>
      </c>
      <c r="G30" s="56">
        <f>IF(G$23&lt;'A&amp;Rs'!$V16,HLOOKUP(G$21,$F$4:$Q$17,$B12),IF(AND(G$23&gt;='A&amp;Rs'!$V16,G$23&lt;'A&amp;Rs'!$X16),0,HLOOKUP(G$21,$U$4:$AF$17,$B12)))</f>
        <v>1413</v>
      </c>
      <c r="H30" s="56">
        <f>IF(H$23&lt;'A&amp;Rs'!$V16,HLOOKUP(H$21,$F$4:$Q$17,$B12),IF(AND(H$23&gt;='A&amp;Rs'!$V16,H$23&lt;'A&amp;Rs'!$X16),0,HLOOKUP(H$21,$U$4:$AF$17,$B12)))</f>
        <v>1413</v>
      </c>
      <c r="I30" s="56">
        <f>IF(I$23&lt;'A&amp;Rs'!$V16,HLOOKUP(I$21,$F$4:$Q$17,$B12),IF(AND(I$23&gt;='A&amp;Rs'!$V16,I$23&lt;'A&amp;Rs'!$X16),0,HLOOKUP(I$21,$U$4:$AF$17,$B12)))</f>
        <v>1413</v>
      </c>
      <c r="J30" s="56">
        <f>IF(J$23&lt;'A&amp;Rs'!$V16,HLOOKUP(J$21,$F$4:$Q$17,$B12),IF(AND(J$23&gt;='A&amp;Rs'!$V16,J$23&lt;'A&amp;Rs'!$X16),0,HLOOKUP(J$21,$U$4:$AF$17,$B12)))</f>
        <v>1413</v>
      </c>
      <c r="K30" s="56">
        <f>IF(K$23&lt;'A&amp;Rs'!$V16,HLOOKUP(K$21,$F$4:$Q$17,$B12),IF(AND(K$23&gt;='A&amp;Rs'!$V16,K$23&lt;'A&amp;Rs'!$X16),0,HLOOKUP(K$21,$U$4:$AF$17,$B12)))</f>
        <v>1413</v>
      </c>
      <c r="L30" s="56">
        <f>IF(L$23&lt;'A&amp;Rs'!$V16,HLOOKUP(L$21,$F$4:$Q$17,$B12),IF(AND(L$23&gt;='A&amp;Rs'!$V16,L$23&lt;'A&amp;Rs'!$X16),0,HLOOKUP(L$21,$U$4:$AF$17,$B12)))</f>
        <v>1413</v>
      </c>
      <c r="M30" s="56">
        <f>IF(M$23&lt;'A&amp;Rs'!$V16,HLOOKUP(M$21,$F$4:$Q$17,$B12),IF(AND(M$23&gt;='A&amp;Rs'!$V16,M$23&lt;'A&amp;Rs'!$X16),0,HLOOKUP(M$21,$U$4:$AF$17,$B12)))</f>
        <v>0</v>
      </c>
      <c r="N30" s="56">
        <f>IF(N$23&lt;'A&amp;Rs'!$V16,HLOOKUP(N$21,$F$4:$Q$17,$B12),IF(AND(N$23&gt;='A&amp;Rs'!$V16,N$23&lt;'A&amp;Rs'!$X16),0,HLOOKUP(N$21,$U$4:$AF$17,$B12)))</f>
        <v>0</v>
      </c>
      <c r="O30" s="56">
        <f>IF(O$23&lt;'A&amp;Rs'!$V16,HLOOKUP(O$21,$F$4:$Q$17,$B12),IF(AND(O$23&gt;='A&amp;Rs'!$V16,O$23&lt;'A&amp;Rs'!$X16),0,HLOOKUP(O$21,$U$4:$AF$17,$B12)))</f>
        <v>0</v>
      </c>
      <c r="P30" s="56">
        <f>IF(P$23&lt;'A&amp;Rs'!$V16,HLOOKUP(P$21,$F$4:$Q$17,$B12),IF(AND(P$23&gt;='A&amp;Rs'!$V16,P$23&lt;'A&amp;Rs'!$X16),0,HLOOKUP(P$21,$U$4:$AF$17,$B12)))</f>
        <v>0</v>
      </c>
      <c r="Q30" s="56">
        <f>IF(Q$23&lt;'A&amp;Rs'!$V16,HLOOKUP(Q$21,$F$4:$Q$17,$B12),IF(AND(Q$23&gt;='A&amp;Rs'!$V16,Q$23&lt;'A&amp;Rs'!$X16),0,HLOOKUP(Q$21,$U$4:$AF$17,$B12)))</f>
        <v>1693</v>
      </c>
      <c r="R30" s="56">
        <f>IF(R$23&lt;'A&amp;Rs'!$V16,HLOOKUP(R$21,$F$4:$Q$17,$B12),IF(AND(R$23&gt;='A&amp;Rs'!$V16,R$23&lt;'A&amp;Rs'!$X16),0,HLOOKUP(R$21,$U$4:$AF$17,$B12)))</f>
        <v>1743.79</v>
      </c>
      <c r="S30" s="56">
        <f>IF(S$23&lt;'A&amp;Rs'!$V16,HLOOKUP(S$21,$F$4:$Q$17,$B12),IF(AND(S$23&gt;='A&amp;Rs'!$V16,S$23&lt;'A&amp;Rs'!$X16),0,HLOOKUP(S$21,$U$4:$AF$17,$B12)))</f>
        <v>1743.79</v>
      </c>
      <c r="T30" s="56">
        <f>IF(T$23&lt;'A&amp;Rs'!$V16,HLOOKUP(T$21,$F$4:$Q$17,$B12),IF(AND(T$23&gt;='A&amp;Rs'!$V16,T$23&lt;'A&amp;Rs'!$X16),0,HLOOKUP(T$21,$U$4:$AF$17,$B12)))</f>
        <v>1743.79</v>
      </c>
      <c r="U30" s="56">
        <f>IF(U$23&lt;'A&amp;Rs'!$V16,HLOOKUP(U$21,$F$4:$Q$17,$B12),IF(AND(U$23&gt;='A&amp;Rs'!$V16,U$23&lt;'A&amp;Rs'!$X16),0,HLOOKUP(U$21,$U$4:$AF$17,$B12)))</f>
        <v>1743.79</v>
      </c>
      <c r="V30" s="56">
        <f>IF(V$23&lt;'A&amp;Rs'!$V16,HLOOKUP(V$21,$F$4:$Q$17,$B12),IF(AND(V$23&gt;='A&amp;Rs'!$V16,V$23&lt;'A&amp;Rs'!$X16),0,HLOOKUP(V$21,$U$4:$AF$17,$B12)))</f>
        <v>1743.79</v>
      </c>
      <c r="W30" s="56">
        <f>IF(W$23&lt;'A&amp;Rs'!$V16,HLOOKUP(W$21,$F$4:$Q$17,$B12),IF(AND(W$23&gt;='A&amp;Rs'!$V16,W$23&lt;'A&amp;Rs'!$X16),0,HLOOKUP(W$21,$U$4:$AF$17,$B12)))</f>
        <v>1743.79</v>
      </c>
      <c r="X30" s="56">
        <f>IF(X$23&lt;'A&amp;Rs'!$V16,HLOOKUP(X$21,$F$4:$Q$17,$B12),IF(AND(X$23&gt;='A&amp;Rs'!$V16,X$23&lt;'A&amp;Rs'!$X16),0,HLOOKUP(X$21,$U$4:$AF$17,$B12)))</f>
        <v>1743.79</v>
      </c>
      <c r="Y30" s="56">
        <f>IF(Y$23&lt;'A&amp;Rs'!$V16,HLOOKUP(Y$21,$F$4:$Q$17,$B12),IF(AND(Y$23&gt;='A&amp;Rs'!$V16,Y$23&lt;'A&amp;Rs'!$X16),0,HLOOKUP(Y$21,$U$4:$AF$17,$B12)))</f>
        <v>1743.79</v>
      </c>
      <c r="Z30" s="56">
        <f>IF(Z$23&lt;'A&amp;Rs'!$V16,HLOOKUP(Z$21,$F$4:$Q$17,$B12),IF(AND(Z$23&gt;='A&amp;Rs'!$V16,Z$23&lt;'A&amp;Rs'!$X16),0,HLOOKUP(Z$21,$U$4:$AF$17,$B12)))</f>
        <v>1743.79</v>
      </c>
      <c r="AA30" s="56">
        <f>IF(AA$23&lt;'A&amp;Rs'!$V16,HLOOKUP(AA$21,$F$4:$Q$17,$B12),IF(AND(AA$23&gt;='A&amp;Rs'!$V16,AA$23&lt;'A&amp;Rs'!$X16),0,HLOOKUP(AA$21,$U$4:$AF$17,$B12)))</f>
        <v>1743.79</v>
      </c>
      <c r="AB30" s="56">
        <f>IF(AB$23&lt;'A&amp;Rs'!$V16,HLOOKUP(AB$21,$F$4:$Q$17,$B12),IF(AND(AB$23&gt;='A&amp;Rs'!$V16,AB$23&lt;'A&amp;Rs'!$X16),0,HLOOKUP(AB$21,$U$4:$AF$17,$B12)))</f>
        <v>1743.79</v>
      </c>
      <c r="AC30" s="56">
        <f>IF(AC$23&lt;'A&amp;Rs'!$V16,HLOOKUP(AC$21,$F$4:$Q$17,$B12),IF(AND(AC$23&gt;='A&amp;Rs'!$V16,AC$23&lt;'A&amp;Rs'!$X16),0,HLOOKUP(AC$21,$U$4:$AF$17,$B12)))</f>
        <v>1743.79</v>
      </c>
      <c r="AD30" s="56">
        <f>IF(AD$23&lt;'A&amp;Rs'!$V16,HLOOKUP(AD$21,$F$4:$Q$17,$B12),IF(AND(AD$23&gt;='A&amp;Rs'!$V16,AD$23&lt;'A&amp;Rs'!$X16),0,HLOOKUP(AD$21,$U$4:$AF$17,$B12)))</f>
        <v>1778.6658</v>
      </c>
      <c r="AE30" s="56">
        <f>IF(AE$23&lt;'A&amp;Rs'!$V16,HLOOKUP(AE$21,$F$4:$Q$17,$B12),IF(AND(AE$23&gt;='A&amp;Rs'!$V16,AE$23&lt;'A&amp;Rs'!$X16),0,HLOOKUP(AE$21,$U$4:$AF$17,$B12)))</f>
        <v>1778.6658</v>
      </c>
      <c r="AF30" s="56">
        <f>IF(AF$23&lt;'A&amp;Rs'!$V16,HLOOKUP(AF$21,$F$4:$Q$17,$B12),IF(AND(AF$23&gt;='A&amp;Rs'!$V16,AF$23&lt;'A&amp;Rs'!$X16),0,HLOOKUP(AF$21,$U$4:$AF$17,$B12)))</f>
        <v>1778.6658</v>
      </c>
      <c r="AG30" s="56">
        <f>IF(AG$23&lt;'A&amp;Rs'!$V16,HLOOKUP(AG$21,$F$4:$Q$17,$B12),IF(AND(AG$23&gt;='A&amp;Rs'!$V16,AG$23&lt;'A&amp;Rs'!$X16),0,HLOOKUP(AG$21,$U$4:$AF$17,$B12)))</f>
        <v>1778.6658</v>
      </c>
      <c r="AH30" s="56">
        <f>IF(AH$23&lt;'A&amp;Rs'!$V16,HLOOKUP(AH$21,$F$4:$Q$17,$B12),IF(AND(AH$23&gt;='A&amp;Rs'!$V16,AH$23&lt;'A&amp;Rs'!$X16),0,HLOOKUP(AH$21,$U$4:$AF$17,$B12)))</f>
        <v>1778.6658</v>
      </c>
      <c r="AI30" s="56">
        <f>IF(AI$23&lt;'A&amp;Rs'!$V16,HLOOKUP(AI$21,$F$4:$Q$17,$B12),IF(AND(AI$23&gt;='A&amp;Rs'!$V16,AI$23&lt;'A&amp;Rs'!$X16),0,HLOOKUP(AI$21,$U$4:$AF$17,$B12)))</f>
        <v>1778.6658</v>
      </c>
      <c r="AJ30" s="56">
        <f>IF(AJ$23&lt;'A&amp;Rs'!$V16,HLOOKUP(AJ$21,$F$4:$Q$17,$B12),IF(AND(AJ$23&gt;='A&amp;Rs'!$V16,AJ$23&lt;'A&amp;Rs'!$X16),0,HLOOKUP(AJ$21,$U$4:$AF$17,$B12)))</f>
        <v>1778.6658</v>
      </c>
      <c r="AK30" s="56">
        <f>IF(AK$23&lt;'A&amp;Rs'!$V16,HLOOKUP(AK$21,$F$4:$Q$17,$B12),IF(AND(AK$23&gt;='A&amp;Rs'!$V16,AK$23&lt;'A&amp;Rs'!$X16),0,HLOOKUP(AK$21,$U$4:$AF$17,$B12)))</f>
        <v>1778.6658</v>
      </c>
      <c r="AL30" s="56">
        <f>IF(AL$23&lt;'A&amp;Rs'!$V16,HLOOKUP(AL$21,$F$4:$Q$17,$B12),IF(AND(AL$23&gt;='A&amp;Rs'!$V16,AL$23&lt;'A&amp;Rs'!$X16),0,HLOOKUP(AL$21,$U$4:$AF$17,$B12)))</f>
        <v>1778.6658</v>
      </c>
      <c r="AM30" s="56">
        <f>IF(AM$23&lt;'A&amp;Rs'!$V16,HLOOKUP(AM$21,$F$4:$Q$17,$B12),IF(AND(AM$23&gt;='A&amp;Rs'!$V16,AM$23&lt;'A&amp;Rs'!$X16),0,HLOOKUP(AM$21,$U$4:$AF$17,$B12)))</f>
        <v>1778.6658</v>
      </c>
      <c r="AN30" s="56">
        <f>IF(AN$23&lt;'A&amp;Rs'!$V16,HLOOKUP(AN$21,$F$4:$Q$17,$B12),IF(AND(AN$23&gt;='A&amp;Rs'!$V16,AN$23&lt;'A&amp;Rs'!$X16),0,HLOOKUP(AN$21,$U$4:$AF$17,$B12)))</f>
        <v>1778.6658</v>
      </c>
      <c r="AO30" s="56">
        <f>IF(AO$23&lt;'A&amp;Rs'!$V16,HLOOKUP(AO$21,$F$4:$Q$17,$B12),IF(AND(AO$23&gt;='A&amp;Rs'!$V16,AO$23&lt;'A&amp;Rs'!$X16),0,HLOOKUP(AO$21,$U$4:$AF$17,$B12)))</f>
        <v>1778.6658</v>
      </c>
      <c r="AP30" s="56">
        <f>IF(AP$23&lt;'A&amp;Rs'!$V16,HLOOKUP(AP$21,$F$4:$Q$17,$B12),IF(AND(AP$23&gt;='A&amp;Rs'!$V16,AP$23&lt;'A&amp;Rs'!$X16),0,HLOOKUP(AP$21,$U$4:$AF$17,$B12)))</f>
        <v>1832.025774</v>
      </c>
      <c r="AQ30" s="56">
        <f>IF(AQ$23&lt;'A&amp;Rs'!$V16,HLOOKUP(AQ$21,$F$4:$Q$17,$B12),IF(AND(AQ$23&gt;='A&amp;Rs'!$V16,AQ$23&lt;'A&amp;Rs'!$X16),0,HLOOKUP(AQ$21,$U$4:$AF$17,$B12)))</f>
        <v>1832.025774</v>
      </c>
      <c r="AR30" s="56">
        <f>IF(AR$23&lt;'A&amp;Rs'!$V16,HLOOKUP(AR$21,$F$4:$Q$17,$B12),IF(AND(AR$23&gt;='A&amp;Rs'!$V16,AR$23&lt;'A&amp;Rs'!$X16),0,HLOOKUP(AR$21,$U$4:$AF$17,$B12)))</f>
        <v>1832.025774</v>
      </c>
      <c r="AS30" s="56">
        <f>IF(AS$23&lt;'A&amp;Rs'!$V16,HLOOKUP(AS$21,$F$4:$Q$17,$B12),IF(AND(AS$23&gt;='A&amp;Rs'!$V16,AS$23&lt;'A&amp;Rs'!$X16),0,HLOOKUP(AS$21,$U$4:$AF$17,$B12)))</f>
        <v>1832.025774</v>
      </c>
      <c r="AT30" s="56">
        <f>IF(AT$23&lt;'A&amp;Rs'!$V16,HLOOKUP(AT$21,$F$4:$Q$17,$B12),IF(AND(AT$23&gt;='A&amp;Rs'!$V16,AT$23&lt;'A&amp;Rs'!$X16),0,HLOOKUP(AT$21,$U$4:$AF$17,$B12)))</f>
        <v>1832.025774</v>
      </c>
      <c r="AU30" s="56">
        <f>IF(AU$23&lt;'A&amp;Rs'!$V16,HLOOKUP(AU$21,$F$4:$Q$17,$B12),IF(AND(AU$23&gt;='A&amp;Rs'!$V16,AU$23&lt;'A&amp;Rs'!$X16),0,HLOOKUP(AU$21,$U$4:$AF$17,$B12)))</f>
        <v>1832.025774</v>
      </c>
      <c r="AV30" s="56">
        <f>IF(AV$23&lt;'A&amp;Rs'!$V16,HLOOKUP(AV$21,$F$4:$Q$17,$B12),IF(AND(AV$23&gt;='A&amp;Rs'!$V16,AV$23&lt;'A&amp;Rs'!$X16),0,HLOOKUP(AV$21,$U$4:$AF$17,$B12)))</f>
        <v>1832.025774</v>
      </c>
      <c r="AW30" s="56">
        <f>IF(AW$23&lt;'A&amp;Rs'!$V16,HLOOKUP(AW$21,$F$4:$Q$17,$B12),IF(AND(AW$23&gt;='A&amp;Rs'!$V16,AW$23&lt;'A&amp;Rs'!$X16),0,HLOOKUP(AW$21,$U$4:$AF$17,$B12)))</f>
        <v>1832.025774</v>
      </c>
      <c r="AX30" s="56">
        <f>IF(AX$23&lt;'A&amp;Rs'!$V16,HLOOKUP(AX$21,$F$4:$Q$17,$B12),IF(AND(AX$23&gt;='A&amp;Rs'!$V16,AX$23&lt;'A&amp;Rs'!$X16),0,HLOOKUP(AX$21,$U$4:$AF$17,$B12)))</f>
        <v>1832.025774</v>
      </c>
      <c r="AY30" s="56">
        <f>IF(AY$23&lt;'A&amp;Rs'!$V16,HLOOKUP(AY$21,$F$4:$Q$17,$B12),IF(AND(AY$23&gt;='A&amp;Rs'!$V16,AY$23&lt;'A&amp;Rs'!$X16),0,HLOOKUP(AY$21,$U$4:$AF$17,$B12)))</f>
        <v>1832.025774</v>
      </c>
      <c r="AZ30" s="56">
        <f>IF(AZ$23&lt;'A&amp;Rs'!$V16,HLOOKUP(AZ$21,$F$4:$Q$17,$B12),IF(AND(AZ$23&gt;='A&amp;Rs'!$V16,AZ$23&lt;'A&amp;Rs'!$X16),0,HLOOKUP(AZ$21,$U$4:$AF$17,$B12)))</f>
        <v>1832.025774</v>
      </c>
      <c r="BA30" s="56">
        <f>IF(BA$23&lt;'A&amp;Rs'!$V16,HLOOKUP(BA$21,$F$4:$Q$17,$B12),IF(AND(BA$23&gt;='A&amp;Rs'!$V16,BA$23&lt;'A&amp;Rs'!$X16),0,HLOOKUP(BA$21,$U$4:$AF$17,$B12)))</f>
        <v>1832.025774</v>
      </c>
      <c r="BB30" s="56">
        <f>IF(BB$23&lt;'A&amp;Rs'!$V16,HLOOKUP(BB$21,$F$4:$Q$17,$B12),IF(AND(BB$23&gt;='A&amp;Rs'!$V16,BB$23&lt;'A&amp;Rs'!$X16),0,HLOOKUP(BB$21,$U$4:$AF$17,$B12)))</f>
        <v>1886.9865472199999</v>
      </c>
      <c r="BC30" s="56">
        <f>IF(BC$23&lt;'A&amp;Rs'!$V16,HLOOKUP(BC$21,$F$4:$Q$17,$B12),IF(AND(BC$23&gt;='A&amp;Rs'!$V16,BC$23&lt;'A&amp;Rs'!$X16),0,HLOOKUP(BC$21,$U$4:$AF$17,$B12)))</f>
        <v>1886.9865472199999</v>
      </c>
      <c r="BD30" s="56">
        <f>IF(BD$23&lt;'A&amp;Rs'!$V16,HLOOKUP(BD$21,$F$4:$Q$17,$B12),IF(AND(BD$23&gt;='A&amp;Rs'!$V16,BD$23&lt;'A&amp;Rs'!$X16),0,HLOOKUP(BD$21,$U$4:$AF$17,$B12)))</f>
        <v>1886.9865472199999</v>
      </c>
      <c r="BE30" s="56">
        <f>IF(BE$23&lt;'A&amp;Rs'!$V16,HLOOKUP(BE$21,$F$4:$Q$17,$B12),IF(AND(BE$23&gt;='A&amp;Rs'!$V16,BE$23&lt;'A&amp;Rs'!$X16),0,HLOOKUP(BE$21,$U$4:$AF$17,$B12)))</f>
        <v>1886.9865472199999</v>
      </c>
      <c r="BF30" s="56">
        <f>IF(BF$23&lt;'A&amp;Rs'!$V16,HLOOKUP(BF$21,$F$4:$Q$17,$B12),IF(AND(BF$23&gt;='A&amp;Rs'!$V16,BF$23&lt;'A&amp;Rs'!$X16),0,HLOOKUP(BF$21,$U$4:$AF$17,$B12)))</f>
        <v>1886.9865472199999</v>
      </c>
      <c r="BG30" s="56">
        <f>IF(BG$23&lt;'A&amp;Rs'!$V16,HLOOKUP(BG$21,$F$4:$Q$17,$B12),IF(AND(BG$23&gt;='A&amp;Rs'!$V16,BG$23&lt;'A&amp;Rs'!$X16),0,HLOOKUP(BG$21,$U$4:$AF$17,$B12)))</f>
        <v>1886.9865472199999</v>
      </c>
      <c r="BH30" s="56">
        <f>IF(BH$23&lt;'A&amp;Rs'!$V16,HLOOKUP(BH$21,$F$4:$Q$17,$B12),IF(AND(BH$23&gt;='A&amp;Rs'!$V16,BH$23&lt;'A&amp;Rs'!$X16),0,HLOOKUP(BH$21,$U$4:$AF$17,$B12)))</f>
        <v>1886.9865472199999</v>
      </c>
      <c r="BI30" s="56">
        <f>IF(BI$23&lt;'A&amp;Rs'!$V16,HLOOKUP(BI$21,$F$4:$Q$17,$B12),IF(AND(BI$23&gt;='A&amp;Rs'!$V16,BI$23&lt;'A&amp;Rs'!$X16),0,HLOOKUP(BI$21,$U$4:$AF$17,$B12)))</f>
        <v>1886.9865472199999</v>
      </c>
      <c r="BJ30" s="56">
        <f>IF(BJ$23&lt;'A&amp;Rs'!$V16,HLOOKUP(BJ$21,$F$4:$Q$17,$B12),IF(AND(BJ$23&gt;='A&amp;Rs'!$V16,BJ$23&lt;'A&amp;Rs'!$X16),0,HLOOKUP(BJ$21,$U$4:$AF$17,$B12)))</f>
        <v>1886.9865472199999</v>
      </c>
      <c r="BK30" s="56">
        <f>IF(BK$23&lt;'A&amp;Rs'!$V16,HLOOKUP(BK$21,$F$4:$Q$17,$B12),IF(AND(BK$23&gt;='A&amp;Rs'!$V16,BK$23&lt;'A&amp;Rs'!$X16),0,HLOOKUP(BK$21,$U$4:$AF$17,$B12)))</f>
        <v>1886.9865472199999</v>
      </c>
      <c r="BL30" s="56">
        <f>IF(BL$23&lt;'A&amp;Rs'!$V16,HLOOKUP(BL$21,$F$4:$Q$17,$B12),IF(AND(BL$23&gt;='A&amp;Rs'!$V16,BL$23&lt;'A&amp;Rs'!$X16),0,HLOOKUP(BL$21,$U$4:$AF$17,$B12)))</f>
        <v>1886.9865472199999</v>
      </c>
      <c r="BM30" s="56">
        <f>IF(BM$23&lt;'A&amp;Rs'!$V16,HLOOKUP(BM$21,$F$4:$Q$17,$B12),IF(AND(BM$23&gt;='A&amp;Rs'!$V16,BM$23&lt;'A&amp;Rs'!$X16),0,HLOOKUP(BM$21,$U$4:$AF$17,$B12)))</f>
        <v>1886.9865472199999</v>
      </c>
      <c r="BN30" s="56">
        <f>IF(BN$23&lt;'A&amp;Rs'!$V16,HLOOKUP(BN$21,$F$4:$Q$17,$B12),IF(AND(BN$23&gt;='A&amp;Rs'!$V16,BN$23&lt;'A&amp;Rs'!$X16),0,HLOOKUP(BN$21,$U$4:$AF$17,$B12)))</f>
        <v>1886.9865472199999</v>
      </c>
      <c r="BO30" s="56">
        <f>IF(BO$23&lt;'A&amp;Rs'!$V16,HLOOKUP(BO$21,$F$4:$Q$17,$B12),IF(AND(BO$23&gt;='A&amp;Rs'!$V16,BO$23&lt;'A&amp;Rs'!$X16),0,HLOOKUP(BO$21,$U$4:$AF$17,$B12)))</f>
        <v>1886.9865472199999</v>
      </c>
      <c r="BP30" s="56">
        <f>IF(BP$23&lt;'A&amp;Rs'!$V16,HLOOKUP(BP$21,$F$4:$Q$17,$B12),IF(AND(BP$23&gt;='A&amp;Rs'!$V16,BP$23&lt;'A&amp;Rs'!$X16),0,HLOOKUP(BP$21,$U$4:$AF$17,$B12)))</f>
        <v>1886.9865472199999</v>
      </c>
      <c r="BQ30" s="56">
        <f>IF(BQ$23&lt;'A&amp;Rs'!$V16,HLOOKUP(BQ$21,$F$4:$Q$17,$B12),IF(AND(BQ$23&gt;='A&amp;Rs'!$V16,BQ$23&lt;'A&amp;Rs'!$X16),0,HLOOKUP(BQ$21,$U$4:$AF$17,$B12)))</f>
        <v>1886.9865472199999</v>
      </c>
      <c r="BR30" s="56">
        <f>IF(BR$23&lt;'A&amp;Rs'!$V16,HLOOKUP(BR$21,$F$4:$Q$17,$B12),IF(AND(BR$23&gt;='A&amp;Rs'!$V16,BR$23&lt;'A&amp;Rs'!$X16),0,HLOOKUP(BR$21,$U$4:$AF$17,$B12)))</f>
        <v>1886.9865472199999</v>
      </c>
      <c r="BS30" s="56">
        <f>IF(BS$23&lt;'A&amp;Rs'!$V16,HLOOKUP(BS$21,$F$4:$Q$17,$B12),IF(AND(BS$23&gt;='A&amp;Rs'!$V16,BS$23&lt;'A&amp;Rs'!$X16),0,HLOOKUP(BS$21,$U$4:$AF$17,$B12)))</f>
        <v>1886.9865472199999</v>
      </c>
      <c r="BT30" s="56">
        <f>IF(BT$23&lt;'A&amp;Rs'!$V16,HLOOKUP(BT$21,$F$4:$Q$17,$B12),IF(AND(BT$23&gt;='A&amp;Rs'!$V16,BT$23&lt;'A&amp;Rs'!$X16),0,HLOOKUP(BT$21,$U$4:$AF$17,$B12)))</f>
        <v>1886.9865472199999</v>
      </c>
      <c r="BU30" s="56">
        <f>IF(BU$23&lt;'A&amp;Rs'!$V16,HLOOKUP(BU$21,$F$4:$Q$17,$B12),IF(AND(BU$23&gt;='A&amp;Rs'!$V16,BU$23&lt;'A&amp;Rs'!$X16),0,HLOOKUP(BU$21,$U$4:$AF$17,$B12)))</f>
        <v>1886.9865472199999</v>
      </c>
      <c r="BV30" s="56">
        <f>IF(BV$23&lt;'A&amp;Rs'!$V16,HLOOKUP(BV$21,$F$4:$Q$17,$B12),IF(AND(BV$23&gt;='A&amp;Rs'!$V16,BV$23&lt;'A&amp;Rs'!$X16),0,HLOOKUP(BV$21,$U$4:$AF$17,$B12)))</f>
        <v>1886.9865472199999</v>
      </c>
      <c r="BW30" s="56">
        <f>IF(BW$23&lt;'A&amp;Rs'!$V16,HLOOKUP(BW$21,$F$4:$Q$17,$B12),IF(AND(BW$23&gt;='A&amp;Rs'!$V16,BW$23&lt;'A&amp;Rs'!$X16),0,HLOOKUP(BW$21,$U$4:$AF$17,$B12)))</f>
        <v>1886.9865472199999</v>
      </c>
      <c r="BX30" s="56">
        <f>IF(BX$23&lt;'A&amp;Rs'!$V16,HLOOKUP(BX$21,$F$4:$Q$17,$B12),IF(AND(BX$23&gt;='A&amp;Rs'!$V16,BX$23&lt;'A&amp;Rs'!$X16),0,HLOOKUP(BX$21,$U$4:$AF$17,$B12)))</f>
        <v>1886.9865472199999</v>
      </c>
      <c r="BY30" s="56">
        <f>IF(BY$23&lt;'A&amp;Rs'!$V16,HLOOKUP(BY$21,$F$4:$Q$17,$B12),IF(AND(BY$23&gt;='A&amp;Rs'!$V16,BY$23&lt;'A&amp;Rs'!$X16),0,HLOOKUP(BY$21,$U$4:$AF$17,$B12)))</f>
        <v>1886.9865472199999</v>
      </c>
      <c r="BZ30" s="56">
        <f>IF(BZ$23&lt;'A&amp;Rs'!$V16,HLOOKUP(BZ$21,$F$4:$Q$17,$B12),IF(AND(BZ$23&gt;='A&amp;Rs'!$V16,BZ$23&lt;'A&amp;Rs'!$X16),0,HLOOKUP(BZ$21,$U$4:$AF$17,$B12)))</f>
        <v>1905.8564126921999</v>
      </c>
      <c r="CA30" s="56">
        <f>IF(CA$23&lt;'A&amp;Rs'!$V16,HLOOKUP(CA$21,$F$4:$Q$17,$B12),IF(AND(CA$23&gt;='A&amp;Rs'!$V16,CA$23&lt;'A&amp;Rs'!$X16),0,HLOOKUP(CA$21,$U$4:$AF$17,$B12)))</f>
        <v>1905.8564126921999</v>
      </c>
      <c r="CB30" s="56">
        <f>IF(CB$23&lt;'A&amp;Rs'!$V16,HLOOKUP(CB$21,$F$4:$Q$17,$B12),IF(AND(CB$23&gt;='A&amp;Rs'!$V16,CB$23&lt;'A&amp;Rs'!$X16),0,HLOOKUP(CB$21,$U$4:$AF$17,$B12)))</f>
        <v>1905.8564126921999</v>
      </c>
      <c r="CC30" s="56">
        <f>IF(CC$23&lt;'A&amp;Rs'!$V16,HLOOKUP(CC$21,$F$4:$Q$17,$B12),IF(AND(CC$23&gt;='A&amp;Rs'!$V16,CC$23&lt;'A&amp;Rs'!$X16),0,HLOOKUP(CC$21,$U$4:$AF$17,$B12)))</f>
        <v>1905.8564126921999</v>
      </c>
      <c r="CD30" s="56">
        <f>IF(CD$23&lt;'A&amp;Rs'!$V16,HLOOKUP(CD$21,$F$4:$Q$17,$B12),IF(AND(CD$23&gt;='A&amp;Rs'!$V16,CD$23&lt;'A&amp;Rs'!$X16),0,HLOOKUP(CD$21,$U$4:$AF$17,$B12)))</f>
        <v>1905.8564126921999</v>
      </c>
      <c r="CE30" s="56">
        <f>IF(CE$23&lt;'A&amp;Rs'!$V16,HLOOKUP(CE$21,$F$4:$Q$17,$B12),IF(AND(CE$23&gt;='A&amp;Rs'!$V16,CE$23&lt;'A&amp;Rs'!$X16),0,HLOOKUP(CE$21,$U$4:$AF$17,$B12)))</f>
        <v>1905.8564126921999</v>
      </c>
      <c r="CF30" s="56">
        <f>IF(CF$23&lt;'A&amp;Rs'!$V16,HLOOKUP(CF$21,$F$4:$Q$17,$B12),IF(AND(CF$23&gt;='A&amp;Rs'!$V16,CF$23&lt;'A&amp;Rs'!$X16),0,HLOOKUP(CF$21,$U$4:$AF$17,$B12)))</f>
        <v>1905.8564126921999</v>
      </c>
      <c r="CG30" s="56">
        <f>IF(CG$23&lt;'A&amp;Rs'!$V16,HLOOKUP(CG$21,$F$4:$Q$17,$B12),IF(AND(CG$23&gt;='A&amp;Rs'!$V16,CG$23&lt;'A&amp;Rs'!$X16),0,HLOOKUP(CG$21,$U$4:$AF$17,$B12)))</f>
        <v>1905.8564126921999</v>
      </c>
      <c r="CH30" s="56">
        <f>IF(CH$23&lt;'A&amp;Rs'!$V16,HLOOKUP(CH$21,$F$4:$Q$17,$B12),IF(AND(CH$23&gt;='A&amp;Rs'!$V16,CH$23&lt;'A&amp;Rs'!$X16),0,HLOOKUP(CH$21,$U$4:$AF$17,$B12)))</f>
        <v>1905.8564126921999</v>
      </c>
      <c r="CI30" s="56">
        <f>IF(CI$23&lt;'A&amp;Rs'!$V16,HLOOKUP(CI$21,$F$4:$Q$17,$B12),IF(AND(CI$23&gt;='A&amp;Rs'!$V16,CI$23&lt;'A&amp;Rs'!$X16),0,HLOOKUP(CI$21,$U$4:$AF$17,$B12)))</f>
        <v>1905.8564126921999</v>
      </c>
      <c r="CJ30" s="56">
        <f>IF(CJ$23&lt;'A&amp;Rs'!$V16,HLOOKUP(CJ$21,$F$4:$Q$17,$B12),IF(AND(CJ$23&gt;='A&amp;Rs'!$V16,CJ$23&lt;'A&amp;Rs'!$X16),0,HLOOKUP(CJ$21,$U$4:$AF$17,$B12)))</f>
        <v>1905.8564126921999</v>
      </c>
      <c r="CK30" s="56">
        <f>IF(CK$23&lt;'A&amp;Rs'!$V16,HLOOKUP(CK$21,$F$4:$Q$17,$B12),IF(AND(CK$23&gt;='A&amp;Rs'!$V16,CK$23&lt;'A&amp;Rs'!$X16),0,HLOOKUP(CK$21,$U$4:$AF$17,$B12)))</f>
        <v>1905.8564126921999</v>
      </c>
      <c r="CL30" s="56">
        <f>IF(CL$23&lt;'A&amp;Rs'!$V16,HLOOKUP(CL$21,$F$4:$Q$17,$B12),IF(AND(CL$23&gt;='A&amp;Rs'!$V16,CL$23&lt;'A&amp;Rs'!$X16),0,HLOOKUP(CL$21,$U$4:$AF$17,$B12)))</f>
        <v>1963.032105072966</v>
      </c>
      <c r="CM30" s="56">
        <f>IF(CM$23&lt;'A&amp;Rs'!$V16,HLOOKUP(CM$21,$F$4:$Q$17,$B12),IF(AND(CM$23&gt;='A&amp;Rs'!$V16,CM$23&lt;'A&amp;Rs'!$X16),0,HLOOKUP(CM$21,$U$4:$AF$17,$B12)))</f>
        <v>1963.032105072966</v>
      </c>
      <c r="CN30" s="56">
        <f>IF(CN$23&lt;'A&amp;Rs'!$V16,HLOOKUP(CN$21,$F$4:$Q$17,$B12),IF(AND(CN$23&gt;='A&amp;Rs'!$V16,CN$23&lt;'A&amp;Rs'!$X16),0,HLOOKUP(CN$21,$U$4:$AF$17,$B12)))</f>
        <v>1963.032105072966</v>
      </c>
      <c r="CO30" s="56">
        <f>IF(CO$23&lt;'A&amp;Rs'!$V16,HLOOKUP(CO$21,$F$4:$Q$17,$B12),IF(AND(CO$23&gt;='A&amp;Rs'!$V16,CO$23&lt;'A&amp;Rs'!$X16),0,HLOOKUP(CO$21,$U$4:$AF$17,$B12)))</f>
        <v>1963.032105072966</v>
      </c>
      <c r="CP30" s="56">
        <f>IF(CP$23&lt;'A&amp;Rs'!$V16,HLOOKUP(CP$21,$F$4:$Q$17,$B12),IF(AND(CP$23&gt;='A&amp;Rs'!$V16,CP$23&lt;'A&amp;Rs'!$X16),0,HLOOKUP(CP$21,$U$4:$AF$17,$B12)))</f>
        <v>1963.032105072966</v>
      </c>
      <c r="CQ30" s="56">
        <f>IF(CQ$23&lt;'A&amp;Rs'!$V16,HLOOKUP(CQ$21,$F$4:$Q$17,$B12),IF(AND(CQ$23&gt;='A&amp;Rs'!$V16,CQ$23&lt;'A&amp;Rs'!$X16),0,HLOOKUP(CQ$21,$U$4:$AF$17,$B12)))</f>
        <v>1963.032105072966</v>
      </c>
      <c r="CR30" s="56">
        <f>IF(CR$23&lt;'A&amp;Rs'!$V16,HLOOKUP(CR$21,$F$4:$Q$17,$B12),IF(AND(CR$23&gt;='A&amp;Rs'!$V16,CR$23&lt;'A&amp;Rs'!$X16),0,HLOOKUP(CR$21,$U$4:$AF$17,$B12)))</f>
        <v>1963.032105072966</v>
      </c>
      <c r="CS30" s="56">
        <f>IF(CS$23&lt;'A&amp;Rs'!$V16,HLOOKUP(CS$21,$F$4:$Q$17,$B12),IF(AND(CS$23&gt;='A&amp;Rs'!$V16,CS$23&lt;'A&amp;Rs'!$X16),0,HLOOKUP(CS$21,$U$4:$AF$17,$B12)))</f>
        <v>1963.032105072966</v>
      </c>
      <c r="CT30" s="56">
        <f>IF(CT$23&lt;'A&amp;Rs'!$V16,HLOOKUP(CT$21,$F$4:$Q$17,$B12),IF(AND(CT$23&gt;='A&amp;Rs'!$V16,CT$23&lt;'A&amp;Rs'!$X16),0,HLOOKUP(CT$21,$U$4:$AF$17,$B12)))</f>
        <v>1963.032105072966</v>
      </c>
      <c r="CU30" s="56">
        <f>IF(CU$23&lt;'A&amp;Rs'!$V16,HLOOKUP(CU$21,$F$4:$Q$17,$B12),IF(AND(CU$23&gt;='A&amp;Rs'!$V16,CU$23&lt;'A&amp;Rs'!$X16),0,HLOOKUP(CU$21,$U$4:$AF$17,$B12)))</f>
        <v>1963.032105072966</v>
      </c>
      <c r="CV30" s="56">
        <f>IF(CV$23&lt;'A&amp;Rs'!$V16,HLOOKUP(CV$21,$F$4:$Q$17,$B12),IF(AND(CV$23&gt;='A&amp;Rs'!$V16,CV$23&lt;'A&amp;Rs'!$X16),0,HLOOKUP(CV$21,$U$4:$AF$17,$B12)))</f>
        <v>1963.032105072966</v>
      </c>
      <c r="CW30" s="56">
        <f>IF(CW$23&lt;'A&amp;Rs'!$V16,HLOOKUP(CW$21,$F$4:$Q$17,$B12),IF(AND(CW$23&gt;='A&amp;Rs'!$V16,CW$23&lt;'A&amp;Rs'!$X16),0,HLOOKUP(CW$21,$U$4:$AF$17,$B12)))</f>
        <v>1963.032105072966</v>
      </c>
      <c r="CX30" s="56">
        <f>IF(CX$23&lt;'A&amp;Rs'!$V16,HLOOKUP(CX$21,$F$4:$Q$17,$B12),IF(AND(CX$23&gt;='A&amp;Rs'!$V16,CX$23&lt;'A&amp;Rs'!$X16),0,HLOOKUP(CX$21,$U$4:$AF$17,$B12)))</f>
        <v>2002.2927471744254</v>
      </c>
      <c r="CY30" s="56">
        <f>IF(CY$23&lt;'A&amp;Rs'!$V16,HLOOKUP(CY$21,$F$4:$Q$17,$B12),IF(AND(CY$23&gt;='A&amp;Rs'!$V16,CY$23&lt;'A&amp;Rs'!$X16),0,HLOOKUP(CY$21,$U$4:$AF$17,$B12)))</f>
        <v>2002.2927471744254</v>
      </c>
      <c r="CZ30" s="56">
        <f>IF(CZ$23&lt;'A&amp;Rs'!$V16,HLOOKUP(CZ$21,$F$4:$Q$17,$B12),IF(AND(CZ$23&gt;='A&amp;Rs'!$V16,CZ$23&lt;'A&amp;Rs'!$X16),0,HLOOKUP(CZ$21,$U$4:$AF$17,$B12)))</f>
        <v>2002.2927471744254</v>
      </c>
      <c r="DA30" s="56">
        <f>IF(DA$23&lt;'A&amp;Rs'!$V16,HLOOKUP(DA$21,$F$4:$Q$17,$B12),IF(AND(DA$23&gt;='A&amp;Rs'!$V16,DA$23&lt;'A&amp;Rs'!$X16),0,HLOOKUP(DA$21,$U$4:$AF$17,$B12)))</f>
        <v>2002.2927471744254</v>
      </c>
      <c r="DB30" s="56">
        <f>IF(DB$23&lt;'A&amp;Rs'!$V16,HLOOKUP(DB$21,$F$4:$Q$17,$B12),IF(AND(DB$23&gt;='A&amp;Rs'!$V16,DB$23&lt;'A&amp;Rs'!$X16),0,HLOOKUP(DB$21,$U$4:$AF$17,$B12)))</f>
        <v>2002.2927471744254</v>
      </c>
      <c r="DC30" s="56">
        <f>IF(DC$23&lt;'A&amp;Rs'!$V16,HLOOKUP(DC$21,$F$4:$Q$17,$B12),IF(AND(DC$23&gt;='A&amp;Rs'!$V16,DC$23&lt;'A&amp;Rs'!$X16),0,HLOOKUP(DC$21,$U$4:$AF$17,$B12)))</f>
        <v>2002.2927471744254</v>
      </c>
      <c r="DD30" s="56">
        <f>IF(DD$23&lt;'A&amp;Rs'!$V16,HLOOKUP(DD$21,$F$4:$Q$17,$B12),IF(AND(DD$23&gt;='A&amp;Rs'!$V16,DD$23&lt;'A&amp;Rs'!$X16),0,HLOOKUP(DD$21,$U$4:$AF$17,$B12)))</f>
        <v>2002.2927471744254</v>
      </c>
      <c r="DE30" s="56">
        <f>IF(DE$23&lt;'A&amp;Rs'!$V16,HLOOKUP(DE$21,$F$4:$Q$17,$B12),IF(AND(DE$23&gt;='A&amp;Rs'!$V16,DE$23&lt;'A&amp;Rs'!$X16),0,HLOOKUP(DE$21,$U$4:$AF$17,$B12)))</f>
        <v>2002.2927471744254</v>
      </c>
      <c r="DF30" s="56">
        <f>IF(DF$23&lt;'A&amp;Rs'!$V16,HLOOKUP(DF$21,$F$4:$Q$17,$B12),IF(AND(DF$23&gt;='A&amp;Rs'!$V16,DF$23&lt;'A&amp;Rs'!$X16),0,HLOOKUP(DF$21,$U$4:$AF$17,$B12)))</f>
        <v>2002.2927471744254</v>
      </c>
      <c r="DG30" s="56">
        <f>IF(DG$23&lt;'A&amp;Rs'!$V16,HLOOKUP(DG$21,$F$4:$Q$17,$B12),IF(AND(DG$23&gt;='A&amp;Rs'!$V16,DG$23&lt;'A&amp;Rs'!$X16),0,HLOOKUP(DG$21,$U$4:$AF$17,$B12)))</f>
        <v>2002.2927471744254</v>
      </c>
      <c r="DH30" s="56">
        <f>IF(DH$23&lt;'A&amp;Rs'!$V16,HLOOKUP(DH$21,$F$4:$Q$17,$B12),IF(AND(DH$23&gt;='A&amp;Rs'!$V16,DH$23&lt;'A&amp;Rs'!$X16),0,HLOOKUP(DH$21,$U$4:$AF$17,$B12)))</f>
        <v>2002.2927471744254</v>
      </c>
      <c r="DI30" s="56">
        <f>IF(DI$23&lt;'A&amp;Rs'!$V16,HLOOKUP(DI$21,$F$4:$Q$17,$B12),IF(AND(DI$23&gt;='A&amp;Rs'!$V16,DI$23&lt;'A&amp;Rs'!$X16),0,HLOOKUP(DI$21,$U$4:$AF$17,$B12)))</f>
        <v>2002.2927471744254</v>
      </c>
      <c r="DJ30" s="56">
        <f>IF(DJ$23&lt;'A&amp;Rs'!$V16,HLOOKUP(DJ$21,$F$4:$Q$17,$B12),IF(AND(DJ$23&gt;='A&amp;Rs'!$V16,DJ$23&lt;'A&amp;Rs'!$X16),0,HLOOKUP(DJ$21,$U$4:$AF$17,$B12)))</f>
        <v>2022.3156746461696</v>
      </c>
      <c r="DK30" s="56">
        <f>IF(DK$23&lt;'A&amp;Rs'!$V16,HLOOKUP(DK$21,$F$4:$Q$17,$B12),IF(AND(DK$23&gt;='A&amp;Rs'!$V16,DK$23&lt;'A&amp;Rs'!$X16),0,HLOOKUP(DK$21,$U$4:$AF$17,$B12)))</f>
        <v>2022.3156746461696</v>
      </c>
      <c r="DL30" s="56">
        <f>IF(DL$23&lt;'A&amp;Rs'!$V16,HLOOKUP(DL$21,$F$4:$Q$17,$B12),IF(AND(DL$23&gt;='A&amp;Rs'!$V16,DL$23&lt;'A&amp;Rs'!$X16),0,HLOOKUP(DL$21,$U$4:$AF$17,$B12)))</f>
        <v>2022.3156746461696</v>
      </c>
      <c r="DM30" s="56">
        <f>IF(DM$23&lt;'A&amp;Rs'!$V16,HLOOKUP(DM$21,$F$4:$Q$17,$B12),IF(AND(DM$23&gt;='A&amp;Rs'!$V16,DM$23&lt;'A&amp;Rs'!$X16),0,HLOOKUP(DM$21,$U$4:$AF$17,$B12)))</f>
        <v>2022.3156746461696</v>
      </c>
      <c r="DN30" s="56">
        <f>IF(DN$23&lt;'A&amp;Rs'!$V16,HLOOKUP(DN$21,$F$4:$Q$17,$B12),IF(AND(DN$23&gt;='A&amp;Rs'!$V16,DN$23&lt;'A&amp;Rs'!$X16),0,HLOOKUP(DN$21,$U$4:$AF$17,$B12)))</f>
        <v>2022.3156746461696</v>
      </c>
      <c r="DO30" s="56">
        <f>IF(DO$23&lt;'A&amp;Rs'!$V16,HLOOKUP(DO$21,$F$4:$Q$17,$B12),IF(AND(DO$23&gt;='A&amp;Rs'!$V16,DO$23&lt;'A&amp;Rs'!$X16),0,HLOOKUP(DO$21,$U$4:$AF$17,$B12)))</f>
        <v>2022.3156746461696</v>
      </c>
      <c r="DP30" s="56">
        <f>IF(DP$23&lt;'A&amp;Rs'!$V16,HLOOKUP(DP$21,$F$4:$Q$17,$B12),IF(AND(DP$23&gt;='A&amp;Rs'!$V16,DP$23&lt;'A&amp;Rs'!$X16),0,HLOOKUP(DP$21,$U$4:$AF$17,$B12)))</f>
        <v>2022.3156746461696</v>
      </c>
      <c r="DQ30" s="56">
        <f>IF(DQ$23&lt;'A&amp;Rs'!$V16,HLOOKUP(DQ$21,$F$4:$Q$17,$B12),IF(AND(DQ$23&gt;='A&amp;Rs'!$V16,DQ$23&lt;'A&amp;Rs'!$X16),0,HLOOKUP(DQ$21,$U$4:$AF$17,$B12)))</f>
        <v>2022.3156746461696</v>
      </c>
      <c r="DR30" s="56">
        <f>IF(DR$23&lt;'A&amp;Rs'!$V16,HLOOKUP(DR$21,$F$4:$Q$17,$B12),IF(AND(DR$23&gt;='A&amp;Rs'!$V16,DR$23&lt;'A&amp;Rs'!$X16),0,HLOOKUP(DR$21,$U$4:$AF$17,$B12)))</f>
        <v>2022.3156746461696</v>
      </c>
      <c r="DS30" s="56">
        <f>IF(DS$23&lt;'A&amp;Rs'!$V16,HLOOKUP(DS$21,$F$4:$Q$17,$B12),IF(AND(DS$23&gt;='A&amp;Rs'!$V16,DS$23&lt;'A&amp;Rs'!$X16),0,HLOOKUP(DS$21,$U$4:$AF$17,$B12)))</f>
        <v>2022.3156746461696</v>
      </c>
      <c r="DT30" s="56">
        <f>IF(DT$23&lt;'A&amp;Rs'!$V16,HLOOKUP(DT$21,$F$4:$Q$17,$B12),IF(AND(DT$23&gt;='A&amp;Rs'!$V16,DT$23&lt;'A&amp;Rs'!$X16),0,HLOOKUP(DT$21,$U$4:$AF$17,$B12)))</f>
        <v>2022.3156746461696</v>
      </c>
      <c r="DU30" s="56">
        <f>IF(DU$23&lt;'A&amp;Rs'!$V16,HLOOKUP(DU$21,$F$4:$Q$17,$B12),IF(AND(DU$23&gt;='A&amp;Rs'!$V16,DU$23&lt;'A&amp;Rs'!$X16),0,HLOOKUP(DU$21,$U$4:$AF$17,$B12)))</f>
        <v>2022.3156746461696</v>
      </c>
      <c r="DV30" s="56">
        <f>IF(DV$23&lt;'A&amp;Rs'!$V16,HLOOKUP(DV$21,$F$4:$Q$17,$B12),IF(AND(DV$23&gt;='A&amp;Rs'!$V16,DV$23&lt;'A&amp;Rs'!$X16),0,HLOOKUP(DV$21,$U$4:$AF$17,$B12)))</f>
        <v>2042.5388313926312</v>
      </c>
      <c r="DW30" s="56">
        <f>IF(DW$23&lt;'A&amp;Rs'!$V16,HLOOKUP(DW$21,$F$4:$Q$17,$B12),IF(AND(DW$23&gt;='A&amp;Rs'!$V16,DW$23&lt;'A&amp;Rs'!$X16),0,HLOOKUP(DW$21,$U$4:$AF$17,$B12)))</f>
        <v>2042.5388313926312</v>
      </c>
      <c r="DX30" s="56">
        <f>IF(DX$23&lt;'A&amp;Rs'!$V16,HLOOKUP(DX$21,$F$4:$Q$17,$B12),IF(AND(DX$23&gt;='A&amp;Rs'!$V16,DX$23&lt;'A&amp;Rs'!$X16),0,HLOOKUP(DX$21,$U$4:$AF$17,$B12)))</f>
        <v>2042.5388313926312</v>
      </c>
      <c r="DY30" s="56">
        <f>IF(DY$23&lt;'A&amp;Rs'!$V16,HLOOKUP(DY$21,$F$4:$Q$17,$B12),IF(AND(DY$23&gt;='A&amp;Rs'!$V16,DY$23&lt;'A&amp;Rs'!$X16),0,HLOOKUP(DY$21,$U$4:$AF$17,$B12)))</f>
        <v>2042.5388313926312</v>
      </c>
      <c r="DZ30" s="56">
        <f>IF(DZ$23&lt;'A&amp;Rs'!$V16,HLOOKUP(DZ$21,$F$4:$Q$17,$B12),IF(AND(DZ$23&gt;='A&amp;Rs'!$V16,DZ$23&lt;'A&amp;Rs'!$X16),0,HLOOKUP(DZ$21,$U$4:$AF$17,$B12)))</f>
        <v>2042.5388313926312</v>
      </c>
      <c r="EA30" s="56">
        <f>IF(EA$23&lt;'A&amp;Rs'!$V16,HLOOKUP(EA$21,$F$4:$Q$17,$B12),IF(AND(EA$23&gt;='A&amp;Rs'!$V16,EA$23&lt;'A&amp;Rs'!$X16),0,HLOOKUP(EA$21,$U$4:$AF$17,$B12)))</f>
        <v>2042.5388313926312</v>
      </c>
      <c r="EB30" s="56">
        <f>IF(EB$23&lt;'A&amp;Rs'!$V16,HLOOKUP(EB$21,$F$4:$Q$17,$B12),IF(AND(EB$23&gt;='A&amp;Rs'!$V16,EB$23&lt;'A&amp;Rs'!$X16),0,HLOOKUP(EB$21,$U$4:$AF$17,$B12)))</f>
        <v>2042.5388313926312</v>
      </c>
      <c r="EC30" s="56">
        <f>IF(EC$23&lt;'A&amp;Rs'!$V16,HLOOKUP(EC$21,$F$4:$Q$17,$B12),IF(AND(EC$23&gt;='A&amp;Rs'!$V16,EC$23&lt;'A&amp;Rs'!$X16),0,HLOOKUP(EC$21,$U$4:$AF$17,$B12)))</f>
        <v>2042.5388313926312</v>
      </c>
      <c r="ED30" s="56">
        <f>IF(ED$23&lt;'A&amp;Rs'!$V16,HLOOKUP(ED$21,$F$4:$Q$17,$B12),IF(AND(ED$23&gt;='A&amp;Rs'!$V16,ED$23&lt;'A&amp;Rs'!$X16),0,HLOOKUP(ED$21,$U$4:$AF$17,$B12)))</f>
        <v>2042.5388313926312</v>
      </c>
      <c r="EE30" s="56">
        <f>IF(EE$23&lt;'A&amp;Rs'!$V16,HLOOKUP(EE$21,$F$4:$Q$17,$B12),IF(AND(EE$23&gt;='A&amp;Rs'!$V16,EE$23&lt;'A&amp;Rs'!$X16),0,HLOOKUP(EE$21,$U$4:$AF$17,$B12)))</f>
        <v>2042.5388313926312</v>
      </c>
      <c r="EF30" s="56">
        <f>IF(EF$23&lt;'A&amp;Rs'!$V16,HLOOKUP(EF$21,$F$4:$Q$17,$B12),IF(AND(EF$23&gt;='A&amp;Rs'!$V16,EF$23&lt;'A&amp;Rs'!$X16),0,HLOOKUP(EF$21,$U$4:$AF$17,$B12)))</f>
        <v>2042.5388313926312</v>
      </c>
      <c r="EG30" s="56">
        <f>IF(EG$23&lt;'A&amp;Rs'!$V16,HLOOKUP(EG$21,$F$4:$Q$17,$B12),IF(AND(EG$23&gt;='A&amp;Rs'!$V16,EG$23&lt;'A&amp;Rs'!$X16),0,HLOOKUP(EG$21,$U$4:$AF$17,$B12)))</f>
        <v>2042.5388313926312</v>
      </c>
      <c r="EH30" s="56">
        <f>IF(EH$23&lt;'A&amp;Rs'!$V16,HLOOKUP(EH$21,$F$4:$Q$17,$B12),IF(AND(EH$23&gt;='A&amp;Rs'!$V16,EH$23&lt;'A&amp;Rs'!$X16),0,HLOOKUP(EH$21,$U$4:$AF$17,$B12)))</f>
        <v>2062.9642197065577</v>
      </c>
      <c r="EI30" s="56">
        <f>IF(EI$23&lt;'A&amp;Rs'!$V16,HLOOKUP(EI$21,$F$4:$Q$17,$B12),IF(AND(EI$23&gt;='A&amp;Rs'!$V16,EI$23&lt;'A&amp;Rs'!$X16),0,HLOOKUP(EI$21,$U$4:$AF$17,$B12)))</f>
        <v>2062.9642197065577</v>
      </c>
      <c r="EJ30" s="56">
        <f>IF(EJ$23&lt;'A&amp;Rs'!$V16,HLOOKUP(EJ$21,$F$4:$Q$17,$B12),IF(AND(EJ$23&gt;='A&amp;Rs'!$V16,EJ$23&lt;'A&amp;Rs'!$X16),0,HLOOKUP(EJ$21,$U$4:$AF$17,$B12)))</f>
        <v>2062.9642197065577</v>
      </c>
      <c r="EK30" s="56">
        <f>IF(EK$23&lt;'A&amp;Rs'!$V16,HLOOKUP(EK$21,$F$4:$Q$17,$B12),IF(AND(EK$23&gt;='A&amp;Rs'!$V16,EK$23&lt;'A&amp;Rs'!$X16),0,HLOOKUP(EK$21,$U$4:$AF$17,$B12)))</f>
        <v>2062.9642197065577</v>
      </c>
      <c r="EL30" s="56">
        <f>IF(EL$23&lt;'A&amp;Rs'!$V16,HLOOKUP(EL$21,$F$4:$Q$17,$B12),IF(AND(EL$23&gt;='A&amp;Rs'!$V16,EL$23&lt;'A&amp;Rs'!$X16),0,HLOOKUP(EL$21,$U$4:$AF$17,$B12)))</f>
        <v>2062.9642197065577</v>
      </c>
      <c r="EM30" s="56">
        <f>IF(EM$23&lt;'A&amp;Rs'!$V16,HLOOKUP(EM$21,$F$4:$Q$17,$B12),IF(AND(EM$23&gt;='A&amp;Rs'!$V16,EM$23&lt;'A&amp;Rs'!$X16),0,HLOOKUP(EM$21,$U$4:$AF$17,$B12)))</f>
        <v>2062.9642197065577</v>
      </c>
      <c r="EN30" s="56">
        <f>IF(EN$23&lt;'A&amp;Rs'!$V16,HLOOKUP(EN$21,$F$4:$Q$17,$B12),IF(AND(EN$23&gt;='A&amp;Rs'!$V16,EN$23&lt;'A&amp;Rs'!$X16),0,HLOOKUP(EN$21,$U$4:$AF$17,$B12)))</f>
        <v>2062.9642197065577</v>
      </c>
      <c r="EO30" s="56">
        <f>IF(EO$23&lt;'A&amp;Rs'!$V16,HLOOKUP(EO$21,$F$4:$Q$17,$B12),IF(AND(EO$23&gt;='A&amp;Rs'!$V16,EO$23&lt;'A&amp;Rs'!$X16),0,HLOOKUP(EO$21,$U$4:$AF$17,$B12)))</f>
        <v>2062.9642197065577</v>
      </c>
      <c r="EP30" s="56">
        <f>IF(EP$23&lt;'A&amp;Rs'!$V16,HLOOKUP(EP$21,$F$4:$Q$17,$B12),IF(AND(EP$23&gt;='A&amp;Rs'!$V16,EP$23&lt;'A&amp;Rs'!$X16),0,HLOOKUP(EP$21,$U$4:$AF$17,$B12)))</f>
        <v>2062.9642197065577</v>
      </c>
      <c r="EQ30" s="56">
        <f>IF(EQ$23&lt;'A&amp;Rs'!$V16,HLOOKUP(EQ$21,$F$4:$Q$17,$B12),IF(AND(EQ$23&gt;='A&amp;Rs'!$V16,EQ$23&lt;'A&amp;Rs'!$X16),0,HLOOKUP(EQ$21,$U$4:$AF$17,$B12)))</f>
        <v>2062.9642197065577</v>
      </c>
      <c r="ER30" s="56">
        <f>IF(ER$23&lt;'A&amp;Rs'!$V16,HLOOKUP(ER$21,$F$4:$Q$17,$B12),IF(AND(ER$23&gt;='A&amp;Rs'!$V16,ER$23&lt;'A&amp;Rs'!$X16),0,HLOOKUP(ER$21,$U$4:$AF$17,$B12)))</f>
        <v>2062.9642197065577</v>
      </c>
      <c r="ES30" s="56">
        <f>IF(ES$23&lt;'A&amp;Rs'!$V16,HLOOKUP(ES$21,$F$4:$Q$17,$B12),IF(AND(ES$23&gt;='A&amp;Rs'!$V16,ES$23&lt;'A&amp;Rs'!$X16),0,HLOOKUP(ES$21,$U$4:$AF$17,$B12)))</f>
        <v>2062.9642197065577</v>
      </c>
      <c r="ET30" s="56">
        <f>IF(ET$23&lt;'A&amp;Rs'!$V16,HLOOKUP(ET$21,$F$4:$Q$17,$B12),IF(AND(ET$23&gt;='A&amp;Rs'!$V16,ET$23&lt;'A&amp;Rs'!$X16),0,HLOOKUP(ET$21,$U$4:$AF$17,$B12)))</f>
        <v>2062.9642197065577</v>
      </c>
      <c r="EU30" s="56">
        <f>IF(EU$23&lt;'A&amp;Rs'!$V16,HLOOKUP(EU$21,$F$4:$Q$17,$B12),IF(AND(EU$23&gt;='A&amp;Rs'!$V16,EU$23&lt;'A&amp;Rs'!$X16),0,HLOOKUP(EU$21,$U$4:$AF$17,$B12)))</f>
        <v>2062.9642197065577</v>
      </c>
      <c r="EV30" s="56">
        <f>IF(EV$23&lt;'A&amp;Rs'!$V16,HLOOKUP(EV$21,$F$4:$Q$17,$B12),IF(AND(EV$23&gt;='A&amp;Rs'!$V16,EV$23&lt;'A&amp;Rs'!$X16),0,HLOOKUP(EV$21,$U$4:$AF$17,$B12)))</f>
        <v>2062.9642197065577</v>
      </c>
      <c r="EW30" s="56">
        <f>IF(EW$23&lt;'A&amp;Rs'!$V16,HLOOKUP(EW$21,$F$4:$Q$17,$B12),IF(AND(EW$23&gt;='A&amp;Rs'!$V16,EW$23&lt;'A&amp;Rs'!$X16),0,HLOOKUP(EW$21,$U$4:$AF$17,$B12)))</f>
        <v>2062.9642197065577</v>
      </c>
      <c r="EX30" s="56">
        <f>IF(EX$23&lt;'A&amp;Rs'!$V16,HLOOKUP(EX$21,$F$4:$Q$17,$B12),IF(AND(EX$23&gt;='A&amp;Rs'!$V16,EX$23&lt;'A&amp;Rs'!$X16),0,HLOOKUP(EX$21,$U$4:$AF$17,$B12)))</f>
        <v>2062.9642197065577</v>
      </c>
      <c r="EY30" s="56">
        <f>IF(EY$23&lt;'A&amp;Rs'!$V16,HLOOKUP(EY$21,$F$4:$Q$17,$B12),IF(AND(EY$23&gt;='A&amp;Rs'!$V16,EY$23&lt;'A&amp;Rs'!$X16),0,HLOOKUP(EY$21,$U$4:$AF$17,$B12)))</f>
        <v>2062.9642197065577</v>
      </c>
      <c r="EZ30" s="56">
        <f>IF(EZ$23&lt;'A&amp;Rs'!$V16,HLOOKUP(EZ$21,$F$4:$Q$17,$B12),IF(AND(EZ$23&gt;='A&amp;Rs'!$V16,EZ$23&lt;'A&amp;Rs'!$X16),0,HLOOKUP(EZ$21,$U$4:$AF$17,$B12)))</f>
        <v>2062.9642197065577</v>
      </c>
      <c r="FA30" s="56">
        <f>IF(FA$23&lt;'A&amp;Rs'!$V16,HLOOKUP(FA$21,$F$4:$Q$17,$B12),IF(AND(FA$23&gt;='A&amp;Rs'!$V16,FA$23&lt;'A&amp;Rs'!$X16),0,HLOOKUP(FA$21,$U$4:$AF$17,$B12)))</f>
        <v>2062.9642197065577</v>
      </c>
      <c r="FB30" s="56">
        <f>IF(FB$23&lt;'A&amp;Rs'!$V16,HLOOKUP(FB$21,$F$4:$Q$17,$B12),IF(AND(FB$23&gt;='A&amp;Rs'!$V16,FB$23&lt;'A&amp;Rs'!$X16),0,HLOOKUP(FB$21,$U$4:$AF$17,$B12)))</f>
        <v>2062.9642197065577</v>
      </c>
      <c r="FC30" s="56">
        <f>IF(FC$23&lt;'A&amp;Rs'!$V16,HLOOKUP(FC$21,$F$4:$Q$17,$B12),IF(AND(FC$23&gt;='A&amp;Rs'!$V16,FC$23&lt;'A&amp;Rs'!$X16),0,HLOOKUP(FC$21,$U$4:$AF$17,$B12)))</f>
        <v>2062.9642197065577</v>
      </c>
      <c r="FD30" s="56">
        <f>IF(FD$23&lt;'A&amp;Rs'!$V16,HLOOKUP(FD$21,$F$4:$Q$17,$B12),IF(AND(FD$23&gt;='A&amp;Rs'!$V16,FD$23&lt;'A&amp;Rs'!$X16),0,HLOOKUP(FD$21,$U$4:$AF$17,$B12)))</f>
        <v>2062.9642197065577</v>
      </c>
      <c r="FE30" s="56">
        <f>IF(FE$23&lt;'A&amp;Rs'!$V16,HLOOKUP(FE$21,$F$4:$Q$17,$B12),IF(AND(FE$23&gt;='A&amp;Rs'!$V16,FE$23&lt;'A&amp;Rs'!$X16),0,HLOOKUP(FE$21,$U$4:$AF$17,$B12)))</f>
        <v>2062.9642197065577</v>
      </c>
      <c r="FF30" s="1" t="s">
        <v>39</v>
      </c>
      <c r="FG30" s="1"/>
      <c r="FH30" s="1"/>
      <c r="FI30" s="99"/>
    </row>
    <row r="31" spans="2:165" x14ac:dyDescent="0.3">
      <c r="C31" s="98"/>
      <c r="D31" s="123">
        <f>'A&amp;Rs'!Q17</f>
        <v>8</v>
      </c>
      <c r="E31" s="56">
        <f t="shared" si="11"/>
        <v>1480</v>
      </c>
      <c r="F31" s="56">
        <f>IF(F$23&lt;'A&amp;Rs'!$V17,HLOOKUP(F$21,$F$4:$Q$17,$B13),IF(AND(F$23&gt;='A&amp;Rs'!$V17,F$23&lt;'A&amp;Rs'!$X17),0,HLOOKUP(F$21,$U$4:$AF$17,$B13)))</f>
        <v>1480</v>
      </c>
      <c r="G31" s="56">
        <f>IF(G$23&lt;'A&amp;Rs'!$V17,HLOOKUP(G$21,$F$4:$Q$17,$B13),IF(AND(G$23&gt;='A&amp;Rs'!$V17,G$23&lt;'A&amp;Rs'!$X17),0,HLOOKUP(G$21,$U$4:$AF$17,$B13)))</f>
        <v>1480</v>
      </c>
      <c r="H31" s="56">
        <f>IF(H$23&lt;'A&amp;Rs'!$V17,HLOOKUP(H$21,$F$4:$Q$17,$B13),IF(AND(H$23&gt;='A&amp;Rs'!$V17,H$23&lt;'A&amp;Rs'!$X17),0,HLOOKUP(H$21,$U$4:$AF$17,$B13)))</f>
        <v>1480</v>
      </c>
      <c r="I31" s="56">
        <f>IF(I$23&lt;'A&amp;Rs'!$V17,HLOOKUP(I$21,$F$4:$Q$17,$B13),IF(AND(I$23&gt;='A&amp;Rs'!$V17,I$23&lt;'A&amp;Rs'!$X17),0,HLOOKUP(I$21,$U$4:$AF$17,$B13)))</f>
        <v>1480</v>
      </c>
      <c r="J31" s="56">
        <f>IF(J$23&lt;'A&amp;Rs'!$V17,HLOOKUP(J$21,$F$4:$Q$17,$B13),IF(AND(J$23&gt;='A&amp;Rs'!$V17,J$23&lt;'A&amp;Rs'!$X17),0,HLOOKUP(J$21,$U$4:$AF$17,$B13)))</f>
        <v>1480</v>
      </c>
      <c r="K31" s="56">
        <f>IF(K$23&lt;'A&amp;Rs'!$V17,HLOOKUP(K$21,$F$4:$Q$17,$B13),IF(AND(K$23&gt;='A&amp;Rs'!$V17,K$23&lt;'A&amp;Rs'!$X17),0,HLOOKUP(K$21,$U$4:$AF$17,$B13)))</f>
        <v>1480</v>
      </c>
      <c r="L31" s="56">
        <f>IF(L$23&lt;'A&amp;Rs'!$V17,HLOOKUP(L$21,$F$4:$Q$17,$B13),IF(AND(L$23&gt;='A&amp;Rs'!$V17,L$23&lt;'A&amp;Rs'!$X17),0,HLOOKUP(L$21,$U$4:$AF$17,$B13)))</f>
        <v>1480</v>
      </c>
      <c r="M31" s="56">
        <f>IF(M$23&lt;'A&amp;Rs'!$V17,HLOOKUP(M$21,$F$4:$Q$17,$B13),IF(AND(M$23&gt;='A&amp;Rs'!$V17,M$23&lt;'A&amp;Rs'!$X17),0,HLOOKUP(M$21,$U$4:$AF$17,$B13)))</f>
        <v>0</v>
      </c>
      <c r="N31" s="56">
        <f>IF(N$23&lt;'A&amp;Rs'!$V17,HLOOKUP(N$21,$F$4:$Q$17,$B13),IF(AND(N$23&gt;='A&amp;Rs'!$V17,N$23&lt;'A&amp;Rs'!$X17),0,HLOOKUP(N$21,$U$4:$AF$17,$B13)))</f>
        <v>0</v>
      </c>
      <c r="O31" s="56">
        <f>IF(O$23&lt;'A&amp;Rs'!$V17,HLOOKUP(O$21,$F$4:$Q$17,$B13),IF(AND(O$23&gt;='A&amp;Rs'!$V17,O$23&lt;'A&amp;Rs'!$X17),0,HLOOKUP(O$21,$U$4:$AF$17,$B13)))</f>
        <v>0</v>
      </c>
      <c r="P31" s="56">
        <f>IF(P$23&lt;'A&amp;Rs'!$V17,HLOOKUP(P$21,$F$4:$Q$17,$B13),IF(AND(P$23&gt;='A&amp;Rs'!$V17,P$23&lt;'A&amp;Rs'!$X17),0,HLOOKUP(P$21,$U$4:$AF$17,$B13)))</f>
        <v>0</v>
      </c>
      <c r="Q31" s="56">
        <f>IF(Q$23&lt;'A&amp;Rs'!$V17,HLOOKUP(Q$21,$F$4:$Q$17,$B13),IF(AND(Q$23&gt;='A&amp;Rs'!$V17,Q$23&lt;'A&amp;Rs'!$X17),0,HLOOKUP(Q$21,$U$4:$AF$17,$B13)))</f>
        <v>1740</v>
      </c>
      <c r="R31" s="56">
        <f>IF(R$23&lt;'A&amp;Rs'!$V17,HLOOKUP(R$21,$F$4:$Q$17,$B13),IF(AND(R$23&gt;='A&amp;Rs'!$V17,R$23&lt;'A&amp;Rs'!$X17),0,HLOOKUP(R$21,$U$4:$AF$17,$B13)))</f>
        <v>1792.2</v>
      </c>
      <c r="S31" s="56">
        <f>IF(S$23&lt;'A&amp;Rs'!$V17,HLOOKUP(S$21,$F$4:$Q$17,$B13),IF(AND(S$23&gt;='A&amp;Rs'!$V17,S$23&lt;'A&amp;Rs'!$X17),0,HLOOKUP(S$21,$U$4:$AF$17,$B13)))</f>
        <v>1792.2</v>
      </c>
      <c r="T31" s="56">
        <f>IF(T$23&lt;'A&amp;Rs'!$V17,HLOOKUP(T$21,$F$4:$Q$17,$B13),IF(AND(T$23&gt;='A&amp;Rs'!$V17,T$23&lt;'A&amp;Rs'!$X17),0,HLOOKUP(T$21,$U$4:$AF$17,$B13)))</f>
        <v>1792.2</v>
      </c>
      <c r="U31" s="56">
        <f>IF(U$23&lt;'A&amp;Rs'!$V17,HLOOKUP(U$21,$F$4:$Q$17,$B13),IF(AND(U$23&gt;='A&amp;Rs'!$V17,U$23&lt;'A&amp;Rs'!$X17),0,HLOOKUP(U$21,$U$4:$AF$17,$B13)))</f>
        <v>1792.2</v>
      </c>
      <c r="V31" s="56">
        <f>IF(V$23&lt;'A&amp;Rs'!$V17,HLOOKUP(V$21,$F$4:$Q$17,$B13),IF(AND(V$23&gt;='A&amp;Rs'!$V17,V$23&lt;'A&amp;Rs'!$X17),0,HLOOKUP(V$21,$U$4:$AF$17,$B13)))</f>
        <v>1792.2</v>
      </c>
      <c r="W31" s="56">
        <f>IF(W$23&lt;'A&amp;Rs'!$V17,HLOOKUP(W$21,$F$4:$Q$17,$B13),IF(AND(W$23&gt;='A&amp;Rs'!$V17,W$23&lt;'A&amp;Rs'!$X17),0,HLOOKUP(W$21,$U$4:$AF$17,$B13)))</f>
        <v>1792.2</v>
      </c>
      <c r="X31" s="56">
        <f>IF(X$23&lt;'A&amp;Rs'!$V17,HLOOKUP(X$21,$F$4:$Q$17,$B13),IF(AND(X$23&gt;='A&amp;Rs'!$V17,X$23&lt;'A&amp;Rs'!$X17),0,HLOOKUP(X$21,$U$4:$AF$17,$B13)))</f>
        <v>1792.2</v>
      </c>
      <c r="Y31" s="56">
        <f>IF(Y$23&lt;'A&amp;Rs'!$V17,HLOOKUP(Y$21,$F$4:$Q$17,$B13),IF(AND(Y$23&gt;='A&amp;Rs'!$V17,Y$23&lt;'A&amp;Rs'!$X17),0,HLOOKUP(Y$21,$U$4:$AF$17,$B13)))</f>
        <v>1792.2</v>
      </c>
      <c r="Z31" s="56">
        <f>IF(Z$23&lt;'A&amp;Rs'!$V17,HLOOKUP(Z$21,$F$4:$Q$17,$B13),IF(AND(Z$23&gt;='A&amp;Rs'!$V17,Z$23&lt;'A&amp;Rs'!$X17),0,HLOOKUP(Z$21,$U$4:$AF$17,$B13)))</f>
        <v>1792.2</v>
      </c>
      <c r="AA31" s="56">
        <f>IF(AA$23&lt;'A&amp;Rs'!$V17,HLOOKUP(AA$21,$F$4:$Q$17,$B13),IF(AND(AA$23&gt;='A&amp;Rs'!$V17,AA$23&lt;'A&amp;Rs'!$X17),0,HLOOKUP(AA$21,$U$4:$AF$17,$B13)))</f>
        <v>1792.2</v>
      </c>
      <c r="AB31" s="56">
        <f>IF(AB$23&lt;'A&amp;Rs'!$V17,HLOOKUP(AB$21,$F$4:$Q$17,$B13),IF(AND(AB$23&gt;='A&amp;Rs'!$V17,AB$23&lt;'A&amp;Rs'!$X17),0,HLOOKUP(AB$21,$U$4:$AF$17,$B13)))</f>
        <v>1792.2</v>
      </c>
      <c r="AC31" s="56">
        <f>IF(AC$23&lt;'A&amp;Rs'!$V17,HLOOKUP(AC$21,$F$4:$Q$17,$B13),IF(AND(AC$23&gt;='A&amp;Rs'!$V17,AC$23&lt;'A&amp;Rs'!$X17),0,HLOOKUP(AC$21,$U$4:$AF$17,$B13)))</f>
        <v>1792.2</v>
      </c>
      <c r="AD31" s="56">
        <f>IF(AD$23&lt;'A&amp;Rs'!$V17,HLOOKUP(AD$21,$F$4:$Q$17,$B13),IF(AND(AD$23&gt;='A&amp;Rs'!$V17,AD$23&lt;'A&amp;Rs'!$X17),0,HLOOKUP(AD$21,$U$4:$AF$17,$B13)))</f>
        <v>1828.0440000000001</v>
      </c>
      <c r="AE31" s="56">
        <f>IF(AE$23&lt;'A&amp;Rs'!$V17,HLOOKUP(AE$21,$F$4:$Q$17,$B13),IF(AND(AE$23&gt;='A&amp;Rs'!$V17,AE$23&lt;'A&amp;Rs'!$X17),0,HLOOKUP(AE$21,$U$4:$AF$17,$B13)))</f>
        <v>1828.0440000000001</v>
      </c>
      <c r="AF31" s="56">
        <f>IF(AF$23&lt;'A&amp;Rs'!$V17,HLOOKUP(AF$21,$F$4:$Q$17,$B13),IF(AND(AF$23&gt;='A&amp;Rs'!$V17,AF$23&lt;'A&amp;Rs'!$X17),0,HLOOKUP(AF$21,$U$4:$AF$17,$B13)))</f>
        <v>1828.0440000000001</v>
      </c>
      <c r="AG31" s="56">
        <f>IF(AG$23&lt;'A&amp;Rs'!$V17,HLOOKUP(AG$21,$F$4:$Q$17,$B13),IF(AND(AG$23&gt;='A&amp;Rs'!$V17,AG$23&lt;'A&amp;Rs'!$X17),0,HLOOKUP(AG$21,$U$4:$AF$17,$B13)))</f>
        <v>1828.0440000000001</v>
      </c>
      <c r="AH31" s="56">
        <f>IF(AH$23&lt;'A&amp;Rs'!$V17,HLOOKUP(AH$21,$F$4:$Q$17,$B13),IF(AND(AH$23&gt;='A&amp;Rs'!$V17,AH$23&lt;'A&amp;Rs'!$X17),0,HLOOKUP(AH$21,$U$4:$AF$17,$B13)))</f>
        <v>1828.0440000000001</v>
      </c>
      <c r="AI31" s="56">
        <f>IF(AI$23&lt;'A&amp;Rs'!$V17,HLOOKUP(AI$21,$F$4:$Q$17,$B13),IF(AND(AI$23&gt;='A&amp;Rs'!$V17,AI$23&lt;'A&amp;Rs'!$X17),0,HLOOKUP(AI$21,$U$4:$AF$17,$B13)))</f>
        <v>1828.0440000000001</v>
      </c>
      <c r="AJ31" s="56">
        <f>IF(AJ$23&lt;'A&amp;Rs'!$V17,HLOOKUP(AJ$21,$F$4:$Q$17,$B13),IF(AND(AJ$23&gt;='A&amp;Rs'!$V17,AJ$23&lt;'A&amp;Rs'!$X17),0,HLOOKUP(AJ$21,$U$4:$AF$17,$B13)))</f>
        <v>1828.0440000000001</v>
      </c>
      <c r="AK31" s="56">
        <f>IF(AK$23&lt;'A&amp;Rs'!$V17,HLOOKUP(AK$21,$F$4:$Q$17,$B13),IF(AND(AK$23&gt;='A&amp;Rs'!$V17,AK$23&lt;'A&amp;Rs'!$X17),0,HLOOKUP(AK$21,$U$4:$AF$17,$B13)))</f>
        <v>1828.0440000000001</v>
      </c>
      <c r="AL31" s="56">
        <f>IF(AL$23&lt;'A&amp;Rs'!$V17,HLOOKUP(AL$21,$F$4:$Q$17,$B13),IF(AND(AL$23&gt;='A&amp;Rs'!$V17,AL$23&lt;'A&amp;Rs'!$X17),0,HLOOKUP(AL$21,$U$4:$AF$17,$B13)))</f>
        <v>1828.0440000000001</v>
      </c>
      <c r="AM31" s="56">
        <f>IF(AM$23&lt;'A&amp;Rs'!$V17,HLOOKUP(AM$21,$F$4:$Q$17,$B13),IF(AND(AM$23&gt;='A&amp;Rs'!$V17,AM$23&lt;'A&amp;Rs'!$X17),0,HLOOKUP(AM$21,$U$4:$AF$17,$B13)))</f>
        <v>1828.0440000000001</v>
      </c>
      <c r="AN31" s="56">
        <f>IF(AN$23&lt;'A&amp;Rs'!$V17,HLOOKUP(AN$21,$F$4:$Q$17,$B13),IF(AND(AN$23&gt;='A&amp;Rs'!$V17,AN$23&lt;'A&amp;Rs'!$X17),0,HLOOKUP(AN$21,$U$4:$AF$17,$B13)))</f>
        <v>1828.0440000000001</v>
      </c>
      <c r="AO31" s="56">
        <f>IF(AO$23&lt;'A&amp;Rs'!$V17,HLOOKUP(AO$21,$F$4:$Q$17,$B13),IF(AND(AO$23&gt;='A&amp;Rs'!$V17,AO$23&lt;'A&amp;Rs'!$X17),0,HLOOKUP(AO$21,$U$4:$AF$17,$B13)))</f>
        <v>1828.0440000000001</v>
      </c>
      <c r="AP31" s="56">
        <f>IF(AP$23&lt;'A&amp;Rs'!$V17,HLOOKUP(AP$21,$F$4:$Q$17,$B13),IF(AND(AP$23&gt;='A&amp;Rs'!$V17,AP$23&lt;'A&amp;Rs'!$X17),0,HLOOKUP(AP$21,$U$4:$AF$17,$B13)))</f>
        <v>1882.8853200000001</v>
      </c>
      <c r="AQ31" s="56">
        <f>IF(AQ$23&lt;'A&amp;Rs'!$V17,HLOOKUP(AQ$21,$F$4:$Q$17,$B13),IF(AND(AQ$23&gt;='A&amp;Rs'!$V17,AQ$23&lt;'A&amp;Rs'!$X17),0,HLOOKUP(AQ$21,$U$4:$AF$17,$B13)))</f>
        <v>1882.8853200000001</v>
      </c>
      <c r="AR31" s="56">
        <f>IF(AR$23&lt;'A&amp;Rs'!$V17,HLOOKUP(AR$21,$F$4:$Q$17,$B13),IF(AND(AR$23&gt;='A&amp;Rs'!$V17,AR$23&lt;'A&amp;Rs'!$X17),0,HLOOKUP(AR$21,$U$4:$AF$17,$B13)))</f>
        <v>1882.8853200000001</v>
      </c>
      <c r="AS31" s="56">
        <f>IF(AS$23&lt;'A&amp;Rs'!$V17,HLOOKUP(AS$21,$F$4:$Q$17,$B13),IF(AND(AS$23&gt;='A&amp;Rs'!$V17,AS$23&lt;'A&amp;Rs'!$X17),0,HLOOKUP(AS$21,$U$4:$AF$17,$B13)))</f>
        <v>1882.8853200000001</v>
      </c>
      <c r="AT31" s="56">
        <f>IF(AT$23&lt;'A&amp;Rs'!$V17,HLOOKUP(AT$21,$F$4:$Q$17,$B13),IF(AND(AT$23&gt;='A&amp;Rs'!$V17,AT$23&lt;'A&amp;Rs'!$X17),0,HLOOKUP(AT$21,$U$4:$AF$17,$B13)))</f>
        <v>1882.8853200000001</v>
      </c>
      <c r="AU31" s="56">
        <f>IF(AU$23&lt;'A&amp;Rs'!$V17,HLOOKUP(AU$21,$F$4:$Q$17,$B13),IF(AND(AU$23&gt;='A&amp;Rs'!$V17,AU$23&lt;'A&amp;Rs'!$X17),0,HLOOKUP(AU$21,$U$4:$AF$17,$B13)))</f>
        <v>1882.8853200000001</v>
      </c>
      <c r="AV31" s="56">
        <f>IF(AV$23&lt;'A&amp;Rs'!$V17,HLOOKUP(AV$21,$F$4:$Q$17,$B13),IF(AND(AV$23&gt;='A&amp;Rs'!$V17,AV$23&lt;'A&amp;Rs'!$X17),0,HLOOKUP(AV$21,$U$4:$AF$17,$B13)))</f>
        <v>1882.8853200000001</v>
      </c>
      <c r="AW31" s="56">
        <f>IF(AW$23&lt;'A&amp;Rs'!$V17,HLOOKUP(AW$21,$F$4:$Q$17,$B13),IF(AND(AW$23&gt;='A&amp;Rs'!$V17,AW$23&lt;'A&amp;Rs'!$X17),0,HLOOKUP(AW$21,$U$4:$AF$17,$B13)))</f>
        <v>1882.8853200000001</v>
      </c>
      <c r="AX31" s="56">
        <f>IF(AX$23&lt;'A&amp;Rs'!$V17,HLOOKUP(AX$21,$F$4:$Q$17,$B13),IF(AND(AX$23&gt;='A&amp;Rs'!$V17,AX$23&lt;'A&amp;Rs'!$X17),0,HLOOKUP(AX$21,$U$4:$AF$17,$B13)))</f>
        <v>1882.8853200000001</v>
      </c>
      <c r="AY31" s="56">
        <f>IF(AY$23&lt;'A&amp;Rs'!$V17,HLOOKUP(AY$21,$F$4:$Q$17,$B13),IF(AND(AY$23&gt;='A&amp;Rs'!$V17,AY$23&lt;'A&amp;Rs'!$X17),0,HLOOKUP(AY$21,$U$4:$AF$17,$B13)))</f>
        <v>1882.8853200000001</v>
      </c>
      <c r="AZ31" s="56">
        <f>IF(AZ$23&lt;'A&amp;Rs'!$V17,HLOOKUP(AZ$21,$F$4:$Q$17,$B13),IF(AND(AZ$23&gt;='A&amp;Rs'!$V17,AZ$23&lt;'A&amp;Rs'!$X17),0,HLOOKUP(AZ$21,$U$4:$AF$17,$B13)))</f>
        <v>1882.8853200000001</v>
      </c>
      <c r="BA31" s="56">
        <f>IF(BA$23&lt;'A&amp;Rs'!$V17,HLOOKUP(BA$21,$F$4:$Q$17,$B13),IF(AND(BA$23&gt;='A&amp;Rs'!$V17,BA$23&lt;'A&amp;Rs'!$X17),0,HLOOKUP(BA$21,$U$4:$AF$17,$B13)))</f>
        <v>1882.8853200000001</v>
      </c>
      <c r="BB31" s="56">
        <f>IF(BB$23&lt;'A&amp;Rs'!$V17,HLOOKUP(BB$21,$F$4:$Q$17,$B13),IF(AND(BB$23&gt;='A&amp;Rs'!$V17,BB$23&lt;'A&amp;Rs'!$X17),0,HLOOKUP(BB$21,$U$4:$AF$17,$B13)))</f>
        <v>1939.3718796000001</v>
      </c>
      <c r="BC31" s="56">
        <f>IF(BC$23&lt;'A&amp;Rs'!$V17,HLOOKUP(BC$21,$F$4:$Q$17,$B13),IF(AND(BC$23&gt;='A&amp;Rs'!$V17,BC$23&lt;'A&amp;Rs'!$X17),0,HLOOKUP(BC$21,$U$4:$AF$17,$B13)))</f>
        <v>1939.3718796000001</v>
      </c>
      <c r="BD31" s="56">
        <f>IF(BD$23&lt;'A&amp;Rs'!$V17,HLOOKUP(BD$21,$F$4:$Q$17,$B13),IF(AND(BD$23&gt;='A&amp;Rs'!$V17,BD$23&lt;'A&amp;Rs'!$X17),0,HLOOKUP(BD$21,$U$4:$AF$17,$B13)))</f>
        <v>1939.3718796000001</v>
      </c>
      <c r="BE31" s="56">
        <f>IF(BE$23&lt;'A&amp;Rs'!$V17,HLOOKUP(BE$21,$F$4:$Q$17,$B13),IF(AND(BE$23&gt;='A&amp;Rs'!$V17,BE$23&lt;'A&amp;Rs'!$X17),0,HLOOKUP(BE$21,$U$4:$AF$17,$B13)))</f>
        <v>1939.3718796000001</v>
      </c>
      <c r="BF31" s="56">
        <f>IF(BF$23&lt;'A&amp;Rs'!$V17,HLOOKUP(BF$21,$F$4:$Q$17,$B13),IF(AND(BF$23&gt;='A&amp;Rs'!$V17,BF$23&lt;'A&amp;Rs'!$X17),0,HLOOKUP(BF$21,$U$4:$AF$17,$B13)))</f>
        <v>1939.3718796000001</v>
      </c>
      <c r="BG31" s="56">
        <f>IF(BG$23&lt;'A&amp;Rs'!$V17,HLOOKUP(BG$21,$F$4:$Q$17,$B13),IF(AND(BG$23&gt;='A&amp;Rs'!$V17,BG$23&lt;'A&amp;Rs'!$X17),0,HLOOKUP(BG$21,$U$4:$AF$17,$B13)))</f>
        <v>1939.3718796000001</v>
      </c>
      <c r="BH31" s="56">
        <f>IF(BH$23&lt;'A&amp;Rs'!$V17,HLOOKUP(BH$21,$F$4:$Q$17,$B13),IF(AND(BH$23&gt;='A&amp;Rs'!$V17,BH$23&lt;'A&amp;Rs'!$X17),0,HLOOKUP(BH$21,$U$4:$AF$17,$B13)))</f>
        <v>1939.3718796000001</v>
      </c>
      <c r="BI31" s="56">
        <f>IF(BI$23&lt;'A&amp;Rs'!$V17,HLOOKUP(BI$21,$F$4:$Q$17,$B13),IF(AND(BI$23&gt;='A&amp;Rs'!$V17,BI$23&lt;'A&amp;Rs'!$X17),0,HLOOKUP(BI$21,$U$4:$AF$17,$B13)))</f>
        <v>1939.3718796000001</v>
      </c>
      <c r="BJ31" s="56">
        <f>IF(BJ$23&lt;'A&amp;Rs'!$V17,HLOOKUP(BJ$21,$F$4:$Q$17,$B13),IF(AND(BJ$23&gt;='A&amp;Rs'!$V17,BJ$23&lt;'A&amp;Rs'!$X17),0,HLOOKUP(BJ$21,$U$4:$AF$17,$B13)))</f>
        <v>1939.3718796000001</v>
      </c>
      <c r="BK31" s="56">
        <f>IF(BK$23&lt;'A&amp;Rs'!$V17,HLOOKUP(BK$21,$F$4:$Q$17,$B13),IF(AND(BK$23&gt;='A&amp;Rs'!$V17,BK$23&lt;'A&amp;Rs'!$X17),0,HLOOKUP(BK$21,$U$4:$AF$17,$B13)))</f>
        <v>1939.3718796000001</v>
      </c>
      <c r="BL31" s="56">
        <f>IF(BL$23&lt;'A&amp;Rs'!$V17,HLOOKUP(BL$21,$F$4:$Q$17,$B13),IF(AND(BL$23&gt;='A&amp;Rs'!$V17,BL$23&lt;'A&amp;Rs'!$X17),0,HLOOKUP(BL$21,$U$4:$AF$17,$B13)))</f>
        <v>1939.3718796000001</v>
      </c>
      <c r="BM31" s="56">
        <f>IF(BM$23&lt;'A&amp;Rs'!$V17,HLOOKUP(BM$21,$F$4:$Q$17,$B13),IF(AND(BM$23&gt;='A&amp;Rs'!$V17,BM$23&lt;'A&amp;Rs'!$X17),0,HLOOKUP(BM$21,$U$4:$AF$17,$B13)))</f>
        <v>1939.3718796000001</v>
      </c>
      <c r="BN31" s="56">
        <f>IF(BN$23&lt;'A&amp;Rs'!$V17,HLOOKUP(BN$21,$F$4:$Q$17,$B13),IF(AND(BN$23&gt;='A&amp;Rs'!$V17,BN$23&lt;'A&amp;Rs'!$X17),0,HLOOKUP(BN$21,$U$4:$AF$17,$B13)))</f>
        <v>1939.3718796000001</v>
      </c>
      <c r="BO31" s="56">
        <f>IF(BO$23&lt;'A&amp;Rs'!$V17,HLOOKUP(BO$21,$F$4:$Q$17,$B13),IF(AND(BO$23&gt;='A&amp;Rs'!$V17,BO$23&lt;'A&amp;Rs'!$X17),0,HLOOKUP(BO$21,$U$4:$AF$17,$B13)))</f>
        <v>1939.3718796000001</v>
      </c>
      <c r="BP31" s="56">
        <f>IF(BP$23&lt;'A&amp;Rs'!$V17,HLOOKUP(BP$21,$F$4:$Q$17,$B13),IF(AND(BP$23&gt;='A&amp;Rs'!$V17,BP$23&lt;'A&amp;Rs'!$X17),0,HLOOKUP(BP$21,$U$4:$AF$17,$B13)))</f>
        <v>1939.3718796000001</v>
      </c>
      <c r="BQ31" s="56">
        <f>IF(BQ$23&lt;'A&amp;Rs'!$V17,HLOOKUP(BQ$21,$F$4:$Q$17,$B13),IF(AND(BQ$23&gt;='A&amp;Rs'!$V17,BQ$23&lt;'A&amp;Rs'!$X17),0,HLOOKUP(BQ$21,$U$4:$AF$17,$B13)))</f>
        <v>1939.3718796000001</v>
      </c>
      <c r="BR31" s="56">
        <f>IF(BR$23&lt;'A&amp;Rs'!$V17,HLOOKUP(BR$21,$F$4:$Q$17,$B13),IF(AND(BR$23&gt;='A&amp;Rs'!$V17,BR$23&lt;'A&amp;Rs'!$X17),0,HLOOKUP(BR$21,$U$4:$AF$17,$B13)))</f>
        <v>1939.3718796000001</v>
      </c>
      <c r="BS31" s="56">
        <f>IF(BS$23&lt;'A&amp;Rs'!$V17,HLOOKUP(BS$21,$F$4:$Q$17,$B13),IF(AND(BS$23&gt;='A&amp;Rs'!$V17,BS$23&lt;'A&amp;Rs'!$X17),0,HLOOKUP(BS$21,$U$4:$AF$17,$B13)))</f>
        <v>1939.3718796000001</v>
      </c>
      <c r="BT31" s="56">
        <f>IF(BT$23&lt;'A&amp;Rs'!$V17,HLOOKUP(BT$21,$F$4:$Q$17,$B13),IF(AND(BT$23&gt;='A&amp;Rs'!$V17,BT$23&lt;'A&amp;Rs'!$X17),0,HLOOKUP(BT$21,$U$4:$AF$17,$B13)))</f>
        <v>1939.3718796000001</v>
      </c>
      <c r="BU31" s="56">
        <f>IF(BU$23&lt;'A&amp;Rs'!$V17,HLOOKUP(BU$21,$F$4:$Q$17,$B13),IF(AND(BU$23&gt;='A&amp;Rs'!$V17,BU$23&lt;'A&amp;Rs'!$X17),0,HLOOKUP(BU$21,$U$4:$AF$17,$B13)))</f>
        <v>1939.3718796000001</v>
      </c>
      <c r="BV31" s="56">
        <f>IF(BV$23&lt;'A&amp;Rs'!$V17,HLOOKUP(BV$21,$F$4:$Q$17,$B13),IF(AND(BV$23&gt;='A&amp;Rs'!$V17,BV$23&lt;'A&amp;Rs'!$X17),0,HLOOKUP(BV$21,$U$4:$AF$17,$B13)))</f>
        <v>1939.3718796000001</v>
      </c>
      <c r="BW31" s="56">
        <f>IF(BW$23&lt;'A&amp;Rs'!$V17,HLOOKUP(BW$21,$F$4:$Q$17,$B13),IF(AND(BW$23&gt;='A&amp;Rs'!$V17,BW$23&lt;'A&amp;Rs'!$X17),0,HLOOKUP(BW$21,$U$4:$AF$17,$B13)))</f>
        <v>1939.3718796000001</v>
      </c>
      <c r="BX31" s="56">
        <f>IF(BX$23&lt;'A&amp;Rs'!$V17,HLOOKUP(BX$21,$F$4:$Q$17,$B13),IF(AND(BX$23&gt;='A&amp;Rs'!$V17,BX$23&lt;'A&amp;Rs'!$X17),0,HLOOKUP(BX$21,$U$4:$AF$17,$B13)))</f>
        <v>1939.3718796000001</v>
      </c>
      <c r="BY31" s="56">
        <f>IF(BY$23&lt;'A&amp;Rs'!$V17,HLOOKUP(BY$21,$F$4:$Q$17,$B13),IF(AND(BY$23&gt;='A&amp;Rs'!$V17,BY$23&lt;'A&amp;Rs'!$X17),0,HLOOKUP(BY$21,$U$4:$AF$17,$B13)))</f>
        <v>1939.3718796000001</v>
      </c>
      <c r="BZ31" s="56">
        <f>IF(BZ$23&lt;'A&amp;Rs'!$V17,HLOOKUP(BZ$21,$F$4:$Q$17,$B13),IF(AND(BZ$23&gt;='A&amp;Rs'!$V17,BZ$23&lt;'A&amp;Rs'!$X17),0,HLOOKUP(BZ$21,$U$4:$AF$17,$B13)))</f>
        <v>1958.7655983960001</v>
      </c>
      <c r="CA31" s="56">
        <f>IF(CA$23&lt;'A&amp;Rs'!$V17,HLOOKUP(CA$21,$F$4:$Q$17,$B13),IF(AND(CA$23&gt;='A&amp;Rs'!$V17,CA$23&lt;'A&amp;Rs'!$X17),0,HLOOKUP(CA$21,$U$4:$AF$17,$B13)))</f>
        <v>1958.7655983960001</v>
      </c>
      <c r="CB31" s="56">
        <f>IF(CB$23&lt;'A&amp;Rs'!$V17,HLOOKUP(CB$21,$F$4:$Q$17,$B13),IF(AND(CB$23&gt;='A&amp;Rs'!$V17,CB$23&lt;'A&amp;Rs'!$X17),0,HLOOKUP(CB$21,$U$4:$AF$17,$B13)))</f>
        <v>1958.7655983960001</v>
      </c>
      <c r="CC31" s="56">
        <f>IF(CC$23&lt;'A&amp;Rs'!$V17,HLOOKUP(CC$21,$F$4:$Q$17,$B13),IF(AND(CC$23&gt;='A&amp;Rs'!$V17,CC$23&lt;'A&amp;Rs'!$X17),0,HLOOKUP(CC$21,$U$4:$AF$17,$B13)))</f>
        <v>1958.7655983960001</v>
      </c>
      <c r="CD31" s="56">
        <f>IF(CD$23&lt;'A&amp;Rs'!$V17,HLOOKUP(CD$21,$F$4:$Q$17,$B13),IF(AND(CD$23&gt;='A&amp;Rs'!$V17,CD$23&lt;'A&amp;Rs'!$X17),0,HLOOKUP(CD$21,$U$4:$AF$17,$B13)))</f>
        <v>1958.7655983960001</v>
      </c>
      <c r="CE31" s="56">
        <f>IF(CE$23&lt;'A&amp;Rs'!$V17,HLOOKUP(CE$21,$F$4:$Q$17,$B13),IF(AND(CE$23&gt;='A&amp;Rs'!$V17,CE$23&lt;'A&amp;Rs'!$X17),0,HLOOKUP(CE$21,$U$4:$AF$17,$B13)))</f>
        <v>1958.7655983960001</v>
      </c>
      <c r="CF31" s="56">
        <f>IF(CF$23&lt;'A&amp;Rs'!$V17,HLOOKUP(CF$21,$F$4:$Q$17,$B13),IF(AND(CF$23&gt;='A&amp;Rs'!$V17,CF$23&lt;'A&amp;Rs'!$X17),0,HLOOKUP(CF$21,$U$4:$AF$17,$B13)))</f>
        <v>1958.7655983960001</v>
      </c>
      <c r="CG31" s="56">
        <f>IF(CG$23&lt;'A&amp;Rs'!$V17,HLOOKUP(CG$21,$F$4:$Q$17,$B13),IF(AND(CG$23&gt;='A&amp;Rs'!$V17,CG$23&lt;'A&amp;Rs'!$X17),0,HLOOKUP(CG$21,$U$4:$AF$17,$B13)))</f>
        <v>1958.7655983960001</v>
      </c>
      <c r="CH31" s="56">
        <f>IF(CH$23&lt;'A&amp;Rs'!$V17,HLOOKUP(CH$21,$F$4:$Q$17,$B13),IF(AND(CH$23&gt;='A&amp;Rs'!$V17,CH$23&lt;'A&amp;Rs'!$X17),0,HLOOKUP(CH$21,$U$4:$AF$17,$B13)))</f>
        <v>1958.7655983960001</v>
      </c>
      <c r="CI31" s="56">
        <f>IF(CI$23&lt;'A&amp;Rs'!$V17,HLOOKUP(CI$21,$F$4:$Q$17,$B13),IF(AND(CI$23&gt;='A&amp;Rs'!$V17,CI$23&lt;'A&amp;Rs'!$X17),0,HLOOKUP(CI$21,$U$4:$AF$17,$B13)))</f>
        <v>1958.7655983960001</v>
      </c>
      <c r="CJ31" s="56">
        <f>IF(CJ$23&lt;'A&amp;Rs'!$V17,HLOOKUP(CJ$21,$F$4:$Q$17,$B13),IF(AND(CJ$23&gt;='A&amp;Rs'!$V17,CJ$23&lt;'A&amp;Rs'!$X17),0,HLOOKUP(CJ$21,$U$4:$AF$17,$B13)))</f>
        <v>1958.7655983960001</v>
      </c>
      <c r="CK31" s="56">
        <f>IF(CK$23&lt;'A&amp;Rs'!$V17,HLOOKUP(CK$21,$F$4:$Q$17,$B13),IF(AND(CK$23&gt;='A&amp;Rs'!$V17,CK$23&lt;'A&amp;Rs'!$X17),0,HLOOKUP(CK$21,$U$4:$AF$17,$B13)))</f>
        <v>1958.7655983960001</v>
      </c>
      <c r="CL31" s="56">
        <f>IF(CL$23&lt;'A&amp;Rs'!$V17,HLOOKUP(CL$21,$F$4:$Q$17,$B13),IF(AND(CL$23&gt;='A&amp;Rs'!$V17,CL$23&lt;'A&amp;Rs'!$X17),0,HLOOKUP(CL$21,$U$4:$AF$17,$B13)))</f>
        <v>2017.5285663478801</v>
      </c>
      <c r="CM31" s="56">
        <f>IF(CM$23&lt;'A&amp;Rs'!$V17,HLOOKUP(CM$21,$F$4:$Q$17,$B13),IF(AND(CM$23&gt;='A&amp;Rs'!$V17,CM$23&lt;'A&amp;Rs'!$X17),0,HLOOKUP(CM$21,$U$4:$AF$17,$B13)))</f>
        <v>2017.5285663478801</v>
      </c>
      <c r="CN31" s="56">
        <f>IF(CN$23&lt;'A&amp;Rs'!$V17,HLOOKUP(CN$21,$F$4:$Q$17,$B13),IF(AND(CN$23&gt;='A&amp;Rs'!$V17,CN$23&lt;'A&amp;Rs'!$X17),0,HLOOKUP(CN$21,$U$4:$AF$17,$B13)))</f>
        <v>2017.5285663478801</v>
      </c>
      <c r="CO31" s="56">
        <f>IF(CO$23&lt;'A&amp;Rs'!$V17,HLOOKUP(CO$21,$F$4:$Q$17,$B13),IF(AND(CO$23&gt;='A&amp;Rs'!$V17,CO$23&lt;'A&amp;Rs'!$X17),0,HLOOKUP(CO$21,$U$4:$AF$17,$B13)))</f>
        <v>2017.5285663478801</v>
      </c>
      <c r="CP31" s="56">
        <f>IF(CP$23&lt;'A&amp;Rs'!$V17,HLOOKUP(CP$21,$F$4:$Q$17,$B13),IF(AND(CP$23&gt;='A&amp;Rs'!$V17,CP$23&lt;'A&amp;Rs'!$X17),0,HLOOKUP(CP$21,$U$4:$AF$17,$B13)))</f>
        <v>2017.5285663478801</v>
      </c>
      <c r="CQ31" s="56">
        <f>IF(CQ$23&lt;'A&amp;Rs'!$V17,HLOOKUP(CQ$21,$F$4:$Q$17,$B13),IF(AND(CQ$23&gt;='A&amp;Rs'!$V17,CQ$23&lt;'A&amp;Rs'!$X17),0,HLOOKUP(CQ$21,$U$4:$AF$17,$B13)))</f>
        <v>2017.5285663478801</v>
      </c>
      <c r="CR31" s="56">
        <f>IF(CR$23&lt;'A&amp;Rs'!$V17,HLOOKUP(CR$21,$F$4:$Q$17,$B13),IF(AND(CR$23&gt;='A&amp;Rs'!$V17,CR$23&lt;'A&amp;Rs'!$X17),0,HLOOKUP(CR$21,$U$4:$AF$17,$B13)))</f>
        <v>2017.5285663478801</v>
      </c>
      <c r="CS31" s="56">
        <f>IF(CS$23&lt;'A&amp;Rs'!$V17,HLOOKUP(CS$21,$F$4:$Q$17,$B13),IF(AND(CS$23&gt;='A&amp;Rs'!$V17,CS$23&lt;'A&amp;Rs'!$X17),0,HLOOKUP(CS$21,$U$4:$AF$17,$B13)))</f>
        <v>2017.5285663478801</v>
      </c>
      <c r="CT31" s="56">
        <f>IF(CT$23&lt;'A&amp;Rs'!$V17,HLOOKUP(CT$21,$F$4:$Q$17,$B13),IF(AND(CT$23&gt;='A&amp;Rs'!$V17,CT$23&lt;'A&amp;Rs'!$X17),0,HLOOKUP(CT$21,$U$4:$AF$17,$B13)))</f>
        <v>2017.5285663478801</v>
      </c>
      <c r="CU31" s="56">
        <f>IF(CU$23&lt;'A&amp;Rs'!$V17,HLOOKUP(CU$21,$F$4:$Q$17,$B13),IF(AND(CU$23&gt;='A&amp;Rs'!$V17,CU$23&lt;'A&amp;Rs'!$X17),0,HLOOKUP(CU$21,$U$4:$AF$17,$B13)))</f>
        <v>2017.5285663478801</v>
      </c>
      <c r="CV31" s="56">
        <f>IF(CV$23&lt;'A&amp;Rs'!$V17,HLOOKUP(CV$21,$F$4:$Q$17,$B13),IF(AND(CV$23&gt;='A&amp;Rs'!$V17,CV$23&lt;'A&amp;Rs'!$X17),0,HLOOKUP(CV$21,$U$4:$AF$17,$B13)))</f>
        <v>2017.5285663478801</v>
      </c>
      <c r="CW31" s="56">
        <f>IF(CW$23&lt;'A&amp;Rs'!$V17,HLOOKUP(CW$21,$F$4:$Q$17,$B13),IF(AND(CW$23&gt;='A&amp;Rs'!$V17,CW$23&lt;'A&amp;Rs'!$X17),0,HLOOKUP(CW$21,$U$4:$AF$17,$B13)))</f>
        <v>2017.5285663478801</v>
      </c>
      <c r="CX31" s="56">
        <f>IF(CX$23&lt;'A&amp;Rs'!$V17,HLOOKUP(CX$21,$F$4:$Q$17,$B13),IF(AND(CX$23&gt;='A&amp;Rs'!$V17,CX$23&lt;'A&amp;Rs'!$X17),0,HLOOKUP(CX$21,$U$4:$AF$17,$B13)))</f>
        <v>2057.8791376748377</v>
      </c>
      <c r="CY31" s="56">
        <f>IF(CY$23&lt;'A&amp;Rs'!$V17,HLOOKUP(CY$21,$F$4:$Q$17,$B13),IF(AND(CY$23&gt;='A&amp;Rs'!$V17,CY$23&lt;'A&amp;Rs'!$X17),0,HLOOKUP(CY$21,$U$4:$AF$17,$B13)))</f>
        <v>2057.8791376748377</v>
      </c>
      <c r="CZ31" s="56">
        <f>IF(CZ$23&lt;'A&amp;Rs'!$V17,HLOOKUP(CZ$21,$F$4:$Q$17,$B13),IF(AND(CZ$23&gt;='A&amp;Rs'!$V17,CZ$23&lt;'A&amp;Rs'!$X17),0,HLOOKUP(CZ$21,$U$4:$AF$17,$B13)))</f>
        <v>2057.8791376748377</v>
      </c>
      <c r="DA31" s="56">
        <f>IF(DA$23&lt;'A&amp;Rs'!$V17,HLOOKUP(DA$21,$F$4:$Q$17,$B13),IF(AND(DA$23&gt;='A&amp;Rs'!$V17,DA$23&lt;'A&amp;Rs'!$X17),0,HLOOKUP(DA$21,$U$4:$AF$17,$B13)))</f>
        <v>2057.8791376748377</v>
      </c>
      <c r="DB31" s="56">
        <f>IF(DB$23&lt;'A&amp;Rs'!$V17,HLOOKUP(DB$21,$F$4:$Q$17,$B13),IF(AND(DB$23&gt;='A&amp;Rs'!$V17,DB$23&lt;'A&amp;Rs'!$X17),0,HLOOKUP(DB$21,$U$4:$AF$17,$B13)))</f>
        <v>2057.8791376748377</v>
      </c>
      <c r="DC31" s="56">
        <f>IF(DC$23&lt;'A&amp;Rs'!$V17,HLOOKUP(DC$21,$F$4:$Q$17,$B13),IF(AND(DC$23&gt;='A&amp;Rs'!$V17,DC$23&lt;'A&amp;Rs'!$X17),0,HLOOKUP(DC$21,$U$4:$AF$17,$B13)))</f>
        <v>2057.8791376748377</v>
      </c>
      <c r="DD31" s="56">
        <f>IF(DD$23&lt;'A&amp;Rs'!$V17,HLOOKUP(DD$21,$F$4:$Q$17,$B13),IF(AND(DD$23&gt;='A&amp;Rs'!$V17,DD$23&lt;'A&amp;Rs'!$X17),0,HLOOKUP(DD$21,$U$4:$AF$17,$B13)))</f>
        <v>2057.8791376748377</v>
      </c>
      <c r="DE31" s="56">
        <f>IF(DE$23&lt;'A&amp;Rs'!$V17,HLOOKUP(DE$21,$F$4:$Q$17,$B13),IF(AND(DE$23&gt;='A&amp;Rs'!$V17,DE$23&lt;'A&amp;Rs'!$X17),0,HLOOKUP(DE$21,$U$4:$AF$17,$B13)))</f>
        <v>2057.8791376748377</v>
      </c>
      <c r="DF31" s="56">
        <f>IF(DF$23&lt;'A&amp;Rs'!$V17,HLOOKUP(DF$21,$F$4:$Q$17,$B13),IF(AND(DF$23&gt;='A&amp;Rs'!$V17,DF$23&lt;'A&amp;Rs'!$X17),0,HLOOKUP(DF$21,$U$4:$AF$17,$B13)))</f>
        <v>2057.8791376748377</v>
      </c>
      <c r="DG31" s="56">
        <f>IF(DG$23&lt;'A&amp;Rs'!$V17,HLOOKUP(DG$21,$F$4:$Q$17,$B13),IF(AND(DG$23&gt;='A&amp;Rs'!$V17,DG$23&lt;'A&amp;Rs'!$X17),0,HLOOKUP(DG$21,$U$4:$AF$17,$B13)))</f>
        <v>2057.8791376748377</v>
      </c>
      <c r="DH31" s="56">
        <f>IF(DH$23&lt;'A&amp;Rs'!$V17,HLOOKUP(DH$21,$F$4:$Q$17,$B13),IF(AND(DH$23&gt;='A&amp;Rs'!$V17,DH$23&lt;'A&amp;Rs'!$X17),0,HLOOKUP(DH$21,$U$4:$AF$17,$B13)))</f>
        <v>2057.8791376748377</v>
      </c>
      <c r="DI31" s="56">
        <f>IF(DI$23&lt;'A&amp;Rs'!$V17,HLOOKUP(DI$21,$F$4:$Q$17,$B13),IF(AND(DI$23&gt;='A&amp;Rs'!$V17,DI$23&lt;'A&amp;Rs'!$X17),0,HLOOKUP(DI$21,$U$4:$AF$17,$B13)))</f>
        <v>2057.8791376748377</v>
      </c>
      <c r="DJ31" s="56">
        <f>IF(DJ$23&lt;'A&amp;Rs'!$V17,HLOOKUP(DJ$21,$F$4:$Q$17,$B13),IF(AND(DJ$23&gt;='A&amp;Rs'!$V17,DJ$23&lt;'A&amp;Rs'!$X17),0,HLOOKUP(DJ$21,$U$4:$AF$17,$B13)))</f>
        <v>2078.4579290515862</v>
      </c>
      <c r="DK31" s="56">
        <f>IF(DK$23&lt;'A&amp;Rs'!$V17,HLOOKUP(DK$21,$F$4:$Q$17,$B13),IF(AND(DK$23&gt;='A&amp;Rs'!$V17,DK$23&lt;'A&amp;Rs'!$X17),0,HLOOKUP(DK$21,$U$4:$AF$17,$B13)))</f>
        <v>2078.4579290515862</v>
      </c>
      <c r="DL31" s="56">
        <f>IF(DL$23&lt;'A&amp;Rs'!$V17,HLOOKUP(DL$21,$F$4:$Q$17,$B13),IF(AND(DL$23&gt;='A&amp;Rs'!$V17,DL$23&lt;'A&amp;Rs'!$X17),0,HLOOKUP(DL$21,$U$4:$AF$17,$B13)))</f>
        <v>2078.4579290515862</v>
      </c>
      <c r="DM31" s="56">
        <f>IF(DM$23&lt;'A&amp;Rs'!$V17,HLOOKUP(DM$21,$F$4:$Q$17,$B13),IF(AND(DM$23&gt;='A&amp;Rs'!$V17,DM$23&lt;'A&amp;Rs'!$X17),0,HLOOKUP(DM$21,$U$4:$AF$17,$B13)))</f>
        <v>2078.4579290515862</v>
      </c>
      <c r="DN31" s="56">
        <f>IF(DN$23&lt;'A&amp;Rs'!$V17,HLOOKUP(DN$21,$F$4:$Q$17,$B13),IF(AND(DN$23&gt;='A&amp;Rs'!$V17,DN$23&lt;'A&amp;Rs'!$X17),0,HLOOKUP(DN$21,$U$4:$AF$17,$B13)))</f>
        <v>2078.4579290515862</v>
      </c>
      <c r="DO31" s="56">
        <f>IF(DO$23&lt;'A&amp;Rs'!$V17,HLOOKUP(DO$21,$F$4:$Q$17,$B13),IF(AND(DO$23&gt;='A&amp;Rs'!$V17,DO$23&lt;'A&amp;Rs'!$X17),0,HLOOKUP(DO$21,$U$4:$AF$17,$B13)))</f>
        <v>2078.4579290515862</v>
      </c>
      <c r="DP31" s="56">
        <f>IF(DP$23&lt;'A&amp;Rs'!$V17,HLOOKUP(DP$21,$F$4:$Q$17,$B13),IF(AND(DP$23&gt;='A&amp;Rs'!$V17,DP$23&lt;'A&amp;Rs'!$X17),0,HLOOKUP(DP$21,$U$4:$AF$17,$B13)))</f>
        <v>2078.4579290515862</v>
      </c>
      <c r="DQ31" s="56">
        <f>IF(DQ$23&lt;'A&amp;Rs'!$V17,HLOOKUP(DQ$21,$F$4:$Q$17,$B13),IF(AND(DQ$23&gt;='A&amp;Rs'!$V17,DQ$23&lt;'A&amp;Rs'!$X17),0,HLOOKUP(DQ$21,$U$4:$AF$17,$B13)))</f>
        <v>2078.4579290515862</v>
      </c>
      <c r="DR31" s="56">
        <f>IF(DR$23&lt;'A&amp;Rs'!$V17,HLOOKUP(DR$21,$F$4:$Q$17,$B13),IF(AND(DR$23&gt;='A&amp;Rs'!$V17,DR$23&lt;'A&amp;Rs'!$X17),0,HLOOKUP(DR$21,$U$4:$AF$17,$B13)))</f>
        <v>2078.4579290515862</v>
      </c>
      <c r="DS31" s="56">
        <f>IF(DS$23&lt;'A&amp;Rs'!$V17,HLOOKUP(DS$21,$F$4:$Q$17,$B13),IF(AND(DS$23&gt;='A&amp;Rs'!$V17,DS$23&lt;'A&amp;Rs'!$X17),0,HLOOKUP(DS$21,$U$4:$AF$17,$B13)))</f>
        <v>2078.4579290515862</v>
      </c>
      <c r="DT31" s="56">
        <f>IF(DT$23&lt;'A&amp;Rs'!$V17,HLOOKUP(DT$21,$F$4:$Q$17,$B13),IF(AND(DT$23&gt;='A&amp;Rs'!$V17,DT$23&lt;'A&amp;Rs'!$X17),0,HLOOKUP(DT$21,$U$4:$AF$17,$B13)))</f>
        <v>2078.4579290515862</v>
      </c>
      <c r="DU31" s="56">
        <f>IF(DU$23&lt;'A&amp;Rs'!$V17,HLOOKUP(DU$21,$F$4:$Q$17,$B13),IF(AND(DU$23&gt;='A&amp;Rs'!$V17,DU$23&lt;'A&amp;Rs'!$X17),0,HLOOKUP(DU$21,$U$4:$AF$17,$B13)))</f>
        <v>2078.4579290515862</v>
      </c>
      <c r="DV31" s="56">
        <f>IF(DV$23&lt;'A&amp;Rs'!$V17,HLOOKUP(DV$21,$F$4:$Q$17,$B13),IF(AND(DV$23&gt;='A&amp;Rs'!$V17,DV$23&lt;'A&amp;Rs'!$X17),0,HLOOKUP(DV$21,$U$4:$AF$17,$B13)))</f>
        <v>2099.2425083421022</v>
      </c>
      <c r="DW31" s="56">
        <f>IF(DW$23&lt;'A&amp;Rs'!$V17,HLOOKUP(DW$21,$F$4:$Q$17,$B13),IF(AND(DW$23&gt;='A&amp;Rs'!$V17,DW$23&lt;'A&amp;Rs'!$X17),0,HLOOKUP(DW$21,$U$4:$AF$17,$B13)))</f>
        <v>2099.2425083421022</v>
      </c>
      <c r="DX31" s="56">
        <f>IF(DX$23&lt;'A&amp;Rs'!$V17,HLOOKUP(DX$21,$F$4:$Q$17,$B13),IF(AND(DX$23&gt;='A&amp;Rs'!$V17,DX$23&lt;'A&amp;Rs'!$X17),0,HLOOKUP(DX$21,$U$4:$AF$17,$B13)))</f>
        <v>2099.2425083421022</v>
      </c>
      <c r="DY31" s="56">
        <f>IF(DY$23&lt;'A&amp;Rs'!$V17,HLOOKUP(DY$21,$F$4:$Q$17,$B13),IF(AND(DY$23&gt;='A&amp;Rs'!$V17,DY$23&lt;'A&amp;Rs'!$X17),0,HLOOKUP(DY$21,$U$4:$AF$17,$B13)))</f>
        <v>2099.2425083421022</v>
      </c>
      <c r="DZ31" s="56">
        <f>IF(DZ$23&lt;'A&amp;Rs'!$V17,HLOOKUP(DZ$21,$F$4:$Q$17,$B13),IF(AND(DZ$23&gt;='A&amp;Rs'!$V17,DZ$23&lt;'A&amp;Rs'!$X17),0,HLOOKUP(DZ$21,$U$4:$AF$17,$B13)))</f>
        <v>2099.2425083421022</v>
      </c>
      <c r="EA31" s="56">
        <f>IF(EA$23&lt;'A&amp;Rs'!$V17,HLOOKUP(EA$21,$F$4:$Q$17,$B13),IF(AND(EA$23&gt;='A&amp;Rs'!$V17,EA$23&lt;'A&amp;Rs'!$X17),0,HLOOKUP(EA$21,$U$4:$AF$17,$B13)))</f>
        <v>2099.2425083421022</v>
      </c>
      <c r="EB31" s="56">
        <f>IF(EB$23&lt;'A&amp;Rs'!$V17,HLOOKUP(EB$21,$F$4:$Q$17,$B13),IF(AND(EB$23&gt;='A&amp;Rs'!$V17,EB$23&lt;'A&amp;Rs'!$X17),0,HLOOKUP(EB$21,$U$4:$AF$17,$B13)))</f>
        <v>2099.2425083421022</v>
      </c>
      <c r="EC31" s="56">
        <f>IF(EC$23&lt;'A&amp;Rs'!$V17,HLOOKUP(EC$21,$F$4:$Q$17,$B13),IF(AND(EC$23&gt;='A&amp;Rs'!$V17,EC$23&lt;'A&amp;Rs'!$X17),0,HLOOKUP(EC$21,$U$4:$AF$17,$B13)))</f>
        <v>2099.2425083421022</v>
      </c>
      <c r="ED31" s="56">
        <f>IF(ED$23&lt;'A&amp;Rs'!$V17,HLOOKUP(ED$21,$F$4:$Q$17,$B13),IF(AND(ED$23&gt;='A&amp;Rs'!$V17,ED$23&lt;'A&amp;Rs'!$X17),0,HLOOKUP(ED$21,$U$4:$AF$17,$B13)))</f>
        <v>2099.2425083421022</v>
      </c>
      <c r="EE31" s="56">
        <f>IF(EE$23&lt;'A&amp;Rs'!$V17,HLOOKUP(EE$21,$F$4:$Q$17,$B13),IF(AND(EE$23&gt;='A&amp;Rs'!$V17,EE$23&lt;'A&amp;Rs'!$X17),0,HLOOKUP(EE$21,$U$4:$AF$17,$B13)))</f>
        <v>2099.2425083421022</v>
      </c>
      <c r="EF31" s="56">
        <f>IF(EF$23&lt;'A&amp;Rs'!$V17,HLOOKUP(EF$21,$F$4:$Q$17,$B13),IF(AND(EF$23&gt;='A&amp;Rs'!$V17,EF$23&lt;'A&amp;Rs'!$X17),0,HLOOKUP(EF$21,$U$4:$AF$17,$B13)))</f>
        <v>2099.2425083421022</v>
      </c>
      <c r="EG31" s="56">
        <f>IF(EG$23&lt;'A&amp;Rs'!$V17,HLOOKUP(EG$21,$F$4:$Q$17,$B13),IF(AND(EG$23&gt;='A&amp;Rs'!$V17,EG$23&lt;'A&amp;Rs'!$X17),0,HLOOKUP(EG$21,$U$4:$AF$17,$B13)))</f>
        <v>2099.2425083421022</v>
      </c>
      <c r="EH31" s="56">
        <f>IF(EH$23&lt;'A&amp;Rs'!$V17,HLOOKUP(EH$21,$F$4:$Q$17,$B13),IF(AND(EH$23&gt;='A&amp;Rs'!$V17,EH$23&lt;'A&amp;Rs'!$X17),0,HLOOKUP(EH$21,$U$4:$AF$17,$B13)))</f>
        <v>2120.2349334255232</v>
      </c>
      <c r="EI31" s="56">
        <f>IF(EI$23&lt;'A&amp;Rs'!$V17,HLOOKUP(EI$21,$F$4:$Q$17,$B13),IF(AND(EI$23&gt;='A&amp;Rs'!$V17,EI$23&lt;'A&amp;Rs'!$X17),0,HLOOKUP(EI$21,$U$4:$AF$17,$B13)))</f>
        <v>2120.2349334255232</v>
      </c>
      <c r="EJ31" s="56">
        <f>IF(EJ$23&lt;'A&amp;Rs'!$V17,HLOOKUP(EJ$21,$F$4:$Q$17,$B13),IF(AND(EJ$23&gt;='A&amp;Rs'!$V17,EJ$23&lt;'A&amp;Rs'!$X17),0,HLOOKUP(EJ$21,$U$4:$AF$17,$B13)))</f>
        <v>2120.2349334255232</v>
      </c>
      <c r="EK31" s="56">
        <f>IF(EK$23&lt;'A&amp;Rs'!$V17,HLOOKUP(EK$21,$F$4:$Q$17,$B13),IF(AND(EK$23&gt;='A&amp;Rs'!$V17,EK$23&lt;'A&amp;Rs'!$X17),0,HLOOKUP(EK$21,$U$4:$AF$17,$B13)))</f>
        <v>2120.2349334255232</v>
      </c>
      <c r="EL31" s="56">
        <f>IF(EL$23&lt;'A&amp;Rs'!$V17,HLOOKUP(EL$21,$F$4:$Q$17,$B13),IF(AND(EL$23&gt;='A&amp;Rs'!$V17,EL$23&lt;'A&amp;Rs'!$X17),0,HLOOKUP(EL$21,$U$4:$AF$17,$B13)))</f>
        <v>2120.2349334255232</v>
      </c>
      <c r="EM31" s="56">
        <f>IF(EM$23&lt;'A&amp;Rs'!$V17,HLOOKUP(EM$21,$F$4:$Q$17,$B13),IF(AND(EM$23&gt;='A&amp;Rs'!$V17,EM$23&lt;'A&amp;Rs'!$X17),0,HLOOKUP(EM$21,$U$4:$AF$17,$B13)))</f>
        <v>2120.2349334255232</v>
      </c>
      <c r="EN31" s="56">
        <f>IF(EN$23&lt;'A&amp;Rs'!$V17,HLOOKUP(EN$21,$F$4:$Q$17,$B13),IF(AND(EN$23&gt;='A&amp;Rs'!$V17,EN$23&lt;'A&amp;Rs'!$X17),0,HLOOKUP(EN$21,$U$4:$AF$17,$B13)))</f>
        <v>2120.2349334255232</v>
      </c>
      <c r="EO31" s="56">
        <f>IF(EO$23&lt;'A&amp;Rs'!$V17,HLOOKUP(EO$21,$F$4:$Q$17,$B13),IF(AND(EO$23&gt;='A&amp;Rs'!$V17,EO$23&lt;'A&amp;Rs'!$X17),0,HLOOKUP(EO$21,$U$4:$AF$17,$B13)))</f>
        <v>2120.2349334255232</v>
      </c>
      <c r="EP31" s="56">
        <f>IF(EP$23&lt;'A&amp;Rs'!$V17,HLOOKUP(EP$21,$F$4:$Q$17,$B13),IF(AND(EP$23&gt;='A&amp;Rs'!$V17,EP$23&lt;'A&amp;Rs'!$X17),0,HLOOKUP(EP$21,$U$4:$AF$17,$B13)))</f>
        <v>2120.2349334255232</v>
      </c>
      <c r="EQ31" s="56">
        <f>IF(EQ$23&lt;'A&amp;Rs'!$V17,HLOOKUP(EQ$21,$F$4:$Q$17,$B13),IF(AND(EQ$23&gt;='A&amp;Rs'!$V17,EQ$23&lt;'A&amp;Rs'!$X17),0,HLOOKUP(EQ$21,$U$4:$AF$17,$B13)))</f>
        <v>2120.2349334255232</v>
      </c>
      <c r="ER31" s="56">
        <f>IF(ER$23&lt;'A&amp;Rs'!$V17,HLOOKUP(ER$21,$F$4:$Q$17,$B13),IF(AND(ER$23&gt;='A&amp;Rs'!$V17,ER$23&lt;'A&amp;Rs'!$X17),0,HLOOKUP(ER$21,$U$4:$AF$17,$B13)))</f>
        <v>2120.2349334255232</v>
      </c>
      <c r="ES31" s="56">
        <f>IF(ES$23&lt;'A&amp;Rs'!$V17,HLOOKUP(ES$21,$F$4:$Q$17,$B13),IF(AND(ES$23&gt;='A&amp;Rs'!$V17,ES$23&lt;'A&amp;Rs'!$X17),0,HLOOKUP(ES$21,$U$4:$AF$17,$B13)))</f>
        <v>2120.2349334255232</v>
      </c>
      <c r="ET31" s="56">
        <f>IF(ET$23&lt;'A&amp;Rs'!$V17,HLOOKUP(ET$21,$F$4:$Q$17,$B13),IF(AND(ET$23&gt;='A&amp;Rs'!$V17,ET$23&lt;'A&amp;Rs'!$X17),0,HLOOKUP(ET$21,$U$4:$AF$17,$B13)))</f>
        <v>2120.2349334255232</v>
      </c>
      <c r="EU31" s="56">
        <f>IF(EU$23&lt;'A&amp;Rs'!$V17,HLOOKUP(EU$21,$F$4:$Q$17,$B13),IF(AND(EU$23&gt;='A&amp;Rs'!$V17,EU$23&lt;'A&amp;Rs'!$X17),0,HLOOKUP(EU$21,$U$4:$AF$17,$B13)))</f>
        <v>2120.2349334255232</v>
      </c>
      <c r="EV31" s="56">
        <f>IF(EV$23&lt;'A&amp;Rs'!$V17,HLOOKUP(EV$21,$F$4:$Q$17,$B13),IF(AND(EV$23&gt;='A&amp;Rs'!$V17,EV$23&lt;'A&amp;Rs'!$X17),0,HLOOKUP(EV$21,$U$4:$AF$17,$B13)))</f>
        <v>2120.2349334255232</v>
      </c>
      <c r="EW31" s="56">
        <f>IF(EW$23&lt;'A&amp;Rs'!$V17,HLOOKUP(EW$21,$F$4:$Q$17,$B13),IF(AND(EW$23&gt;='A&amp;Rs'!$V17,EW$23&lt;'A&amp;Rs'!$X17),0,HLOOKUP(EW$21,$U$4:$AF$17,$B13)))</f>
        <v>2120.2349334255232</v>
      </c>
      <c r="EX31" s="56">
        <f>IF(EX$23&lt;'A&amp;Rs'!$V17,HLOOKUP(EX$21,$F$4:$Q$17,$B13),IF(AND(EX$23&gt;='A&amp;Rs'!$V17,EX$23&lt;'A&amp;Rs'!$X17),0,HLOOKUP(EX$21,$U$4:$AF$17,$B13)))</f>
        <v>2120.2349334255232</v>
      </c>
      <c r="EY31" s="56">
        <f>IF(EY$23&lt;'A&amp;Rs'!$V17,HLOOKUP(EY$21,$F$4:$Q$17,$B13),IF(AND(EY$23&gt;='A&amp;Rs'!$V17,EY$23&lt;'A&amp;Rs'!$X17),0,HLOOKUP(EY$21,$U$4:$AF$17,$B13)))</f>
        <v>2120.2349334255232</v>
      </c>
      <c r="EZ31" s="56">
        <f>IF(EZ$23&lt;'A&amp;Rs'!$V17,HLOOKUP(EZ$21,$F$4:$Q$17,$B13),IF(AND(EZ$23&gt;='A&amp;Rs'!$V17,EZ$23&lt;'A&amp;Rs'!$X17),0,HLOOKUP(EZ$21,$U$4:$AF$17,$B13)))</f>
        <v>2120.2349334255232</v>
      </c>
      <c r="FA31" s="56">
        <f>IF(FA$23&lt;'A&amp;Rs'!$V17,HLOOKUP(FA$21,$F$4:$Q$17,$B13),IF(AND(FA$23&gt;='A&amp;Rs'!$V17,FA$23&lt;'A&amp;Rs'!$X17),0,HLOOKUP(FA$21,$U$4:$AF$17,$B13)))</f>
        <v>2120.2349334255232</v>
      </c>
      <c r="FB31" s="56">
        <f>IF(FB$23&lt;'A&amp;Rs'!$V17,HLOOKUP(FB$21,$F$4:$Q$17,$B13),IF(AND(FB$23&gt;='A&amp;Rs'!$V17,FB$23&lt;'A&amp;Rs'!$X17),0,HLOOKUP(FB$21,$U$4:$AF$17,$B13)))</f>
        <v>2120.2349334255232</v>
      </c>
      <c r="FC31" s="56">
        <f>IF(FC$23&lt;'A&amp;Rs'!$V17,HLOOKUP(FC$21,$F$4:$Q$17,$B13),IF(AND(FC$23&gt;='A&amp;Rs'!$V17,FC$23&lt;'A&amp;Rs'!$X17),0,HLOOKUP(FC$21,$U$4:$AF$17,$B13)))</f>
        <v>2120.2349334255232</v>
      </c>
      <c r="FD31" s="56">
        <f>IF(FD$23&lt;'A&amp;Rs'!$V17,HLOOKUP(FD$21,$F$4:$Q$17,$B13),IF(AND(FD$23&gt;='A&amp;Rs'!$V17,FD$23&lt;'A&amp;Rs'!$X17),0,HLOOKUP(FD$21,$U$4:$AF$17,$B13)))</f>
        <v>2120.2349334255232</v>
      </c>
      <c r="FE31" s="56">
        <f>IF(FE$23&lt;'A&amp;Rs'!$V17,HLOOKUP(FE$21,$F$4:$Q$17,$B13),IF(AND(FE$23&gt;='A&amp;Rs'!$V17,FE$23&lt;'A&amp;Rs'!$X17),0,HLOOKUP(FE$21,$U$4:$AF$17,$B13)))</f>
        <v>2120.2349334255232</v>
      </c>
      <c r="FF31" s="1" t="s">
        <v>39</v>
      </c>
      <c r="FG31" s="1"/>
      <c r="FH31" s="1"/>
      <c r="FI31" s="99"/>
    </row>
    <row r="32" spans="2:165" x14ac:dyDescent="0.3">
      <c r="C32" s="98"/>
      <c r="D32" s="123">
        <f>'A&amp;Rs'!Q18</f>
        <v>11</v>
      </c>
      <c r="E32" s="56">
        <f t="shared" si="11"/>
        <v>1548</v>
      </c>
      <c r="F32" s="56">
        <f>IF(F$23&lt;'A&amp;Rs'!$V18,HLOOKUP(F$21,$F$4:$Q$17,$B14),IF(AND(F$23&gt;='A&amp;Rs'!$V18,F$23&lt;'A&amp;Rs'!$X18),0,HLOOKUP(F$21,$U$4:$AF$17,$B14)))</f>
        <v>1548</v>
      </c>
      <c r="G32" s="56">
        <f>IF(G$23&lt;'A&amp;Rs'!$V18,HLOOKUP(G$21,$F$4:$Q$17,$B14),IF(AND(G$23&gt;='A&amp;Rs'!$V18,G$23&lt;'A&amp;Rs'!$X18),0,HLOOKUP(G$21,$U$4:$AF$17,$B14)))</f>
        <v>1548</v>
      </c>
      <c r="H32" s="56">
        <f>IF(H$23&lt;'A&amp;Rs'!$V18,HLOOKUP(H$21,$F$4:$Q$17,$B14),IF(AND(H$23&gt;='A&amp;Rs'!$V18,H$23&lt;'A&amp;Rs'!$X18),0,HLOOKUP(H$21,$U$4:$AF$17,$B14)))</f>
        <v>1548</v>
      </c>
      <c r="I32" s="56">
        <f>IF(I$23&lt;'A&amp;Rs'!$V18,HLOOKUP(I$21,$F$4:$Q$17,$B14),IF(AND(I$23&gt;='A&amp;Rs'!$V18,I$23&lt;'A&amp;Rs'!$X18),0,HLOOKUP(I$21,$U$4:$AF$17,$B14)))</f>
        <v>1548</v>
      </c>
      <c r="J32" s="56">
        <f>IF(J$23&lt;'A&amp;Rs'!$V18,HLOOKUP(J$21,$F$4:$Q$17,$B14),IF(AND(J$23&gt;='A&amp;Rs'!$V18,J$23&lt;'A&amp;Rs'!$X18),0,HLOOKUP(J$21,$U$4:$AF$17,$B14)))</f>
        <v>1548</v>
      </c>
      <c r="K32" s="56">
        <f>IF(K$23&lt;'A&amp;Rs'!$V18,HLOOKUP(K$21,$F$4:$Q$17,$B14),IF(AND(K$23&gt;='A&amp;Rs'!$V18,K$23&lt;'A&amp;Rs'!$X18),0,HLOOKUP(K$21,$U$4:$AF$17,$B14)))</f>
        <v>1548</v>
      </c>
      <c r="L32" s="56">
        <f>IF(L$23&lt;'A&amp;Rs'!$V18,HLOOKUP(L$21,$F$4:$Q$17,$B14),IF(AND(L$23&gt;='A&amp;Rs'!$V18,L$23&lt;'A&amp;Rs'!$X18),0,HLOOKUP(L$21,$U$4:$AF$17,$B14)))</f>
        <v>1548</v>
      </c>
      <c r="M32" s="56">
        <f>IF(M$23&lt;'A&amp;Rs'!$V18,HLOOKUP(M$21,$F$4:$Q$17,$B14),IF(AND(M$23&gt;='A&amp;Rs'!$V18,M$23&lt;'A&amp;Rs'!$X18),0,HLOOKUP(M$21,$U$4:$AF$17,$B14)))</f>
        <v>1548</v>
      </c>
      <c r="N32" s="56">
        <f>IF(N$23&lt;'A&amp;Rs'!$V18,HLOOKUP(N$21,$F$4:$Q$17,$B14),IF(AND(N$23&gt;='A&amp;Rs'!$V18,N$23&lt;'A&amp;Rs'!$X18),0,HLOOKUP(N$21,$U$4:$AF$17,$B14)))</f>
        <v>0</v>
      </c>
      <c r="O32" s="56">
        <f>IF(O$23&lt;'A&amp;Rs'!$V18,HLOOKUP(O$21,$F$4:$Q$17,$B14),IF(AND(O$23&gt;='A&amp;Rs'!$V18,O$23&lt;'A&amp;Rs'!$X18),0,HLOOKUP(O$21,$U$4:$AF$17,$B14)))</f>
        <v>0</v>
      </c>
      <c r="P32" s="56">
        <f>IF(P$23&lt;'A&amp;Rs'!$V18,HLOOKUP(P$21,$F$4:$Q$17,$B14),IF(AND(P$23&gt;='A&amp;Rs'!$V18,P$23&lt;'A&amp;Rs'!$X18),0,HLOOKUP(P$21,$U$4:$AF$17,$B14)))</f>
        <v>0</v>
      </c>
      <c r="Q32" s="56">
        <f>IF(Q$23&lt;'A&amp;Rs'!$V18,HLOOKUP(Q$21,$F$4:$Q$17,$B14),IF(AND(Q$23&gt;='A&amp;Rs'!$V18,Q$23&lt;'A&amp;Rs'!$X18),0,HLOOKUP(Q$21,$U$4:$AF$17,$B14)))</f>
        <v>0</v>
      </c>
      <c r="R32" s="56">
        <f>IF(R$23&lt;'A&amp;Rs'!$V18,HLOOKUP(R$21,$F$4:$Q$17,$B14),IF(AND(R$23&gt;='A&amp;Rs'!$V18,R$23&lt;'A&amp;Rs'!$X18),0,HLOOKUP(R$21,$U$4:$AF$17,$B14)))</f>
        <v>1894.44</v>
      </c>
      <c r="S32" s="56">
        <f>IF(S$23&lt;'A&amp;Rs'!$V18,HLOOKUP(S$21,$F$4:$Q$17,$B14),IF(AND(S$23&gt;='A&amp;Rs'!$V18,S$23&lt;'A&amp;Rs'!$X18),0,HLOOKUP(S$21,$U$4:$AF$17,$B14)))</f>
        <v>1894.44</v>
      </c>
      <c r="T32" s="56">
        <f>IF(T$23&lt;'A&amp;Rs'!$V18,HLOOKUP(T$21,$F$4:$Q$17,$B14),IF(AND(T$23&gt;='A&amp;Rs'!$V18,T$23&lt;'A&amp;Rs'!$X18),0,HLOOKUP(T$21,$U$4:$AF$17,$B14)))</f>
        <v>1894.44</v>
      </c>
      <c r="U32" s="56">
        <f>IF(U$23&lt;'A&amp;Rs'!$V18,HLOOKUP(U$21,$F$4:$Q$17,$B14),IF(AND(U$23&gt;='A&amp;Rs'!$V18,U$23&lt;'A&amp;Rs'!$X18),0,HLOOKUP(U$21,$U$4:$AF$17,$B14)))</f>
        <v>1894.44</v>
      </c>
      <c r="V32" s="56">
        <f>IF(V$23&lt;'A&amp;Rs'!$V18,HLOOKUP(V$21,$F$4:$Q$17,$B14),IF(AND(V$23&gt;='A&amp;Rs'!$V18,V$23&lt;'A&amp;Rs'!$X18),0,HLOOKUP(V$21,$U$4:$AF$17,$B14)))</f>
        <v>1894.44</v>
      </c>
      <c r="W32" s="56">
        <f>IF(W$23&lt;'A&amp;Rs'!$V18,HLOOKUP(W$21,$F$4:$Q$17,$B14),IF(AND(W$23&gt;='A&amp;Rs'!$V18,W$23&lt;'A&amp;Rs'!$X18),0,HLOOKUP(W$21,$U$4:$AF$17,$B14)))</f>
        <v>1894.44</v>
      </c>
      <c r="X32" s="56">
        <f>IF(X$23&lt;'A&amp;Rs'!$V18,HLOOKUP(X$21,$F$4:$Q$17,$B14),IF(AND(X$23&gt;='A&amp;Rs'!$V18,X$23&lt;'A&amp;Rs'!$X18),0,HLOOKUP(X$21,$U$4:$AF$17,$B14)))</f>
        <v>1894.44</v>
      </c>
      <c r="Y32" s="56">
        <f>IF(Y$23&lt;'A&amp;Rs'!$V18,HLOOKUP(Y$21,$F$4:$Q$17,$B14),IF(AND(Y$23&gt;='A&amp;Rs'!$V18,Y$23&lt;'A&amp;Rs'!$X18),0,HLOOKUP(Y$21,$U$4:$AF$17,$B14)))</f>
        <v>1894.44</v>
      </c>
      <c r="Z32" s="56">
        <f>IF(Z$23&lt;'A&amp;Rs'!$V18,HLOOKUP(Z$21,$F$4:$Q$17,$B14),IF(AND(Z$23&gt;='A&amp;Rs'!$V18,Z$23&lt;'A&amp;Rs'!$X18),0,HLOOKUP(Z$21,$U$4:$AF$17,$B14)))</f>
        <v>1894.44</v>
      </c>
      <c r="AA32" s="56">
        <f>IF(AA$23&lt;'A&amp;Rs'!$V18,HLOOKUP(AA$21,$F$4:$Q$17,$B14),IF(AND(AA$23&gt;='A&amp;Rs'!$V18,AA$23&lt;'A&amp;Rs'!$X18),0,HLOOKUP(AA$21,$U$4:$AF$17,$B14)))</f>
        <v>1894.44</v>
      </c>
      <c r="AB32" s="56">
        <f>IF(AB$23&lt;'A&amp;Rs'!$V18,HLOOKUP(AB$21,$F$4:$Q$17,$B14),IF(AND(AB$23&gt;='A&amp;Rs'!$V18,AB$23&lt;'A&amp;Rs'!$X18),0,HLOOKUP(AB$21,$U$4:$AF$17,$B14)))</f>
        <v>1894.44</v>
      </c>
      <c r="AC32" s="56">
        <f>IF(AC$23&lt;'A&amp;Rs'!$V18,HLOOKUP(AC$21,$F$4:$Q$17,$B14),IF(AND(AC$23&gt;='A&amp;Rs'!$V18,AC$23&lt;'A&amp;Rs'!$X18),0,HLOOKUP(AC$21,$U$4:$AF$17,$B14)))</f>
        <v>1894.44</v>
      </c>
      <c r="AD32" s="56">
        <f>IF(AD$23&lt;'A&amp;Rs'!$V18,HLOOKUP(AD$21,$F$4:$Q$17,$B14),IF(AND(AD$23&gt;='A&amp;Rs'!$V18,AD$23&lt;'A&amp;Rs'!$X18),0,HLOOKUP(AD$21,$U$4:$AF$17,$B14)))</f>
        <v>1932.3288</v>
      </c>
      <c r="AE32" s="56">
        <f>IF(AE$23&lt;'A&amp;Rs'!$V18,HLOOKUP(AE$21,$F$4:$Q$17,$B14),IF(AND(AE$23&gt;='A&amp;Rs'!$V18,AE$23&lt;'A&amp;Rs'!$X18),0,HLOOKUP(AE$21,$U$4:$AF$17,$B14)))</f>
        <v>1932.3288</v>
      </c>
      <c r="AF32" s="56">
        <f>IF(AF$23&lt;'A&amp;Rs'!$V18,HLOOKUP(AF$21,$F$4:$Q$17,$B14),IF(AND(AF$23&gt;='A&amp;Rs'!$V18,AF$23&lt;'A&amp;Rs'!$X18),0,HLOOKUP(AF$21,$U$4:$AF$17,$B14)))</f>
        <v>1932.3288</v>
      </c>
      <c r="AG32" s="56">
        <f>IF(AG$23&lt;'A&amp;Rs'!$V18,HLOOKUP(AG$21,$F$4:$Q$17,$B14),IF(AND(AG$23&gt;='A&amp;Rs'!$V18,AG$23&lt;'A&amp;Rs'!$X18),0,HLOOKUP(AG$21,$U$4:$AF$17,$B14)))</f>
        <v>1932.3288</v>
      </c>
      <c r="AH32" s="56">
        <f>IF(AH$23&lt;'A&amp;Rs'!$V18,HLOOKUP(AH$21,$F$4:$Q$17,$B14),IF(AND(AH$23&gt;='A&amp;Rs'!$V18,AH$23&lt;'A&amp;Rs'!$X18),0,HLOOKUP(AH$21,$U$4:$AF$17,$B14)))</f>
        <v>1932.3288</v>
      </c>
      <c r="AI32" s="56">
        <f>IF(AI$23&lt;'A&amp;Rs'!$V18,HLOOKUP(AI$21,$F$4:$Q$17,$B14),IF(AND(AI$23&gt;='A&amp;Rs'!$V18,AI$23&lt;'A&amp;Rs'!$X18),0,HLOOKUP(AI$21,$U$4:$AF$17,$B14)))</f>
        <v>1932.3288</v>
      </c>
      <c r="AJ32" s="56">
        <f>IF(AJ$23&lt;'A&amp;Rs'!$V18,HLOOKUP(AJ$21,$F$4:$Q$17,$B14),IF(AND(AJ$23&gt;='A&amp;Rs'!$V18,AJ$23&lt;'A&amp;Rs'!$X18),0,HLOOKUP(AJ$21,$U$4:$AF$17,$B14)))</f>
        <v>1932.3288</v>
      </c>
      <c r="AK32" s="56">
        <f>IF(AK$23&lt;'A&amp;Rs'!$V18,HLOOKUP(AK$21,$F$4:$Q$17,$B14),IF(AND(AK$23&gt;='A&amp;Rs'!$V18,AK$23&lt;'A&amp;Rs'!$X18),0,HLOOKUP(AK$21,$U$4:$AF$17,$B14)))</f>
        <v>1932.3288</v>
      </c>
      <c r="AL32" s="56">
        <f>IF(AL$23&lt;'A&amp;Rs'!$V18,HLOOKUP(AL$21,$F$4:$Q$17,$B14),IF(AND(AL$23&gt;='A&amp;Rs'!$V18,AL$23&lt;'A&amp;Rs'!$X18),0,HLOOKUP(AL$21,$U$4:$AF$17,$B14)))</f>
        <v>1932.3288</v>
      </c>
      <c r="AM32" s="56">
        <f>IF(AM$23&lt;'A&amp;Rs'!$V18,HLOOKUP(AM$21,$F$4:$Q$17,$B14),IF(AND(AM$23&gt;='A&amp;Rs'!$V18,AM$23&lt;'A&amp;Rs'!$X18),0,HLOOKUP(AM$21,$U$4:$AF$17,$B14)))</f>
        <v>1932.3288</v>
      </c>
      <c r="AN32" s="56">
        <f>IF(AN$23&lt;'A&amp;Rs'!$V18,HLOOKUP(AN$21,$F$4:$Q$17,$B14),IF(AND(AN$23&gt;='A&amp;Rs'!$V18,AN$23&lt;'A&amp;Rs'!$X18),0,HLOOKUP(AN$21,$U$4:$AF$17,$B14)))</f>
        <v>1932.3288</v>
      </c>
      <c r="AO32" s="56">
        <f>IF(AO$23&lt;'A&amp;Rs'!$V18,HLOOKUP(AO$21,$F$4:$Q$17,$B14),IF(AND(AO$23&gt;='A&amp;Rs'!$V18,AO$23&lt;'A&amp;Rs'!$X18),0,HLOOKUP(AO$21,$U$4:$AF$17,$B14)))</f>
        <v>1932.3288</v>
      </c>
      <c r="AP32" s="56">
        <f>IF(AP$23&lt;'A&amp;Rs'!$V18,HLOOKUP(AP$21,$F$4:$Q$17,$B14),IF(AND(AP$23&gt;='A&amp;Rs'!$V18,AP$23&lt;'A&amp;Rs'!$X18),0,HLOOKUP(AP$21,$U$4:$AF$17,$B14)))</f>
        <v>1990.2986640000001</v>
      </c>
      <c r="AQ32" s="56">
        <f>IF(AQ$23&lt;'A&amp;Rs'!$V18,HLOOKUP(AQ$21,$F$4:$Q$17,$B14),IF(AND(AQ$23&gt;='A&amp;Rs'!$V18,AQ$23&lt;'A&amp;Rs'!$X18),0,HLOOKUP(AQ$21,$U$4:$AF$17,$B14)))</f>
        <v>1990.2986640000001</v>
      </c>
      <c r="AR32" s="56">
        <f>IF(AR$23&lt;'A&amp;Rs'!$V18,HLOOKUP(AR$21,$F$4:$Q$17,$B14),IF(AND(AR$23&gt;='A&amp;Rs'!$V18,AR$23&lt;'A&amp;Rs'!$X18),0,HLOOKUP(AR$21,$U$4:$AF$17,$B14)))</f>
        <v>1990.2986640000001</v>
      </c>
      <c r="AS32" s="56">
        <f>IF(AS$23&lt;'A&amp;Rs'!$V18,HLOOKUP(AS$21,$F$4:$Q$17,$B14),IF(AND(AS$23&gt;='A&amp;Rs'!$V18,AS$23&lt;'A&amp;Rs'!$X18),0,HLOOKUP(AS$21,$U$4:$AF$17,$B14)))</f>
        <v>1990.2986640000001</v>
      </c>
      <c r="AT32" s="56">
        <f>IF(AT$23&lt;'A&amp;Rs'!$V18,HLOOKUP(AT$21,$F$4:$Q$17,$B14),IF(AND(AT$23&gt;='A&amp;Rs'!$V18,AT$23&lt;'A&amp;Rs'!$X18),0,HLOOKUP(AT$21,$U$4:$AF$17,$B14)))</f>
        <v>1990.2986640000001</v>
      </c>
      <c r="AU32" s="56">
        <f>IF(AU$23&lt;'A&amp;Rs'!$V18,HLOOKUP(AU$21,$F$4:$Q$17,$B14),IF(AND(AU$23&gt;='A&amp;Rs'!$V18,AU$23&lt;'A&amp;Rs'!$X18),0,HLOOKUP(AU$21,$U$4:$AF$17,$B14)))</f>
        <v>1990.2986640000001</v>
      </c>
      <c r="AV32" s="56">
        <f>IF(AV$23&lt;'A&amp;Rs'!$V18,HLOOKUP(AV$21,$F$4:$Q$17,$B14),IF(AND(AV$23&gt;='A&amp;Rs'!$V18,AV$23&lt;'A&amp;Rs'!$X18),0,HLOOKUP(AV$21,$U$4:$AF$17,$B14)))</f>
        <v>1990.2986640000001</v>
      </c>
      <c r="AW32" s="56">
        <f>IF(AW$23&lt;'A&amp;Rs'!$V18,HLOOKUP(AW$21,$F$4:$Q$17,$B14),IF(AND(AW$23&gt;='A&amp;Rs'!$V18,AW$23&lt;'A&amp;Rs'!$X18),0,HLOOKUP(AW$21,$U$4:$AF$17,$B14)))</f>
        <v>1990.2986640000001</v>
      </c>
      <c r="AX32" s="56">
        <f>IF(AX$23&lt;'A&amp;Rs'!$V18,HLOOKUP(AX$21,$F$4:$Q$17,$B14),IF(AND(AX$23&gt;='A&amp;Rs'!$V18,AX$23&lt;'A&amp;Rs'!$X18),0,HLOOKUP(AX$21,$U$4:$AF$17,$B14)))</f>
        <v>1990.2986640000001</v>
      </c>
      <c r="AY32" s="56">
        <f>IF(AY$23&lt;'A&amp;Rs'!$V18,HLOOKUP(AY$21,$F$4:$Q$17,$B14),IF(AND(AY$23&gt;='A&amp;Rs'!$V18,AY$23&lt;'A&amp;Rs'!$X18),0,HLOOKUP(AY$21,$U$4:$AF$17,$B14)))</f>
        <v>1990.2986640000001</v>
      </c>
      <c r="AZ32" s="56">
        <f>IF(AZ$23&lt;'A&amp;Rs'!$V18,HLOOKUP(AZ$21,$F$4:$Q$17,$B14),IF(AND(AZ$23&gt;='A&amp;Rs'!$V18,AZ$23&lt;'A&amp;Rs'!$X18),0,HLOOKUP(AZ$21,$U$4:$AF$17,$B14)))</f>
        <v>1990.2986640000001</v>
      </c>
      <c r="BA32" s="56">
        <f>IF(BA$23&lt;'A&amp;Rs'!$V18,HLOOKUP(BA$21,$F$4:$Q$17,$B14),IF(AND(BA$23&gt;='A&amp;Rs'!$V18,BA$23&lt;'A&amp;Rs'!$X18),0,HLOOKUP(BA$21,$U$4:$AF$17,$B14)))</f>
        <v>1990.2986640000001</v>
      </c>
      <c r="BB32" s="56">
        <f>IF(BB$23&lt;'A&amp;Rs'!$V18,HLOOKUP(BB$21,$F$4:$Q$17,$B14),IF(AND(BB$23&gt;='A&amp;Rs'!$V18,BB$23&lt;'A&amp;Rs'!$X18),0,HLOOKUP(BB$21,$U$4:$AF$17,$B14)))</f>
        <v>2050.0076239200002</v>
      </c>
      <c r="BC32" s="56">
        <f>IF(BC$23&lt;'A&amp;Rs'!$V18,HLOOKUP(BC$21,$F$4:$Q$17,$B14),IF(AND(BC$23&gt;='A&amp;Rs'!$V18,BC$23&lt;'A&amp;Rs'!$X18),0,HLOOKUP(BC$21,$U$4:$AF$17,$B14)))</f>
        <v>2050.0076239200002</v>
      </c>
      <c r="BD32" s="56">
        <f>IF(BD$23&lt;'A&amp;Rs'!$V18,HLOOKUP(BD$21,$F$4:$Q$17,$B14),IF(AND(BD$23&gt;='A&amp;Rs'!$V18,BD$23&lt;'A&amp;Rs'!$X18),0,HLOOKUP(BD$21,$U$4:$AF$17,$B14)))</f>
        <v>2050.0076239200002</v>
      </c>
      <c r="BE32" s="56">
        <f>IF(BE$23&lt;'A&amp;Rs'!$V18,HLOOKUP(BE$21,$F$4:$Q$17,$B14),IF(AND(BE$23&gt;='A&amp;Rs'!$V18,BE$23&lt;'A&amp;Rs'!$X18),0,HLOOKUP(BE$21,$U$4:$AF$17,$B14)))</f>
        <v>2050.0076239200002</v>
      </c>
      <c r="BF32" s="56">
        <f>IF(BF$23&lt;'A&amp;Rs'!$V18,HLOOKUP(BF$21,$F$4:$Q$17,$B14),IF(AND(BF$23&gt;='A&amp;Rs'!$V18,BF$23&lt;'A&amp;Rs'!$X18),0,HLOOKUP(BF$21,$U$4:$AF$17,$B14)))</f>
        <v>2050.0076239200002</v>
      </c>
      <c r="BG32" s="56">
        <f>IF(BG$23&lt;'A&amp;Rs'!$V18,HLOOKUP(BG$21,$F$4:$Q$17,$B14),IF(AND(BG$23&gt;='A&amp;Rs'!$V18,BG$23&lt;'A&amp;Rs'!$X18),0,HLOOKUP(BG$21,$U$4:$AF$17,$B14)))</f>
        <v>2050.0076239200002</v>
      </c>
      <c r="BH32" s="56">
        <f>IF(BH$23&lt;'A&amp;Rs'!$V18,HLOOKUP(BH$21,$F$4:$Q$17,$B14),IF(AND(BH$23&gt;='A&amp;Rs'!$V18,BH$23&lt;'A&amp;Rs'!$X18),0,HLOOKUP(BH$21,$U$4:$AF$17,$B14)))</f>
        <v>2050.0076239200002</v>
      </c>
      <c r="BI32" s="56">
        <f>IF(BI$23&lt;'A&amp;Rs'!$V18,HLOOKUP(BI$21,$F$4:$Q$17,$B14),IF(AND(BI$23&gt;='A&amp;Rs'!$V18,BI$23&lt;'A&amp;Rs'!$X18),0,HLOOKUP(BI$21,$U$4:$AF$17,$B14)))</f>
        <v>2050.0076239200002</v>
      </c>
      <c r="BJ32" s="56">
        <f>IF(BJ$23&lt;'A&amp;Rs'!$V18,HLOOKUP(BJ$21,$F$4:$Q$17,$B14),IF(AND(BJ$23&gt;='A&amp;Rs'!$V18,BJ$23&lt;'A&amp;Rs'!$X18),0,HLOOKUP(BJ$21,$U$4:$AF$17,$B14)))</f>
        <v>2050.0076239200002</v>
      </c>
      <c r="BK32" s="56">
        <f>IF(BK$23&lt;'A&amp;Rs'!$V18,HLOOKUP(BK$21,$F$4:$Q$17,$B14),IF(AND(BK$23&gt;='A&amp;Rs'!$V18,BK$23&lt;'A&amp;Rs'!$X18),0,HLOOKUP(BK$21,$U$4:$AF$17,$B14)))</f>
        <v>2050.0076239200002</v>
      </c>
      <c r="BL32" s="56">
        <f>IF(BL$23&lt;'A&amp;Rs'!$V18,HLOOKUP(BL$21,$F$4:$Q$17,$B14),IF(AND(BL$23&gt;='A&amp;Rs'!$V18,BL$23&lt;'A&amp;Rs'!$X18),0,HLOOKUP(BL$21,$U$4:$AF$17,$B14)))</f>
        <v>2050.0076239200002</v>
      </c>
      <c r="BM32" s="56">
        <f>IF(BM$23&lt;'A&amp;Rs'!$V18,HLOOKUP(BM$21,$F$4:$Q$17,$B14),IF(AND(BM$23&gt;='A&amp;Rs'!$V18,BM$23&lt;'A&amp;Rs'!$X18),0,HLOOKUP(BM$21,$U$4:$AF$17,$B14)))</f>
        <v>2050.0076239200002</v>
      </c>
      <c r="BN32" s="56">
        <f>IF(BN$23&lt;'A&amp;Rs'!$V18,HLOOKUP(BN$21,$F$4:$Q$17,$B14),IF(AND(BN$23&gt;='A&amp;Rs'!$V18,BN$23&lt;'A&amp;Rs'!$X18),0,HLOOKUP(BN$21,$U$4:$AF$17,$B14)))</f>
        <v>2050.0076239200002</v>
      </c>
      <c r="BO32" s="56">
        <f>IF(BO$23&lt;'A&amp;Rs'!$V18,HLOOKUP(BO$21,$F$4:$Q$17,$B14),IF(AND(BO$23&gt;='A&amp;Rs'!$V18,BO$23&lt;'A&amp;Rs'!$X18),0,HLOOKUP(BO$21,$U$4:$AF$17,$B14)))</f>
        <v>2050.0076239200002</v>
      </c>
      <c r="BP32" s="56">
        <f>IF(BP$23&lt;'A&amp;Rs'!$V18,HLOOKUP(BP$21,$F$4:$Q$17,$B14),IF(AND(BP$23&gt;='A&amp;Rs'!$V18,BP$23&lt;'A&amp;Rs'!$X18),0,HLOOKUP(BP$21,$U$4:$AF$17,$B14)))</f>
        <v>2050.0076239200002</v>
      </c>
      <c r="BQ32" s="56">
        <f>IF(BQ$23&lt;'A&amp;Rs'!$V18,HLOOKUP(BQ$21,$F$4:$Q$17,$B14),IF(AND(BQ$23&gt;='A&amp;Rs'!$V18,BQ$23&lt;'A&amp;Rs'!$X18),0,HLOOKUP(BQ$21,$U$4:$AF$17,$B14)))</f>
        <v>2050.0076239200002</v>
      </c>
      <c r="BR32" s="56">
        <f>IF(BR$23&lt;'A&amp;Rs'!$V18,HLOOKUP(BR$21,$F$4:$Q$17,$B14),IF(AND(BR$23&gt;='A&amp;Rs'!$V18,BR$23&lt;'A&amp;Rs'!$X18),0,HLOOKUP(BR$21,$U$4:$AF$17,$B14)))</f>
        <v>2050.0076239200002</v>
      </c>
      <c r="BS32" s="56">
        <f>IF(BS$23&lt;'A&amp;Rs'!$V18,HLOOKUP(BS$21,$F$4:$Q$17,$B14),IF(AND(BS$23&gt;='A&amp;Rs'!$V18,BS$23&lt;'A&amp;Rs'!$X18),0,HLOOKUP(BS$21,$U$4:$AF$17,$B14)))</f>
        <v>2050.0076239200002</v>
      </c>
      <c r="BT32" s="56">
        <f>IF(BT$23&lt;'A&amp;Rs'!$V18,HLOOKUP(BT$21,$F$4:$Q$17,$B14),IF(AND(BT$23&gt;='A&amp;Rs'!$V18,BT$23&lt;'A&amp;Rs'!$X18),0,HLOOKUP(BT$21,$U$4:$AF$17,$B14)))</f>
        <v>2050.0076239200002</v>
      </c>
      <c r="BU32" s="56">
        <f>IF(BU$23&lt;'A&amp;Rs'!$V18,HLOOKUP(BU$21,$F$4:$Q$17,$B14),IF(AND(BU$23&gt;='A&amp;Rs'!$V18,BU$23&lt;'A&amp;Rs'!$X18),0,HLOOKUP(BU$21,$U$4:$AF$17,$B14)))</f>
        <v>2050.0076239200002</v>
      </c>
      <c r="BV32" s="56">
        <f>IF(BV$23&lt;'A&amp;Rs'!$V18,HLOOKUP(BV$21,$F$4:$Q$17,$B14),IF(AND(BV$23&gt;='A&amp;Rs'!$V18,BV$23&lt;'A&amp;Rs'!$X18),0,HLOOKUP(BV$21,$U$4:$AF$17,$B14)))</f>
        <v>2050.0076239200002</v>
      </c>
      <c r="BW32" s="56">
        <f>IF(BW$23&lt;'A&amp;Rs'!$V18,HLOOKUP(BW$21,$F$4:$Q$17,$B14),IF(AND(BW$23&gt;='A&amp;Rs'!$V18,BW$23&lt;'A&amp;Rs'!$X18),0,HLOOKUP(BW$21,$U$4:$AF$17,$B14)))</f>
        <v>2050.0076239200002</v>
      </c>
      <c r="BX32" s="56">
        <f>IF(BX$23&lt;'A&amp;Rs'!$V18,HLOOKUP(BX$21,$F$4:$Q$17,$B14),IF(AND(BX$23&gt;='A&amp;Rs'!$V18,BX$23&lt;'A&amp;Rs'!$X18),0,HLOOKUP(BX$21,$U$4:$AF$17,$B14)))</f>
        <v>2050.0076239200002</v>
      </c>
      <c r="BY32" s="56">
        <f>IF(BY$23&lt;'A&amp;Rs'!$V18,HLOOKUP(BY$21,$F$4:$Q$17,$B14),IF(AND(BY$23&gt;='A&amp;Rs'!$V18,BY$23&lt;'A&amp;Rs'!$X18),0,HLOOKUP(BY$21,$U$4:$AF$17,$B14)))</f>
        <v>2050.0076239200002</v>
      </c>
      <c r="BZ32" s="56">
        <f>IF(BZ$23&lt;'A&amp;Rs'!$V18,HLOOKUP(BZ$21,$F$4:$Q$17,$B14),IF(AND(BZ$23&gt;='A&amp;Rs'!$V18,BZ$23&lt;'A&amp;Rs'!$X18),0,HLOOKUP(BZ$21,$U$4:$AF$17,$B14)))</f>
        <v>2070.5077001592003</v>
      </c>
      <c r="CA32" s="56">
        <f>IF(CA$23&lt;'A&amp;Rs'!$V18,HLOOKUP(CA$21,$F$4:$Q$17,$B14),IF(AND(CA$23&gt;='A&amp;Rs'!$V18,CA$23&lt;'A&amp;Rs'!$X18),0,HLOOKUP(CA$21,$U$4:$AF$17,$B14)))</f>
        <v>2070.5077001592003</v>
      </c>
      <c r="CB32" s="56">
        <f>IF(CB$23&lt;'A&amp;Rs'!$V18,HLOOKUP(CB$21,$F$4:$Q$17,$B14),IF(AND(CB$23&gt;='A&amp;Rs'!$V18,CB$23&lt;'A&amp;Rs'!$X18),0,HLOOKUP(CB$21,$U$4:$AF$17,$B14)))</f>
        <v>2070.5077001592003</v>
      </c>
      <c r="CC32" s="56">
        <f>IF(CC$23&lt;'A&amp;Rs'!$V18,HLOOKUP(CC$21,$F$4:$Q$17,$B14),IF(AND(CC$23&gt;='A&amp;Rs'!$V18,CC$23&lt;'A&amp;Rs'!$X18),0,HLOOKUP(CC$21,$U$4:$AF$17,$B14)))</f>
        <v>2070.5077001592003</v>
      </c>
      <c r="CD32" s="56">
        <f>IF(CD$23&lt;'A&amp;Rs'!$V18,HLOOKUP(CD$21,$F$4:$Q$17,$B14),IF(AND(CD$23&gt;='A&amp;Rs'!$V18,CD$23&lt;'A&amp;Rs'!$X18),0,HLOOKUP(CD$21,$U$4:$AF$17,$B14)))</f>
        <v>2070.5077001592003</v>
      </c>
      <c r="CE32" s="56">
        <f>IF(CE$23&lt;'A&amp;Rs'!$V18,HLOOKUP(CE$21,$F$4:$Q$17,$B14),IF(AND(CE$23&gt;='A&amp;Rs'!$V18,CE$23&lt;'A&amp;Rs'!$X18),0,HLOOKUP(CE$21,$U$4:$AF$17,$B14)))</f>
        <v>2070.5077001592003</v>
      </c>
      <c r="CF32" s="56">
        <f>IF(CF$23&lt;'A&amp;Rs'!$V18,HLOOKUP(CF$21,$F$4:$Q$17,$B14),IF(AND(CF$23&gt;='A&amp;Rs'!$V18,CF$23&lt;'A&amp;Rs'!$X18),0,HLOOKUP(CF$21,$U$4:$AF$17,$B14)))</f>
        <v>2070.5077001592003</v>
      </c>
      <c r="CG32" s="56">
        <f>IF(CG$23&lt;'A&amp;Rs'!$V18,HLOOKUP(CG$21,$F$4:$Q$17,$B14),IF(AND(CG$23&gt;='A&amp;Rs'!$V18,CG$23&lt;'A&amp;Rs'!$X18),0,HLOOKUP(CG$21,$U$4:$AF$17,$B14)))</f>
        <v>2070.5077001592003</v>
      </c>
      <c r="CH32" s="56">
        <f>IF(CH$23&lt;'A&amp;Rs'!$V18,HLOOKUP(CH$21,$F$4:$Q$17,$B14),IF(AND(CH$23&gt;='A&amp;Rs'!$V18,CH$23&lt;'A&amp;Rs'!$X18),0,HLOOKUP(CH$21,$U$4:$AF$17,$B14)))</f>
        <v>2070.5077001592003</v>
      </c>
      <c r="CI32" s="56">
        <f>IF(CI$23&lt;'A&amp;Rs'!$V18,HLOOKUP(CI$21,$F$4:$Q$17,$B14),IF(AND(CI$23&gt;='A&amp;Rs'!$V18,CI$23&lt;'A&amp;Rs'!$X18),0,HLOOKUP(CI$21,$U$4:$AF$17,$B14)))</f>
        <v>2070.5077001592003</v>
      </c>
      <c r="CJ32" s="56">
        <f>IF(CJ$23&lt;'A&amp;Rs'!$V18,HLOOKUP(CJ$21,$F$4:$Q$17,$B14),IF(AND(CJ$23&gt;='A&amp;Rs'!$V18,CJ$23&lt;'A&amp;Rs'!$X18),0,HLOOKUP(CJ$21,$U$4:$AF$17,$B14)))</f>
        <v>2070.5077001592003</v>
      </c>
      <c r="CK32" s="56">
        <f>IF(CK$23&lt;'A&amp;Rs'!$V18,HLOOKUP(CK$21,$F$4:$Q$17,$B14),IF(AND(CK$23&gt;='A&amp;Rs'!$V18,CK$23&lt;'A&amp;Rs'!$X18),0,HLOOKUP(CK$21,$U$4:$AF$17,$B14)))</f>
        <v>2070.5077001592003</v>
      </c>
      <c r="CL32" s="56">
        <f>IF(CL$23&lt;'A&amp;Rs'!$V18,HLOOKUP(CL$21,$F$4:$Q$17,$B14),IF(AND(CL$23&gt;='A&amp;Rs'!$V18,CL$23&lt;'A&amp;Rs'!$X18),0,HLOOKUP(CL$21,$U$4:$AF$17,$B14)))</f>
        <v>2132.6229311639763</v>
      </c>
      <c r="CM32" s="56">
        <f>IF(CM$23&lt;'A&amp;Rs'!$V18,HLOOKUP(CM$21,$F$4:$Q$17,$B14),IF(AND(CM$23&gt;='A&amp;Rs'!$V18,CM$23&lt;'A&amp;Rs'!$X18),0,HLOOKUP(CM$21,$U$4:$AF$17,$B14)))</f>
        <v>2132.6229311639763</v>
      </c>
      <c r="CN32" s="56">
        <f>IF(CN$23&lt;'A&amp;Rs'!$V18,HLOOKUP(CN$21,$F$4:$Q$17,$B14),IF(AND(CN$23&gt;='A&amp;Rs'!$V18,CN$23&lt;'A&amp;Rs'!$X18),0,HLOOKUP(CN$21,$U$4:$AF$17,$B14)))</f>
        <v>2132.6229311639763</v>
      </c>
      <c r="CO32" s="56">
        <f>IF(CO$23&lt;'A&amp;Rs'!$V18,HLOOKUP(CO$21,$F$4:$Q$17,$B14),IF(AND(CO$23&gt;='A&amp;Rs'!$V18,CO$23&lt;'A&amp;Rs'!$X18),0,HLOOKUP(CO$21,$U$4:$AF$17,$B14)))</f>
        <v>2132.6229311639763</v>
      </c>
      <c r="CP32" s="56">
        <f>IF(CP$23&lt;'A&amp;Rs'!$V18,HLOOKUP(CP$21,$F$4:$Q$17,$B14),IF(AND(CP$23&gt;='A&amp;Rs'!$V18,CP$23&lt;'A&amp;Rs'!$X18),0,HLOOKUP(CP$21,$U$4:$AF$17,$B14)))</f>
        <v>2132.6229311639763</v>
      </c>
      <c r="CQ32" s="56">
        <f>IF(CQ$23&lt;'A&amp;Rs'!$V18,HLOOKUP(CQ$21,$F$4:$Q$17,$B14),IF(AND(CQ$23&gt;='A&amp;Rs'!$V18,CQ$23&lt;'A&amp;Rs'!$X18),0,HLOOKUP(CQ$21,$U$4:$AF$17,$B14)))</f>
        <v>2132.6229311639763</v>
      </c>
      <c r="CR32" s="56">
        <f>IF(CR$23&lt;'A&amp;Rs'!$V18,HLOOKUP(CR$21,$F$4:$Q$17,$B14),IF(AND(CR$23&gt;='A&amp;Rs'!$V18,CR$23&lt;'A&amp;Rs'!$X18),0,HLOOKUP(CR$21,$U$4:$AF$17,$B14)))</f>
        <v>2132.6229311639763</v>
      </c>
      <c r="CS32" s="56">
        <f>IF(CS$23&lt;'A&amp;Rs'!$V18,HLOOKUP(CS$21,$F$4:$Q$17,$B14),IF(AND(CS$23&gt;='A&amp;Rs'!$V18,CS$23&lt;'A&amp;Rs'!$X18),0,HLOOKUP(CS$21,$U$4:$AF$17,$B14)))</f>
        <v>2132.6229311639763</v>
      </c>
      <c r="CT32" s="56">
        <f>IF(CT$23&lt;'A&amp;Rs'!$V18,HLOOKUP(CT$21,$F$4:$Q$17,$B14),IF(AND(CT$23&gt;='A&amp;Rs'!$V18,CT$23&lt;'A&amp;Rs'!$X18),0,HLOOKUP(CT$21,$U$4:$AF$17,$B14)))</f>
        <v>2132.6229311639763</v>
      </c>
      <c r="CU32" s="56">
        <f>IF(CU$23&lt;'A&amp;Rs'!$V18,HLOOKUP(CU$21,$F$4:$Q$17,$B14),IF(AND(CU$23&gt;='A&amp;Rs'!$V18,CU$23&lt;'A&amp;Rs'!$X18),0,HLOOKUP(CU$21,$U$4:$AF$17,$B14)))</f>
        <v>2132.6229311639763</v>
      </c>
      <c r="CV32" s="56">
        <f>IF(CV$23&lt;'A&amp;Rs'!$V18,HLOOKUP(CV$21,$F$4:$Q$17,$B14),IF(AND(CV$23&gt;='A&amp;Rs'!$V18,CV$23&lt;'A&amp;Rs'!$X18),0,HLOOKUP(CV$21,$U$4:$AF$17,$B14)))</f>
        <v>2132.6229311639763</v>
      </c>
      <c r="CW32" s="56">
        <f>IF(CW$23&lt;'A&amp;Rs'!$V18,HLOOKUP(CW$21,$F$4:$Q$17,$B14),IF(AND(CW$23&gt;='A&amp;Rs'!$V18,CW$23&lt;'A&amp;Rs'!$X18),0,HLOOKUP(CW$21,$U$4:$AF$17,$B14)))</f>
        <v>2132.6229311639763</v>
      </c>
      <c r="CX32" s="56">
        <f>IF(CX$23&lt;'A&amp;Rs'!$V18,HLOOKUP(CX$21,$F$4:$Q$17,$B14),IF(AND(CX$23&gt;='A&amp;Rs'!$V18,CX$23&lt;'A&amp;Rs'!$X18),0,HLOOKUP(CX$21,$U$4:$AF$17,$B14)))</f>
        <v>2175.2753897872558</v>
      </c>
      <c r="CY32" s="56">
        <f>IF(CY$23&lt;'A&amp;Rs'!$V18,HLOOKUP(CY$21,$F$4:$Q$17,$B14),IF(AND(CY$23&gt;='A&amp;Rs'!$V18,CY$23&lt;'A&amp;Rs'!$X18),0,HLOOKUP(CY$21,$U$4:$AF$17,$B14)))</f>
        <v>2175.2753897872558</v>
      </c>
      <c r="CZ32" s="56">
        <f>IF(CZ$23&lt;'A&amp;Rs'!$V18,HLOOKUP(CZ$21,$F$4:$Q$17,$B14),IF(AND(CZ$23&gt;='A&amp;Rs'!$V18,CZ$23&lt;'A&amp;Rs'!$X18),0,HLOOKUP(CZ$21,$U$4:$AF$17,$B14)))</f>
        <v>2175.2753897872558</v>
      </c>
      <c r="DA32" s="56">
        <f>IF(DA$23&lt;'A&amp;Rs'!$V18,HLOOKUP(DA$21,$F$4:$Q$17,$B14),IF(AND(DA$23&gt;='A&amp;Rs'!$V18,DA$23&lt;'A&amp;Rs'!$X18),0,HLOOKUP(DA$21,$U$4:$AF$17,$B14)))</f>
        <v>2175.2753897872558</v>
      </c>
      <c r="DB32" s="56">
        <f>IF(DB$23&lt;'A&amp;Rs'!$V18,HLOOKUP(DB$21,$F$4:$Q$17,$B14),IF(AND(DB$23&gt;='A&amp;Rs'!$V18,DB$23&lt;'A&amp;Rs'!$X18),0,HLOOKUP(DB$21,$U$4:$AF$17,$B14)))</f>
        <v>2175.2753897872558</v>
      </c>
      <c r="DC32" s="56">
        <f>IF(DC$23&lt;'A&amp;Rs'!$V18,HLOOKUP(DC$21,$F$4:$Q$17,$B14),IF(AND(DC$23&gt;='A&amp;Rs'!$V18,DC$23&lt;'A&amp;Rs'!$X18),0,HLOOKUP(DC$21,$U$4:$AF$17,$B14)))</f>
        <v>2175.2753897872558</v>
      </c>
      <c r="DD32" s="56">
        <f>IF(DD$23&lt;'A&amp;Rs'!$V18,HLOOKUP(DD$21,$F$4:$Q$17,$B14),IF(AND(DD$23&gt;='A&amp;Rs'!$V18,DD$23&lt;'A&amp;Rs'!$X18),0,HLOOKUP(DD$21,$U$4:$AF$17,$B14)))</f>
        <v>2175.2753897872558</v>
      </c>
      <c r="DE32" s="56">
        <f>IF(DE$23&lt;'A&amp;Rs'!$V18,HLOOKUP(DE$21,$F$4:$Q$17,$B14),IF(AND(DE$23&gt;='A&amp;Rs'!$V18,DE$23&lt;'A&amp;Rs'!$X18),0,HLOOKUP(DE$21,$U$4:$AF$17,$B14)))</f>
        <v>2175.2753897872558</v>
      </c>
      <c r="DF32" s="56">
        <f>IF(DF$23&lt;'A&amp;Rs'!$V18,HLOOKUP(DF$21,$F$4:$Q$17,$B14),IF(AND(DF$23&gt;='A&amp;Rs'!$V18,DF$23&lt;'A&amp;Rs'!$X18),0,HLOOKUP(DF$21,$U$4:$AF$17,$B14)))</f>
        <v>2175.2753897872558</v>
      </c>
      <c r="DG32" s="56">
        <f>IF(DG$23&lt;'A&amp;Rs'!$V18,HLOOKUP(DG$21,$F$4:$Q$17,$B14),IF(AND(DG$23&gt;='A&amp;Rs'!$V18,DG$23&lt;'A&amp;Rs'!$X18),0,HLOOKUP(DG$21,$U$4:$AF$17,$B14)))</f>
        <v>2175.2753897872558</v>
      </c>
      <c r="DH32" s="56">
        <f>IF(DH$23&lt;'A&amp;Rs'!$V18,HLOOKUP(DH$21,$F$4:$Q$17,$B14),IF(AND(DH$23&gt;='A&amp;Rs'!$V18,DH$23&lt;'A&amp;Rs'!$X18),0,HLOOKUP(DH$21,$U$4:$AF$17,$B14)))</f>
        <v>2175.2753897872558</v>
      </c>
      <c r="DI32" s="56">
        <f>IF(DI$23&lt;'A&amp;Rs'!$V18,HLOOKUP(DI$21,$F$4:$Q$17,$B14),IF(AND(DI$23&gt;='A&amp;Rs'!$V18,DI$23&lt;'A&amp;Rs'!$X18),0,HLOOKUP(DI$21,$U$4:$AF$17,$B14)))</f>
        <v>2175.2753897872558</v>
      </c>
      <c r="DJ32" s="56">
        <f>IF(DJ$23&lt;'A&amp;Rs'!$V18,HLOOKUP(DJ$21,$F$4:$Q$17,$B14),IF(AND(DJ$23&gt;='A&amp;Rs'!$V18,DJ$23&lt;'A&amp;Rs'!$X18),0,HLOOKUP(DJ$21,$U$4:$AF$17,$B14)))</f>
        <v>2197.0281436851283</v>
      </c>
      <c r="DK32" s="56">
        <f>IF(DK$23&lt;'A&amp;Rs'!$V18,HLOOKUP(DK$21,$F$4:$Q$17,$B14),IF(AND(DK$23&gt;='A&amp;Rs'!$V18,DK$23&lt;'A&amp;Rs'!$X18),0,HLOOKUP(DK$21,$U$4:$AF$17,$B14)))</f>
        <v>2197.0281436851283</v>
      </c>
      <c r="DL32" s="56">
        <f>IF(DL$23&lt;'A&amp;Rs'!$V18,HLOOKUP(DL$21,$F$4:$Q$17,$B14),IF(AND(DL$23&gt;='A&amp;Rs'!$V18,DL$23&lt;'A&amp;Rs'!$X18),0,HLOOKUP(DL$21,$U$4:$AF$17,$B14)))</f>
        <v>2197.0281436851283</v>
      </c>
      <c r="DM32" s="56">
        <f>IF(DM$23&lt;'A&amp;Rs'!$V18,HLOOKUP(DM$21,$F$4:$Q$17,$B14),IF(AND(DM$23&gt;='A&amp;Rs'!$V18,DM$23&lt;'A&amp;Rs'!$X18),0,HLOOKUP(DM$21,$U$4:$AF$17,$B14)))</f>
        <v>2197.0281436851283</v>
      </c>
      <c r="DN32" s="56">
        <f>IF(DN$23&lt;'A&amp;Rs'!$V18,HLOOKUP(DN$21,$F$4:$Q$17,$B14),IF(AND(DN$23&gt;='A&amp;Rs'!$V18,DN$23&lt;'A&amp;Rs'!$X18),0,HLOOKUP(DN$21,$U$4:$AF$17,$B14)))</f>
        <v>2197.0281436851283</v>
      </c>
      <c r="DO32" s="56">
        <f>IF(DO$23&lt;'A&amp;Rs'!$V18,HLOOKUP(DO$21,$F$4:$Q$17,$B14),IF(AND(DO$23&gt;='A&amp;Rs'!$V18,DO$23&lt;'A&amp;Rs'!$X18),0,HLOOKUP(DO$21,$U$4:$AF$17,$B14)))</f>
        <v>2197.0281436851283</v>
      </c>
      <c r="DP32" s="56">
        <f>IF(DP$23&lt;'A&amp;Rs'!$V18,HLOOKUP(DP$21,$F$4:$Q$17,$B14),IF(AND(DP$23&gt;='A&amp;Rs'!$V18,DP$23&lt;'A&amp;Rs'!$X18),0,HLOOKUP(DP$21,$U$4:$AF$17,$B14)))</f>
        <v>2197.0281436851283</v>
      </c>
      <c r="DQ32" s="56">
        <f>IF(DQ$23&lt;'A&amp;Rs'!$V18,HLOOKUP(DQ$21,$F$4:$Q$17,$B14),IF(AND(DQ$23&gt;='A&amp;Rs'!$V18,DQ$23&lt;'A&amp;Rs'!$X18),0,HLOOKUP(DQ$21,$U$4:$AF$17,$B14)))</f>
        <v>2197.0281436851283</v>
      </c>
      <c r="DR32" s="56">
        <f>IF(DR$23&lt;'A&amp;Rs'!$V18,HLOOKUP(DR$21,$F$4:$Q$17,$B14),IF(AND(DR$23&gt;='A&amp;Rs'!$V18,DR$23&lt;'A&amp;Rs'!$X18),0,HLOOKUP(DR$21,$U$4:$AF$17,$B14)))</f>
        <v>2197.0281436851283</v>
      </c>
      <c r="DS32" s="56">
        <f>IF(DS$23&lt;'A&amp;Rs'!$V18,HLOOKUP(DS$21,$F$4:$Q$17,$B14),IF(AND(DS$23&gt;='A&amp;Rs'!$V18,DS$23&lt;'A&amp;Rs'!$X18),0,HLOOKUP(DS$21,$U$4:$AF$17,$B14)))</f>
        <v>2197.0281436851283</v>
      </c>
      <c r="DT32" s="56">
        <f>IF(DT$23&lt;'A&amp;Rs'!$V18,HLOOKUP(DT$21,$F$4:$Q$17,$B14),IF(AND(DT$23&gt;='A&amp;Rs'!$V18,DT$23&lt;'A&amp;Rs'!$X18),0,HLOOKUP(DT$21,$U$4:$AF$17,$B14)))</f>
        <v>2197.0281436851283</v>
      </c>
      <c r="DU32" s="56">
        <f>IF(DU$23&lt;'A&amp;Rs'!$V18,HLOOKUP(DU$21,$F$4:$Q$17,$B14),IF(AND(DU$23&gt;='A&amp;Rs'!$V18,DU$23&lt;'A&amp;Rs'!$X18),0,HLOOKUP(DU$21,$U$4:$AF$17,$B14)))</f>
        <v>2197.0281436851283</v>
      </c>
      <c r="DV32" s="56">
        <f>IF(DV$23&lt;'A&amp;Rs'!$V18,HLOOKUP(DV$21,$F$4:$Q$17,$B14),IF(AND(DV$23&gt;='A&amp;Rs'!$V18,DV$23&lt;'A&amp;Rs'!$X18),0,HLOOKUP(DV$21,$U$4:$AF$17,$B14)))</f>
        <v>2218.9984251219794</v>
      </c>
      <c r="DW32" s="56">
        <f>IF(DW$23&lt;'A&amp;Rs'!$V18,HLOOKUP(DW$21,$F$4:$Q$17,$B14),IF(AND(DW$23&gt;='A&amp;Rs'!$V18,DW$23&lt;'A&amp;Rs'!$X18),0,HLOOKUP(DW$21,$U$4:$AF$17,$B14)))</f>
        <v>2218.9984251219794</v>
      </c>
      <c r="DX32" s="56">
        <f>IF(DX$23&lt;'A&amp;Rs'!$V18,HLOOKUP(DX$21,$F$4:$Q$17,$B14),IF(AND(DX$23&gt;='A&amp;Rs'!$V18,DX$23&lt;'A&amp;Rs'!$X18),0,HLOOKUP(DX$21,$U$4:$AF$17,$B14)))</f>
        <v>2218.9984251219794</v>
      </c>
      <c r="DY32" s="56">
        <f>IF(DY$23&lt;'A&amp;Rs'!$V18,HLOOKUP(DY$21,$F$4:$Q$17,$B14),IF(AND(DY$23&gt;='A&amp;Rs'!$V18,DY$23&lt;'A&amp;Rs'!$X18),0,HLOOKUP(DY$21,$U$4:$AF$17,$B14)))</f>
        <v>2218.9984251219794</v>
      </c>
      <c r="DZ32" s="56">
        <f>IF(DZ$23&lt;'A&amp;Rs'!$V18,HLOOKUP(DZ$21,$F$4:$Q$17,$B14),IF(AND(DZ$23&gt;='A&amp;Rs'!$V18,DZ$23&lt;'A&amp;Rs'!$X18),0,HLOOKUP(DZ$21,$U$4:$AF$17,$B14)))</f>
        <v>2218.9984251219794</v>
      </c>
      <c r="EA32" s="56">
        <f>IF(EA$23&lt;'A&amp;Rs'!$V18,HLOOKUP(EA$21,$F$4:$Q$17,$B14),IF(AND(EA$23&gt;='A&amp;Rs'!$V18,EA$23&lt;'A&amp;Rs'!$X18),0,HLOOKUP(EA$21,$U$4:$AF$17,$B14)))</f>
        <v>2218.9984251219794</v>
      </c>
      <c r="EB32" s="56">
        <f>IF(EB$23&lt;'A&amp;Rs'!$V18,HLOOKUP(EB$21,$F$4:$Q$17,$B14),IF(AND(EB$23&gt;='A&amp;Rs'!$V18,EB$23&lt;'A&amp;Rs'!$X18),0,HLOOKUP(EB$21,$U$4:$AF$17,$B14)))</f>
        <v>2218.9984251219794</v>
      </c>
      <c r="EC32" s="56">
        <f>IF(EC$23&lt;'A&amp;Rs'!$V18,HLOOKUP(EC$21,$F$4:$Q$17,$B14),IF(AND(EC$23&gt;='A&amp;Rs'!$V18,EC$23&lt;'A&amp;Rs'!$X18),0,HLOOKUP(EC$21,$U$4:$AF$17,$B14)))</f>
        <v>2218.9984251219794</v>
      </c>
      <c r="ED32" s="56">
        <f>IF(ED$23&lt;'A&amp;Rs'!$V18,HLOOKUP(ED$21,$F$4:$Q$17,$B14),IF(AND(ED$23&gt;='A&amp;Rs'!$V18,ED$23&lt;'A&amp;Rs'!$X18),0,HLOOKUP(ED$21,$U$4:$AF$17,$B14)))</f>
        <v>2218.9984251219794</v>
      </c>
      <c r="EE32" s="56">
        <f>IF(EE$23&lt;'A&amp;Rs'!$V18,HLOOKUP(EE$21,$F$4:$Q$17,$B14),IF(AND(EE$23&gt;='A&amp;Rs'!$V18,EE$23&lt;'A&amp;Rs'!$X18),0,HLOOKUP(EE$21,$U$4:$AF$17,$B14)))</f>
        <v>2218.9984251219794</v>
      </c>
      <c r="EF32" s="56">
        <f>IF(EF$23&lt;'A&amp;Rs'!$V18,HLOOKUP(EF$21,$F$4:$Q$17,$B14),IF(AND(EF$23&gt;='A&amp;Rs'!$V18,EF$23&lt;'A&amp;Rs'!$X18),0,HLOOKUP(EF$21,$U$4:$AF$17,$B14)))</f>
        <v>2218.9984251219794</v>
      </c>
      <c r="EG32" s="56">
        <f>IF(EG$23&lt;'A&amp;Rs'!$V18,HLOOKUP(EG$21,$F$4:$Q$17,$B14),IF(AND(EG$23&gt;='A&amp;Rs'!$V18,EG$23&lt;'A&amp;Rs'!$X18),0,HLOOKUP(EG$21,$U$4:$AF$17,$B14)))</f>
        <v>2218.9984251219794</v>
      </c>
      <c r="EH32" s="56">
        <f>IF(EH$23&lt;'A&amp;Rs'!$V18,HLOOKUP(EH$21,$F$4:$Q$17,$B14),IF(AND(EH$23&gt;='A&amp;Rs'!$V18,EH$23&lt;'A&amp;Rs'!$X18),0,HLOOKUP(EH$21,$U$4:$AF$17,$B14)))</f>
        <v>2241.1884093731992</v>
      </c>
      <c r="EI32" s="56">
        <f>IF(EI$23&lt;'A&amp;Rs'!$V18,HLOOKUP(EI$21,$F$4:$Q$17,$B14),IF(AND(EI$23&gt;='A&amp;Rs'!$V18,EI$23&lt;'A&amp;Rs'!$X18),0,HLOOKUP(EI$21,$U$4:$AF$17,$B14)))</f>
        <v>2241.1884093731992</v>
      </c>
      <c r="EJ32" s="56">
        <f>IF(EJ$23&lt;'A&amp;Rs'!$V18,HLOOKUP(EJ$21,$F$4:$Q$17,$B14),IF(AND(EJ$23&gt;='A&amp;Rs'!$V18,EJ$23&lt;'A&amp;Rs'!$X18),0,HLOOKUP(EJ$21,$U$4:$AF$17,$B14)))</f>
        <v>2241.1884093731992</v>
      </c>
      <c r="EK32" s="56">
        <f>IF(EK$23&lt;'A&amp;Rs'!$V18,HLOOKUP(EK$21,$F$4:$Q$17,$B14),IF(AND(EK$23&gt;='A&amp;Rs'!$V18,EK$23&lt;'A&amp;Rs'!$X18),0,HLOOKUP(EK$21,$U$4:$AF$17,$B14)))</f>
        <v>2241.1884093731992</v>
      </c>
      <c r="EL32" s="56">
        <f>IF(EL$23&lt;'A&amp;Rs'!$V18,HLOOKUP(EL$21,$F$4:$Q$17,$B14),IF(AND(EL$23&gt;='A&amp;Rs'!$V18,EL$23&lt;'A&amp;Rs'!$X18),0,HLOOKUP(EL$21,$U$4:$AF$17,$B14)))</f>
        <v>2241.1884093731992</v>
      </c>
      <c r="EM32" s="56">
        <f>IF(EM$23&lt;'A&amp;Rs'!$V18,HLOOKUP(EM$21,$F$4:$Q$17,$B14),IF(AND(EM$23&gt;='A&amp;Rs'!$V18,EM$23&lt;'A&amp;Rs'!$X18),0,HLOOKUP(EM$21,$U$4:$AF$17,$B14)))</f>
        <v>2241.1884093731992</v>
      </c>
      <c r="EN32" s="56">
        <f>IF(EN$23&lt;'A&amp;Rs'!$V18,HLOOKUP(EN$21,$F$4:$Q$17,$B14),IF(AND(EN$23&gt;='A&amp;Rs'!$V18,EN$23&lt;'A&amp;Rs'!$X18),0,HLOOKUP(EN$21,$U$4:$AF$17,$B14)))</f>
        <v>2241.1884093731992</v>
      </c>
      <c r="EO32" s="56">
        <f>IF(EO$23&lt;'A&amp;Rs'!$V18,HLOOKUP(EO$21,$F$4:$Q$17,$B14),IF(AND(EO$23&gt;='A&amp;Rs'!$V18,EO$23&lt;'A&amp;Rs'!$X18),0,HLOOKUP(EO$21,$U$4:$AF$17,$B14)))</f>
        <v>2241.1884093731992</v>
      </c>
      <c r="EP32" s="56">
        <f>IF(EP$23&lt;'A&amp;Rs'!$V18,HLOOKUP(EP$21,$F$4:$Q$17,$B14),IF(AND(EP$23&gt;='A&amp;Rs'!$V18,EP$23&lt;'A&amp;Rs'!$X18),0,HLOOKUP(EP$21,$U$4:$AF$17,$B14)))</f>
        <v>2241.1884093731992</v>
      </c>
      <c r="EQ32" s="56">
        <f>IF(EQ$23&lt;'A&amp;Rs'!$V18,HLOOKUP(EQ$21,$F$4:$Q$17,$B14),IF(AND(EQ$23&gt;='A&amp;Rs'!$V18,EQ$23&lt;'A&amp;Rs'!$X18),0,HLOOKUP(EQ$21,$U$4:$AF$17,$B14)))</f>
        <v>2241.1884093731992</v>
      </c>
      <c r="ER32" s="56">
        <f>IF(ER$23&lt;'A&amp;Rs'!$V18,HLOOKUP(ER$21,$F$4:$Q$17,$B14),IF(AND(ER$23&gt;='A&amp;Rs'!$V18,ER$23&lt;'A&amp;Rs'!$X18),0,HLOOKUP(ER$21,$U$4:$AF$17,$B14)))</f>
        <v>2241.1884093731992</v>
      </c>
      <c r="ES32" s="56">
        <f>IF(ES$23&lt;'A&amp;Rs'!$V18,HLOOKUP(ES$21,$F$4:$Q$17,$B14),IF(AND(ES$23&gt;='A&amp;Rs'!$V18,ES$23&lt;'A&amp;Rs'!$X18),0,HLOOKUP(ES$21,$U$4:$AF$17,$B14)))</f>
        <v>2241.1884093731992</v>
      </c>
      <c r="ET32" s="56">
        <f>IF(ET$23&lt;'A&amp;Rs'!$V18,HLOOKUP(ET$21,$F$4:$Q$17,$B14),IF(AND(ET$23&gt;='A&amp;Rs'!$V18,ET$23&lt;'A&amp;Rs'!$X18),0,HLOOKUP(ET$21,$U$4:$AF$17,$B14)))</f>
        <v>2241.1884093731992</v>
      </c>
      <c r="EU32" s="56">
        <f>IF(EU$23&lt;'A&amp;Rs'!$V18,HLOOKUP(EU$21,$F$4:$Q$17,$B14),IF(AND(EU$23&gt;='A&amp;Rs'!$V18,EU$23&lt;'A&amp;Rs'!$X18),0,HLOOKUP(EU$21,$U$4:$AF$17,$B14)))</f>
        <v>2241.1884093731992</v>
      </c>
      <c r="EV32" s="56">
        <f>IF(EV$23&lt;'A&amp;Rs'!$V18,HLOOKUP(EV$21,$F$4:$Q$17,$B14),IF(AND(EV$23&gt;='A&amp;Rs'!$V18,EV$23&lt;'A&amp;Rs'!$X18),0,HLOOKUP(EV$21,$U$4:$AF$17,$B14)))</f>
        <v>2241.1884093731992</v>
      </c>
      <c r="EW32" s="56">
        <f>IF(EW$23&lt;'A&amp;Rs'!$V18,HLOOKUP(EW$21,$F$4:$Q$17,$B14),IF(AND(EW$23&gt;='A&amp;Rs'!$V18,EW$23&lt;'A&amp;Rs'!$X18),0,HLOOKUP(EW$21,$U$4:$AF$17,$B14)))</f>
        <v>2241.1884093731992</v>
      </c>
      <c r="EX32" s="56">
        <f>IF(EX$23&lt;'A&amp;Rs'!$V18,HLOOKUP(EX$21,$F$4:$Q$17,$B14),IF(AND(EX$23&gt;='A&amp;Rs'!$V18,EX$23&lt;'A&amp;Rs'!$X18),0,HLOOKUP(EX$21,$U$4:$AF$17,$B14)))</f>
        <v>2241.1884093731992</v>
      </c>
      <c r="EY32" s="56">
        <f>IF(EY$23&lt;'A&amp;Rs'!$V18,HLOOKUP(EY$21,$F$4:$Q$17,$B14),IF(AND(EY$23&gt;='A&amp;Rs'!$V18,EY$23&lt;'A&amp;Rs'!$X18),0,HLOOKUP(EY$21,$U$4:$AF$17,$B14)))</f>
        <v>2241.1884093731992</v>
      </c>
      <c r="EZ32" s="56">
        <f>IF(EZ$23&lt;'A&amp;Rs'!$V18,HLOOKUP(EZ$21,$F$4:$Q$17,$B14),IF(AND(EZ$23&gt;='A&amp;Rs'!$V18,EZ$23&lt;'A&amp;Rs'!$X18),0,HLOOKUP(EZ$21,$U$4:$AF$17,$B14)))</f>
        <v>2241.1884093731992</v>
      </c>
      <c r="FA32" s="56">
        <f>IF(FA$23&lt;'A&amp;Rs'!$V18,HLOOKUP(FA$21,$F$4:$Q$17,$B14),IF(AND(FA$23&gt;='A&amp;Rs'!$V18,FA$23&lt;'A&amp;Rs'!$X18),0,HLOOKUP(FA$21,$U$4:$AF$17,$B14)))</f>
        <v>2241.1884093731992</v>
      </c>
      <c r="FB32" s="56">
        <f>IF(FB$23&lt;'A&amp;Rs'!$V18,HLOOKUP(FB$21,$F$4:$Q$17,$B14),IF(AND(FB$23&gt;='A&amp;Rs'!$V18,FB$23&lt;'A&amp;Rs'!$X18),0,HLOOKUP(FB$21,$U$4:$AF$17,$B14)))</f>
        <v>2241.1884093731992</v>
      </c>
      <c r="FC32" s="56">
        <f>IF(FC$23&lt;'A&amp;Rs'!$V18,HLOOKUP(FC$21,$F$4:$Q$17,$B14),IF(AND(FC$23&gt;='A&amp;Rs'!$V18,FC$23&lt;'A&amp;Rs'!$X18),0,HLOOKUP(FC$21,$U$4:$AF$17,$B14)))</f>
        <v>2241.1884093731992</v>
      </c>
      <c r="FD32" s="56">
        <f>IF(FD$23&lt;'A&amp;Rs'!$V18,HLOOKUP(FD$21,$F$4:$Q$17,$B14),IF(AND(FD$23&gt;='A&amp;Rs'!$V18,FD$23&lt;'A&amp;Rs'!$X18),0,HLOOKUP(FD$21,$U$4:$AF$17,$B14)))</f>
        <v>2241.1884093731992</v>
      </c>
      <c r="FE32" s="56">
        <f>IF(FE$23&lt;'A&amp;Rs'!$V18,HLOOKUP(FE$21,$F$4:$Q$17,$B14),IF(AND(FE$23&gt;='A&amp;Rs'!$V18,FE$23&lt;'A&amp;Rs'!$X18),0,HLOOKUP(FE$21,$U$4:$AF$17,$B14)))</f>
        <v>2241.1884093731992</v>
      </c>
      <c r="FF32" s="1" t="s">
        <v>39</v>
      </c>
      <c r="FG32" s="1"/>
      <c r="FH32" s="1"/>
      <c r="FI32" s="99"/>
    </row>
    <row r="33" spans="1:165" x14ac:dyDescent="0.3">
      <c r="C33" s="98"/>
      <c r="D33" s="123">
        <f>'A&amp;Rs'!Q19</f>
        <v>10</v>
      </c>
      <c r="E33" s="56">
        <f t="shared" si="11"/>
        <v>1750</v>
      </c>
      <c r="F33" s="56">
        <f>IF(F$23&lt;'A&amp;Rs'!$V19,HLOOKUP(F$21,$F$4:$Q$17,$B15),IF(AND(F$23&gt;='A&amp;Rs'!$V19,F$23&lt;'A&amp;Rs'!$X19),0,HLOOKUP(F$21,$U$4:$AF$17,$B15)))</f>
        <v>1750</v>
      </c>
      <c r="G33" s="56">
        <f>IF(G$23&lt;'A&amp;Rs'!$V19,HLOOKUP(G$21,$F$4:$Q$17,$B15),IF(AND(G$23&gt;='A&amp;Rs'!$V19,G$23&lt;'A&amp;Rs'!$X19),0,HLOOKUP(G$21,$U$4:$AF$17,$B15)))</f>
        <v>1750</v>
      </c>
      <c r="H33" s="56">
        <f>IF(H$23&lt;'A&amp;Rs'!$V19,HLOOKUP(H$21,$F$4:$Q$17,$B15),IF(AND(H$23&gt;='A&amp;Rs'!$V19,H$23&lt;'A&amp;Rs'!$X19),0,HLOOKUP(H$21,$U$4:$AF$17,$B15)))</f>
        <v>1750</v>
      </c>
      <c r="I33" s="56">
        <f>IF(I$23&lt;'A&amp;Rs'!$V19,HLOOKUP(I$21,$F$4:$Q$17,$B15),IF(AND(I$23&gt;='A&amp;Rs'!$V19,I$23&lt;'A&amp;Rs'!$X19),0,HLOOKUP(I$21,$U$4:$AF$17,$B15)))</f>
        <v>1750</v>
      </c>
      <c r="J33" s="56">
        <f>IF(J$23&lt;'A&amp;Rs'!$V19,HLOOKUP(J$21,$F$4:$Q$17,$B15),IF(AND(J$23&gt;='A&amp;Rs'!$V19,J$23&lt;'A&amp;Rs'!$X19),0,HLOOKUP(J$21,$U$4:$AF$17,$B15)))</f>
        <v>1750</v>
      </c>
      <c r="K33" s="56">
        <f>IF(K$23&lt;'A&amp;Rs'!$V19,HLOOKUP(K$21,$F$4:$Q$17,$B15),IF(AND(K$23&gt;='A&amp;Rs'!$V19,K$23&lt;'A&amp;Rs'!$X19),0,HLOOKUP(K$21,$U$4:$AF$17,$B15)))</f>
        <v>1750</v>
      </c>
      <c r="L33" s="56">
        <f>IF(L$23&lt;'A&amp;Rs'!$V19,HLOOKUP(L$21,$F$4:$Q$17,$B15),IF(AND(L$23&gt;='A&amp;Rs'!$V19,L$23&lt;'A&amp;Rs'!$X19),0,HLOOKUP(L$21,$U$4:$AF$17,$B15)))</f>
        <v>1750</v>
      </c>
      <c r="M33" s="56">
        <f>IF(M$23&lt;'A&amp;Rs'!$V19,HLOOKUP(M$21,$F$4:$Q$17,$B15),IF(AND(M$23&gt;='A&amp;Rs'!$V19,M$23&lt;'A&amp;Rs'!$X19),0,HLOOKUP(M$21,$U$4:$AF$17,$B15)))</f>
        <v>1750</v>
      </c>
      <c r="N33" s="56">
        <f>IF(N$23&lt;'A&amp;Rs'!$V19,HLOOKUP(N$21,$F$4:$Q$17,$B15),IF(AND(N$23&gt;='A&amp;Rs'!$V19,N$23&lt;'A&amp;Rs'!$X19),0,HLOOKUP(N$21,$U$4:$AF$17,$B15)))</f>
        <v>0</v>
      </c>
      <c r="O33" s="56">
        <f>IF(O$23&lt;'A&amp;Rs'!$V19,HLOOKUP(O$21,$F$4:$Q$17,$B15),IF(AND(O$23&gt;='A&amp;Rs'!$V19,O$23&lt;'A&amp;Rs'!$X19),0,HLOOKUP(O$21,$U$4:$AF$17,$B15)))</f>
        <v>0</v>
      </c>
      <c r="P33" s="56">
        <f>IF(P$23&lt;'A&amp;Rs'!$V19,HLOOKUP(P$21,$F$4:$Q$17,$B15),IF(AND(P$23&gt;='A&amp;Rs'!$V19,P$23&lt;'A&amp;Rs'!$X19),0,HLOOKUP(P$21,$U$4:$AF$17,$B15)))</f>
        <v>0</v>
      </c>
      <c r="Q33" s="56">
        <f>IF(Q$23&lt;'A&amp;Rs'!$V19,HLOOKUP(Q$21,$F$4:$Q$17,$B15),IF(AND(Q$23&gt;='A&amp;Rs'!$V19,Q$23&lt;'A&amp;Rs'!$X19),0,HLOOKUP(Q$21,$U$4:$AF$17,$B15)))</f>
        <v>0</v>
      </c>
      <c r="R33" s="56">
        <f>IF(R$23&lt;'A&amp;Rs'!$V19,HLOOKUP(R$21,$F$4:$Q$17,$B15),IF(AND(R$23&gt;='A&amp;Rs'!$V19,R$23&lt;'A&amp;Rs'!$X19),0,HLOOKUP(R$21,$U$4:$AF$17,$B15)))</f>
        <v>2102.5</v>
      </c>
      <c r="S33" s="56">
        <f>IF(S$23&lt;'A&amp;Rs'!$V19,HLOOKUP(S$21,$F$4:$Q$17,$B15),IF(AND(S$23&gt;='A&amp;Rs'!$V19,S$23&lt;'A&amp;Rs'!$X19),0,HLOOKUP(S$21,$U$4:$AF$17,$B15)))</f>
        <v>2102.5</v>
      </c>
      <c r="T33" s="56">
        <f>IF(T$23&lt;'A&amp;Rs'!$V19,HLOOKUP(T$21,$F$4:$Q$17,$B15),IF(AND(T$23&gt;='A&amp;Rs'!$V19,T$23&lt;'A&amp;Rs'!$X19),0,HLOOKUP(T$21,$U$4:$AF$17,$B15)))</f>
        <v>2102.5</v>
      </c>
      <c r="U33" s="56">
        <f>IF(U$23&lt;'A&amp;Rs'!$V19,HLOOKUP(U$21,$F$4:$Q$17,$B15),IF(AND(U$23&gt;='A&amp;Rs'!$V19,U$23&lt;'A&amp;Rs'!$X19),0,HLOOKUP(U$21,$U$4:$AF$17,$B15)))</f>
        <v>2102.5</v>
      </c>
      <c r="V33" s="56">
        <f>IF(V$23&lt;'A&amp;Rs'!$V19,HLOOKUP(V$21,$F$4:$Q$17,$B15),IF(AND(V$23&gt;='A&amp;Rs'!$V19,V$23&lt;'A&amp;Rs'!$X19),0,HLOOKUP(V$21,$U$4:$AF$17,$B15)))</f>
        <v>2102.5</v>
      </c>
      <c r="W33" s="56">
        <f>IF(W$23&lt;'A&amp;Rs'!$V19,HLOOKUP(W$21,$F$4:$Q$17,$B15),IF(AND(W$23&gt;='A&amp;Rs'!$V19,W$23&lt;'A&amp;Rs'!$X19),0,HLOOKUP(W$21,$U$4:$AF$17,$B15)))</f>
        <v>2102.5</v>
      </c>
      <c r="X33" s="56">
        <f>IF(X$23&lt;'A&amp;Rs'!$V19,HLOOKUP(X$21,$F$4:$Q$17,$B15),IF(AND(X$23&gt;='A&amp;Rs'!$V19,X$23&lt;'A&amp;Rs'!$X19),0,HLOOKUP(X$21,$U$4:$AF$17,$B15)))</f>
        <v>2102.5</v>
      </c>
      <c r="Y33" s="56">
        <f>IF(Y$23&lt;'A&amp;Rs'!$V19,HLOOKUP(Y$21,$F$4:$Q$17,$B15),IF(AND(Y$23&gt;='A&amp;Rs'!$V19,Y$23&lt;'A&amp;Rs'!$X19),0,HLOOKUP(Y$21,$U$4:$AF$17,$B15)))</f>
        <v>2102.5</v>
      </c>
      <c r="Z33" s="56">
        <f>IF(Z$23&lt;'A&amp;Rs'!$V19,HLOOKUP(Z$21,$F$4:$Q$17,$B15),IF(AND(Z$23&gt;='A&amp;Rs'!$V19,Z$23&lt;'A&amp;Rs'!$X19),0,HLOOKUP(Z$21,$U$4:$AF$17,$B15)))</f>
        <v>2102.5</v>
      </c>
      <c r="AA33" s="56">
        <f>IF(AA$23&lt;'A&amp;Rs'!$V19,HLOOKUP(AA$21,$F$4:$Q$17,$B15),IF(AND(AA$23&gt;='A&amp;Rs'!$V19,AA$23&lt;'A&amp;Rs'!$X19),0,HLOOKUP(AA$21,$U$4:$AF$17,$B15)))</f>
        <v>2102.5</v>
      </c>
      <c r="AB33" s="56">
        <f>IF(AB$23&lt;'A&amp;Rs'!$V19,HLOOKUP(AB$21,$F$4:$Q$17,$B15),IF(AND(AB$23&gt;='A&amp;Rs'!$V19,AB$23&lt;'A&amp;Rs'!$X19),0,HLOOKUP(AB$21,$U$4:$AF$17,$B15)))</f>
        <v>2102.5</v>
      </c>
      <c r="AC33" s="56">
        <f>IF(AC$23&lt;'A&amp;Rs'!$V19,HLOOKUP(AC$21,$F$4:$Q$17,$B15),IF(AND(AC$23&gt;='A&amp;Rs'!$V19,AC$23&lt;'A&amp;Rs'!$X19),0,HLOOKUP(AC$21,$U$4:$AF$17,$B15)))</f>
        <v>2102.5</v>
      </c>
      <c r="AD33" s="56">
        <f>IF(AD$23&lt;'A&amp;Rs'!$V19,HLOOKUP(AD$21,$F$4:$Q$17,$B15),IF(AND(AD$23&gt;='A&amp;Rs'!$V19,AD$23&lt;'A&amp;Rs'!$X19),0,HLOOKUP(AD$21,$U$4:$AF$17,$B15)))</f>
        <v>2144.5500000000002</v>
      </c>
      <c r="AE33" s="56">
        <f>IF(AE$23&lt;'A&amp;Rs'!$V19,HLOOKUP(AE$21,$F$4:$Q$17,$B15),IF(AND(AE$23&gt;='A&amp;Rs'!$V19,AE$23&lt;'A&amp;Rs'!$X19),0,HLOOKUP(AE$21,$U$4:$AF$17,$B15)))</f>
        <v>2144.5500000000002</v>
      </c>
      <c r="AF33" s="56">
        <f>IF(AF$23&lt;'A&amp;Rs'!$V19,HLOOKUP(AF$21,$F$4:$Q$17,$B15),IF(AND(AF$23&gt;='A&amp;Rs'!$V19,AF$23&lt;'A&amp;Rs'!$X19),0,HLOOKUP(AF$21,$U$4:$AF$17,$B15)))</f>
        <v>2144.5500000000002</v>
      </c>
      <c r="AG33" s="56">
        <f>IF(AG$23&lt;'A&amp;Rs'!$V19,HLOOKUP(AG$21,$F$4:$Q$17,$B15),IF(AND(AG$23&gt;='A&amp;Rs'!$V19,AG$23&lt;'A&amp;Rs'!$X19),0,HLOOKUP(AG$21,$U$4:$AF$17,$B15)))</f>
        <v>2144.5500000000002</v>
      </c>
      <c r="AH33" s="56">
        <f>IF(AH$23&lt;'A&amp;Rs'!$V19,HLOOKUP(AH$21,$F$4:$Q$17,$B15),IF(AND(AH$23&gt;='A&amp;Rs'!$V19,AH$23&lt;'A&amp;Rs'!$X19),0,HLOOKUP(AH$21,$U$4:$AF$17,$B15)))</f>
        <v>2144.5500000000002</v>
      </c>
      <c r="AI33" s="56">
        <f>IF(AI$23&lt;'A&amp;Rs'!$V19,HLOOKUP(AI$21,$F$4:$Q$17,$B15),IF(AND(AI$23&gt;='A&amp;Rs'!$V19,AI$23&lt;'A&amp;Rs'!$X19),0,HLOOKUP(AI$21,$U$4:$AF$17,$B15)))</f>
        <v>2144.5500000000002</v>
      </c>
      <c r="AJ33" s="56">
        <f>IF(AJ$23&lt;'A&amp;Rs'!$V19,HLOOKUP(AJ$21,$F$4:$Q$17,$B15),IF(AND(AJ$23&gt;='A&amp;Rs'!$V19,AJ$23&lt;'A&amp;Rs'!$X19),0,HLOOKUP(AJ$21,$U$4:$AF$17,$B15)))</f>
        <v>2144.5500000000002</v>
      </c>
      <c r="AK33" s="56">
        <f>IF(AK$23&lt;'A&amp;Rs'!$V19,HLOOKUP(AK$21,$F$4:$Q$17,$B15),IF(AND(AK$23&gt;='A&amp;Rs'!$V19,AK$23&lt;'A&amp;Rs'!$X19),0,HLOOKUP(AK$21,$U$4:$AF$17,$B15)))</f>
        <v>2144.5500000000002</v>
      </c>
      <c r="AL33" s="56">
        <f>IF(AL$23&lt;'A&amp;Rs'!$V19,HLOOKUP(AL$21,$F$4:$Q$17,$B15),IF(AND(AL$23&gt;='A&amp;Rs'!$V19,AL$23&lt;'A&amp;Rs'!$X19),0,HLOOKUP(AL$21,$U$4:$AF$17,$B15)))</f>
        <v>2144.5500000000002</v>
      </c>
      <c r="AM33" s="56">
        <f>IF(AM$23&lt;'A&amp;Rs'!$V19,HLOOKUP(AM$21,$F$4:$Q$17,$B15),IF(AND(AM$23&gt;='A&amp;Rs'!$V19,AM$23&lt;'A&amp;Rs'!$X19),0,HLOOKUP(AM$21,$U$4:$AF$17,$B15)))</f>
        <v>2144.5500000000002</v>
      </c>
      <c r="AN33" s="56">
        <f>IF(AN$23&lt;'A&amp;Rs'!$V19,HLOOKUP(AN$21,$F$4:$Q$17,$B15),IF(AND(AN$23&gt;='A&amp;Rs'!$V19,AN$23&lt;'A&amp;Rs'!$X19),0,HLOOKUP(AN$21,$U$4:$AF$17,$B15)))</f>
        <v>2144.5500000000002</v>
      </c>
      <c r="AO33" s="56">
        <f>IF(AO$23&lt;'A&amp;Rs'!$V19,HLOOKUP(AO$21,$F$4:$Q$17,$B15),IF(AND(AO$23&gt;='A&amp;Rs'!$V19,AO$23&lt;'A&amp;Rs'!$X19),0,HLOOKUP(AO$21,$U$4:$AF$17,$B15)))</f>
        <v>2144.5500000000002</v>
      </c>
      <c r="AP33" s="56">
        <f>IF(AP$23&lt;'A&amp;Rs'!$V19,HLOOKUP(AP$21,$F$4:$Q$17,$B15),IF(AND(AP$23&gt;='A&amp;Rs'!$V19,AP$23&lt;'A&amp;Rs'!$X19),0,HLOOKUP(AP$21,$U$4:$AF$17,$B15)))</f>
        <v>2208.8865000000001</v>
      </c>
      <c r="AQ33" s="56">
        <f>IF(AQ$23&lt;'A&amp;Rs'!$V19,HLOOKUP(AQ$21,$F$4:$Q$17,$B15),IF(AND(AQ$23&gt;='A&amp;Rs'!$V19,AQ$23&lt;'A&amp;Rs'!$X19),0,HLOOKUP(AQ$21,$U$4:$AF$17,$B15)))</f>
        <v>2208.8865000000001</v>
      </c>
      <c r="AR33" s="56">
        <f>IF(AR$23&lt;'A&amp;Rs'!$V19,HLOOKUP(AR$21,$F$4:$Q$17,$B15),IF(AND(AR$23&gt;='A&amp;Rs'!$V19,AR$23&lt;'A&amp;Rs'!$X19),0,HLOOKUP(AR$21,$U$4:$AF$17,$B15)))</f>
        <v>2208.8865000000001</v>
      </c>
      <c r="AS33" s="56">
        <f>IF(AS$23&lt;'A&amp;Rs'!$V19,HLOOKUP(AS$21,$F$4:$Q$17,$B15),IF(AND(AS$23&gt;='A&amp;Rs'!$V19,AS$23&lt;'A&amp;Rs'!$X19),0,HLOOKUP(AS$21,$U$4:$AF$17,$B15)))</f>
        <v>2208.8865000000001</v>
      </c>
      <c r="AT33" s="56">
        <f>IF(AT$23&lt;'A&amp;Rs'!$V19,HLOOKUP(AT$21,$F$4:$Q$17,$B15),IF(AND(AT$23&gt;='A&amp;Rs'!$V19,AT$23&lt;'A&amp;Rs'!$X19),0,HLOOKUP(AT$21,$U$4:$AF$17,$B15)))</f>
        <v>2208.8865000000001</v>
      </c>
      <c r="AU33" s="56">
        <f>IF(AU$23&lt;'A&amp;Rs'!$V19,HLOOKUP(AU$21,$F$4:$Q$17,$B15),IF(AND(AU$23&gt;='A&amp;Rs'!$V19,AU$23&lt;'A&amp;Rs'!$X19),0,HLOOKUP(AU$21,$U$4:$AF$17,$B15)))</f>
        <v>2208.8865000000001</v>
      </c>
      <c r="AV33" s="56">
        <f>IF(AV$23&lt;'A&amp;Rs'!$V19,HLOOKUP(AV$21,$F$4:$Q$17,$B15),IF(AND(AV$23&gt;='A&amp;Rs'!$V19,AV$23&lt;'A&amp;Rs'!$X19),0,HLOOKUP(AV$21,$U$4:$AF$17,$B15)))</f>
        <v>2208.8865000000001</v>
      </c>
      <c r="AW33" s="56">
        <f>IF(AW$23&lt;'A&amp;Rs'!$V19,HLOOKUP(AW$21,$F$4:$Q$17,$B15),IF(AND(AW$23&gt;='A&amp;Rs'!$V19,AW$23&lt;'A&amp;Rs'!$X19),0,HLOOKUP(AW$21,$U$4:$AF$17,$B15)))</f>
        <v>2208.8865000000001</v>
      </c>
      <c r="AX33" s="56">
        <f>IF(AX$23&lt;'A&amp;Rs'!$V19,HLOOKUP(AX$21,$F$4:$Q$17,$B15),IF(AND(AX$23&gt;='A&amp;Rs'!$V19,AX$23&lt;'A&amp;Rs'!$X19),0,HLOOKUP(AX$21,$U$4:$AF$17,$B15)))</f>
        <v>2208.8865000000001</v>
      </c>
      <c r="AY33" s="56">
        <f>IF(AY$23&lt;'A&amp;Rs'!$V19,HLOOKUP(AY$21,$F$4:$Q$17,$B15),IF(AND(AY$23&gt;='A&amp;Rs'!$V19,AY$23&lt;'A&amp;Rs'!$X19),0,HLOOKUP(AY$21,$U$4:$AF$17,$B15)))</f>
        <v>2208.8865000000001</v>
      </c>
      <c r="AZ33" s="56">
        <f>IF(AZ$23&lt;'A&amp;Rs'!$V19,HLOOKUP(AZ$21,$F$4:$Q$17,$B15),IF(AND(AZ$23&gt;='A&amp;Rs'!$V19,AZ$23&lt;'A&amp;Rs'!$X19),0,HLOOKUP(AZ$21,$U$4:$AF$17,$B15)))</f>
        <v>2208.8865000000001</v>
      </c>
      <c r="BA33" s="56">
        <f>IF(BA$23&lt;'A&amp;Rs'!$V19,HLOOKUP(BA$21,$F$4:$Q$17,$B15),IF(AND(BA$23&gt;='A&amp;Rs'!$V19,BA$23&lt;'A&amp;Rs'!$X19),0,HLOOKUP(BA$21,$U$4:$AF$17,$B15)))</f>
        <v>2208.8865000000001</v>
      </c>
      <c r="BB33" s="56">
        <f>IF(BB$23&lt;'A&amp;Rs'!$V19,HLOOKUP(BB$21,$F$4:$Q$17,$B15),IF(AND(BB$23&gt;='A&amp;Rs'!$V19,BB$23&lt;'A&amp;Rs'!$X19),0,HLOOKUP(BB$21,$U$4:$AF$17,$B15)))</f>
        <v>2275.1530950000001</v>
      </c>
      <c r="BC33" s="56">
        <f>IF(BC$23&lt;'A&amp;Rs'!$V19,HLOOKUP(BC$21,$F$4:$Q$17,$B15),IF(AND(BC$23&gt;='A&amp;Rs'!$V19,BC$23&lt;'A&amp;Rs'!$X19),0,HLOOKUP(BC$21,$U$4:$AF$17,$B15)))</f>
        <v>2275.1530950000001</v>
      </c>
      <c r="BD33" s="56">
        <f>IF(BD$23&lt;'A&amp;Rs'!$V19,HLOOKUP(BD$21,$F$4:$Q$17,$B15),IF(AND(BD$23&gt;='A&amp;Rs'!$V19,BD$23&lt;'A&amp;Rs'!$X19),0,HLOOKUP(BD$21,$U$4:$AF$17,$B15)))</f>
        <v>2275.1530950000001</v>
      </c>
      <c r="BE33" s="56">
        <f>IF(BE$23&lt;'A&amp;Rs'!$V19,HLOOKUP(BE$21,$F$4:$Q$17,$B15),IF(AND(BE$23&gt;='A&amp;Rs'!$V19,BE$23&lt;'A&amp;Rs'!$X19),0,HLOOKUP(BE$21,$U$4:$AF$17,$B15)))</f>
        <v>2275.1530950000001</v>
      </c>
      <c r="BF33" s="56">
        <f>IF(BF$23&lt;'A&amp;Rs'!$V19,HLOOKUP(BF$21,$F$4:$Q$17,$B15),IF(AND(BF$23&gt;='A&amp;Rs'!$V19,BF$23&lt;'A&amp;Rs'!$X19),0,HLOOKUP(BF$21,$U$4:$AF$17,$B15)))</f>
        <v>2275.1530950000001</v>
      </c>
      <c r="BG33" s="56">
        <f>IF(BG$23&lt;'A&amp;Rs'!$V19,HLOOKUP(BG$21,$F$4:$Q$17,$B15),IF(AND(BG$23&gt;='A&amp;Rs'!$V19,BG$23&lt;'A&amp;Rs'!$X19),0,HLOOKUP(BG$21,$U$4:$AF$17,$B15)))</f>
        <v>2275.1530950000001</v>
      </c>
      <c r="BH33" s="56">
        <f>IF(BH$23&lt;'A&amp;Rs'!$V19,HLOOKUP(BH$21,$F$4:$Q$17,$B15),IF(AND(BH$23&gt;='A&amp;Rs'!$V19,BH$23&lt;'A&amp;Rs'!$X19),0,HLOOKUP(BH$21,$U$4:$AF$17,$B15)))</f>
        <v>2275.1530950000001</v>
      </c>
      <c r="BI33" s="56">
        <f>IF(BI$23&lt;'A&amp;Rs'!$V19,HLOOKUP(BI$21,$F$4:$Q$17,$B15),IF(AND(BI$23&gt;='A&amp;Rs'!$V19,BI$23&lt;'A&amp;Rs'!$X19),0,HLOOKUP(BI$21,$U$4:$AF$17,$B15)))</f>
        <v>2275.1530950000001</v>
      </c>
      <c r="BJ33" s="56">
        <f>IF(BJ$23&lt;'A&amp;Rs'!$V19,HLOOKUP(BJ$21,$F$4:$Q$17,$B15),IF(AND(BJ$23&gt;='A&amp;Rs'!$V19,BJ$23&lt;'A&amp;Rs'!$X19),0,HLOOKUP(BJ$21,$U$4:$AF$17,$B15)))</f>
        <v>2275.1530950000001</v>
      </c>
      <c r="BK33" s="56">
        <f>IF(BK$23&lt;'A&amp;Rs'!$V19,HLOOKUP(BK$21,$F$4:$Q$17,$B15),IF(AND(BK$23&gt;='A&amp;Rs'!$V19,BK$23&lt;'A&amp;Rs'!$X19),0,HLOOKUP(BK$21,$U$4:$AF$17,$B15)))</f>
        <v>2275.1530950000001</v>
      </c>
      <c r="BL33" s="56">
        <f>IF(BL$23&lt;'A&amp;Rs'!$V19,HLOOKUP(BL$21,$F$4:$Q$17,$B15),IF(AND(BL$23&gt;='A&amp;Rs'!$V19,BL$23&lt;'A&amp;Rs'!$X19),0,HLOOKUP(BL$21,$U$4:$AF$17,$B15)))</f>
        <v>2275.1530950000001</v>
      </c>
      <c r="BM33" s="56">
        <f>IF(BM$23&lt;'A&amp;Rs'!$V19,HLOOKUP(BM$21,$F$4:$Q$17,$B15),IF(AND(BM$23&gt;='A&amp;Rs'!$V19,BM$23&lt;'A&amp;Rs'!$X19),0,HLOOKUP(BM$21,$U$4:$AF$17,$B15)))</f>
        <v>2275.1530950000001</v>
      </c>
      <c r="BN33" s="56">
        <f>IF(BN$23&lt;'A&amp;Rs'!$V19,HLOOKUP(BN$21,$F$4:$Q$17,$B15),IF(AND(BN$23&gt;='A&amp;Rs'!$V19,BN$23&lt;'A&amp;Rs'!$X19),0,HLOOKUP(BN$21,$U$4:$AF$17,$B15)))</f>
        <v>2275.1530950000001</v>
      </c>
      <c r="BO33" s="56">
        <f>IF(BO$23&lt;'A&amp;Rs'!$V19,HLOOKUP(BO$21,$F$4:$Q$17,$B15),IF(AND(BO$23&gt;='A&amp;Rs'!$V19,BO$23&lt;'A&amp;Rs'!$X19),0,HLOOKUP(BO$21,$U$4:$AF$17,$B15)))</f>
        <v>2275.1530950000001</v>
      </c>
      <c r="BP33" s="56">
        <f>IF(BP$23&lt;'A&amp;Rs'!$V19,HLOOKUP(BP$21,$F$4:$Q$17,$B15),IF(AND(BP$23&gt;='A&amp;Rs'!$V19,BP$23&lt;'A&amp;Rs'!$X19),0,HLOOKUP(BP$21,$U$4:$AF$17,$B15)))</f>
        <v>2275.1530950000001</v>
      </c>
      <c r="BQ33" s="56">
        <f>IF(BQ$23&lt;'A&amp;Rs'!$V19,HLOOKUP(BQ$21,$F$4:$Q$17,$B15),IF(AND(BQ$23&gt;='A&amp;Rs'!$V19,BQ$23&lt;'A&amp;Rs'!$X19),0,HLOOKUP(BQ$21,$U$4:$AF$17,$B15)))</f>
        <v>2275.1530950000001</v>
      </c>
      <c r="BR33" s="56">
        <f>IF(BR$23&lt;'A&amp;Rs'!$V19,HLOOKUP(BR$21,$F$4:$Q$17,$B15),IF(AND(BR$23&gt;='A&amp;Rs'!$V19,BR$23&lt;'A&amp;Rs'!$X19),0,HLOOKUP(BR$21,$U$4:$AF$17,$B15)))</f>
        <v>2275.1530950000001</v>
      </c>
      <c r="BS33" s="56">
        <f>IF(BS$23&lt;'A&amp;Rs'!$V19,HLOOKUP(BS$21,$F$4:$Q$17,$B15),IF(AND(BS$23&gt;='A&amp;Rs'!$V19,BS$23&lt;'A&amp;Rs'!$X19),0,HLOOKUP(BS$21,$U$4:$AF$17,$B15)))</f>
        <v>2275.1530950000001</v>
      </c>
      <c r="BT33" s="56">
        <f>IF(BT$23&lt;'A&amp;Rs'!$V19,HLOOKUP(BT$21,$F$4:$Q$17,$B15),IF(AND(BT$23&gt;='A&amp;Rs'!$V19,BT$23&lt;'A&amp;Rs'!$X19),0,HLOOKUP(BT$21,$U$4:$AF$17,$B15)))</f>
        <v>2275.1530950000001</v>
      </c>
      <c r="BU33" s="56">
        <f>IF(BU$23&lt;'A&amp;Rs'!$V19,HLOOKUP(BU$21,$F$4:$Q$17,$B15),IF(AND(BU$23&gt;='A&amp;Rs'!$V19,BU$23&lt;'A&amp;Rs'!$X19),0,HLOOKUP(BU$21,$U$4:$AF$17,$B15)))</f>
        <v>2275.1530950000001</v>
      </c>
      <c r="BV33" s="56">
        <f>IF(BV$23&lt;'A&amp;Rs'!$V19,HLOOKUP(BV$21,$F$4:$Q$17,$B15),IF(AND(BV$23&gt;='A&amp;Rs'!$V19,BV$23&lt;'A&amp;Rs'!$X19),0,HLOOKUP(BV$21,$U$4:$AF$17,$B15)))</f>
        <v>2275.1530950000001</v>
      </c>
      <c r="BW33" s="56">
        <f>IF(BW$23&lt;'A&amp;Rs'!$V19,HLOOKUP(BW$21,$F$4:$Q$17,$B15),IF(AND(BW$23&gt;='A&amp;Rs'!$V19,BW$23&lt;'A&amp;Rs'!$X19),0,HLOOKUP(BW$21,$U$4:$AF$17,$B15)))</f>
        <v>2275.1530950000001</v>
      </c>
      <c r="BX33" s="56">
        <f>IF(BX$23&lt;'A&amp;Rs'!$V19,HLOOKUP(BX$21,$F$4:$Q$17,$B15),IF(AND(BX$23&gt;='A&amp;Rs'!$V19,BX$23&lt;'A&amp;Rs'!$X19),0,HLOOKUP(BX$21,$U$4:$AF$17,$B15)))</f>
        <v>2275.1530950000001</v>
      </c>
      <c r="BY33" s="56">
        <f>IF(BY$23&lt;'A&amp;Rs'!$V19,HLOOKUP(BY$21,$F$4:$Q$17,$B15),IF(AND(BY$23&gt;='A&amp;Rs'!$V19,BY$23&lt;'A&amp;Rs'!$X19),0,HLOOKUP(BY$21,$U$4:$AF$17,$B15)))</f>
        <v>2275.1530950000001</v>
      </c>
      <c r="BZ33" s="56">
        <f>IF(BZ$23&lt;'A&amp;Rs'!$V19,HLOOKUP(BZ$21,$F$4:$Q$17,$B15),IF(AND(BZ$23&gt;='A&amp;Rs'!$V19,BZ$23&lt;'A&amp;Rs'!$X19),0,HLOOKUP(BZ$21,$U$4:$AF$17,$B15)))</f>
        <v>2297.9046259500001</v>
      </c>
      <c r="CA33" s="56">
        <f>IF(CA$23&lt;'A&amp;Rs'!$V19,HLOOKUP(CA$21,$F$4:$Q$17,$B15),IF(AND(CA$23&gt;='A&amp;Rs'!$V19,CA$23&lt;'A&amp;Rs'!$X19),0,HLOOKUP(CA$21,$U$4:$AF$17,$B15)))</f>
        <v>2297.9046259500001</v>
      </c>
      <c r="CB33" s="56">
        <f>IF(CB$23&lt;'A&amp;Rs'!$V19,HLOOKUP(CB$21,$F$4:$Q$17,$B15),IF(AND(CB$23&gt;='A&amp;Rs'!$V19,CB$23&lt;'A&amp;Rs'!$X19),0,HLOOKUP(CB$21,$U$4:$AF$17,$B15)))</f>
        <v>2297.9046259500001</v>
      </c>
      <c r="CC33" s="56">
        <f>IF(CC$23&lt;'A&amp;Rs'!$V19,HLOOKUP(CC$21,$F$4:$Q$17,$B15),IF(AND(CC$23&gt;='A&amp;Rs'!$V19,CC$23&lt;'A&amp;Rs'!$X19),0,HLOOKUP(CC$21,$U$4:$AF$17,$B15)))</f>
        <v>2297.9046259500001</v>
      </c>
      <c r="CD33" s="56">
        <f>IF(CD$23&lt;'A&amp;Rs'!$V19,HLOOKUP(CD$21,$F$4:$Q$17,$B15),IF(AND(CD$23&gt;='A&amp;Rs'!$V19,CD$23&lt;'A&amp;Rs'!$X19),0,HLOOKUP(CD$21,$U$4:$AF$17,$B15)))</f>
        <v>2297.9046259500001</v>
      </c>
      <c r="CE33" s="56">
        <f>IF(CE$23&lt;'A&amp;Rs'!$V19,HLOOKUP(CE$21,$F$4:$Q$17,$B15),IF(AND(CE$23&gt;='A&amp;Rs'!$V19,CE$23&lt;'A&amp;Rs'!$X19),0,HLOOKUP(CE$21,$U$4:$AF$17,$B15)))</f>
        <v>2297.9046259500001</v>
      </c>
      <c r="CF33" s="56">
        <f>IF(CF$23&lt;'A&amp;Rs'!$V19,HLOOKUP(CF$21,$F$4:$Q$17,$B15),IF(AND(CF$23&gt;='A&amp;Rs'!$V19,CF$23&lt;'A&amp;Rs'!$X19),0,HLOOKUP(CF$21,$U$4:$AF$17,$B15)))</f>
        <v>2297.9046259500001</v>
      </c>
      <c r="CG33" s="56">
        <f>IF(CG$23&lt;'A&amp;Rs'!$V19,HLOOKUP(CG$21,$F$4:$Q$17,$B15),IF(AND(CG$23&gt;='A&amp;Rs'!$V19,CG$23&lt;'A&amp;Rs'!$X19),0,HLOOKUP(CG$21,$U$4:$AF$17,$B15)))</f>
        <v>2297.9046259500001</v>
      </c>
      <c r="CH33" s="56">
        <f>IF(CH$23&lt;'A&amp;Rs'!$V19,HLOOKUP(CH$21,$F$4:$Q$17,$B15),IF(AND(CH$23&gt;='A&amp;Rs'!$V19,CH$23&lt;'A&amp;Rs'!$X19),0,HLOOKUP(CH$21,$U$4:$AF$17,$B15)))</f>
        <v>2297.9046259500001</v>
      </c>
      <c r="CI33" s="56">
        <f>IF(CI$23&lt;'A&amp;Rs'!$V19,HLOOKUP(CI$21,$F$4:$Q$17,$B15),IF(AND(CI$23&gt;='A&amp;Rs'!$V19,CI$23&lt;'A&amp;Rs'!$X19),0,HLOOKUP(CI$21,$U$4:$AF$17,$B15)))</f>
        <v>2297.9046259500001</v>
      </c>
      <c r="CJ33" s="56">
        <f>IF(CJ$23&lt;'A&amp;Rs'!$V19,HLOOKUP(CJ$21,$F$4:$Q$17,$B15),IF(AND(CJ$23&gt;='A&amp;Rs'!$V19,CJ$23&lt;'A&amp;Rs'!$X19),0,HLOOKUP(CJ$21,$U$4:$AF$17,$B15)))</f>
        <v>2297.9046259500001</v>
      </c>
      <c r="CK33" s="56">
        <f>IF(CK$23&lt;'A&amp;Rs'!$V19,HLOOKUP(CK$21,$F$4:$Q$17,$B15),IF(AND(CK$23&gt;='A&amp;Rs'!$V19,CK$23&lt;'A&amp;Rs'!$X19),0,HLOOKUP(CK$21,$U$4:$AF$17,$B15)))</f>
        <v>2297.9046259500001</v>
      </c>
      <c r="CL33" s="56">
        <f>IF(CL$23&lt;'A&amp;Rs'!$V19,HLOOKUP(CL$21,$F$4:$Q$17,$B15),IF(AND(CL$23&gt;='A&amp;Rs'!$V19,CL$23&lt;'A&amp;Rs'!$X19),0,HLOOKUP(CL$21,$U$4:$AF$17,$B15)))</f>
        <v>2366.8417647285</v>
      </c>
      <c r="CM33" s="56">
        <f>IF(CM$23&lt;'A&amp;Rs'!$V19,HLOOKUP(CM$21,$F$4:$Q$17,$B15),IF(AND(CM$23&gt;='A&amp;Rs'!$V19,CM$23&lt;'A&amp;Rs'!$X19),0,HLOOKUP(CM$21,$U$4:$AF$17,$B15)))</f>
        <v>2366.8417647285</v>
      </c>
      <c r="CN33" s="56">
        <f>IF(CN$23&lt;'A&amp;Rs'!$V19,HLOOKUP(CN$21,$F$4:$Q$17,$B15),IF(AND(CN$23&gt;='A&amp;Rs'!$V19,CN$23&lt;'A&amp;Rs'!$X19),0,HLOOKUP(CN$21,$U$4:$AF$17,$B15)))</f>
        <v>2366.8417647285</v>
      </c>
      <c r="CO33" s="56">
        <f>IF(CO$23&lt;'A&amp;Rs'!$V19,HLOOKUP(CO$21,$F$4:$Q$17,$B15),IF(AND(CO$23&gt;='A&amp;Rs'!$V19,CO$23&lt;'A&amp;Rs'!$X19),0,HLOOKUP(CO$21,$U$4:$AF$17,$B15)))</f>
        <v>2366.8417647285</v>
      </c>
      <c r="CP33" s="56">
        <f>IF(CP$23&lt;'A&amp;Rs'!$V19,HLOOKUP(CP$21,$F$4:$Q$17,$B15),IF(AND(CP$23&gt;='A&amp;Rs'!$V19,CP$23&lt;'A&amp;Rs'!$X19),0,HLOOKUP(CP$21,$U$4:$AF$17,$B15)))</f>
        <v>2366.8417647285</v>
      </c>
      <c r="CQ33" s="56">
        <f>IF(CQ$23&lt;'A&amp;Rs'!$V19,HLOOKUP(CQ$21,$F$4:$Q$17,$B15),IF(AND(CQ$23&gt;='A&amp;Rs'!$V19,CQ$23&lt;'A&amp;Rs'!$X19),0,HLOOKUP(CQ$21,$U$4:$AF$17,$B15)))</f>
        <v>2366.8417647285</v>
      </c>
      <c r="CR33" s="56">
        <f>IF(CR$23&lt;'A&amp;Rs'!$V19,HLOOKUP(CR$21,$F$4:$Q$17,$B15),IF(AND(CR$23&gt;='A&amp;Rs'!$V19,CR$23&lt;'A&amp;Rs'!$X19),0,HLOOKUP(CR$21,$U$4:$AF$17,$B15)))</f>
        <v>2366.8417647285</v>
      </c>
      <c r="CS33" s="56">
        <f>IF(CS$23&lt;'A&amp;Rs'!$V19,HLOOKUP(CS$21,$F$4:$Q$17,$B15),IF(AND(CS$23&gt;='A&amp;Rs'!$V19,CS$23&lt;'A&amp;Rs'!$X19),0,HLOOKUP(CS$21,$U$4:$AF$17,$B15)))</f>
        <v>2366.8417647285</v>
      </c>
      <c r="CT33" s="56">
        <f>IF(CT$23&lt;'A&amp;Rs'!$V19,HLOOKUP(CT$21,$F$4:$Q$17,$B15),IF(AND(CT$23&gt;='A&amp;Rs'!$V19,CT$23&lt;'A&amp;Rs'!$X19),0,HLOOKUP(CT$21,$U$4:$AF$17,$B15)))</f>
        <v>2366.8417647285</v>
      </c>
      <c r="CU33" s="56">
        <f>IF(CU$23&lt;'A&amp;Rs'!$V19,HLOOKUP(CU$21,$F$4:$Q$17,$B15),IF(AND(CU$23&gt;='A&amp;Rs'!$V19,CU$23&lt;'A&amp;Rs'!$X19),0,HLOOKUP(CU$21,$U$4:$AF$17,$B15)))</f>
        <v>2366.8417647285</v>
      </c>
      <c r="CV33" s="56">
        <f>IF(CV$23&lt;'A&amp;Rs'!$V19,HLOOKUP(CV$21,$F$4:$Q$17,$B15),IF(AND(CV$23&gt;='A&amp;Rs'!$V19,CV$23&lt;'A&amp;Rs'!$X19),0,HLOOKUP(CV$21,$U$4:$AF$17,$B15)))</f>
        <v>2366.8417647285</v>
      </c>
      <c r="CW33" s="56">
        <f>IF(CW$23&lt;'A&amp;Rs'!$V19,HLOOKUP(CW$21,$F$4:$Q$17,$B15),IF(AND(CW$23&gt;='A&amp;Rs'!$V19,CW$23&lt;'A&amp;Rs'!$X19),0,HLOOKUP(CW$21,$U$4:$AF$17,$B15)))</f>
        <v>2366.8417647285</v>
      </c>
      <c r="CX33" s="56">
        <f>IF(CX$23&lt;'A&amp;Rs'!$V19,HLOOKUP(CX$21,$F$4:$Q$17,$B15),IF(AND(CX$23&gt;='A&amp;Rs'!$V19,CX$23&lt;'A&amp;Rs'!$X19),0,HLOOKUP(CX$21,$U$4:$AF$17,$B15)))</f>
        <v>2414.17860002307</v>
      </c>
      <c r="CY33" s="56">
        <f>IF(CY$23&lt;'A&amp;Rs'!$V19,HLOOKUP(CY$21,$F$4:$Q$17,$B15),IF(AND(CY$23&gt;='A&amp;Rs'!$V19,CY$23&lt;'A&amp;Rs'!$X19),0,HLOOKUP(CY$21,$U$4:$AF$17,$B15)))</f>
        <v>2414.17860002307</v>
      </c>
      <c r="CZ33" s="56">
        <f>IF(CZ$23&lt;'A&amp;Rs'!$V19,HLOOKUP(CZ$21,$F$4:$Q$17,$B15),IF(AND(CZ$23&gt;='A&amp;Rs'!$V19,CZ$23&lt;'A&amp;Rs'!$X19),0,HLOOKUP(CZ$21,$U$4:$AF$17,$B15)))</f>
        <v>2414.17860002307</v>
      </c>
      <c r="DA33" s="56">
        <f>IF(DA$23&lt;'A&amp;Rs'!$V19,HLOOKUP(DA$21,$F$4:$Q$17,$B15),IF(AND(DA$23&gt;='A&amp;Rs'!$V19,DA$23&lt;'A&amp;Rs'!$X19),0,HLOOKUP(DA$21,$U$4:$AF$17,$B15)))</f>
        <v>2414.17860002307</v>
      </c>
      <c r="DB33" s="56">
        <f>IF(DB$23&lt;'A&amp;Rs'!$V19,HLOOKUP(DB$21,$F$4:$Q$17,$B15),IF(AND(DB$23&gt;='A&amp;Rs'!$V19,DB$23&lt;'A&amp;Rs'!$X19),0,HLOOKUP(DB$21,$U$4:$AF$17,$B15)))</f>
        <v>2414.17860002307</v>
      </c>
      <c r="DC33" s="56">
        <f>IF(DC$23&lt;'A&amp;Rs'!$V19,HLOOKUP(DC$21,$F$4:$Q$17,$B15),IF(AND(DC$23&gt;='A&amp;Rs'!$V19,DC$23&lt;'A&amp;Rs'!$X19),0,HLOOKUP(DC$21,$U$4:$AF$17,$B15)))</f>
        <v>2414.17860002307</v>
      </c>
      <c r="DD33" s="56">
        <f>IF(DD$23&lt;'A&amp;Rs'!$V19,HLOOKUP(DD$21,$F$4:$Q$17,$B15),IF(AND(DD$23&gt;='A&amp;Rs'!$V19,DD$23&lt;'A&amp;Rs'!$X19),0,HLOOKUP(DD$21,$U$4:$AF$17,$B15)))</f>
        <v>2414.17860002307</v>
      </c>
      <c r="DE33" s="56">
        <f>IF(DE$23&lt;'A&amp;Rs'!$V19,HLOOKUP(DE$21,$F$4:$Q$17,$B15),IF(AND(DE$23&gt;='A&amp;Rs'!$V19,DE$23&lt;'A&amp;Rs'!$X19),0,HLOOKUP(DE$21,$U$4:$AF$17,$B15)))</f>
        <v>2414.17860002307</v>
      </c>
      <c r="DF33" s="56">
        <f>IF(DF$23&lt;'A&amp;Rs'!$V19,HLOOKUP(DF$21,$F$4:$Q$17,$B15),IF(AND(DF$23&gt;='A&amp;Rs'!$V19,DF$23&lt;'A&amp;Rs'!$X19),0,HLOOKUP(DF$21,$U$4:$AF$17,$B15)))</f>
        <v>2414.17860002307</v>
      </c>
      <c r="DG33" s="56">
        <f>IF(DG$23&lt;'A&amp;Rs'!$V19,HLOOKUP(DG$21,$F$4:$Q$17,$B15),IF(AND(DG$23&gt;='A&amp;Rs'!$V19,DG$23&lt;'A&amp;Rs'!$X19),0,HLOOKUP(DG$21,$U$4:$AF$17,$B15)))</f>
        <v>2414.17860002307</v>
      </c>
      <c r="DH33" s="56">
        <f>IF(DH$23&lt;'A&amp;Rs'!$V19,HLOOKUP(DH$21,$F$4:$Q$17,$B15),IF(AND(DH$23&gt;='A&amp;Rs'!$V19,DH$23&lt;'A&amp;Rs'!$X19),0,HLOOKUP(DH$21,$U$4:$AF$17,$B15)))</f>
        <v>2414.17860002307</v>
      </c>
      <c r="DI33" s="56">
        <f>IF(DI$23&lt;'A&amp;Rs'!$V19,HLOOKUP(DI$21,$F$4:$Q$17,$B15),IF(AND(DI$23&gt;='A&amp;Rs'!$V19,DI$23&lt;'A&amp;Rs'!$X19),0,HLOOKUP(DI$21,$U$4:$AF$17,$B15)))</f>
        <v>2414.17860002307</v>
      </c>
      <c r="DJ33" s="56">
        <f>IF(DJ$23&lt;'A&amp;Rs'!$V19,HLOOKUP(DJ$21,$F$4:$Q$17,$B15),IF(AND(DJ$23&gt;='A&amp;Rs'!$V19,DJ$23&lt;'A&amp;Rs'!$X19),0,HLOOKUP(DJ$21,$U$4:$AF$17,$B15)))</f>
        <v>2438.3203860233007</v>
      </c>
      <c r="DK33" s="56">
        <f>IF(DK$23&lt;'A&amp;Rs'!$V19,HLOOKUP(DK$21,$F$4:$Q$17,$B15),IF(AND(DK$23&gt;='A&amp;Rs'!$V19,DK$23&lt;'A&amp;Rs'!$X19),0,HLOOKUP(DK$21,$U$4:$AF$17,$B15)))</f>
        <v>2438.3203860233007</v>
      </c>
      <c r="DL33" s="56">
        <f>IF(DL$23&lt;'A&amp;Rs'!$V19,HLOOKUP(DL$21,$F$4:$Q$17,$B15),IF(AND(DL$23&gt;='A&amp;Rs'!$V19,DL$23&lt;'A&amp;Rs'!$X19),0,HLOOKUP(DL$21,$U$4:$AF$17,$B15)))</f>
        <v>2438.3203860233007</v>
      </c>
      <c r="DM33" s="56">
        <f>IF(DM$23&lt;'A&amp;Rs'!$V19,HLOOKUP(DM$21,$F$4:$Q$17,$B15),IF(AND(DM$23&gt;='A&amp;Rs'!$V19,DM$23&lt;'A&amp;Rs'!$X19),0,HLOOKUP(DM$21,$U$4:$AF$17,$B15)))</f>
        <v>2438.3203860233007</v>
      </c>
      <c r="DN33" s="56">
        <f>IF(DN$23&lt;'A&amp;Rs'!$V19,HLOOKUP(DN$21,$F$4:$Q$17,$B15),IF(AND(DN$23&gt;='A&amp;Rs'!$V19,DN$23&lt;'A&amp;Rs'!$X19),0,HLOOKUP(DN$21,$U$4:$AF$17,$B15)))</f>
        <v>2438.3203860233007</v>
      </c>
      <c r="DO33" s="56">
        <f>IF(DO$23&lt;'A&amp;Rs'!$V19,HLOOKUP(DO$21,$F$4:$Q$17,$B15),IF(AND(DO$23&gt;='A&amp;Rs'!$V19,DO$23&lt;'A&amp;Rs'!$X19),0,HLOOKUP(DO$21,$U$4:$AF$17,$B15)))</f>
        <v>2438.3203860233007</v>
      </c>
      <c r="DP33" s="56">
        <f>IF(DP$23&lt;'A&amp;Rs'!$V19,HLOOKUP(DP$21,$F$4:$Q$17,$B15),IF(AND(DP$23&gt;='A&amp;Rs'!$V19,DP$23&lt;'A&amp;Rs'!$X19),0,HLOOKUP(DP$21,$U$4:$AF$17,$B15)))</f>
        <v>2438.3203860233007</v>
      </c>
      <c r="DQ33" s="56">
        <f>IF(DQ$23&lt;'A&amp;Rs'!$V19,HLOOKUP(DQ$21,$F$4:$Q$17,$B15),IF(AND(DQ$23&gt;='A&amp;Rs'!$V19,DQ$23&lt;'A&amp;Rs'!$X19),0,HLOOKUP(DQ$21,$U$4:$AF$17,$B15)))</f>
        <v>2438.3203860233007</v>
      </c>
      <c r="DR33" s="56">
        <f>IF(DR$23&lt;'A&amp;Rs'!$V19,HLOOKUP(DR$21,$F$4:$Q$17,$B15),IF(AND(DR$23&gt;='A&amp;Rs'!$V19,DR$23&lt;'A&amp;Rs'!$X19),0,HLOOKUP(DR$21,$U$4:$AF$17,$B15)))</f>
        <v>2438.3203860233007</v>
      </c>
      <c r="DS33" s="56">
        <f>IF(DS$23&lt;'A&amp;Rs'!$V19,HLOOKUP(DS$21,$F$4:$Q$17,$B15),IF(AND(DS$23&gt;='A&amp;Rs'!$V19,DS$23&lt;'A&amp;Rs'!$X19),0,HLOOKUP(DS$21,$U$4:$AF$17,$B15)))</f>
        <v>2438.3203860233007</v>
      </c>
      <c r="DT33" s="56">
        <f>IF(DT$23&lt;'A&amp;Rs'!$V19,HLOOKUP(DT$21,$F$4:$Q$17,$B15),IF(AND(DT$23&gt;='A&amp;Rs'!$V19,DT$23&lt;'A&amp;Rs'!$X19),0,HLOOKUP(DT$21,$U$4:$AF$17,$B15)))</f>
        <v>2438.3203860233007</v>
      </c>
      <c r="DU33" s="56">
        <f>IF(DU$23&lt;'A&amp;Rs'!$V19,HLOOKUP(DU$21,$F$4:$Q$17,$B15),IF(AND(DU$23&gt;='A&amp;Rs'!$V19,DU$23&lt;'A&amp;Rs'!$X19),0,HLOOKUP(DU$21,$U$4:$AF$17,$B15)))</f>
        <v>2438.3203860233007</v>
      </c>
      <c r="DV33" s="56">
        <f>IF(DV$23&lt;'A&amp;Rs'!$V19,HLOOKUP(DV$21,$F$4:$Q$17,$B15),IF(AND(DV$23&gt;='A&amp;Rs'!$V19,DV$23&lt;'A&amp;Rs'!$X19),0,HLOOKUP(DV$21,$U$4:$AF$17,$B15)))</f>
        <v>2462.7035898835338</v>
      </c>
      <c r="DW33" s="56">
        <f>IF(DW$23&lt;'A&amp;Rs'!$V19,HLOOKUP(DW$21,$F$4:$Q$17,$B15),IF(AND(DW$23&gt;='A&amp;Rs'!$V19,DW$23&lt;'A&amp;Rs'!$X19),0,HLOOKUP(DW$21,$U$4:$AF$17,$B15)))</f>
        <v>2462.7035898835338</v>
      </c>
      <c r="DX33" s="56">
        <f>IF(DX$23&lt;'A&amp;Rs'!$V19,HLOOKUP(DX$21,$F$4:$Q$17,$B15),IF(AND(DX$23&gt;='A&amp;Rs'!$V19,DX$23&lt;'A&amp;Rs'!$X19),0,HLOOKUP(DX$21,$U$4:$AF$17,$B15)))</f>
        <v>2462.7035898835338</v>
      </c>
      <c r="DY33" s="56">
        <f>IF(DY$23&lt;'A&amp;Rs'!$V19,HLOOKUP(DY$21,$F$4:$Q$17,$B15),IF(AND(DY$23&gt;='A&amp;Rs'!$V19,DY$23&lt;'A&amp;Rs'!$X19),0,HLOOKUP(DY$21,$U$4:$AF$17,$B15)))</f>
        <v>2462.7035898835338</v>
      </c>
      <c r="DZ33" s="56">
        <f>IF(DZ$23&lt;'A&amp;Rs'!$V19,HLOOKUP(DZ$21,$F$4:$Q$17,$B15),IF(AND(DZ$23&gt;='A&amp;Rs'!$V19,DZ$23&lt;'A&amp;Rs'!$X19),0,HLOOKUP(DZ$21,$U$4:$AF$17,$B15)))</f>
        <v>2462.7035898835338</v>
      </c>
      <c r="EA33" s="56">
        <f>IF(EA$23&lt;'A&amp;Rs'!$V19,HLOOKUP(EA$21,$F$4:$Q$17,$B15),IF(AND(EA$23&gt;='A&amp;Rs'!$V19,EA$23&lt;'A&amp;Rs'!$X19),0,HLOOKUP(EA$21,$U$4:$AF$17,$B15)))</f>
        <v>2462.7035898835338</v>
      </c>
      <c r="EB33" s="56">
        <f>IF(EB$23&lt;'A&amp;Rs'!$V19,HLOOKUP(EB$21,$F$4:$Q$17,$B15),IF(AND(EB$23&gt;='A&amp;Rs'!$V19,EB$23&lt;'A&amp;Rs'!$X19),0,HLOOKUP(EB$21,$U$4:$AF$17,$B15)))</f>
        <v>2462.7035898835338</v>
      </c>
      <c r="EC33" s="56">
        <f>IF(EC$23&lt;'A&amp;Rs'!$V19,HLOOKUP(EC$21,$F$4:$Q$17,$B15),IF(AND(EC$23&gt;='A&amp;Rs'!$V19,EC$23&lt;'A&amp;Rs'!$X19),0,HLOOKUP(EC$21,$U$4:$AF$17,$B15)))</f>
        <v>2462.7035898835338</v>
      </c>
      <c r="ED33" s="56">
        <f>IF(ED$23&lt;'A&amp;Rs'!$V19,HLOOKUP(ED$21,$F$4:$Q$17,$B15),IF(AND(ED$23&gt;='A&amp;Rs'!$V19,ED$23&lt;'A&amp;Rs'!$X19),0,HLOOKUP(ED$21,$U$4:$AF$17,$B15)))</f>
        <v>2462.7035898835338</v>
      </c>
      <c r="EE33" s="56">
        <f>IF(EE$23&lt;'A&amp;Rs'!$V19,HLOOKUP(EE$21,$F$4:$Q$17,$B15),IF(AND(EE$23&gt;='A&amp;Rs'!$V19,EE$23&lt;'A&amp;Rs'!$X19),0,HLOOKUP(EE$21,$U$4:$AF$17,$B15)))</f>
        <v>2462.7035898835338</v>
      </c>
      <c r="EF33" s="56">
        <f>IF(EF$23&lt;'A&amp;Rs'!$V19,HLOOKUP(EF$21,$F$4:$Q$17,$B15),IF(AND(EF$23&gt;='A&amp;Rs'!$V19,EF$23&lt;'A&amp;Rs'!$X19),0,HLOOKUP(EF$21,$U$4:$AF$17,$B15)))</f>
        <v>2462.7035898835338</v>
      </c>
      <c r="EG33" s="56">
        <f>IF(EG$23&lt;'A&amp;Rs'!$V19,HLOOKUP(EG$21,$F$4:$Q$17,$B15),IF(AND(EG$23&gt;='A&amp;Rs'!$V19,EG$23&lt;'A&amp;Rs'!$X19),0,HLOOKUP(EG$21,$U$4:$AF$17,$B15)))</f>
        <v>2462.7035898835338</v>
      </c>
      <c r="EH33" s="56">
        <f>IF(EH$23&lt;'A&amp;Rs'!$V19,HLOOKUP(EH$21,$F$4:$Q$17,$B15),IF(AND(EH$23&gt;='A&amp;Rs'!$V19,EH$23&lt;'A&amp;Rs'!$X19),0,HLOOKUP(EH$21,$U$4:$AF$17,$B15)))</f>
        <v>2487.3306257823692</v>
      </c>
      <c r="EI33" s="56">
        <f>IF(EI$23&lt;'A&amp;Rs'!$V19,HLOOKUP(EI$21,$F$4:$Q$17,$B15),IF(AND(EI$23&gt;='A&amp;Rs'!$V19,EI$23&lt;'A&amp;Rs'!$X19),0,HLOOKUP(EI$21,$U$4:$AF$17,$B15)))</f>
        <v>2487.3306257823692</v>
      </c>
      <c r="EJ33" s="56">
        <f>IF(EJ$23&lt;'A&amp;Rs'!$V19,HLOOKUP(EJ$21,$F$4:$Q$17,$B15),IF(AND(EJ$23&gt;='A&amp;Rs'!$V19,EJ$23&lt;'A&amp;Rs'!$X19),0,HLOOKUP(EJ$21,$U$4:$AF$17,$B15)))</f>
        <v>2487.3306257823692</v>
      </c>
      <c r="EK33" s="56">
        <f>IF(EK$23&lt;'A&amp;Rs'!$V19,HLOOKUP(EK$21,$F$4:$Q$17,$B15),IF(AND(EK$23&gt;='A&amp;Rs'!$V19,EK$23&lt;'A&amp;Rs'!$X19),0,HLOOKUP(EK$21,$U$4:$AF$17,$B15)))</f>
        <v>2487.3306257823692</v>
      </c>
      <c r="EL33" s="56">
        <f>IF(EL$23&lt;'A&amp;Rs'!$V19,HLOOKUP(EL$21,$F$4:$Q$17,$B15),IF(AND(EL$23&gt;='A&amp;Rs'!$V19,EL$23&lt;'A&amp;Rs'!$X19),0,HLOOKUP(EL$21,$U$4:$AF$17,$B15)))</f>
        <v>2487.3306257823692</v>
      </c>
      <c r="EM33" s="56">
        <f>IF(EM$23&lt;'A&amp;Rs'!$V19,HLOOKUP(EM$21,$F$4:$Q$17,$B15),IF(AND(EM$23&gt;='A&amp;Rs'!$V19,EM$23&lt;'A&amp;Rs'!$X19),0,HLOOKUP(EM$21,$U$4:$AF$17,$B15)))</f>
        <v>2487.3306257823692</v>
      </c>
      <c r="EN33" s="56">
        <f>IF(EN$23&lt;'A&amp;Rs'!$V19,HLOOKUP(EN$21,$F$4:$Q$17,$B15),IF(AND(EN$23&gt;='A&amp;Rs'!$V19,EN$23&lt;'A&amp;Rs'!$X19),0,HLOOKUP(EN$21,$U$4:$AF$17,$B15)))</f>
        <v>2487.3306257823692</v>
      </c>
      <c r="EO33" s="56">
        <f>IF(EO$23&lt;'A&amp;Rs'!$V19,HLOOKUP(EO$21,$F$4:$Q$17,$B15),IF(AND(EO$23&gt;='A&amp;Rs'!$V19,EO$23&lt;'A&amp;Rs'!$X19),0,HLOOKUP(EO$21,$U$4:$AF$17,$B15)))</f>
        <v>2487.3306257823692</v>
      </c>
      <c r="EP33" s="56">
        <f>IF(EP$23&lt;'A&amp;Rs'!$V19,HLOOKUP(EP$21,$F$4:$Q$17,$B15),IF(AND(EP$23&gt;='A&amp;Rs'!$V19,EP$23&lt;'A&amp;Rs'!$X19),0,HLOOKUP(EP$21,$U$4:$AF$17,$B15)))</f>
        <v>2487.3306257823692</v>
      </c>
      <c r="EQ33" s="56">
        <f>IF(EQ$23&lt;'A&amp;Rs'!$V19,HLOOKUP(EQ$21,$F$4:$Q$17,$B15),IF(AND(EQ$23&gt;='A&amp;Rs'!$V19,EQ$23&lt;'A&amp;Rs'!$X19),0,HLOOKUP(EQ$21,$U$4:$AF$17,$B15)))</f>
        <v>2487.3306257823692</v>
      </c>
      <c r="ER33" s="56">
        <f>IF(ER$23&lt;'A&amp;Rs'!$V19,HLOOKUP(ER$21,$F$4:$Q$17,$B15),IF(AND(ER$23&gt;='A&amp;Rs'!$V19,ER$23&lt;'A&amp;Rs'!$X19),0,HLOOKUP(ER$21,$U$4:$AF$17,$B15)))</f>
        <v>2487.3306257823692</v>
      </c>
      <c r="ES33" s="56">
        <f>IF(ES$23&lt;'A&amp;Rs'!$V19,HLOOKUP(ES$21,$F$4:$Q$17,$B15),IF(AND(ES$23&gt;='A&amp;Rs'!$V19,ES$23&lt;'A&amp;Rs'!$X19),0,HLOOKUP(ES$21,$U$4:$AF$17,$B15)))</f>
        <v>2487.3306257823692</v>
      </c>
      <c r="ET33" s="56">
        <f>IF(ET$23&lt;'A&amp;Rs'!$V19,HLOOKUP(ET$21,$F$4:$Q$17,$B15),IF(AND(ET$23&gt;='A&amp;Rs'!$V19,ET$23&lt;'A&amp;Rs'!$X19),0,HLOOKUP(ET$21,$U$4:$AF$17,$B15)))</f>
        <v>2487.3306257823692</v>
      </c>
      <c r="EU33" s="56">
        <f>IF(EU$23&lt;'A&amp;Rs'!$V19,HLOOKUP(EU$21,$F$4:$Q$17,$B15),IF(AND(EU$23&gt;='A&amp;Rs'!$V19,EU$23&lt;'A&amp;Rs'!$X19),0,HLOOKUP(EU$21,$U$4:$AF$17,$B15)))</f>
        <v>2487.3306257823692</v>
      </c>
      <c r="EV33" s="56">
        <f>IF(EV$23&lt;'A&amp;Rs'!$V19,HLOOKUP(EV$21,$F$4:$Q$17,$B15),IF(AND(EV$23&gt;='A&amp;Rs'!$V19,EV$23&lt;'A&amp;Rs'!$X19),0,HLOOKUP(EV$21,$U$4:$AF$17,$B15)))</f>
        <v>2487.3306257823692</v>
      </c>
      <c r="EW33" s="56">
        <f>IF(EW$23&lt;'A&amp;Rs'!$V19,HLOOKUP(EW$21,$F$4:$Q$17,$B15),IF(AND(EW$23&gt;='A&amp;Rs'!$V19,EW$23&lt;'A&amp;Rs'!$X19),0,HLOOKUP(EW$21,$U$4:$AF$17,$B15)))</f>
        <v>2487.3306257823692</v>
      </c>
      <c r="EX33" s="56">
        <f>IF(EX$23&lt;'A&amp;Rs'!$V19,HLOOKUP(EX$21,$F$4:$Q$17,$B15),IF(AND(EX$23&gt;='A&amp;Rs'!$V19,EX$23&lt;'A&amp;Rs'!$X19),0,HLOOKUP(EX$21,$U$4:$AF$17,$B15)))</f>
        <v>2487.3306257823692</v>
      </c>
      <c r="EY33" s="56">
        <f>IF(EY$23&lt;'A&amp;Rs'!$V19,HLOOKUP(EY$21,$F$4:$Q$17,$B15),IF(AND(EY$23&gt;='A&amp;Rs'!$V19,EY$23&lt;'A&amp;Rs'!$X19),0,HLOOKUP(EY$21,$U$4:$AF$17,$B15)))</f>
        <v>2487.3306257823692</v>
      </c>
      <c r="EZ33" s="56">
        <f>IF(EZ$23&lt;'A&amp;Rs'!$V19,HLOOKUP(EZ$21,$F$4:$Q$17,$B15),IF(AND(EZ$23&gt;='A&amp;Rs'!$V19,EZ$23&lt;'A&amp;Rs'!$X19),0,HLOOKUP(EZ$21,$U$4:$AF$17,$B15)))</f>
        <v>2487.3306257823692</v>
      </c>
      <c r="FA33" s="56">
        <f>IF(FA$23&lt;'A&amp;Rs'!$V19,HLOOKUP(FA$21,$F$4:$Q$17,$B15),IF(AND(FA$23&gt;='A&amp;Rs'!$V19,FA$23&lt;'A&amp;Rs'!$X19),0,HLOOKUP(FA$21,$U$4:$AF$17,$B15)))</f>
        <v>2487.3306257823692</v>
      </c>
      <c r="FB33" s="56">
        <f>IF(FB$23&lt;'A&amp;Rs'!$V19,HLOOKUP(FB$21,$F$4:$Q$17,$B15),IF(AND(FB$23&gt;='A&amp;Rs'!$V19,FB$23&lt;'A&amp;Rs'!$X19),0,HLOOKUP(FB$21,$U$4:$AF$17,$B15)))</f>
        <v>2487.3306257823692</v>
      </c>
      <c r="FC33" s="56">
        <f>IF(FC$23&lt;'A&amp;Rs'!$V19,HLOOKUP(FC$21,$F$4:$Q$17,$B15),IF(AND(FC$23&gt;='A&amp;Rs'!$V19,FC$23&lt;'A&amp;Rs'!$X19),0,HLOOKUP(FC$21,$U$4:$AF$17,$B15)))</f>
        <v>2487.3306257823692</v>
      </c>
      <c r="FD33" s="56">
        <f>IF(FD$23&lt;'A&amp;Rs'!$V19,HLOOKUP(FD$21,$F$4:$Q$17,$B15),IF(AND(FD$23&gt;='A&amp;Rs'!$V19,FD$23&lt;'A&amp;Rs'!$X19),0,HLOOKUP(FD$21,$U$4:$AF$17,$B15)))</f>
        <v>2487.3306257823692</v>
      </c>
      <c r="FE33" s="56">
        <f>IF(FE$23&lt;'A&amp;Rs'!$V19,HLOOKUP(FE$21,$F$4:$Q$17,$B15),IF(AND(FE$23&gt;='A&amp;Rs'!$V19,FE$23&lt;'A&amp;Rs'!$X19),0,HLOOKUP(FE$21,$U$4:$AF$17,$B15)))</f>
        <v>2487.3306257823692</v>
      </c>
      <c r="FF33" s="1" t="s">
        <v>39</v>
      </c>
      <c r="FG33" s="1"/>
      <c r="FH33" s="1"/>
      <c r="FI33" s="99"/>
    </row>
    <row r="34" spans="1:165" x14ac:dyDescent="0.3">
      <c r="C34" s="98"/>
      <c r="D34" s="123">
        <f>'A&amp;Rs'!Q20</f>
        <v>9</v>
      </c>
      <c r="E34" s="56">
        <f t="shared" si="11"/>
        <v>1884</v>
      </c>
      <c r="F34" s="56">
        <f>IF(F$23&lt;'A&amp;Rs'!$V20,HLOOKUP(F$21,$F$4:$Q$17,$B16),IF(AND(F$23&gt;='A&amp;Rs'!$V20,F$23&lt;'A&amp;Rs'!$X20),0,HLOOKUP(F$21,$U$4:$AF$17,$B16)))</f>
        <v>1884</v>
      </c>
      <c r="G34" s="56">
        <f>IF(G$23&lt;'A&amp;Rs'!$V20,HLOOKUP(G$21,$F$4:$Q$17,$B16),IF(AND(G$23&gt;='A&amp;Rs'!$V20,G$23&lt;'A&amp;Rs'!$X20),0,HLOOKUP(G$21,$U$4:$AF$17,$B16)))</f>
        <v>1884</v>
      </c>
      <c r="H34" s="56">
        <f>IF(H$23&lt;'A&amp;Rs'!$V20,HLOOKUP(H$21,$F$4:$Q$17,$B16),IF(AND(H$23&gt;='A&amp;Rs'!$V20,H$23&lt;'A&amp;Rs'!$X20),0,HLOOKUP(H$21,$U$4:$AF$17,$B16)))</f>
        <v>1884</v>
      </c>
      <c r="I34" s="56">
        <f>IF(I$23&lt;'A&amp;Rs'!$V20,HLOOKUP(I$21,$F$4:$Q$17,$B16),IF(AND(I$23&gt;='A&amp;Rs'!$V20,I$23&lt;'A&amp;Rs'!$X20),0,HLOOKUP(I$21,$U$4:$AF$17,$B16)))</f>
        <v>1884</v>
      </c>
      <c r="J34" s="56">
        <f>IF(J$23&lt;'A&amp;Rs'!$V20,HLOOKUP(J$21,$F$4:$Q$17,$B16),IF(AND(J$23&gt;='A&amp;Rs'!$V20,J$23&lt;'A&amp;Rs'!$X20),0,HLOOKUP(J$21,$U$4:$AF$17,$B16)))</f>
        <v>1884</v>
      </c>
      <c r="K34" s="56">
        <f>IF(K$23&lt;'A&amp;Rs'!$V20,HLOOKUP(K$21,$F$4:$Q$17,$B16),IF(AND(K$23&gt;='A&amp;Rs'!$V20,K$23&lt;'A&amp;Rs'!$X20),0,HLOOKUP(K$21,$U$4:$AF$17,$B16)))</f>
        <v>1884</v>
      </c>
      <c r="L34" s="56">
        <f>IF(L$23&lt;'A&amp;Rs'!$V20,HLOOKUP(L$21,$F$4:$Q$17,$B16),IF(AND(L$23&gt;='A&amp;Rs'!$V20,L$23&lt;'A&amp;Rs'!$X20),0,HLOOKUP(L$21,$U$4:$AF$17,$B16)))</f>
        <v>1884</v>
      </c>
      <c r="M34" s="56">
        <f>IF(M$23&lt;'A&amp;Rs'!$V20,HLOOKUP(M$21,$F$4:$Q$17,$B16),IF(AND(M$23&gt;='A&amp;Rs'!$V20,M$23&lt;'A&amp;Rs'!$X20),0,HLOOKUP(M$21,$U$4:$AF$17,$B16)))</f>
        <v>1884</v>
      </c>
      <c r="N34" s="56">
        <f>IF(N$23&lt;'A&amp;Rs'!$V20,HLOOKUP(N$21,$F$4:$Q$17,$B16),IF(AND(N$23&gt;='A&amp;Rs'!$V20,N$23&lt;'A&amp;Rs'!$X20),0,HLOOKUP(N$21,$U$4:$AF$17,$B16)))</f>
        <v>1884</v>
      </c>
      <c r="O34" s="56">
        <f>IF(O$23&lt;'A&amp;Rs'!$V20,HLOOKUP(O$21,$F$4:$Q$17,$B16),IF(AND(O$23&gt;='A&amp;Rs'!$V20,O$23&lt;'A&amp;Rs'!$X20),0,HLOOKUP(O$21,$U$4:$AF$17,$B16)))</f>
        <v>1884</v>
      </c>
      <c r="P34" s="56">
        <f>IF(P$23&lt;'A&amp;Rs'!$V20,HLOOKUP(P$21,$F$4:$Q$17,$B16),IF(AND(P$23&gt;='A&amp;Rs'!$V20,P$23&lt;'A&amp;Rs'!$X20),0,HLOOKUP(P$21,$U$4:$AF$17,$B16)))</f>
        <v>1884</v>
      </c>
      <c r="Q34" s="56">
        <f>IF(Q$23&lt;'A&amp;Rs'!$V20,HLOOKUP(Q$21,$F$4:$Q$17,$B16),IF(AND(Q$23&gt;='A&amp;Rs'!$V20,Q$23&lt;'A&amp;Rs'!$X20),0,HLOOKUP(Q$21,$U$4:$AF$17,$B16)))</f>
        <v>1884</v>
      </c>
      <c r="R34" s="56">
        <f>IF(R$23&lt;'A&amp;Rs'!$V20,HLOOKUP(R$21,$F$4:$Q$17,$B16),IF(AND(R$23&gt;='A&amp;Rs'!$V20,R$23&lt;'A&amp;Rs'!$X20),0,HLOOKUP(R$21,$U$4:$AF$17,$B16)))</f>
        <v>0</v>
      </c>
      <c r="S34" s="56">
        <f>IF(S$23&lt;'A&amp;Rs'!$V20,HLOOKUP(S$21,$F$4:$Q$17,$B16),IF(AND(S$23&gt;='A&amp;Rs'!$V20,S$23&lt;'A&amp;Rs'!$X20),0,HLOOKUP(S$21,$U$4:$AF$17,$B16)))</f>
        <v>0</v>
      </c>
      <c r="T34" s="56">
        <f>IF(T$23&lt;'A&amp;Rs'!$V20,HLOOKUP(T$21,$F$4:$Q$17,$B16),IF(AND(T$23&gt;='A&amp;Rs'!$V20,T$23&lt;'A&amp;Rs'!$X20),0,HLOOKUP(T$21,$U$4:$AF$17,$B16)))</f>
        <v>0</v>
      </c>
      <c r="U34" s="56">
        <f>IF(U$23&lt;'A&amp;Rs'!$V20,HLOOKUP(U$21,$F$4:$Q$17,$B16),IF(AND(U$23&gt;='A&amp;Rs'!$V20,U$23&lt;'A&amp;Rs'!$X20),0,HLOOKUP(U$21,$U$4:$AF$17,$B16)))</f>
        <v>0</v>
      </c>
      <c r="V34" s="56">
        <f>IF(V$23&lt;'A&amp;Rs'!$V20,HLOOKUP(V$21,$F$4:$Q$17,$B16),IF(AND(V$23&gt;='A&amp;Rs'!$V20,V$23&lt;'A&amp;Rs'!$X20),0,HLOOKUP(V$21,$U$4:$AF$17,$B16)))</f>
        <v>0</v>
      </c>
      <c r="W34" s="56">
        <f>IF(W$23&lt;'A&amp;Rs'!$V20,HLOOKUP(W$21,$F$4:$Q$17,$B16),IF(AND(W$23&gt;='A&amp;Rs'!$V20,W$23&lt;'A&amp;Rs'!$X20),0,HLOOKUP(W$21,$U$4:$AF$17,$B16)))</f>
        <v>2240.52</v>
      </c>
      <c r="X34" s="56">
        <f>IF(X$23&lt;'A&amp;Rs'!$V20,HLOOKUP(X$21,$F$4:$Q$17,$B16),IF(AND(X$23&gt;='A&amp;Rs'!$V20,X$23&lt;'A&amp;Rs'!$X20),0,HLOOKUP(X$21,$U$4:$AF$17,$B16)))</f>
        <v>2240.52</v>
      </c>
      <c r="Y34" s="56">
        <f>IF(Y$23&lt;'A&amp;Rs'!$V20,HLOOKUP(Y$21,$F$4:$Q$17,$B16),IF(AND(Y$23&gt;='A&amp;Rs'!$V20,Y$23&lt;'A&amp;Rs'!$X20),0,HLOOKUP(Y$21,$U$4:$AF$17,$B16)))</f>
        <v>2240.52</v>
      </c>
      <c r="Z34" s="56">
        <f>IF(Z$23&lt;'A&amp;Rs'!$V20,HLOOKUP(Z$21,$F$4:$Q$17,$B16),IF(AND(Z$23&gt;='A&amp;Rs'!$V20,Z$23&lt;'A&amp;Rs'!$X20),0,HLOOKUP(Z$21,$U$4:$AF$17,$B16)))</f>
        <v>2240.52</v>
      </c>
      <c r="AA34" s="56">
        <f>IF(AA$23&lt;'A&amp;Rs'!$V20,HLOOKUP(AA$21,$F$4:$Q$17,$B16),IF(AND(AA$23&gt;='A&amp;Rs'!$V20,AA$23&lt;'A&amp;Rs'!$X20),0,HLOOKUP(AA$21,$U$4:$AF$17,$B16)))</f>
        <v>2240.52</v>
      </c>
      <c r="AB34" s="56">
        <f>IF(AB$23&lt;'A&amp;Rs'!$V20,HLOOKUP(AB$21,$F$4:$Q$17,$B16),IF(AND(AB$23&gt;='A&amp;Rs'!$V20,AB$23&lt;'A&amp;Rs'!$X20),0,HLOOKUP(AB$21,$U$4:$AF$17,$B16)))</f>
        <v>2240.52</v>
      </c>
      <c r="AC34" s="56">
        <f>IF(AC$23&lt;'A&amp;Rs'!$V20,HLOOKUP(AC$21,$F$4:$Q$17,$B16),IF(AND(AC$23&gt;='A&amp;Rs'!$V20,AC$23&lt;'A&amp;Rs'!$X20),0,HLOOKUP(AC$21,$U$4:$AF$17,$B16)))</f>
        <v>2240.52</v>
      </c>
      <c r="AD34" s="56">
        <f>IF(AD$23&lt;'A&amp;Rs'!$V20,HLOOKUP(AD$21,$F$4:$Q$17,$B16),IF(AND(AD$23&gt;='A&amp;Rs'!$V20,AD$23&lt;'A&amp;Rs'!$X20),0,HLOOKUP(AD$21,$U$4:$AF$17,$B16)))</f>
        <v>2285.3303999999998</v>
      </c>
      <c r="AE34" s="56">
        <f>IF(AE$23&lt;'A&amp;Rs'!$V20,HLOOKUP(AE$21,$F$4:$Q$17,$B16),IF(AND(AE$23&gt;='A&amp;Rs'!$V20,AE$23&lt;'A&amp;Rs'!$X20),0,HLOOKUP(AE$21,$U$4:$AF$17,$B16)))</f>
        <v>2285.3303999999998</v>
      </c>
      <c r="AF34" s="56">
        <f>IF(AF$23&lt;'A&amp;Rs'!$V20,HLOOKUP(AF$21,$F$4:$Q$17,$B16),IF(AND(AF$23&gt;='A&amp;Rs'!$V20,AF$23&lt;'A&amp;Rs'!$X20),0,HLOOKUP(AF$21,$U$4:$AF$17,$B16)))</f>
        <v>2285.3303999999998</v>
      </c>
      <c r="AG34" s="56">
        <f>IF(AG$23&lt;'A&amp;Rs'!$V20,HLOOKUP(AG$21,$F$4:$Q$17,$B16),IF(AND(AG$23&gt;='A&amp;Rs'!$V20,AG$23&lt;'A&amp;Rs'!$X20),0,HLOOKUP(AG$21,$U$4:$AF$17,$B16)))</f>
        <v>2285.3303999999998</v>
      </c>
      <c r="AH34" s="56">
        <f>IF(AH$23&lt;'A&amp;Rs'!$V20,HLOOKUP(AH$21,$F$4:$Q$17,$B16),IF(AND(AH$23&gt;='A&amp;Rs'!$V20,AH$23&lt;'A&amp;Rs'!$X20),0,HLOOKUP(AH$21,$U$4:$AF$17,$B16)))</f>
        <v>2285.3303999999998</v>
      </c>
      <c r="AI34" s="56">
        <f>IF(AI$23&lt;'A&amp;Rs'!$V20,HLOOKUP(AI$21,$F$4:$Q$17,$B16),IF(AND(AI$23&gt;='A&amp;Rs'!$V20,AI$23&lt;'A&amp;Rs'!$X20),0,HLOOKUP(AI$21,$U$4:$AF$17,$B16)))</f>
        <v>2285.3303999999998</v>
      </c>
      <c r="AJ34" s="56">
        <f>IF(AJ$23&lt;'A&amp;Rs'!$V20,HLOOKUP(AJ$21,$F$4:$Q$17,$B16),IF(AND(AJ$23&gt;='A&amp;Rs'!$V20,AJ$23&lt;'A&amp;Rs'!$X20),0,HLOOKUP(AJ$21,$U$4:$AF$17,$B16)))</f>
        <v>2285.3303999999998</v>
      </c>
      <c r="AK34" s="56">
        <f>IF(AK$23&lt;'A&amp;Rs'!$V20,HLOOKUP(AK$21,$F$4:$Q$17,$B16),IF(AND(AK$23&gt;='A&amp;Rs'!$V20,AK$23&lt;'A&amp;Rs'!$X20),0,HLOOKUP(AK$21,$U$4:$AF$17,$B16)))</f>
        <v>2285.3303999999998</v>
      </c>
      <c r="AL34" s="56">
        <f>IF(AL$23&lt;'A&amp;Rs'!$V20,HLOOKUP(AL$21,$F$4:$Q$17,$B16),IF(AND(AL$23&gt;='A&amp;Rs'!$V20,AL$23&lt;'A&amp;Rs'!$X20),0,HLOOKUP(AL$21,$U$4:$AF$17,$B16)))</f>
        <v>2285.3303999999998</v>
      </c>
      <c r="AM34" s="56">
        <f>IF(AM$23&lt;'A&amp;Rs'!$V20,HLOOKUP(AM$21,$F$4:$Q$17,$B16),IF(AND(AM$23&gt;='A&amp;Rs'!$V20,AM$23&lt;'A&amp;Rs'!$X20),0,HLOOKUP(AM$21,$U$4:$AF$17,$B16)))</f>
        <v>2285.3303999999998</v>
      </c>
      <c r="AN34" s="56">
        <f>IF(AN$23&lt;'A&amp;Rs'!$V20,HLOOKUP(AN$21,$F$4:$Q$17,$B16),IF(AND(AN$23&gt;='A&amp;Rs'!$V20,AN$23&lt;'A&amp;Rs'!$X20),0,HLOOKUP(AN$21,$U$4:$AF$17,$B16)))</f>
        <v>2285.3303999999998</v>
      </c>
      <c r="AO34" s="56">
        <f>IF(AO$23&lt;'A&amp;Rs'!$V20,HLOOKUP(AO$21,$F$4:$Q$17,$B16),IF(AND(AO$23&gt;='A&amp;Rs'!$V20,AO$23&lt;'A&amp;Rs'!$X20),0,HLOOKUP(AO$21,$U$4:$AF$17,$B16)))</f>
        <v>2285.3303999999998</v>
      </c>
      <c r="AP34" s="56">
        <f>IF(AP$23&lt;'A&amp;Rs'!$V20,HLOOKUP(AP$21,$F$4:$Q$17,$B16),IF(AND(AP$23&gt;='A&amp;Rs'!$V20,AP$23&lt;'A&amp;Rs'!$X20),0,HLOOKUP(AP$21,$U$4:$AF$17,$B16)))</f>
        <v>2353.890312</v>
      </c>
      <c r="AQ34" s="56">
        <f>IF(AQ$23&lt;'A&amp;Rs'!$V20,HLOOKUP(AQ$21,$F$4:$Q$17,$B16),IF(AND(AQ$23&gt;='A&amp;Rs'!$V20,AQ$23&lt;'A&amp;Rs'!$X20),0,HLOOKUP(AQ$21,$U$4:$AF$17,$B16)))</f>
        <v>2353.890312</v>
      </c>
      <c r="AR34" s="56">
        <f>IF(AR$23&lt;'A&amp;Rs'!$V20,HLOOKUP(AR$21,$F$4:$Q$17,$B16),IF(AND(AR$23&gt;='A&amp;Rs'!$V20,AR$23&lt;'A&amp;Rs'!$X20),0,HLOOKUP(AR$21,$U$4:$AF$17,$B16)))</f>
        <v>2353.890312</v>
      </c>
      <c r="AS34" s="56">
        <f>IF(AS$23&lt;'A&amp;Rs'!$V20,HLOOKUP(AS$21,$F$4:$Q$17,$B16),IF(AND(AS$23&gt;='A&amp;Rs'!$V20,AS$23&lt;'A&amp;Rs'!$X20),0,HLOOKUP(AS$21,$U$4:$AF$17,$B16)))</f>
        <v>2353.890312</v>
      </c>
      <c r="AT34" s="56">
        <f>IF(AT$23&lt;'A&amp;Rs'!$V20,HLOOKUP(AT$21,$F$4:$Q$17,$B16),IF(AND(AT$23&gt;='A&amp;Rs'!$V20,AT$23&lt;'A&amp;Rs'!$X20),0,HLOOKUP(AT$21,$U$4:$AF$17,$B16)))</f>
        <v>2353.890312</v>
      </c>
      <c r="AU34" s="56">
        <f>IF(AU$23&lt;'A&amp;Rs'!$V20,HLOOKUP(AU$21,$F$4:$Q$17,$B16),IF(AND(AU$23&gt;='A&amp;Rs'!$V20,AU$23&lt;'A&amp;Rs'!$X20),0,HLOOKUP(AU$21,$U$4:$AF$17,$B16)))</f>
        <v>2353.890312</v>
      </c>
      <c r="AV34" s="56">
        <f>IF(AV$23&lt;'A&amp;Rs'!$V20,HLOOKUP(AV$21,$F$4:$Q$17,$B16),IF(AND(AV$23&gt;='A&amp;Rs'!$V20,AV$23&lt;'A&amp;Rs'!$X20),0,HLOOKUP(AV$21,$U$4:$AF$17,$B16)))</f>
        <v>2353.890312</v>
      </c>
      <c r="AW34" s="56">
        <f>IF(AW$23&lt;'A&amp;Rs'!$V20,HLOOKUP(AW$21,$F$4:$Q$17,$B16),IF(AND(AW$23&gt;='A&amp;Rs'!$V20,AW$23&lt;'A&amp;Rs'!$X20),0,HLOOKUP(AW$21,$U$4:$AF$17,$B16)))</f>
        <v>2353.890312</v>
      </c>
      <c r="AX34" s="56">
        <f>IF(AX$23&lt;'A&amp;Rs'!$V20,HLOOKUP(AX$21,$F$4:$Q$17,$B16),IF(AND(AX$23&gt;='A&amp;Rs'!$V20,AX$23&lt;'A&amp;Rs'!$X20),0,HLOOKUP(AX$21,$U$4:$AF$17,$B16)))</f>
        <v>2353.890312</v>
      </c>
      <c r="AY34" s="56">
        <f>IF(AY$23&lt;'A&amp;Rs'!$V20,HLOOKUP(AY$21,$F$4:$Q$17,$B16),IF(AND(AY$23&gt;='A&amp;Rs'!$V20,AY$23&lt;'A&amp;Rs'!$X20),0,HLOOKUP(AY$21,$U$4:$AF$17,$B16)))</f>
        <v>2353.890312</v>
      </c>
      <c r="AZ34" s="56">
        <f>IF(AZ$23&lt;'A&amp;Rs'!$V20,HLOOKUP(AZ$21,$F$4:$Q$17,$B16),IF(AND(AZ$23&gt;='A&amp;Rs'!$V20,AZ$23&lt;'A&amp;Rs'!$X20),0,HLOOKUP(AZ$21,$U$4:$AF$17,$B16)))</f>
        <v>2353.890312</v>
      </c>
      <c r="BA34" s="56">
        <f>IF(BA$23&lt;'A&amp;Rs'!$V20,HLOOKUP(BA$21,$F$4:$Q$17,$B16),IF(AND(BA$23&gt;='A&amp;Rs'!$V20,BA$23&lt;'A&amp;Rs'!$X20),0,HLOOKUP(BA$21,$U$4:$AF$17,$B16)))</f>
        <v>2353.890312</v>
      </c>
      <c r="BB34" s="56">
        <f>IF(BB$23&lt;'A&amp;Rs'!$V20,HLOOKUP(BB$21,$F$4:$Q$17,$B16),IF(AND(BB$23&gt;='A&amp;Rs'!$V20,BB$23&lt;'A&amp;Rs'!$X20),0,HLOOKUP(BB$21,$U$4:$AF$17,$B16)))</f>
        <v>2424.5070213600002</v>
      </c>
      <c r="BC34" s="56">
        <f>IF(BC$23&lt;'A&amp;Rs'!$V20,HLOOKUP(BC$21,$F$4:$Q$17,$B16),IF(AND(BC$23&gt;='A&amp;Rs'!$V20,BC$23&lt;'A&amp;Rs'!$X20),0,HLOOKUP(BC$21,$U$4:$AF$17,$B16)))</f>
        <v>2424.5070213600002</v>
      </c>
      <c r="BD34" s="56">
        <f>IF(BD$23&lt;'A&amp;Rs'!$V20,HLOOKUP(BD$21,$F$4:$Q$17,$B16),IF(AND(BD$23&gt;='A&amp;Rs'!$V20,BD$23&lt;'A&amp;Rs'!$X20),0,HLOOKUP(BD$21,$U$4:$AF$17,$B16)))</f>
        <v>2424.5070213600002</v>
      </c>
      <c r="BE34" s="56">
        <f>IF(BE$23&lt;'A&amp;Rs'!$V20,HLOOKUP(BE$21,$F$4:$Q$17,$B16),IF(AND(BE$23&gt;='A&amp;Rs'!$V20,BE$23&lt;'A&amp;Rs'!$X20),0,HLOOKUP(BE$21,$U$4:$AF$17,$B16)))</f>
        <v>2424.5070213600002</v>
      </c>
      <c r="BF34" s="56">
        <f>IF(BF$23&lt;'A&amp;Rs'!$V20,HLOOKUP(BF$21,$F$4:$Q$17,$B16),IF(AND(BF$23&gt;='A&amp;Rs'!$V20,BF$23&lt;'A&amp;Rs'!$X20),0,HLOOKUP(BF$21,$U$4:$AF$17,$B16)))</f>
        <v>2424.5070213600002</v>
      </c>
      <c r="BG34" s="56">
        <f>IF(BG$23&lt;'A&amp;Rs'!$V20,HLOOKUP(BG$21,$F$4:$Q$17,$B16),IF(AND(BG$23&gt;='A&amp;Rs'!$V20,BG$23&lt;'A&amp;Rs'!$X20),0,HLOOKUP(BG$21,$U$4:$AF$17,$B16)))</f>
        <v>2424.5070213600002</v>
      </c>
      <c r="BH34" s="56">
        <f>IF(BH$23&lt;'A&amp;Rs'!$V20,HLOOKUP(BH$21,$F$4:$Q$17,$B16),IF(AND(BH$23&gt;='A&amp;Rs'!$V20,BH$23&lt;'A&amp;Rs'!$X20),0,HLOOKUP(BH$21,$U$4:$AF$17,$B16)))</f>
        <v>2424.5070213600002</v>
      </c>
      <c r="BI34" s="56">
        <f>IF(BI$23&lt;'A&amp;Rs'!$V20,HLOOKUP(BI$21,$F$4:$Q$17,$B16),IF(AND(BI$23&gt;='A&amp;Rs'!$V20,BI$23&lt;'A&amp;Rs'!$X20),0,HLOOKUP(BI$21,$U$4:$AF$17,$B16)))</f>
        <v>2424.5070213600002</v>
      </c>
      <c r="BJ34" s="56">
        <f>IF(BJ$23&lt;'A&amp;Rs'!$V20,HLOOKUP(BJ$21,$F$4:$Q$17,$B16),IF(AND(BJ$23&gt;='A&amp;Rs'!$V20,BJ$23&lt;'A&amp;Rs'!$X20),0,HLOOKUP(BJ$21,$U$4:$AF$17,$B16)))</f>
        <v>2424.5070213600002</v>
      </c>
      <c r="BK34" s="56">
        <f>IF(BK$23&lt;'A&amp;Rs'!$V20,HLOOKUP(BK$21,$F$4:$Q$17,$B16),IF(AND(BK$23&gt;='A&amp;Rs'!$V20,BK$23&lt;'A&amp;Rs'!$X20),0,HLOOKUP(BK$21,$U$4:$AF$17,$B16)))</f>
        <v>2424.5070213600002</v>
      </c>
      <c r="BL34" s="56">
        <f>IF(BL$23&lt;'A&amp;Rs'!$V20,HLOOKUP(BL$21,$F$4:$Q$17,$B16),IF(AND(BL$23&gt;='A&amp;Rs'!$V20,BL$23&lt;'A&amp;Rs'!$X20),0,HLOOKUP(BL$21,$U$4:$AF$17,$B16)))</f>
        <v>2424.5070213600002</v>
      </c>
      <c r="BM34" s="56">
        <f>IF(BM$23&lt;'A&amp;Rs'!$V20,HLOOKUP(BM$21,$F$4:$Q$17,$B16),IF(AND(BM$23&gt;='A&amp;Rs'!$V20,BM$23&lt;'A&amp;Rs'!$X20),0,HLOOKUP(BM$21,$U$4:$AF$17,$B16)))</f>
        <v>2424.5070213600002</v>
      </c>
      <c r="BN34" s="56">
        <f>IF(BN$23&lt;'A&amp;Rs'!$V20,HLOOKUP(BN$21,$F$4:$Q$17,$B16),IF(AND(BN$23&gt;='A&amp;Rs'!$V20,BN$23&lt;'A&amp;Rs'!$X20),0,HLOOKUP(BN$21,$U$4:$AF$17,$B16)))</f>
        <v>2424.5070213600002</v>
      </c>
      <c r="BO34" s="56">
        <f>IF(BO$23&lt;'A&amp;Rs'!$V20,HLOOKUP(BO$21,$F$4:$Q$17,$B16),IF(AND(BO$23&gt;='A&amp;Rs'!$V20,BO$23&lt;'A&amp;Rs'!$X20),0,HLOOKUP(BO$21,$U$4:$AF$17,$B16)))</f>
        <v>2424.5070213600002</v>
      </c>
      <c r="BP34" s="56">
        <f>IF(BP$23&lt;'A&amp;Rs'!$V20,HLOOKUP(BP$21,$F$4:$Q$17,$B16),IF(AND(BP$23&gt;='A&amp;Rs'!$V20,BP$23&lt;'A&amp;Rs'!$X20),0,HLOOKUP(BP$21,$U$4:$AF$17,$B16)))</f>
        <v>2424.5070213600002</v>
      </c>
      <c r="BQ34" s="56">
        <f>IF(BQ$23&lt;'A&amp;Rs'!$V20,HLOOKUP(BQ$21,$F$4:$Q$17,$B16),IF(AND(BQ$23&gt;='A&amp;Rs'!$V20,BQ$23&lt;'A&amp;Rs'!$X20),0,HLOOKUP(BQ$21,$U$4:$AF$17,$B16)))</f>
        <v>2424.5070213600002</v>
      </c>
      <c r="BR34" s="56">
        <f>IF(BR$23&lt;'A&amp;Rs'!$V20,HLOOKUP(BR$21,$F$4:$Q$17,$B16),IF(AND(BR$23&gt;='A&amp;Rs'!$V20,BR$23&lt;'A&amp;Rs'!$X20),0,HLOOKUP(BR$21,$U$4:$AF$17,$B16)))</f>
        <v>2424.5070213600002</v>
      </c>
      <c r="BS34" s="56">
        <f>IF(BS$23&lt;'A&amp;Rs'!$V20,HLOOKUP(BS$21,$F$4:$Q$17,$B16),IF(AND(BS$23&gt;='A&amp;Rs'!$V20,BS$23&lt;'A&amp;Rs'!$X20),0,HLOOKUP(BS$21,$U$4:$AF$17,$B16)))</f>
        <v>2424.5070213600002</v>
      </c>
      <c r="BT34" s="56">
        <f>IF(BT$23&lt;'A&amp;Rs'!$V20,HLOOKUP(BT$21,$F$4:$Q$17,$B16),IF(AND(BT$23&gt;='A&amp;Rs'!$V20,BT$23&lt;'A&amp;Rs'!$X20),0,HLOOKUP(BT$21,$U$4:$AF$17,$B16)))</f>
        <v>2424.5070213600002</v>
      </c>
      <c r="BU34" s="56">
        <f>IF(BU$23&lt;'A&amp;Rs'!$V20,HLOOKUP(BU$21,$F$4:$Q$17,$B16),IF(AND(BU$23&gt;='A&amp;Rs'!$V20,BU$23&lt;'A&amp;Rs'!$X20),0,HLOOKUP(BU$21,$U$4:$AF$17,$B16)))</f>
        <v>2424.5070213600002</v>
      </c>
      <c r="BV34" s="56">
        <f>IF(BV$23&lt;'A&amp;Rs'!$V20,HLOOKUP(BV$21,$F$4:$Q$17,$B16),IF(AND(BV$23&gt;='A&amp;Rs'!$V20,BV$23&lt;'A&amp;Rs'!$X20),0,HLOOKUP(BV$21,$U$4:$AF$17,$B16)))</f>
        <v>2424.5070213600002</v>
      </c>
      <c r="BW34" s="56">
        <f>IF(BW$23&lt;'A&amp;Rs'!$V20,HLOOKUP(BW$21,$F$4:$Q$17,$B16),IF(AND(BW$23&gt;='A&amp;Rs'!$V20,BW$23&lt;'A&amp;Rs'!$X20),0,HLOOKUP(BW$21,$U$4:$AF$17,$B16)))</f>
        <v>2424.5070213600002</v>
      </c>
      <c r="BX34" s="56">
        <f>IF(BX$23&lt;'A&amp;Rs'!$V20,HLOOKUP(BX$21,$F$4:$Q$17,$B16),IF(AND(BX$23&gt;='A&amp;Rs'!$V20,BX$23&lt;'A&amp;Rs'!$X20),0,HLOOKUP(BX$21,$U$4:$AF$17,$B16)))</f>
        <v>2424.5070213600002</v>
      </c>
      <c r="BY34" s="56">
        <f>IF(BY$23&lt;'A&amp;Rs'!$V20,HLOOKUP(BY$21,$F$4:$Q$17,$B16),IF(AND(BY$23&gt;='A&amp;Rs'!$V20,BY$23&lt;'A&amp;Rs'!$X20),0,HLOOKUP(BY$21,$U$4:$AF$17,$B16)))</f>
        <v>2424.5070213600002</v>
      </c>
      <c r="BZ34" s="56">
        <f>IF(BZ$23&lt;'A&amp;Rs'!$V20,HLOOKUP(BZ$21,$F$4:$Q$17,$B16),IF(AND(BZ$23&gt;='A&amp;Rs'!$V20,BZ$23&lt;'A&amp;Rs'!$X20),0,HLOOKUP(BZ$21,$U$4:$AF$17,$B16)))</f>
        <v>2448.7520915736004</v>
      </c>
      <c r="CA34" s="56">
        <f>IF(CA$23&lt;'A&amp;Rs'!$V20,HLOOKUP(CA$21,$F$4:$Q$17,$B16),IF(AND(CA$23&gt;='A&amp;Rs'!$V20,CA$23&lt;'A&amp;Rs'!$X20),0,HLOOKUP(CA$21,$U$4:$AF$17,$B16)))</f>
        <v>2448.7520915736004</v>
      </c>
      <c r="CB34" s="56">
        <f>IF(CB$23&lt;'A&amp;Rs'!$V20,HLOOKUP(CB$21,$F$4:$Q$17,$B16),IF(AND(CB$23&gt;='A&amp;Rs'!$V20,CB$23&lt;'A&amp;Rs'!$X20),0,HLOOKUP(CB$21,$U$4:$AF$17,$B16)))</f>
        <v>2448.7520915736004</v>
      </c>
      <c r="CC34" s="56">
        <f>IF(CC$23&lt;'A&amp;Rs'!$V20,HLOOKUP(CC$21,$F$4:$Q$17,$B16),IF(AND(CC$23&gt;='A&amp;Rs'!$V20,CC$23&lt;'A&amp;Rs'!$X20),0,HLOOKUP(CC$21,$U$4:$AF$17,$B16)))</f>
        <v>2448.7520915736004</v>
      </c>
      <c r="CD34" s="56">
        <f>IF(CD$23&lt;'A&amp;Rs'!$V20,HLOOKUP(CD$21,$F$4:$Q$17,$B16),IF(AND(CD$23&gt;='A&amp;Rs'!$V20,CD$23&lt;'A&amp;Rs'!$X20),0,HLOOKUP(CD$21,$U$4:$AF$17,$B16)))</f>
        <v>2448.7520915736004</v>
      </c>
      <c r="CE34" s="56">
        <f>IF(CE$23&lt;'A&amp;Rs'!$V20,HLOOKUP(CE$21,$F$4:$Q$17,$B16),IF(AND(CE$23&gt;='A&amp;Rs'!$V20,CE$23&lt;'A&amp;Rs'!$X20),0,HLOOKUP(CE$21,$U$4:$AF$17,$B16)))</f>
        <v>2448.7520915736004</v>
      </c>
      <c r="CF34" s="56">
        <f>IF(CF$23&lt;'A&amp;Rs'!$V20,HLOOKUP(CF$21,$F$4:$Q$17,$B16),IF(AND(CF$23&gt;='A&amp;Rs'!$V20,CF$23&lt;'A&amp;Rs'!$X20),0,HLOOKUP(CF$21,$U$4:$AF$17,$B16)))</f>
        <v>2448.7520915736004</v>
      </c>
      <c r="CG34" s="56">
        <f>IF(CG$23&lt;'A&amp;Rs'!$V20,HLOOKUP(CG$21,$F$4:$Q$17,$B16),IF(AND(CG$23&gt;='A&amp;Rs'!$V20,CG$23&lt;'A&amp;Rs'!$X20),0,HLOOKUP(CG$21,$U$4:$AF$17,$B16)))</f>
        <v>2448.7520915736004</v>
      </c>
      <c r="CH34" s="56">
        <f>IF(CH$23&lt;'A&amp;Rs'!$V20,HLOOKUP(CH$21,$F$4:$Q$17,$B16),IF(AND(CH$23&gt;='A&amp;Rs'!$V20,CH$23&lt;'A&amp;Rs'!$X20),0,HLOOKUP(CH$21,$U$4:$AF$17,$B16)))</f>
        <v>2448.7520915736004</v>
      </c>
      <c r="CI34" s="56">
        <f>IF(CI$23&lt;'A&amp;Rs'!$V20,HLOOKUP(CI$21,$F$4:$Q$17,$B16),IF(AND(CI$23&gt;='A&amp;Rs'!$V20,CI$23&lt;'A&amp;Rs'!$X20),0,HLOOKUP(CI$21,$U$4:$AF$17,$B16)))</f>
        <v>2448.7520915736004</v>
      </c>
      <c r="CJ34" s="56">
        <f>IF(CJ$23&lt;'A&amp;Rs'!$V20,HLOOKUP(CJ$21,$F$4:$Q$17,$B16),IF(AND(CJ$23&gt;='A&amp;Rs'!$V20,CJ$23&lt;'A&amp;Rs'!$X20),0,HLOOKUP(CJ$21,$U$4:$AF$17,$B16)))</f>
        <v>2448.7520915736004</v>
      </c>
      <c r="CK34" s="56">
        <f>IF(CK$23&lt;'A&amp;Rs'!$V20,HLOOKUP(CK$21,$F$4:$Q$17,$B16),IF(AND(CK$23&gt;='A&amp;Rs'!$V20,CK$23&lt;'A&amp;Rs'!$X20),0,HLOOKUP(CK$21,$U$4:$AF$17,$B16)))</f>
        <v>2448.7520915736004</v>
      </c>
      <c r="CL34" s="56">
        <f>IF(CL$23&lt;'A&amp;Rs'!$V20,HLOOKUP(CL$21,$F$4:$Q$17,$B16),IF(AND(CL$23&gt;='A&amp;Rs'!$V20,CL$23&lt;'A&amp;Rs'!$X20),0,HLOOKUP(CL$21,$U$4:$AF$17,$B16)))</f>
        <v>2522.2146543208087</v>
      </c>
      <c r="CM34" s="56">
        <f>IF(CM$23&lt;'A&amp;Rs'!$V20,HLOOKUP(CM$21,$F$4:$Q$17,$B16),IF(AND(CM$23&gt;='A&amp;Rs'!$V20,CM$23&lt;'A&amp;Rs'!$X20),0,HLOOKUP(CM$21,$U$4:$AF$17,$B16)))</f>
        <v>2522.2146543208087</v>
      </c>
      <c r="CN34" s="56">
        <f>IF(CN$23&lt;'A&amp;Rs'!$V20,HLOOKUP(CN$21,$F$4:$Q$17,$B16),IF(AND(CN$23&gt;='A&amp;Rs'!$V20,CN$23&lt;'A&amp;Rs'!$X20),0,HLOOKUP(CN$21,$U$4:$AF$17,$B16)))</f>
        <v>2522.2146543208087</v>
      </c>
      <c r="CO34" s="56">
        <f>IF(CO$23&lt;'A&amp;Rs'!$V20,HLOOKUP(CO$21,$F$4:$Q$17,$B16),IF(AND(CO$23&gt;='A&amp;Rs'!$V20,CO$23&lt;'A&amp;Rs'!$X20),0,HLOOKUP(CO$21,$U$4:$AF$17,$B16)))</f>
        <v>2522.2146543208087</v>
      </c>
      <c r="CP34" s="56">
        <f>IF(CP$23&lt;'A&amp;Rs'!$V20,HLOOKUP(CP$21,$F$4:$Q$17,$B16),IF(AND(CP$23&gt;='A&amp;Rs'!$V20,CP$23&lt;'A&amp;Rs'!$X20),0,HLOOKUP(CP$21,$U$4:$AF$17,$B16)))</f>
        <v>2522.2146543208087</v>
      </c>
      <c r="CQ34" s="56">
        <f>IF(CQ$23&lt;'A&amp;Rs'!$V20,HLOOKUP(CQ$21,$F$4:$Q$17,$B16),IF(AND(CQ$23&gt;='A&amp;Rs'!$V20,CQ$23&lt;'A&amp;Rs'!$X20),0,HLOOKUP(CQ$21,$U$4:$AF$17,$B16)))</f>
        <v>2522.2146543208087</v>
      </c>
      <c r="CR34" s="56">
        <f>IF(CR$23&lt;'A&amp;Rs'!$V20,HLOOKUP(CR$21,$F$4:$Q$17,$B16),IF(AND(CR$23&gt;='A&amp;Rs'!$V20,CR$23&lt;'A&amp;Rs'!$X20),0,HLOOKUP(CR$21,$U$4:$AF$17,$B16)))</f>
        <v>2522.2146543208087</v>
      </c>
      <c r="CS34" s="56">
        <f>IF(CS$23&lt;'A&amp;Rs'!$V20,HLOOKUP(CS$21,$F$4:$Q$17,$B16),IF(AND(CS$23&gt;='A&amp;Rs'!$V20,CS$23&lt;'A&amp;Rs'!$X20),0,HLOOKUP(CS$21,$U$4:$AF$17,$B16)))</f>
        <v>2522.2146543208087</v>
      </c>
      <c r="CT34" s="56">
        <f>IF(CT$23&lt;'A&amp;Rs'!$V20,HLOOKUP(CT$21,$F$4:$Q$17,$B16),IF(AND(CT$23&gt;='A&amp;Rs'!$V20,CT$23&lt;'A&amp;Rs'!$X20),0,HLOOKUP(CT$21,$U$4:$AF$17,$B16)))</f>
        <v>2522.2146543208087</v>
      </c>
      <c r="CU34" s="56">
        <f>IF(CU$23&lt;'A&amp;Rs'!$V20,HLOOKUP(CU$21,$F$4:$Q$17,$B16),IF(AND(CU$23&gt;='A&amp;Rs'!$V20,CU$23&lt;'A&amp;Rs'!$X20),0,HLOOKUP(CU$21,$U$4:$AF$17,$B16)))</f>
        <v>2522.2146543208087</v>
      </c>
      <c r="CV34" s="56">
        <f>IF(CV$23&lt;'A&amp;Rs'!$V20,HLOOKUP(CV$21,$F$4:$Q$17,$B16),IF(AND(CV$23&gt;='A&amp;Rs'!$V20,CV$23&lt;'A&amp;Rs'!$X20),0,HLOOKUP(CV$21,$U$4:$AF$17,$B16)))</f>
        <v>2522.2146543208087</v>
      </c>
      <c r="CW34" s="56">
        <f>IF(CW$23&lt;'A&amp;Rs'!$V20,HLOOKUP(CW$21,$F$4:$Q$17,$B16),IF(AND(CW$23&gt;='A&amp;Rs'!$V20,CW$23&lt;'A&amp;Rs'!$X20),0,HLOOKUP(CW$21,$U$4:$AF$17,$B16)))</f>
        <v>2522.2146543208087</v>
      </c>
      <c r="CX34" s="56">
        <f>IF(CX$23&lt;'A&amp;Rs'!$V20,HLOOKUP(CX$21,$F$4:$Q$17,$B16),IF(AND(CX$23&gt;='A&amp;Rs'!$V20,CX$23&lt;'A&amp;Rs'!$X20),0,HLOOKUP(CX$21,$U$4:$AF$17,$B16)))</f>
        <v>2572.6589474072248</v>
      </c>
      <c r="CY34" s="56">
        <f>IF(CY$23&lt;'A&amp;Rs'!$V20,HLOOKUP(CY$21,$F$4:$Q$17,$B16),IF(AND(CY$23&gt;='A&amp;Rs'!$V20,CY$23&lt;'A&amp;Rs'!$X20),0,HLOOKUP(CY$21,$U$4:$AF$17,$B16)))</f>
        <v>2572.6589474072248</v>
      </c>
      <c r="CZ34" s="56">
        <f>IF(CZ$23&lt;'A&amp;Rs'!$V20,HLOOKUP(CZ$21,$F$4:$Q$17,$B16),IF(AND(CZ$23&gt;='A&amp;Rs'!$V20,CZ$23&lt;'A&amp;Rs'!$X20),0,HLOOKUP(CZ$21,$U$4:$AF$17,$B16)))</f>
        <v>2572.6589474072248</v>
      </c>
      <c r="DA34" s="56">
        <f>IF(DA$23&lt;'A&amp;Rs'!$V20,HLOOKUP(DA$21,$F$4:$Q$17,$B16),IF(AND(DA$23&gt;='A&amp;Rs'!$V20,DA$23&lt;'A&amp;Rs'!$X20),0,HLOOKUP(DA$21,$U$4:$AF$17,$B16)))</f>
        <v>2572.6589474072248</v>
      </c>
      <c r="DB34" s="56">
        <f>IF(DB$23&lt;'A&amp;Rs'!$V20,HLOOKUP(DB$21,$F$4:$Q$17,$B16),IF(AND(DB$23&gt;='A&amp;Rs'!$V20,DB$23&lt;'A&amp;Rs'!$X20),0,HLOOKUP(DB$21,$U$4:$AF$17,$B16)))</f>
        <v>2572.6589474072248</v>
      </c>
      <c r="DC34" s="56">
        <f>IF(DC$23&lt;'A&amp;Rs'!$V20,HLOOKUP(DC$21,$F$4:$Q$17,$B16),IF(AND(DC$23&gt;='A&amp;Rs'!$V20,DC$23&lt;'A&amp;Rs'!$X20),0,HLOOKUP(DC$21,$U$4:$AF$17,$B16)))</f>
        <v>2572.6589474072248</v>
      </c>
      <c r="DD34" s="56">
        <f>IF(DD$23&lt;'A&amp;Rs'!$V20,HLOOKUP(DD$21,$F$4:$Q$17,$B16),IF(AND(DD$23&gt;='A&amp;Rs'!$V20,DD$23&lt;'A&amp;Rs'!$X20),0,HLOOKUP(DD$21,$U$4:$AF$17,$B16)))</f>
        <v>2572.6589474072248</v>
      </c>
      <c r="DE34" s="56">
        <f>IF(DE$23&lt;'A&amp;Rs'!$V20,HLOOKUP(DE$21,$F$4:$Q$17,$B16),IF(AND(DE$23&gt;='A&amp;Rs'!$V20,DE$23&lt;'A&amp;Rs'!$X20),0,HLOOKUP(DE$21,$U$4:$AF$17,$B16)))</f>
        <v>2572.6589474072248</v>
      </c>
      <c r="DF34" s="56">
        <f>IF(DF$23&lt;'A&amp;Rs'!$V20,HLOOKUP(DF$21,$F$4:$Q$17,$B16),IF(AND(DF$23&gt;='A&amp;Rs'!$V20,DF$23&lt;'A&amp;Rs'!$X20),0,HLOOKUP(DF$21,$U$4:$AF$17,$B16)))</f>
        <v>2572.6589474072248</v>
      </c>
      <c r="DG34" s="56">
        <f>IF(DG$23&lt;'A&amp;Rs'!$V20,HLOOKUP(DG$21,$F$4:$Q$17,$B16),IF(AND(DG$23&gt;='A&amp;Rs'!$V20,DG$23&lt;'A&amp;Rs'!$X20),0,HLOOKUP(DG$21,$U$4:$AF$17,$B16)))</f>
        <v>2572.6589474072248</v>
      </c>
      <c r="DH34" s="56">
        <f>IF(DH$23&lt;'A&amp;Rs'!$V20,HLOOKUP(DH$21,$F$4:$Q$17,$B16),IF(AND(DH$23&gt;='A&amp;Rs'!$V20,DH$23&lt;'A&amp;Rs'!$X20),0,HLOOKUP(DH$21,$U$4:$AF$17,$B16)))</f>
        <v>2572.6589474072248</v>
      </c>
      <c r="DI34" s="56">
        <f>IF(DI$23&lt;'A&amp;Rs'!$V20,HLOOKUP(DI$21,$F$4:$Q$17,$B16),IF(AND(DI$23&gt;='A&amp;Rs'!$V20,DI$23&lt;'A&amp;Rs'!$X20),0,HLOOKUP(DI$21,$U$4:$AF$17,$B16)))</f>
        <v>2572.6589474072248</v>
      </c>
      <c r="DJ34" s="56">
        <f>IF(DJ$23&lt;'A&amp;Rs'!$V20,HLOOKUP(DJ$21,$F$4:$Q$17,$B16),IF(AND(DJ$23&gt;='A&amp;Rs'!$V20,DJ$23&lt;'A&amp;Rs'!$X20),0,HLOOKUP(DJ$21,$U$4:$AF$17,$B16)))</f>
        <v>2598.385536881297</v>
      </c>
      <c r="DK34" s="56">
        <f>IF(DK$23&lt;'A&amp;Rs'!$V20,HLOOKUP(DK$21,$F$4:$Q$17,$B16),IF(AND(DK$23&gt;='A&amp;Rs'!$V20,DK$23&lt;'A&amp;Rs'!$X20),0,HLOOKUP(DK$21,$U$4:$AF$17,$B16)))</f>
        <v>2598.385536881297</v>
      </c>
      <c r="DL34" s="56">
        <f>IF(DL$23&lt;'A&amp;Rs'!$V20,HLOOKUP(DL$21,$F$4:$Q$17,$B16),IF(AND(DL$23&gt;='A&amp;Rs'!$V20,DL$23&lt;'A&amp;Rs'!$X20),0,HLOOKUP(DL$21,$U$4:$AF$17,$B16)))</f>
        <v>2598.385536881297</v>
      </c>
      <c r="DM34" s="56">
        <f>IF(DM$23&lt;'A&amp;Rs'!$V20,HLOOKUP(DM$21,$F$4:$Q$17,$B16),IF(AND(DM$23&gt;='A&amp;Rs'!$V20,DM$23&lt;'A&amp;Rs'!$X20),0,HLOOKUP(DM$21,$U$4:$AF$17,$B16)))</f>
        <v>2598.385536881297</v>
      </c>
      <c r="DN34" s="56">
        <f>IF(DN$23&lt;'A&amp;Rs'!$V20,HLOOKUP(DN$21,$F$4:$Q$17,$B16),IF(AND(DN$23&gt;='A&amp;Rs'!$V20,DN$23&lt;'A&amp;Rs'!$X20),0,HLOOKUP(DN$21,$U$4:$AF$17,$B16)))</f>
        <v>2598.385536881297</v>
      </c>
      <c r="DO34" s="56">
        <f>IF(DO$23&lt;'A&amp;Rs'!$V20,HLOOKUP(DO$21,$F$4:$Q$17,$B16),IF(AND(DO$23&gt;='A&amp;Rs'!$V20,DO$23&lt;'A&amp;Rs'!$X20),0,HLOOKUP(DO$21,$U$4:$AF$17,$B16)))</f>
        <v>2598.385536881297</v>
      </c>
      <c r="DP34" s="56">
        <f>IF(DP$23&lt;'A&amp;Rs'!$V20,HLOOKUP(DP$21,$F$4:$Q$17,$B16),IF(AND(DP$23&gt;='A&amp;Rs'!$V20,DP$23&lt;'A&amp;Rs'!$X20),0,HLOOKUP(DP$21,$U$4:$AF$17,$B16)))</f>
        <v>2598.385536881297</v>
      </c>
      <c r="DQ34" s="56">
        <f>IF(DQ$23&lt;'A&amp;Rs'!$V20,HLOOKUP(DQ$21,$F$4:$Q$17,$B16),IF(AND(DQ$23&gt;='A&amp;Rs'!$V20,DQ$23&lt;'A&amp;Rs'!$X20),0,HLOOKUP(DQ$21,$U$4:$AF$17,$B16)))</f>
        <v>2598.385536881297</v>
      </c>
      <c r="DR34" s="56">
        <f>IF(DR$23&lt;'A&amp;Rs'!$V20,HLOOKUP(DR$21,$F$4:$Q$17,$B16),IF(AND(DR$23&gt;='A&amp;Rs'!$V20,DR$23&lt;'A&amp;Rs'!$X20),0,HLOOKUP(DR$21,$U$4:$AF$17,$B16)))</f>
        <v>2598.385536881297</v>
      </c>
      <c r="DS34" s="56">
        <f>IF(DS$23&lt;'A&amp;Rs'!$V20,HLOOKUP(DS$21,$F$4:$Q$17,$B16),IF(AND(DS$23&gt;='A&amp;Rs'!$V20,DS$23&lt;'A&amp;Rs'!$X20),0,HLOOKUP(DS$21,$U$4:$AF$17,$B16)))</f>
        <v>2598.385536881297</v>
      </c>
      <c r="DT34" s="56">
        <f>IF(DT$23&lt;'A&amp;Rs'!$V20,HLOOKUP(DT$21,$F$4:$Q$17,$B16),IF(AND(DT$23&gt;='A&amp;Rs'!$V20,DT$23&lt;'A&amp;Rs'!$X20),0,HLOOKUP(DT$21,$U$4:$AF$17,$B16)))</f>
        <v>2598.385536881297</v>
      </c>
      <c r="DU34" s="56">
        <f>IF(DU$23&lt;'A&amp;Rs'!$V20,HLOOKUP(DU$21,$F$4:$Q$17,$B16),IF(AND(DU$23&gt;='A&amp;Rs'!$V20,DU$23&lt;'A&amp;Rs'!$X20),0,HLOOKUP(DU$21,$U$4:$AF$17,$B16)))</f>
        <v>2598.385536881297</v>
      </c>
      <c r="DV34" s="56">
        <f>IF(DV$23&lt;'A&amp;Rs'!$V20,HLOOKUP(DV$21,$F$4:$Q$17,$B16),IF(AND(DV$23&gt;='A&amp;Rs'!$V20,DV$23&lt;'A&amp;Rs'!$X20),0,HLOOKUP(DV$21,$U$4:$AF$17,$B16)))</f>
        <v>2624.3693922501097</v>
      </c>
      <c r="DW34" s="56">
        <f>IF(DW$23&lt;'A&amp;Rs'!$V20,HLOOKUP(DW$21,$F$4:$Q$17,$B16),IF(AND(DW$23&gt;='A&amp;Rs'!$V20,DW$23&lt;'A&amp;Rs'!$X20),0,HLOOKUP(DW$21,$U$4:$AF$17,$B16)))</f>
        <v>2624.3693922501097</v>
      </c>
      <c r="DX34" s="56">
        <f>IF(DX$23&lt;'A&amp;Rs'!$V20,HLOOKUP(DX$21,$F$4:$Q$17,$B16),IF(AND(DX$23&gt;='A&amp;Rs'!$V20,DX$23&lt;'A&amp;Rs'!$X20),0,HLOOKUP(DX$21,$U$4:$AF$17,$B16)))</f>
        <v>2624.3693922501097</v>
      </c>
      <c r="DY34" s="56">
        <f>IF(DY$23&lt;'A&amp;Rs'!$V20,HLOOKUP(DY$21,$F$4:$Q$17,$B16),IF(AND(DY$23&gt;='A&amp;Rs'!$V20,DY$23&lt;'A&amp;Rs'!$X20),0,HLOOKUP(DY$21,$U$4:$AF$17,$B16)))</f>
        <v>2624.3693922501097</v>
      </c>
      <c r="DZ34" s="56">
        <f>IF(DZ$23&lt;'A&amp;Rs'!$V20,HLOOKUP(DZ$21,$F$4:$Q$17,$B16),IF(AND(DZ$23&gt;='A&amp;Rs'!$V20,DZ$23&lt;'A&amp;Rs'!$X20),0,HLOOKUP(DZ$21,$U$4:$AF$17,$B16)))</f>
        <v>2624.3693922501097</v>
      </c>
      <c r="EA34" s="56">
        <f>IF(EA$23&lt;'A&amp;Rs'!$V20,HLOOKUP(EA$21,$F$4:$Q$17,$B16),IF(AND(EA$23&gt;='A&amp;Rs'!$V20,EA$23&lt;'A&amp;Rs'!$X20),0,HLOOKUP(EA$21,$U$4:$AF$17,$B16)))</f>
        <v>2624.3693922501097</v>
      </c>
      <c r="EB34" s="56">
        <f>IF(EB$23&lt;'A&amp;Rs'!$V20,HLOOKUP(EB$21,$F$4:$Q$17,$B16),IF(AND(EB$23&gt;='A&amp;Rs'!$V20,EB$23&lt;'A&amp;Rs'!$X20),0,HLOOKUP(EB$21,$U$4:$AF$17,$B16)))</f>
        <v>2624.3693922501097</v>
      </c>
      <c r="EC34" s="56">
        <f>IF(EC$23&lt;'A&amp;Rs'!$V20,HLOOKUP(EC$21,$F$4:$Q$17,$B16),IF(AND(EC$23&gt;='A&amp;Rs'!$V20,EC$23&lt;'A&amp;Rs'!$X20),0,HLOOKUP(EC$21,$U$4:$AF$17,$B16)))</f>
        <v>2624.3693922501097</v>
      </c>
      <c r="ED34" s="56">
        <f>IF(ED$23&lt;'A&amp;Rs'!$V20,HLOOKUP(ED$21,$F$4:$Q$17,$B16),IF(AND(ED$23&gt;='A&amp;Rs'!$V20,ED$23&lt;'A&amp;Rs'!$X20),0,HLOOKUP(ED$21,$U$4:$AF$17,$B16)))</f>
        <v>2624.3693922501097</v>
      </c>
      <c r="EE34" s="56">
        <f>IF(EE$23&lt;'A&amp;Rs'!$V20,HLOOKUP(EE$21,$F$4:$Q$17,$B16),IF(AND(EE$23&gt;='A&amp;Rs'!$V20,EE$23&lt;'A&amp;Rs'!$X20),0,HLOOKUP(EE$21,$U$4:$AF$17,$B16)))</f>
        <v>2624.3693922501097</v>
      </c>
      <c r="EF34" s="56">
        <f>IF(EF$23&lt;'A&amp;Rs'!$V20,HLOOKUP(EF$21,$F$4:$Q$17,$B16),IF(AND(EF$23&gt;='A&amp;Rs'!$V20,EF$23&lt;'A&amp;Rs'!$X20),0,HLOOKUP(EF$21,$U$4:$AF$17,$B16)))</f>
        <v>2624.3693922501097</v>
      </c>
      <c r="EG34" s="56">
        <f>IF(EG$23&lt;'A&amp;Rs'!$V20,HLOOKUP(EG$21,$F$4:$Q$17,$B16),IF(AND(EG$23&gt;='A&amp;Rs'!$V20,EG$23&lt;'A&amp;Rs'!$X20),0,HLOOKUP(EG$21,$U$4:$AF$17,$B16)))</f>
        <v>2624.3693922501097</v>
      </c>
      <c r="EH34" s="56">
        <f>IF(EH$23&lt;'A&amp;Rs'!$V20,HLOOKUP(EH$21,$F$4:$Q$17,$B16),IF(AND(EH$23&gt;='A&amp;Rs'!$V20,EH$23&lt;'A&amp;Rs'!$X20),0,HLOOKUP(EH$21,$U$4:$AF$17,$B16)))</f>
        <v>2650.613086172611</v>
      </c>
      <c r="EI34" s="56">
        <f>IF(EI$23&lt;'A&amp;Rs'!$V20,HLOOKUP(EI$21,$F$4:$Q$17,$B16),IF(AND(EI$23&gt;='A&amp;Rs'!$V20,EI$23&lt;'A&amp;Rs'!$X20),0,HLOOKUP(EI$21,$U$4:$AF$17,$B16)))</f>
        <v>2650.613086172611</v>
      </c>
      <c r="EJ34" s="56">
        <f>IF(EJ$23&lt;'A&amp;Rs'!$V20,HLOOKUP(EJ$21,$F$4:$Q$17,$B16),IF(AND(EJ$23&gt;='A&amp;Rs'!$V20,EJ$23&lt;'A&amp;Rs'!$X20),0,HLOOKUP(EJ$21,$U$4:$AF$17,$B16)))</f>
        <v>2650.613086172611</v>
      </c>
      <c r="EK34" s="56">
        <f>IF(EK$23&lt;'A&amp;Rs'!$V20,HLOOKUP(EK$21,$F$4:$Q$17,$B16),IF(AND(EK$23&gt;='A&amp;Rs'!$V20,EK$23&lt;'A&amp;Rs'!$X20),0,HLOOKUP(EK$21,$U$4:$AF$17,$B16)))</f>
        <v>2650.613086172611</v>
      </c>
      <c r="EL34" s="56">
        <f>IF(EL$23&lt;'A&amp;Rs'!$V20,HLOOKUP(EL$21,$F$4:$Q$17,$B16),IF(AND(EL$23&gt;='A&amp;Rs'!$V20,EL$23&lt;'A&amp;Rs'!$X20),0,HLOOKUP(EL$21,$U$4:$AF$17,$B16)))</f>
        <v>2650.613086172611</v>
      </c>
      <c r="EM34" s="56">
        <f>IF(EM$23&lt;'A&amp;Rs'!$V20,HLOOKUP(EM$21,$F$4:$Q$17,$B16),IF(AND(EM$23&gt;='A&amp;Rs'!$V20,EM$23&lt;'A&amp;Rs'!$X20),0,HLOOKUP(EM$21,$U$4:$AF$17,$B16)))</f>
        <v>2650.613086172611</v>
      </c>
      <c r="EN34" s="56">
        <f>IF(EN$23&lt;'A&amp;Rs'!$V20,HLOOKUP(EN$21,$F$4:$Q$17,$B16),IF(AND(EN$23&gt;='A&amp;Rs'!$V20,EN$23&lt;'A&amp;Rs'!$X20),0,HLOOKUP(EN$21,$U$4:$AF$17,$B16)))</f>
        <v>2650.613086172611</v>
      </c>
      <c r="EO34" s="56">
        <f>IF(EO$23&lt;'A&amp;Rs'!$V20,HLOOKUP(EO$21,$F$4:$Q$17,$B16),IF(AND(EO$23&gt;='A&amp;Rs'!$V20,EO$23&lt;'A&amp;Rs'!$X20),0,HLOOKUP(EO$21,$U$4:$AF$17,$B16)))</f>
        <v>2650.613086172611</v>
      </c>
      <c r="EP34" s="56">
        <f>IF(EP$23&lt;'A&amp;Rs'!$V20,HLOOKUP(EP$21,$F$4:$Q$17,$B16),IF(AND(EP$23&gt;='A&amp;Rs'!$V20,EP$23&lt;'A&amp;Rs'!$X20),0,HLOOKUP(EP$21,$U$4:$AF$17,$B16)))</f>
        <v>2650.613086172611</v>
      </c>
      <c r="EQ34" s="56">
        <f>IF(EQ$23&lt;'A&amp;Rs'!$V20,HLOOKUP(EQ$21,$F$4:$Q$17,$B16),IF(AND(EQ$23&gt;='A&amp;Rs'!$V20,EQ$23&lt;'A&amp;Rs'!$X20),0,HLOOKUP(EQ$21,$U$4:$AF$17,$B16)))</f>
        <v>2650.613086172611</v>
      </c>
      <c r="ER34" s="56">
        <f>IF(ER$23&lt;'A&amp;Rs'!$V20,HLOOKUP(ER$21,$F$4:$Q$17,$B16),IF(AND(ER$23&gt;='A&amp;Rs'!$V20,ER$23&lt;'A&amp;Rs'!$X20),0,HLOOKUP(ER$21,$U$4:$AF$17,$B16)))</f>
        <v>2650.613086172611</v>
      </c>
      <c r="ES34" s="56">
        <f>IF(ES$23&lt;'A&amp;Rs'!$V20,HLOOKUP(ES$21,$F$4:$Q$17,$B16),IF(AND(ES$23&gt;='A&amp;Rs'!$V20,ES$23&lt;'A&amp;Rs'!$X20),0,HLOOKUP(ES$21,$U$4:$AF$17,$B16)))</f>
        <v>2650.613086172611</v>
      </c>
      <c r="ET34" s="56">
        <f>IF(ET$23&lt;'A&amp;Rs'!$V20,HLOOKUP(ET$21,$F$4:$Q$17,$B16),IF(AND(ET$23&gt;='A&amp;Rs'!$V20,ET$23&lt;'A&amp;Rs'!$X20),0,HLOOKUP(ET$21,$U$4:$AF$17,$B16)))</f>
        <v>2650.613086172611</v>
      </c>
      <c r="EU34" s="56">
        <f>IF(EU$23&lt;'A&amp;Rs'!$V20,HLOOKUP(EU$21,$F$4:$Q$17,$B16),IF(AND(EU$23&gt;='A&amp;Rs'!$V20,EU$23&lt;'A&amp;Rs'!$X20),0,HLOOKUP(EU$21,$U$4:$AF$17,$B16)))</f>
        <v>2650.613086172611</v>
      </c>
      <c r="EV34" s="56">
        <f>IF(EV$23&lt;'A&amp;Rs'!$V20,HLOOKUP(EV$21,$F$4:$Q$17,$B16),IF(AND(EV$23&gt;='A&amp;Rs'!$V20,EV$23&lt;'A&amp;Rs'!$X20),0,HLOOKUP(EV$21,$U$4:$AF$17,$B16)))</f>
        <v>2650.613086172611</v>
      </c>
      <c r="EW34" s="56">
        <f>IF(EW$23&lt;'A&amp;Rs'!$V20,HLOOKUP(EW$21,$F$4:$Q$17,$B16),IF(AND(EW$23&gt;='A&amp;Rs'!$V20,EW$23&lt;'A&amp;Rs'!$X20),0,HLOOKUP(EW$21,$U$4:$AF$17,$B16)))</f>
        <v>2650.613086172611</v>
      </c>
      <c r="EX34" s="56">
        <f>IF(EX$23&lt;'A&amp;Rs'!$V20,HLOOKUP(EX$21,$F$4:$Q$17,$B16),IF(AND(EX$23&gt;='A&amp;Rs'!$V20,EX$23&lt;'A&amp;Rs'!$X20),0,HLOOKUP(EX$21,$U$4:$AF$17,$B16)))</f>
        <v>2650.613086172611</v>
      </c>
      <c r="EY34" s="56">
        <f>IF(EY$23&lt;'A&amp;Rs'!$V20,HLOOKUP(EY$21,$F$4:$Q$17,$B16),IF(AND(EY$23&gt;='A&amp;Rs'!$V20,EY$23&lt;'A&amp;Rs'!$X20),0,HLOOKUP(EY$21,$U$4:$AF$17,$B16)))</f>
        <v>2650.613086172611</v>
      </c>
      <c r="EZ34" s="56">
        <f>IF(EZ$23&lt;'A&amp;Rs'!$V20,HLOOKUP(EZ$21,$F$4:$Q$17,$B16),IF(AND(EZ$23&gt;='A&amp;Rs'!$V20,EZ$23&lt;'A&amp;Rs'!$X20),0,HLOOKUP(EZ$21,$U$4:$AF$17,$B16)))</f>
        <v>2650.613086172611</v>
      </c>
      <c r="FA34" s="56">
        <f>IF(FA$23&lt;'A&amp;Rs'!$V20,HLOOKUP(FA$21,$F$4:$Q$17,$B16),IF(AND(FA$23&gt;='A&amp;Rs'!$V20,FA$23&lt;'A&amp;Rs'!$X20),0,HLOOKUP(FA$21,$U$4:$AF$17,$B16)))</f>
        <v>2650.613086172611</v>
      </c>
      <c r="FB34" s="56">
        <f>IF(FB$23&lt;'A&amp;Rs'!$V20,HLOOKUP(FB$21,$F$4:$Q$17,$B16),IF(AND(FB$23&gt;='A&amp;Rs'!$V20,FB$23&lt;'A&amp;Rs'!$X20),0,HLOOKUP(FB$21,$U$4:$AF$17,$B16)))</f>
        <v>2650.613086172611</v>
      </c>
      <c r="FC34" s="56">
        <f>IF(FC$23&lt;'A&amp;Rs'!$V20,HLOOKUP(FC$21,$F$4:$Q$17,$B16),IF(AND(FC$23&gt;='A&amp;Rs'!$V20,FC$23&lt;'A&amp;Rs'!$X20),0,HLOOKUP(FC$21,$U$4:$AF$17,$B16)))</f>
        <v>2650.613086172611</v>
      </c>
      <c r="FD34" s="56">
        <f>IF(FD$23&lt;'A&amp;Rs'!$V20,HLOOKUP(FD$21,$F$4:$Q$17,$B16),IF(AND(FD$23&gt;='A&amp;Rs'!$V20,FD$23&lt;'A&amp;Rs'!$X20),0,HLOOKUP(FD$21,$U$4:$AF$17,$B16)))</f>
        <v>2650.613086172611</v>
      </c>
      <c r="FE34" s="56">
        <f>IF(FE$23&lt;'A&amp;Rs'!$V20,HLOOKUP(FE$21,$F$4:$Q$17,$B16),IF(AND(FE$23&gt;='A&amp;Rs'!$V20,FE$23&lt;'A&amp;Rs'!$X20),0,HLOOKUP(FE$21,$U$4:$AF$17,$B16)))</f>
        <v>2650.613086172611</v>
      </c>
      <c r="FF34" s="1" t="s">
        <v>39</v>
      </c>
      <c r="FG34" s="1"/>
      <c r="FH34" s="1"/>
      <c r="FI34" s="99"/>
    </row>
    <row r="35" spans="1:165" x14ac:dyDescent="0.3">
      <c r="C35" s="98"/>
      <c r="D35" s="123">
        <f>'A&amp;Rs'!Q21</f>
        <v>12</v>
      </c>
      <c r="E35" s="56">
        <f t="shared" si="11"/>
        <v>1900</v>
      </c>
      <c r="F35" s="56">
        <f>IF(F$23&lt;'A&amp;Rs'!$V21,HLOOKUP(F$21,$F$4:$Q$17,$B17),IF(AND(F$23&gt;='A&amp;Rs'!$V21,F$23&lt;'A&amp;Rs'!$X21),0,HLOOKUP(F$21,$U$4:$AF$17,$B17)))</f>
        <v>1900</v>
      </c>
      <c r="G35" s="56">
        <f>IF(G$23&lt;'A&amp;Rs'!$V21,HLOOKUP(G$21,$F$4:$Q$17,$B17),IF(AND(G$23&gt;='A&amp;Rs'!$V21,G$23&lt;'A&amp;Rs'!$X21),0,HLOOKUP(G$21,$U$4:$AF$17,$B17)))</f>
        <v>1900</v>
      </c>
      <c r="H35" s="56">
        <f>IF(H$23&lt;'A&amp;Rs'!$V21,HLOOKUP(H$21,$F$4:$Q$17,$B17),IF(AND(H$23&gt;='A&amp;Rs'!$V21,H$23&lt;'A&amp;Rs'!$X21),0,HLOOKUP(H$21,$U$4:$AF$17,$B17)))</f>
        <v>1900</v>
      </c>
      <c r="I35" s="56">
        <f>IF(I$23&lt;'A&amp;Rs'!$V21,HLOOKUP(I$21,$F$4:$Q$17,$B17),IF(AND(I$23&gt;='A&amp;Rs'!$V21,I$23&lt;'A&amp;Rs'!$X21),0,HLOOKUP(I$21,$U$4:$AF$17,$B17)))</f>
        <v>1900</v>
      </c>
      <c r="J35" s="56">
        <f>IF(J$23&lt;'A&amp;Rs'!$V21,HLOOKUP(J$21,$F$4:$Q$17,$B17),IF(AND(J$23&gt;='A&amp;Rs'!$V21,J$23&lt;'A&amp;Rs'!$X21),0,HLOOKUP(J$21,$U$4:$AF$17,$B17)))</f>
        <v>1900</v>
      </c>
      <c r="K35" s="56">
        <f>IF(K$23&lt;'A&amp;Rs'!$V21,HLOOKUP(K$21,$F$4:$Q$17,$B17),IF(AND(K$23&gt;='A&amp;Rs'!$V21,K$23&lt;'A&amp;Rs'!$X21),0,HLOOKUP(K$21,$U$4:$AF$17,$B17)))</f>
        <v>1900</v>
      </c>
      <c r="L35" s="56">
        <f>IF(L$23&lt;'A&amp;Rs'!$V21,HLOOKUP(L$21,$F$4:$Q$17,$B17),IF(AND(L$23&gt;='A&amp;Rs'!$V21,L$23&lt;'A&amp;Rs'!$X21),0,HLOOKUP(L$21,$U$4:$AF$17,$B17)))</f>
        <v>1900</v>
      </c>
      <c r="M35" s="56">
        <f>IF(M$23&lt;'A&amp;Rs'!$V21,HLOOKUP(M$21,$F$4:$Q$17,$B17),IF(AND(M$23&gt;='A&amp;Rs'!$V21,M$23&lt;'A&amp;Rs'!$X21),0,HLOOKUP(M$21,$U$4:$AF$17,$B17)))</f>
        <v>1900</v>
      </c>
      <c r="N35" s="56">
        <f>IF(N$23&lt;'A&amp;Rs'!$V21,HLOOKUP(N$21,$F$4:$Q$17,$B17),IF(AND(N$23&gt;='A&amp;Rs'!$V21,N$23&lt;'A&amp;Rs'!$X21),0,HLOOKUP(N$21,$U$4:$AF$17,$B17)))</f>
        <v>1900</v>
      </c>
      <c r="O35" s="56">
        <f>IF(O$23&lt;'A&amp;Rs'!$V21,HLOOKUP(O$21,$F$4:$Q$17,$B17),IF(AND(O$23&gt;='A&amp;Rs'!$V21,O$23&lt;'A&amp;Rs'!$X21),0,HLOOKUP(O$21,$U$4:$AF$17,$B17)))</f>
        <v>1900</v>
      </c>
      <c r="P35" s="56">
        <f>IF(P$23&lt;'A&amp;Rs'!$V21,HLOOKUP(P$21,$F$4:$Q$17,$B17),IF(AND(P$23&gt;='A&amp;Rs'!$V21,P$23&lt;'A&amp;Rs'!$X21),0,HLOOKUP(P$21,$U$4:$AF$17,$B17)))</f>
        <v>1900</v>
      </c>
      <c r="Q35" s="56">
        <f>IF(Q$23&lt;'A&amp;Rs'!$V21,HLOOKUP(Q$21,$F$4:$Q$17,$B17),IF(AND(Q$23&gt;='A&amp;Rs'!$V21,Q$23&lt;'A&amp;Rs'!$X21),0,HLOOKUP(Q$21,$U$4:$AF$17,$B17)))</f>
        <v>1900</v>
      </c>
      <c r="R35" s="56">
        <f>IF(R$23&lt;'A&amp;Rs'!$V21,HLOOKUP(R$21,$F$4:$Q$17,$B17),IF(AND(R$23&gt;='A&amp;Rs'!$V21,R$23&lt;'A&amp;Rs'!$X21),0,HLOOKUP(R$21,$U$4:$AF$17,$B17)))</f>
        <v>0</v>
      </c>
      <c r="S35" s="56">
        <f>IF(S$23&lt;'A&amp;Rs'!$V21,HLOOKUP(S$21,$F$4:$Q$17,$B17),IF(AND(S$23&gt;='A&amp;Rs'!$V21,S$23&lt;'A&amp;Rs'!$X21),0,HLOOKUP(S$21,$U$4:$AF$17,$B17)))</f>
        <v>0</v>
      </c>
      <c r="T35" s="56">
        <f>IF(T$23&lt;'A&amp;Rs'!$V21,HLOOKUP(T$21,$F$4:$Q$17,$B17),IF(AND(T$23&gt;='A&amp;Rs'!$V21,T$23&lt;'A&amp;Rs'!$X21),0,HLOOKUP(T$21,$U$4:$AF$17,$B17)))</f>
        <v>0</v>
      </c>
      <c r="U35" s="56">
        <f>IF(U$23&lt;'A&amp;Rs'!$V21,HLOOKUP(U$21,$F$4:$Q$17,$B17),IF(AND(U$23&gt;='A&amp;Rs'!$V21,U$23&lt;'A&amp;Rs'!$X21),0,HLOOKUP(U$21,$U$4:$AF$17,$B17)))</f>
        <v>0</v>
      </c>
      <c r="V35" s="56">
        <f>IF(V$23&lt;'A&amp;Rs'!$V21,HLOOKUP(V$21,$F$4:$Q$17,$B17),IF(AND(V$23&gt;='A&amp;Rs'!$V21,V$23&lt;'A&amp;Rs'!$X21),0,HLOOKUP(V$21,$U$4:$AF$17,$B17)))</f>
        <v>0</v>
      </c>
      <c r="W35" s="56">
        <f>IF(W$23&lt;'A&amp;Rs'!$V21,HLOOKUP(W$21,$F$4:$Q$17,$B17),IF(AND(W$23&gt;='A&amp;Rs'!$V21,W$23&lt;'A&amp;Rs'!$X21),0,HLOOKUP(W$21,$U$4:$AF$17,$B17)))</f>
        <v>2257</v>
      </c>
      <c r="X35" s="56">
        <f>IF(X$23&lt;'A&amp;Rs'!$V21,HLOOKUP(X$21,$F$4:$Q$17,$B17),IF(AND(X$23&gt;='A&amp;Rs'!$V21,X$23&lt;'A&amp;Rs'!$X21),0,HLOOKUP(X$21,$U$4:$AF$17,$B17)))</f>
        <v>2257</v>
      </c>
      <c r="Y35" s="56">
        <f>IF(Y$23&lt;'A&amp;Rs'!$V21,HLOOKUP(Y$21,$F$4:$Q$17,$B17),IF(AND(Y$23&gt;='A&amp;Rs'!$V21,Y$23&lt;'A&amp;Rs'!$X21),0,HLOOKUP(Y$21,$U$4:$AF$17,$B17)))</f>
        <v>2257</v>
      </c>
      <c r="Z35" s="56">
        <f>IF(Z$23&lt;'A&amp;Rs'!$V21,HLOOKUP(Z$21,$F$4:$Q$17,$B17),IF(AND(Z$23&gt;='A&amp;Rs'!$V21,Z$23&lt;'A&amp;Rs'!$X21),0,HLOOKUP(Z$21,$U$4:$AF$17,$B17)))</f>
        <v>2257</v>
      </c>
      <c r="AA35" s="56">
        <f>IF(AA$23&lt;'A&amp;Rs'!$V21,HLOOKUP(AA$21,$F$4:$Q$17,$B17),IF(AND(AA$23&gt;='A&amp;Rs'!$V21,AA$23&lt;'A&amp;Rs'!$X21),0,HLOOKUP(AA$21,$U$4:$AF$17,$B17)))</f>
        <v>2257</v>
      </c>
      <c r="AB35" s="56">
        <f>IF(AB$23&lt;'A&amp;Rs'!$V21,HLOOKUP(AB$21,$F$4:$Q$17,$B17),IF(AND(AB$23&gt;='A&amp;Rs'!$V21,AB$23&lt;'A&amp;Rs'!$X21),0,HLOOKUP(AB$21,$U$4:$AF$17,$B17)))</f>
        <v>2257</v>
      </c>
      <c r="AC35" s="56">
        <f>IF(AC$23&lt;'A&amp;Rs'!$V21,HLOOKUP(AC$21,$F$4:$Q$17,$B17),IF(AND(AC$23&gt;='A&amp;Rs'!$V21,AC$23&lt;'A&amp;Rs'!$X21),0,HLOOKUP(AC$21,$U$4:$AF$17,$B17)))</f>
        <v>2257</v>
      </c>
      <c r="AD35" s="56">
        <f>IF(AD$23&lt;'A&amp;Rs'!$V21,HLOOKUP(AD$21,$F$4:$Q$17,$B17),IF(AND(AD$23&gt;='A&amp;Rs'!$V21,AD$23&lt;'A&amp;Rs'!$X21),0,HLOOKUP(AD$21,$U$4:$AF$17,$B17)))</f>
        <v>2302.14</v>
      </c>
      <c r="AE35" s="56">
        <f>IF(AE$23&lt;'A&amp;Rs'!$V21,HLOOKUP(AE$21,$F$4:$Q$17,$B17),IF(AND(AE$23&gt;='A&amp;Rs'!$V21,AE$23&lt;'A&amp;Rs'!$X21),0,HLOOKUP(AE$21,$U$4:$AF$17,$B17)))</f>
        <v>2302.14</v>
      </c>
      <c r="AF35" s="56">
        <f>IF(AF$23&lt;'A&amp;Rs'!$V21,HLOOKUP(AF$21,$F$4:$Q$17,$B17),IF(AND(AF$23&gt;='A&amp;Rs'!$V21,AF$23&lt;'A&amp;Rs'!$X21),0,HLOOKUP(AF$21,$U$4:$AF$17,$B17)))</f>
        <v>2302.14</v>
      </c>
      <c r="AG35" s="56">
        <f>IF(AG$23&lt;'A&amp;Rs'!$V21,HLOOKUP(AG$21,$F$4:$Q$17,$B17),IF(AND(AG$23&gt;='A&amp;Rs'!$V21,AG$23&lt;'A&amp;Rs'!$X21),0,HLOOKUP(AG$21,$U$4:$AF$17,$B17)))</f>
        <v>2302.14</v>
      </c>
      <c r="AH35" s="56">
        <f>IF(AH$23&lt;'A&amp;Rs'!$V21,HLOOKUP(AH$21,$F$4:$Q$17,$B17),IF(AND(AH$23&gt;='A&amp;Rs'!$V21,AH$23&lt;'A&amp;Rs'!$X21),0,HLOOKUP(AH$21,$U$4:$AF$17,$B17)))</f>
        <v>2302.14</v>
      </c>
      <c r="AI35" s="56">
        <f>IF(AI$23&lt;'A&amp;Rs'!$V21,HLOOKUP(AI$21,$F$4:$Q$17,$B17),IF(AND(AI$23&gt;='A&amp;Rs'!$V21,AI$23&lt;'A&amp;Rs'!$X21),0,HLOOKUP(AI$21,$U$4:$AF$17,$B17)))</f>
        <v>2302.14</v>
      </c>
      <c r="AJ35" s="56">
        <f>IF(AJ$23&lt;'A&amp;Rs'!$V21,HLOOKUP(AJ$21,$F$4:$Q$17,$B17),IF(AND(AJ$23&gt;='A&amp;Rs'!$V21,AJ$23&lt;'A&amp;Rs'!$X21),0,HLOOKUP(AJ$21,$U$4:$AF$17,$B17)))</f>
        <v>2302.14</v>
      </c>
      <c r="AK35" s="56">
        <f>IF(AK$23&lt;'A&amp;Rs'!$V21,HLOOKUP(AK$21,$F$4:$Q$17,$B17),IF(AND(AK$23&gt;='A&amp;Rs'!$V21,AK$23&lt;'A&amp;Rs'!$X21),0,HLOOKUP(AK$21,$U$4:$AF$17,$B17)))</f>
        <v>2302.14</v>
      </c>
      <c r="AL35" s="56">
        <f>IF(AL$23&lt;'A&amp;Rs'!$V21,HLOOKUP(AL$21,$F$4:$Q$17,$B17),IF(AND(AL$23&gt;='A&amp;Rs'!$V21,AL$23&lt;'A&amp;Rs'!$X21),0,HLOOKUP(AL$21,$U$4:$AF$17,$B17)))</f>
        <v>2302.14</v>
      </c>
      <c r="AM35" s="56">
        <f>IF(AM$23&lt;'A&amp;Rs'!$V21,HLOOKUP(AM$21,$F$4:$Q$17,$B17),IF(AND(AM$23&gt;='A&amp;Rs'!$V21,AM$23&lt;'A&amp;Rs'!$X21),0,HLOOKUP(AM$21,$U$4:$AF$17,$B17)))</f>
        <v>2302.14</v>
      </c>
      <c r="AN35" s="56">
        <f>IF(AN$23&lt;'A&amp;Rs'!$V21,HLOOKUP(AN$21,$F$4:$Q$17,$B17),IF(AND(AN$23&gt;='A&amp;Rs'!$V21,AN$23&lt;'A&amp;Rs'!$X21),0,HLOOKUP(AN$21,$U$4:$AF$17,$B17)))</f>
        <v>2302.14</v>
      </c>
      <c r="AO35" s="56">
        <f>IF(AO$23&lt;'A&amp;Rs'!$V21,HLOOKUP(AO$21,$F$4:$Q$17,$B17),IF(AND(AO$23&gt;='A&amp;Rs'!$V21,AO$23&lt;'A&amp;Rs'!$X21),0,HLOOKUP(AO$21,$U$4:$AF$17,$B17)))</f>
        <v>2302.14</v>
      </c>
      <c r="AP35" s="56">
        <f>IF(AP$23&lt;'A&amp;Rs'!$V21,HLOOKUP(AP$21,$F$4:$Q$17,$B17),IF(AND(AP$23&gt;='A&amp;Rs'!$V21,AP$23&lt;'A&amp;Rs'!$X21),0,HLOOKUP(AP$21,$U$4:$AF$17,$B17)))</f>
        <v>2371.2042000000001</v>
      </c>
      <c r="AQ35" s="56">
        <f>IF(AQ$23&lt;'A&amp;Rs'!$V21,HLOOKUP(AQ$21,$F$4:$Q$17,$B17),IF(AND(AQ$23&gt;='A&amp;Rs'!$V21,AQ$23&lt;'A&amp;Rs'!$X21),0,HLOOKUP(AQ$21,$U$4:$AF$17,$B17)))</f>
        <v>2371.2042000000001</v>
      </c>
      <c r="AR35" s="56">
        <f>IF(AR$23&lt;'A&amp;Rs'!$V21,HLOOKUP(AR$21,$F$4:$Q$17,$B17),IF(AND(AR$23&gt;='A&amp;Rs'!$V21,AR$23&lt;'A&amp;Rs'!$X21),0,HLOOKUP(AR$21,$U$4:$AF$17,$B17)))</f>
        <v>2371.2042000000001</v>
      </c>
      <c r="AS35" s="56">
        <f>IF(AS$23&lt;'A&amp;Rs'!$V21,HLOOKUP(AS$21,$F$4:$Q$17,$B17),IF(AND(AS$23&gt;='A&amp;Rs'!$V21,AS$23&lt;'A&amp;Rs'!$X21),0,HLOOKUP(AS$21,$U$4:$AF$17,$B17)))</f>
        <v>2371.2042000000001</v>
      </c>
      <c r="AT35" s="56">
        <f>IF(AT$23&lt;'A&amp;Rs'!$V21,HLOOKUP(AT$21,$F$4:$Q$17,$B17),IF(AND(AT$23&gt;='A&amp;Rs'!$V21,AT$23&lt;'A&amp;Rs'!$X21),0,HLOOKUP(AT$21,$U$4:$AF$17,$B17)))</f>
        <v>2371.2042000000001</v>
      </c>
      <c r="AU35" s="56">
        <f>IF(AU$23&lt;'A&amp;Rs'!$V21,HLOOKUP(AU$21,$F$4:$Q$17,$B17),IF(AND(AU$23&gt;='A&amp;Rs'!$V21,AU$23&lt;'A&amp;Rs'!$X21),0,HLOOKUP(AU$21,$U$4:$AF$17,$B17)))</f>
        <v>2371.2042000000001</v>
      </c>
      <c r="AV35" s="56">
        <f>IF(AV$23&lt;'A&amp;Rs'!$V21,HLOOKUP(AV$21,$F$4:$Q$17,$B17),IF(AND(AV$23&gt;='A&amp;Rs'!$V21,AV$23&lt;'A&amp;Rs'!$X21),0,HLOOKUP(AV$21,$U$4:$AF$17,$B17)))</f>
        <v>2371.2042000000001</v>
      </c>
      <c r="AW35" s="56">
        <f>IF(AW$23&lt;'A&amp;Rs'!$V21,HLOOKUP(AW$21,$F$4:$Q$17,$B17),IF(AND(AW$23&gt;='A&amp;Rs'!$V21,AW$23&lt;'A&amp;Rs'!$X21),0,HLOOKUP(AW$21,$U$4:$AF$17,$B17)))</f>
        <v>2371.2042000000001</v>
      </c>
      <c r="AX35" s="56">
        <f>IF(AX$23&lt;'A&amp;Rs'!$V21,HLOOKUP(AX$21,$F$4:$Q$17,$B17),IF(AND(AX$23&gt;='A&amp;Rs'!$V21,AX$23&lt;'A&amp;Rs'!$X21),0,HLOOKUP(AX$21,$U$4:$AF$17,$B17)))</f>
        <v>2371.2042000000001</v>
      </c>
      <c r="AY35" s="56">
        <f>IF(AY$23&lt;'A&amp;Rs'!$V21,HLOOKUP(AY$21,$F$4:$Q$17,$B17),IF(AND(AY$23&gt;='A&amp;Rs'!$V21,AY$23&lt;'A&amp;Rs'!$X21),0,HLOOKUP(AY$21,$U$4:$AF$17,$B17)))</f>
        <v>2371.2042000000001</v>
      </c>
      <c r="AZ35" s="56">
        <f>IF(AZ$23&lt;'A&amp;Rs'!$V21,HLOOKUP(AZ$21,$F$4:$Q$17,$B17),IF(AND(AZ$23&gt;='A&amp;Rs'!$V21,AZ$23&lt;'A&amp;Rs'!$X21),0,HLOOKUP(AZ$21,$U$4:$AF$17,$B17)))</f>
        <v>2371.2042000000001</v>
      </c>
      <c r="BA35" s="56">
        <f>IF(BA$23&lt;'A&amp;Rs'!$V21,HLOOKUP(BA$21,$F$4:$Q$17,$B17),IF(AND(BA$23&gt;='A&amp;Rs'!$V21,BA$23&lt;'A&amp;Rs'!$X21),0,HLOOKUP(BA$21,$U$4:$AF$17,$B17)))</f>
        <v>2371.2042000000001</v>
      </c>
      <c r="BB35" s="56">
        <f>IF(BB$23&lt;'A&amp;Rs'!$V21,HLOOKUP(BB$21,$F$4:$Q$17,$B17),IF(AND(BB$23&gt;='A&amp;Rs'!$V21,BB$23&lt;'A&amp;Rs'!$X21),0,HLOOKUP(BB$21,$U$4:$AF$17,$B17)))</f>
        <v>2442.340326</v>
      </c>
      <c r="BC35" s="56">
        <f>IF(BC$23&lt;'A&amp;Rs'!$V21,HLOOKUP(BC$21,$F$4:$Q$17,$B17),IF(AND(BC$23&gt;='A&amp;Rs'!$V21,BC$23&lt;'A&amp;Rs'!$X21),0,HLOOKUP(BC$21,$U$4:$AF$17,$B17)))</f>
        <v>2442.340326</v>
      </c>
      <c r="BD35" s="56">
        <f>IF(BD$23&lt;'A&amp;Rs'!$V21,HLOOKUP(BD$21,$F$4:$Q$17,$B17),IF(AND(BD$23&gt;='A&amp;Rs'!$V21,BD$23&lt;'A&amp;Rs'!$X21),0,HLOOKUP(BD$21,$U$4:$AF$17,$B17)))</f>
        <v>2442.340326</v>
      </c>
      <c r="BE35" s="56">
        <f>IF(BE$23&lt;'A&amp;Rs'!$V21,HLOOKUP(BE$21,$F$4:$Q$17,$B17),IF(AND(BE$23&gt;='A&amp;Rs'!$V21,BE$23&lt;'A&amp;Rs'!$X21),0,HLOOKUP(BE$21,$U$4:$AF$17,$B17)))</f>
        <v>2442.340326</v>
      </c>
      <c r="BF35" s="56">
        <f>IF(BF$23&lt;'A&amp;Rs'!$V21,HLOOKUP(BF$21,$F$4:$Q$17,$B17),IF(AND(BF$23&gt;='A&amp;Rs'!$V21,BF$23&lt;'A&amp;Rs'!$X21),0,HLOOKUP(BF$21,$U$4:$AF$17,$B17)))</f>
        <v>2442.340326</v>
      </c>
      <c r="BG35" s="56">
        <f>IF(BG$23&lt;'A&amp;Rs'!$V21,HLOOKUP(BG$21,$F$4:$Q$17,$B17),IF(AND(BG$23&gt;='A&amp;Rs'!$V21,BG$23&lt;'A&amp;Rs'!$X21),0,HLOOKUP(BG$21,$U$4:$AF$17,$B17)))</f>
        <v>2442.340326</v>
      </c>
      <c r="BH35" s="56">
        <f>IF(BH$23&lt;'A&amp;Rs'!$V21,HLOOKUP(BH$21,$F$4:$Q$17,$B17),IF(AND(BH$23&gt;='A&amp;Rs'!$V21,BH$23&lt;'A&amp;Rs'!$X21),0,HLOOKUP(BH$21,$U$4:$AF$17,$B17)))</f>
        <v>2442.340326</v>
      </c>
      <c r="BI35" s="56">
        <f>IF(BI$23&lt;'A&amp;Rs'!$V21,HLOOKUP(BI$21,$F$4:$Q$17,$B17),IF(AND(BI$23&gt;='A&amp;Rs'!$V21,BI$23&lt;'A&amp;Rs'!$X21),0,HLOOKUP(BI$21,$U$4:$AF$17,$B17)))</f>
        <v>2442.340326</v>
      </c>
      <c r="BJ35" s="56">
        <f>IF(BJ$23&lt;'A&amp;Rs'!$V21,HLOOKUP(BJ$21,$F$4:$Q$17,$B17),IF(AND(BJ$23&gt;='A&amp;Rs'!$V21,BJ$23&lt;'A&amp;Rs'!$X21),0,HLOOKUP(BJ$21,$U$4:$AF$17,$B17)))</f>
        <v>2442.340326</v>
      </c>
      <c r="BK35" s="56">
        <f>IF(BK$23&lt;'A&amp;Rs'!$V21,HLOOKUP(BK$21,$F$4:$Q$17,$B17),IF(AND(BK$23&gt;='A&amp;Rs'!$V21,BK$23&lt;'A&amp;Rs'!$X21),0,HLOOKUP(BK$21,$U$4:$AF$17,$B17)))</f>
        <v>2442.340326</v>
      </c>
      <c r="BL35" s="56">
        <f>IF(BL$23&lt;'A&amp;Rs'!$V21,HLOOKUP(BL$21,$F$4:$Q$17,$B17),IF(AND(BL$23&gt;='A&amp;Rs'!$V21,BL$23&lt;'A&amp;Rs'!$X21),0,HLOOKUP(BL$21,$U$4:$AF$17,$B17)))</f>
        <v>2442.340326</v>
      </c>
      <c r="BM35" s="56">
        <f>IF(BM$23&lt;'A&amp;Rs'!$V21,HLOOKUP(BM$21,$F$4:$Q$17,$B17),IF(AND(BM$23&gt;='A&amp;Rs'!$V21,BM$23&lt;'A&amp;Rs'!$X21),0,HLOOKUP(BM$21,$U$4:$AF$17,$B17)))</f>
        <v>2442.340326</v>
      </c>
      <c r="BN35" s="56">
        <f>IF(BN$23&lt;'A&amp;Rs'!$V21,HLOOKUP(BN$21,$F$4:$Q$17,$B17),IF(AND(BN$23&gt;='A&amp;Rs'!$V21,BN$23&lt;'A&amp;Rs'!$X21),0,HLOOKUP(BN$21,$U$4:$AF$17,$B17)))</f>
        <v>2442.340326</v>
      </c>
      <c r="BO35" s="56">
        <f>IF(BO$23&lt;'A&amp;Rs'!$V21,HLOOKUP(BO$21,$F$4:$Q$17,$B17),IF(AND(BO$23&gt;='A&amp;Rs'!$V21,BO$23&lt;'A&amp;Rs'!$X21),0,HLOOKUP(BO$21,$U$4:$AF$17,$B17)))</f>
        <v>2442.340326</v>
      </c>
      <c r="BP35" s="56">
        <f>IF(BP$23&lt;'A&amp;Rs'!$V21,HLOOKUP(BP$21,$F$4:$Q$17,$B17),IF(AND(BP$23&gt;='A&amp;Rs'!$V21,BP$23&lt;'A&amp;Rs'!$X21),0,HLOOKUP(BP$21,$U$4:$AF$17,$B17)))</f>
        <v>2442.340326</v>
      </c>
      <c r="BQ35" s="56">
        <f>IF(BQ$23&lt;'A&amp;Rs'!$V21,HLOOKUP(BQ$21,$F$4:$Q$17,$B17),IF(AND(BQ$23&gt;='A&amp;Rs'!$V21,BQ$23&lt;'A&amp;Rs'!$X21),0,HLOOKUP(BQ$21,$U$4:$AF$17,$B17)))</f>
        <v>2442.340326</v>
      </c>
      <c r="BR35" s="56">
        <f>IF(BR$23&lt;'A&amp;Rs'!$V21,HLOOKUP(BR$21,$F$4:$Q$17,$B17),IF(AND(BR$23&gt;='A&amp;Rs'!$V21,BR$23&lt;'A&amp;Rs'!$X21),0,HLOOKUP(BR$21,$U$4:$AF$17,$B17)))</f>
        <v>2442.340326</v>
      </c>
      <c r="BS35" s="56">
        <f>IF(BS$23&lt;'A&amp;Rs'!$V21,HLOOKUP(BS$21,$F$4:$Q$17,$B17),IF(AND(BS$23&gt;='A&amp;Rs'!$V21,BS$23&lt;'A&amp;Rs'!$X21),0,HLOOKUP(BS$21,$U$4:$AF$17,$B17)))</f>
        <v>2442.340326</v>
      </c>
      <c r="BT35" s="56">
        <f>IF(BT$23&lt;'A&amp;Rs'!$V21,HLOOKUP(BT$21,$F$4:$Q$17,$B17),IF(AND(BT$23&gt;='A&amp;Rs'!$V21,BT$23&lt;'A&amp;Rs'!$X21),0,HLOOKUP(BT$21,$U$4:$AF$17,$B17)))</f>
        <v>2442.340326</v>
      </c>
      <c r="BU35" s="56">
        <f>IF(BU$23&lt;'A&amp;Rs'!$V21,HLOOKUP(BU$21,$F$4:$Q$17,$B17),IF(AND(BU$23&gt;='A&amp;Rs'!$V21,BU$23&lt;'A&amp;Rs'!$X21),0,HLOOKUP(BU$21,$U$4:$AF$17,$B17)))</f>
        <v>2442.340326</v>
      </c>
      <c r="BV35" s="56">
        <f>IF(BV$23&lt;'A&amp;Rs'!$V21,HLOOKUP(BV$21,$F$4:$Q$17,$B17),IF(AND(BV$23&gt;='A&amp;Rs'!$V21,BV$23&lt;'A&amp;Rs'!$X21),0,HLOOKUP(BV$21,$U$4:$AF$17,$B17)))</f>
        <v>2442.340326</v>
      </c>
      <c r="BW35" s="56">
        <f>IF(BW$23&lt;'A&amp;Rs'!$V21,HLOOKUP(BW$21,$F$4:$Q$17,$B17),IF(AND(BW$23&gt;='A&amp;Rs'!$V21,BW$23&lt;'A&amp;Rs'!$X21),0,HLOOKUP(BW$21,$U$4:$AF$17,$B17)))</f>
        <v>2442.340326</v>
      </c>
      <c r="BX35" s="56">
        <f>IF(BX$23&lt;'A&amp;Rs'!$V21,HLOOKUP(BX$21,$F$4:$Q$17,$B17),IF(AND(BX$23&gt;='A&amp;Rs'!$V21,BX$23&lt;'A&amp;Rs'!$X21),0,HLOOKUP(BX$21,$U$4:$AF$17,$B17)))</f>
        <v>2442.340326</v>
      </c>
      <c r="BY35" s="56">
        <f>IF(BY$23&lt;'A&amp;Rs'!$V21,HLOOKUP(BY$21,$F$4:$Q$17,$B17),IF(AND(BY$23&gt;='A&amp;Rs'!$V21,BY$23&lt;'A&amp;Rs'!$X21),0,HLOOKUP(BY$21,$U$4:$AF$17,$B17)))</f>
        <v>2442.340326</v>
      </c>
      <c r="BZ35" s="56">
        <f>IF(BZ$23&lt;'A&amp;Rs'!$V21,HLOOKUP(BZ$21,$F$4:$Q$17,$B17),IF(AND(BZ$23&gt;='A&amp;Rs'!$V21,BZ$23&lt;'A&amp;Rs'!$X21),0,HLOOKUP(BZ$21,$U$4:$AF$17,$B17)))</f>
        <v>2466.7637292600002</v>
      </c>
      <c r="CA35" s="56">
        <f>IF(CA$23&lt;'A&amp;Rs'!$V21,HLOOKUP(CA$21,$F$4:$Q$17,$B17),IF(AND(CA$23&gt;='A&amp;Rs'!$V21,CA$23&lt;'A&amp;Rs'!$X21),0,HLOOKUP(CA$21,$U$4:$AF$17,$B17)))</f>
        <v>2466.7637292600002</v>
      </c>
      <c r="CB35" s="56">
        <f>IF(CB$23&lt;'A&amp;Rs'!$V21,HLOOKUP(CB$21,$F$4:$Q$17,$B17),IF(AND(CB$23&gt;='A&amp;Rs'!$V21,CB$23&lt;'A&amp;Rs'!$X21),0,HLOOKUP(CB$21,$U$4:$AF$17,$B17)))</f>
        <v>2466.7637292600002</v>
      </c>
      <c r="CC35" s="56">
        <f>IF(CC$23&lt;'A&amp;Rs'!$V21,HLOOKUP(CC$21,$F$4:$Q$17,$B17),IF(AND(CC$23&gt;='A&amp;Rs'!$V21,CC$23&lt;'A&amp;Rs'!$X21),0,HLOOKUP(CC$21,$U$4:$AF$17,$B17)))</f>
        <v>2466.7637292600002</v>
      </c>
      <c r="CD35" s="56">
        <f>IF(CD$23&lt;'A&amp;Rs'!$V21,HLOOKUP(CD$21,$F$4:$Q$17,$B17),IF(AND(CD$23&gt;='A&amp;Rs'!$V21,CD$23&lt;'A&amp;Rs'!$X21),0,HLOOKUP(CD$21,$U$4:$AF$17,$B17)))</f>
        <v>2466.7637292600002</v>
      </c>
      <c r="CE35" s="56">
        <f>IF(CE$23&lt;'A&amp;Rs'!$V21,HLOOKUP(CE$21,$F$4:$Q$17,$B17),IF(AND(CE$23&gt;='A&amp;Rs'!$V21,CE$23&lt;'A&amp;Rs'!$X21),0,HLOOKUP(CE$21,$U$4:$AF$17,$B17)))</f>
        <v>2466.7637292600002</v>
      </c>
      <c r="CF35" s="56">
        <f>IF(CF$23&lt;'A&amp;Rs'!$V21,HLOOKUP(CF$21,$F$4:$Q$17,$B17),IF(AND(CF$23&gt;='A&amp;Rs'!$V21,CF$23&lt;'A&amp;Rs'!$X21),0,HLOOKUP(CF$21,$U$4:$AF$17,$B17)))</f>
        <v>2466.7637292600002</v>
      </c>
      <c r="CG35" s="56">
        <f>IF(CG$23&lt;'A&amp;Rs'!$V21,HLOOKUP(CG$21,$F$4:$Q$17,$B17),IF(AND(CG$23&gt;='A&amp;Rs'!$V21,CG$23&lt;'A&amp;Rs'!$X21),0,HLOOKUP(CG$21,$U$4:$AF$17,$B17)))</f>
        <v>2466.7637292600002</v>
      </c>
      <c r="CH35" s="56">
        <f>IF(CH$23&lt;'A&amp;Rs'!$V21,HLOOKUP(CH$21,$F$4:$Q$17,$B17),IF(AND(CH$23&gt;='A&amp;Rs'!$V21,CH$23&lt;'A&amp;Rs'!$X21),0,HLOOKUP(CH$21,$U$4:$AF$17,$B17)))</f>
        <v>2466.7637292600002</v>
      </c>
      <c r="CI35" s="56">
        <f>IF(CI$23&lt;'A&amp;Rs'!$V21,HLOOKUP(CI$21,$F$4:$Q$17,$B17),IF(AND(CI$23&gt;='A&amp;Rs'!$V21,CI$23&lt;'A&amp;Rs'!$X21),0,HLOOKUP(CI$21,$U$4:$AF$17,$B17)))</f>
        <v>2466.7637292600002</v>
      </c>
      <c r="CJ35" s="56">
        <f>IF(CJ$23&lt;'A&amp;Rs'!$V21,HLOOKUP(CJ$21,$F$4:$Q$17,$B17),IF(AND(CJ$23&gt;='A&amp;Rs'!$V21,CJ$23&lt;'A&amp;Rs'!$X21),0,HLOOKUP(CJ$21,$U$4:$AF$17,$B17)))</f>
        <v>2466.7637292600002</v>
      </c>
      <c r="CK35" s="56">
        <f>IF(CK$23&lt;'A&amp;Rs'!$V21,HLOOKUP(CK$21,$F$4:$Q$17,$B17),IF(AND(CK$23&gt;='A&amp;Rs'!$V21,CK$23&lt;'A&amp;Rs'!$X21),0,HLOOKUP(CK$21,$U$4:$AF$17,$B17)))</f>
        <v>2466.7637292600002</v>
      </c>
      <c r="CL35" s="56">
        <f>IF(CL$23&lt;'A&amp;Rs'!$V21,HLOOKUP(CL$21,$F$4:$Q$17,$B17),IF(AND(CL$23&gt;='A&amp;Rs'!$V21,CL$23&lt;'A&amp;Rs'!$X21),0,HLOOKUP(CL$21,$U$4:$AF$17,$B17)))</f>
        <v>2540.7666411378004</v>
      </c>
      <c r="CM35" s="56">
        <f>IF(CM$23&lt;'A&amp;Rs'!$V21,HLOOKUP(CM$21,$F$4:$Q$17,$B17),IF(AND(CM$23&gt;='A&amp;Rs'!$V21,CM$23&lt;'A&amp;Rs'!$X21),0,HLOOKUP(CM$21,$U$4:$AF$17,$B17)))</f>
        <v>2540.7666411378004</v>
      </c>
      <c r="CN35" s="56">
        <f>IF(CN$23&lt;'A&amp;Rs'!$V21,HLOOKUP(CN$21,$F$4:$Q$17,$B17),IF(AND(CN$23&gt;='A&amp;Rs'!$V21,CN$23&lt;'A&amp;Rs'!$X21),0,HLOOKUP(CN$21,$U$4:$AF$17,$B17)))</f>
        <v>2540.7666411378004</v>
      </c>
      <c r="CO35" s="56">
        <f>IF(CO$23&lt;'A&amp;Rs'!$V21,HLOOKUP(CO$21,$F$4:$Q$17,$B17),IF(AND(CO$23&gt;='A&amp;Rs'!$V21,CO$23&lt;'A&amp;Rs'!$X21),0,HLOOKUP(CO$21,$U$4:$AF$17,$B17)))</f>
        <v>2540.7666411378004</v>
      </c>
      <c r="CP35" s="56">
        <f>IF(CP$23&lt;'A&amp;Rs'!$V21,HLOOKUP(CP$21,$F$4:$Q$17,$B17),IF(AND(CP$23&gt;='A&amp;Rs'!$V21,CP$23&lt;'A&amp;Rs'!$X21),0,HLOOKUP(CP$21,$U$4:$AF$17,$B17)))</f>
        <v>2540.7666411378004</v>
      </c>
      <c r="CQ35" s="56">
        <f>IF(CQ$23&lt;'A&amp;Rs'!$V21,HLOOKUP(CQ$21,$F$4:$Q$17,$B17),IF(AND(CQ$23&gt;='A&amp;Rs'!$V21,CQ$23&lt;'A&amp;Rs'!$X21),0,HLOOKUP(CQ$21,$U$4:$AF$17,$B17)))</f>
        <v>2540.7666411378004</v>
      </c>
      <c r="CR35" s="56">
        <f>IF(CR$23&lt;'A&amp;Rs'!$V21,HLOOKUP(CR$21,$F$4:$Q$17,$B17),IF(AND(CR$23&gt;='A&amp;Rs'!$V21,CR$23&lt;'A&amp;Rs'!$X21),0,HLOOKUP(CR$21,$U$4:$AF$17,$B17)))</f>
        <v>2540.7666411378004</v>
      </c>
      <c r="CS35" s="56">
        <f>IF(CS$23&lt;'A&amp;Rs'!$V21,HLOOKUP(CS$21,$F$4:$Q$17,$B17),IF(AND(CS$23&gt;='A&amp;Rs'!$V21,CS$23&lt;'A&amp;Rs'!$X21),0,HLOOKUP(CS$21,$U$4:$AF$17,$B17)))</f>
        <v>2540.7666411378004</v>
      </c>
      <c r="CT35" s="56">
        <f>IF(CT$23&lt;'A&amp;Rs'!$V21,HLOOKUP(CT$21,$F$4:$Q$17,$B17),IF(AND(CT$23&gt;='A&amp;Rs'!$V21,CT$23&lt;'A&amp;Rs'!$X21),0,HLOOKUP(CT$21,$U$4:$AF$17,$B17)))</f>
        <v>2540.7666411378004</v>
      </c>
      <c r="CU35" s="56">
        <f>IF(CU$23&lt;'A&amp;Rs'!$V21,HLOOKUP(CU$21,$F$4:$Q$17,$B17),IF(AND(CU$23&gt;='A&amp;Rs'!$V21,CU$23&lt;'A&amp;Rs'!$X21),0,HLOOKUP(CU$21,$U$4:$AF$17,$B17)))</f>
        <v>2540.7666411378004</v>
      </c>
      <c r="CV35" s="56">
        <f>IF(CV$23&lt;'A&amp;Rs'!$V21,HLOOKUP(CV$21,$F$4:$Q$17,$B17),IF(AND(CV$23&gt;='A&amp;Rs'!$V21,CV$23&lt;'A&amp;Rs'!$X21),0,HLOOKUP(CV$21,$U$4:$AF$17,$B17)))</f>
        <v>2540.7666411378004</v>
      </c>
      <c r="CW35" s="56">
        <f>IF(CW$23&lt;'A&amp;Rs'!$V21,HLOOKUP(CW$21,$F$4:$Q$17,$B17),IF(AND(CW$23&gt;='A&amp;Rs'!$V21,CW$23&lt;'A&amp;Rs'!$X21),0,HLOOKUP(CW$21,$U$4:$AF$17,$B17)))</f>
        <v>2540.7666411378004</v>
      </c>
      <c r="CX35" s="56">
        <f>IF(CX$23&lt;'A&amp;Rs'!$V21,HLOOKUP(CX$21,$F$4:$Q$17,$B17),IF(AND(CX$23&gt;='A&amp;Rs'!$V21,CX$23&lt;'A&amp;Rs'!$X21),0,HLOOKUP(CX$21,$U$4:$AF$17,$B17)))</f>
        <v>2591.5819739605563</v>
      </c>
      <c r="CY35" s="56">
        <f>IF(CY$23&lt;'A&amp;Rs'!$V21,HLOOKUP(CY$21,$F$4:$Q$17,$B17),IF(AND(CY$23&gt;='A&amp;Rs'!$V21,CY$23&lt;'A&amp;Rs'!$X21),0,HLOOKUP(CY$21,$U$4:$AF$17,$B17)))</f>
        <v>2591.5819739605563</v>
      </c>
      <c r="CZ35" s="56">
        <f>IF(CZ$23&lt;'A&amp;Rs'!$V21,HLOOKUP(CZ$21,$F$4:$Q$17,$B17),IF(AND(CZ$23&gt;='A&amp;Rs'!$V21,CZ$23&lt;'A&amp;Rs'!$X21),0,HLOOKUP(CZ$21,$U$4:$AF$17,$B17)))</f>
        <v>2591.5819739605563</v>
      </c>
      <c r="DA35" s="56">
        <f>IF(DA$23&lt;'A&amp;Rs'!$V21,HLOOKUP(DA$21,$F$4:$Q$17,$B17),IF(AND(DA$23&gt;='A&amp;Rs'!$V21,DA$23&lt;'A&amp;Rs'!$X21),0,HLOOKUP(DA$21,$U$4:$AF$17,$B17)))</f>
        <v>2591.5819739605563</v>
      </c>
      <c r="DB35" s="56">
        <f>IF(DB$23&lt;'A&amp;Rs'!$V21,HLOOKUP(DB$21,$F$4:$Q$17,$B17),IF(AND(DB$23&gt;='A&amp;Rs'!$V21,DB$23&lt;'A&amp;Rs'!$X21),0,HLOOKUP(DB$21,$U$4:$AF$17,$B17)))</f>
        <v>2591.5819739605563</v>
      </c>
      <c r="DC35" s="56">
        <f>IF(DC$23&lt;'A&amp;Rs'!$V21,HLOOKUP(DC$21,$F$4:$Q$17,$B17),IF(AND(DC$23&gt;='A&amp;Rs'!$V21,DC$23&lt;'A&amp;Rs'!$X21),0,HLOOKUP(DC$21,$U$4:$AF$17,$B17)))</f>
        <v>2591.5819739605563</v>
      </c>
      <c r="DD35" s="56">
        <f>IF(DD$23&lt;'A&amp;Rs'!$V21,HLOOKUP(DD$21,$F$4:$Q$17,$B17),IF(AND(DD$23&gt;='A&amp;Rs'!$V21,DD$23&lt;'A&amp;Rs'!$X21),0,HLOOKUP(DD$21,$U$4:$AF$17,$B17)))</f>
        <v>2591.5819739605563</v>
      </c>
      <c r="DE35" s="56">
        <f>IF(DE$23&lt;'A&amp;Rs'!$V21,HLOOKUP(DE$21,$F$4:$Q$17,$B17),IF(AND(DE$23&gt;='A&amp;Rs'!$V21,DE$23&lt;'A&amp;Rs'!$X21),0,HLOOKUP(DE$21,$U$4:$AF$17,$B17)))</f>
        <v>2591.5819739605563</v>
      </c>
      <c r="DF35" s="56">
        <f>IF(DF$23&lt;'A&amp;Rs'!$V21,HLOOKUP(DF$21,$F$4:$Q$17,$B17),IF(AND(DF$23&gt;='A&amp;Rs'!$V21,DF$23&lt;'A&amp;Rs'!$X21),0,HLOOKUP(DF$21,$U$4:$AF$17,$B17)))</f>
        <v>2591.5819739605563</v>
      </c>
      <c r="DG35" s="56">
        <f>IF(DG$23&lt;'A&amp;Rs'!$V21,HLOOKUP(DG$21,$F$4:$Q$17,$B17),IF(AND(DG$23&gt;='A&amp;Rs'!$V21,DG$23&lt;'A&amp;Rs'!$X21),0,HLOOKUP(DG$21,$U$4:$AF$17,$B17)))</f>
        <v>2591.5819739605563</v>
      </c>
      <c r="DH35" s="56">
        <f>IF(DH$23&lt;'A&amp;Rs'!$V21,HLOOKUP(DH$21,$F$4:$Q$17,$B17),IF(AND(DH$23&gt;='A&amp;Rs'!$V21,DH$23&lt;'A&amp;Rs'!$X21),0,HLOOKUP(DH$21,$U$4:$AF$17,$B17)))</f>
        <v>2591.5819739605563</v>
      </c>
      <c r="DI35" s="56">
        <f>IF(DI$23&lt;'A&amp;Rs'!$V21,HLOOKUP(DI$21,$F$4:$Q$17,$B17),IF(AND(DI$23&gt;='A&amp;Rs'!$V21,DI$23&lt;'A&amp;Rs'!$X21),0,HLOOKUP(DI$21,$U$4:$AF$17,$B17)))</f>
        <v>2591.5819739605563</v>
      </c>
      <c r="DJ35" s="56">
        <f>IF(DJ$23&lt;'A&amp;Rs'!$V21,HLOOKUP(DJ$21,$F$4:$Q$17,$B17),IF(AND(DJ$23&gt;='A&amp;Rs'!$V21,DJ$23&lt;'A&amp;Rs'!$X21),0,HLOOKUP(DJ$21,$U$4:$AF$17,$B17)))</f>
        <v>2617.4977937001618</v>
      </c>
      <c r="DK35" s="56">
        <f>IF(DK$23&lt;'A&amp;Rs'!$V21,HLOOKUP(DK$21,$F$4:$Q$17,$B17),IF(AND(DK$23&gt;='A&amp;Rs'!$V21,DK$23&lt;'A&amp;Rs'!$X21),0,HLOOKUP(DK$21,$U$4:$AF$17,$B17)))</f>
        <v>2617.4977937001618</v>
      </c>
      <c r="DL35" s="56">
        <f>IF(DL$23&lt;'A&amp;Rs'!$V21,HLOOKUP(DL$21,$F$4:$Q$17,$B17),IF(AND(DL$23&gt;='A&amp;Rs'!$V21,DL$23&lt;'A&amp;Rs'!$X21),0,HLOOKUP(DL$21,$U$4:$AF$17,$B17)))</f>
        <v>2617.4977937001618</v>
      </c>
      <c r="DM35" s="56">
        <f>IF(DM$23&lt;'A&amp;Rs'!$V21,HLOOKUP(DM$21,$F$4:$Q$17,$B17),IF(AND(DM$23&gt;='A&amp;Rs'!$V21,DM$23&lt;'A&amp;Rs'!$X21),0,HLOOKUP(DM$21,$U$4:$AF$17,$B17)))</f>
        <v>2617.4977937001618</v>
      </c>
      <c r="DN35" s="56">
        <f>IF(DN$23&lt;'A&amp;Rs'!$V21,HLOOKUP(DN$21,$F$4:$Q$17,$B17),IF(AND(DN$23&gt;='A&amp;Rs'!$V21,DN$23&lt;'A&amp;Rs'!$X21),0,HLOOKUP(DN$21,$U$4:$AF$17,$B17)))</f>
        <v>2617.4977937001618</v>
      </c>
      <c r="DO35" s="56">
        <f>IF(DO$23&lt;'A&amp;Rs'!$V21,HLOOKUP(DO$21,$F$4:$Q$17,$B17),IF(AND(DO$23&gt;='A&amp;Rs'!$V21,DO$23&lt;'A&amp;Rs'!$X21),0,HLOOKUP(DO$21,$U$4:$AF$17,$B17)))</f>
        <v>2617.4977937001618</v>
      </c>
      <c r="DP35" s="56">
        <f>IF(DP$23&lt;'A&amp;Rs'!$V21,HLOOKUP(DP$21,$F$4:$Q$17,$B17),IF(AND(DP$23&gt;='A&amp;Rs'!$V21,DP$23&lt;'A&amp;Rs'!$X21),0,HLOOKUP(DP$21,$U$4:$AF$17,$B17)))</f>
        <v>2617.4977937001618</v>
      </c>
      <c r="DQ35" s="56">
        <f>IF(DQ$23&lt;'A&amp;Rs'!$V21,HLOOKUP(DQ$21,$F$4:$Q$17,$B17),IF(AND(DQ$23&gt;='A&amp;Rs'!$V21,DQ$23&lt;'A&amp;Rs'!$X21),0,HLOOKUP(DQ$21,$U$4:$AF$17,$B17)))</f>
        <v>2617.4977937001618</v>
      </c>
      <c r="DR35" s="56">
        <f>IF(DR$23&lt;'A&amp;Rs'!$V21,HLOOKUP(DR$21,$F$4:$Q$17,$B17),IF(AND(DR$23&gt;='A&amp;Rs'!$V21,DR$23&lt;'A&amp;Rs'!$X21),0,HLOOKUP(DR$21,$U$4:$AF$17,$B17)))</f>
        <v>2617.4977937001618</v>
      </c>
      <c r="DS35" s="56">
        <f>IF(DS$23&lt;'A&amp;Rs'!$V21,HLOOKUP(DS$21,$F$4:$Q$17,$B17),IF(AND(DS$23&gt;='A&amp;Rs'!$V21,DS$23&lt;'A&amp;Rs'!$X21),0,HLOOKUP(DS$21,$U$4:$AF$17,$B17)))</f>
        <v>2617.4977937001618</v>
      </c>
      <c r="DT35" s="56">
        <f>IF(DT$23&lt;'A&amp;Rs'!$V21,HLOOKUP(DT$21,$F$4:$Q$17,$B17),IF(AND(DT$23&gt;='A&amp;Rs'!$V21,DT$23&lt;'A&amp;Rs'!$X21),0,HLOOKUP(DT$21,$U$4:$AF$17,$B17)))</f>
        <v>2617.4977937001618</v>
      </c>
      <c r="DU35" s="56">
        <f>IF(DU$23&lt;'A&amp;Rs'!$V21,HLOOKUP(DU$21,$F$4:$Q$17,$B17),IF(AND(DU$23&gt;='A&amp;Rs'!$V21,DU$23&lt;'A&amp;Rs'!$X21),0,HLOOKUP(DU$21,$U$4:$AF$17,$B17)))</f>
        <v>2617.4977937001618</v>
      </c>
      <c r="DV35" s="56">
        <f>IF(DV$23&lt;'A&amp;Rs'!$V21,HLOOKUP(DV$21,$F$4:$Q$17,$B17),IF(AND(DV$23&gt;='A&amp;Rs'!$V21,DV$23&lt;'A&amp;Rs'!$X21),0,HLOOKUP(DV$21,$U$4:$AF$17,$B17)))</f>
        <v>2643.6727716371634</v>
      </c>
      <c r="DW35" s="56">
        <f>IF(DW$23&lt;'A&amp;Rs'!$V21,HLOOKUP(DW$21,$F$4:$Q$17,$B17),IF(AND(DW$23&gt;='A&amp;Rs'!$V21,DW$23&lt;'A&amp;Rs'!$X21),0,HLOOKUP(DW$21,$U$4:$AF$17,$B17)))</f>
        <v>2643.6727716371634</v>
      </c>
      <c r="DX35" s="56">
        <f>IF(DX$23&lt;'A&amp;Rs'!$V21,HLOOKUP(DX$21,$F$4:$Q$17,$B17),IF(AND(DX$23&gt;='A&amp;Rs'!$V21,DX$23&lt;'A&amp;Rs'!$X21),0,HLOOKUP(DX$21,$U$4:$AF$17,$B17)))</f>
        <v>2643.6727716371634</v>
      </c>
      <c r="DY35" s="56">
        <f>IF(DY$23&lt;'A&amp;Rs'!$V21,HLOOKUP(DY$21,$F$4:$Q$17,$B17),IF(AND(DY$23&gt;='A&amp;Rs'!$V21,DY$23&lt;'A&amp;Rs'!$X21),0,HLOOKUP(DY$21,$U$4:$AF$17,$B17)))</f>
        <v>2643.6727716371634</v>
      </c>
      <c r="DZ35" s="56">
        <f>IF(DZ$23&lt;'A&amp;Rs'!$V21,HLOOKUP(DZ$21,$F$4:$Q$17,$B17),IF(AND(DZ$23&gt;='A&amp;Rs'!$V21,DZ$23&lt;'A&amp;Rs'!$X21),0,HLOOKUP(DZ$21,$U$4:$AF$17,$B17)))</f>
        <v>2643.6727716371634</v>
      </c>
      <c r="EA35" s="56">
        <f>IF(EA$23&lt;'A&amp;Rs'!$V21,HLOOKUP(EA$21,$F$4:$Q$17,$B17),IF(AND(EA$23&gt;='A&amp;Rs'!$V21,EA$23&lt;'A&amp;Rs'!$X21),0,HLOOKUP(EA$21,$U$4:$AF$17,$B17)))</f>
        <v>2643.6727716371634</v>
      </c>
      <c r="EB35" s="56">
        <f>IF(EB$23&lt;'A&amp;Rs'!$V21,HLOOKUP(EB$21,$F$4:$Q$17,$B17),IF(AND(EB$23&gt;='A&amp;Rs'!$V21,EB$23&lt;'A&amp;Rs'!$X21),0,HLOOKUP(EB$21,$U$4:$AF$17,$B17)))</f>
        <v>2643.6727716371634</v>
      </c>
      <c r="EC35" s="56">
        <f>IF(EC$23&lt;'A&amp;Rs'!$V21,HLOOKUP(EC$21,$F$4:$Q$17,$B17),IF(AND(EC$23&gt;='A&amp;Rs'!$V21,EC$23&lt;'A&amp;Rs'!$X21),0,HLOOKUP(EC$21,$U$4:$AF$17,$B17)))</f>
        <v>2643.6727716371634</v>
      </c>
      <c r="ED35" s="56">
        <f>IF(ED$23&lt;'A&amp;Rs'!$V21,HLOOKUP(ED$21,$F$4:$Q$17,$B17),IF(AND(ED$23&gt;='A&amp;Rs'!$V21,ED$23&lt;'A&amp;Rs'!$X21),0,HLOOKUP(ED$21,$U$4:$AF$17,$B17)))</f>
        <v>2643.6727716371634</v>
      </c>
      <c r="EE35" s="56">
        <f>IF(EE$23&lt;'A&amp;Rs'!$V21,HLOOKUP(EE$21,$F$4:$Q$17,$B17),IF(AND(EE$23&gt;='A&amp;Rs'!$V21,EE$23&lt;'A&amp;Rs'!$X21),0,HLOOKUP(EE$21,$U$4:$AF$17,$B17)))</f>
        <v>2643.6727716371634</v>
      </c>
      <c r="EF35" s="56">
        <f>IF(EF$23&lt;'A&amp;Rs'!$V21,HLOOKUP(EF$21,$F$4:$Q$17,$B17),IF(AND(EF$23&gt;='A&amp;Rs'!$V21,EF$23&lt;'A&amp;Rs'!$X21),0,HLOOKUP(EF$21,$U$4:$AF$17,$B17)))</f>
        <v>2643.6727716371634</v>
      </c>
      <c r="EG35" s="56">
        <f>IF(EG$23&lt;'A&amp;Rs'!$V21,HLOOKUP(EG$21,$F$4:$Q$17,$B17),IF(AND(EG$23&gt;='A&amp;Rs'!$V21,EG$23&lt;'A&amp;Rs'!$X21),0,HLOOKUP(EG$21,$U$4:$AF$17,$B17)))</f>
        <v>2643.6727716371634</v>
      </c>
      <c r="EH35" s="56">
        <f>IF(EH$23&lt;'A&amp;Rs'!$V21,HLOOKUP(EH$21,$F$4:$Q$17,$B17),IF(AND(EH$23&gt;='A&amp;Rs'!$V21,EH$23&lt;'A&amp;Rs'!$X21),0,HLOOKUP(EH$21,$U$4:$AF$17,$B17)))</f>
        <v>2670.1094993535348</v>
      </c>
      <c r="EI35" s="56">
        <f>IF(EI$23&lt;'A&amp;Rs'!$V21,HLOOKUP(EI$21,$F$4:$Q$17,$B17),IF(AND(EI$23&gt;='A&amp;Rs'!$V21,EI$23&lt;'A&amp;Rs'!$X21),0,HLOOKUP(EI$21,$U$4:$AF$17,$B17)))</f>
        <v>2670.1094993535348</v>
      </c>
      <c r="EJ35" s="56">
        <f>IF(EJ$23&lt;'A&amp;Rs'!$V21,HLOOKUP(EJ$21,$F$4:$Q$17,$B17),IF(AND(EJ$23&gt;='A&amp;Rs'!$V21,EJ$23&lt;'A&amp;Rs'!$X21),0,HLOOKUP(EJ$21,$U$4:$AF$17,$B17)))</f>
        <v>2670.1094993535348</v>
      </c>
      <c r="EK35" s="56">
        <f>IF(EK$23&lt;'A&amp;Rs'!$V21,HLOOKUP(EK$21,$F$4:$Q$17,$B17),IF(AND(EK$23&gt;='A&amp;Rs'!$V21,EK$23&lt;'A&amp;Rs'!$X21),0,HLOOKUP(EK$21,$U$4:$AF$17,$B17)))</f>
        <v>2670.1094993535348</v>
      </c>
      <c r="EL35" s="56">
        <f>IF(EL$23&lt;'A&amp;Rs'!$V21,HLOOKUP(EL$21,$F$4:$Q$17,$B17),IF(AND(EL$23&gt;='A&amp;Rs'!$V21,EL$23&lt;'A&amp;Rs'!$X21),0,HLOOKUP(EL$21,$U$4:$AF$17,$B17)))</f>
        <v>2670.1094993535348</v>
      </c>
      <c r="EM35" s="56">
        <f>IF(EM$23&lt;'A&amp;Rs'!$V21,HLOOKUP(EM$21,$F$4:$Q$17,$B17),IF(AND(EM$23&gt;='A&amp;Rs'!$V21,EM$23&lt;'A&amp;Rs'!$X21),0,HLOOKUP(EM$21,$U$4:$AF$17,$B17)))</f>
        <v>2670.1094993535348</v>
      </c>
      <c r="EN35" s="56">
        <f>IF(EN$23&lt;'A&amp;Rs'!$V21,HLOOKUP(EN$21,$F$4:$Q$17,$B17),IF(AND(EN$23&gt;='A&amp;Rs'!$V21,EN$23&lt;'A&amp;Rs'!$X21),0,HLOOKUP(EN$21,$U$4:$AF$17,$B17)))</f>
        <v>2670.1094993535348</v>
      </c>
      <c r="EO35" s="56">
        <f>IF(EO$23&lt;'A&amp;Rs'!$V21,HLOOKUP(EO$21,$F$4:$Q$17,$B17),IF(AND(EO$23&gt;='A&amp;Rs'!$V21,EO$23&lt;'A&amp;Rs'!$X21),0,HLOOKUP(EO$21,$U$4:$AF$17,$B17)))</f>
        <v>2670.1094993535348</v>
      </c>
      <c r="EP35" s="56">
        <f>IF(EP$23&lt;'A&amp;Rs'!$V21,HLOOKUP(EP$21,$F$4:$Q$17,$B17),IF(AND(EP$23&gt;='A&amp;Rs'!$V21,EP$23&lt;'A&amp;Rs'!$X21),0,HLOOKUP(EP$21,$U$4:$AF$17,$B17)))</f>
        <v>2670.1094993535348</v>
      </c>
      <c r="EQ35" s="56">
        <f>IF(EQ$23&lt;'A&amp;Rs'!$V21,HLOOKUP(EQ$21,$F$4:$Q$17,$B17),IF(AND(EQ$23&gt;='A&amp;Rs'!$V21,EQ$23&lt;'A&amp;Rs'!$X21),0,HLOOKUP(EQ$21,$U$4:$AF$17,$B17)))</f>
        <v>2670.1094993535348</v>
      </c>
      <c r="ER35" s="56">
        <f>IF(ER$23&lt;'A&amp;Rs'!$V21,HLOOKUP(ER$21,$F$4:$Q$17,$B17),IF(AND(ER$23&gt;='A&amp;Rs'!$V21,ER$23&lt;'A&amp;Rs'!$X21),0,HLOOKUP(ER$21,$U$4:$AF$17,$B17)))</f>
        <v>2670.1094993535348</v>
      </c>
      <c r="ES35" s="56">
        <f>IF(ES$23&lt;'A&amp;Rs'!$V21,HLOOKUP(ES$21,$F$4:$Q$17,$B17),IF(AND(ES$23&gt;='A&amp;Rs'!$V21,ES$23&lt;'A&amp;Rs'!$X21),0,HLOOKUP(ES$21,$U$4:$AF$17,$B17)))</f>
        <v>2670.1094993535348</v>
      </c>
      <c r="ET35" s="56">
        <f>IF(ET$23&lt;'A&amp;Rs'!$V21,HLOOKUP(ET$21,$F$4:$Q$17,$B17),IF(AND(ET$23&gt;='A&amp;Rs'!$V21,ET$23&lt;'A&amp;Rs'!$X21),0,HLOOKUP(ET$21,$U$4:$AF$17,$B17)))</f>
        <v>2670.1094993535348</v>
      </c>
      <c r="EU35" s="56">
        <f>IF(EU$23&lt;'A&amp;Rs'!$V21,HLOOKUP(EU$21,$F$4:$Q$17,$B17),IF(AND(EU$23&gt;='A&amp;Rs'!$V21,EU$23&lt;'A&amp;Rs'!$X21),0,HLOOKUP(EU$21,$U$4:$AF$17,$B17)))</f>
        <v>2670.1094993535348</v>
      </c>
      <c r="EV35" s="56">
        <f>IF(EV$23&lt;'A&amp;Rs'!$V21,HLOOKUP(EV$21,$F$4:$Q$17,$B17),IF(AND(EV$23&gt;='A&amp;Rs'!$V21,EV$23&lt;'A&amp;Rs'!$X21),0,HLOOKUP(EV$21,$U$4:$AF$17,$B17)))</f>
        <v>2670.1094993535348</v>
      </c>
      <c r="EW35" s="56">
        <f>IF(EW$23&lt;'A&amp;Rs'!$V21,HLOOKUP(EW$21,$F$4:$Q$17,$B17),IF(AND(EW$23&gt;='A&amp;Rs'!$V21,EW$23&lt;'A&amp;Rs'!$X21),0,HLOOKUP(EW$21,$U$4:$AF$17,$B17)))</f>
        <v>2670.1094993535348</v>
      </c>
      <c r="EX35" s="56">
        <f>IF(EX$23&lt;'A&amp;Rs'!$V21,HLOOKUP(EX$21,$F$4:$Q$17,$B17),IF(AND(EX$23&gt;='A&amp;Rs'!$V21,EX$23&lt;'A&amp;Rs'!$X21),0,HLOOKUP(EX$21,$U$4:$AF$17,$B17)))</f>
        <v>2670.1094993535348</v>
      </c>
      <c r="EY35" s="56">
        <f>IF(EY$23&lt;'A&amp;Rs'!$V21,HLOOKUP(EY$21,$F$4:$Q$17,$B17),IF(AND(EY$23&gt;='A&amp;Rs'!$V21,EY$23&lt;'A&amp;Rs'!$X21),0,HLOOKUP(EY$21,$U$4:$AF$17,$B17)))</f>
        <v>2670.1094993535348</v>
      </c>
      <c r="EZ35" s="56">
        <f>IF(EZ$23&lt;'A&amp;Rs'!$V21,HLOOKUP(EZ$21,$F$4:$Q$17,$B17),IF(AND(EZ$23&gt;='A&amp;Rs'!$V21,EZ$23&lt;'A&amp;Rs'!$X21),0,HLOOKUP(EZ$21,$U$4:$AF$17,$B17)))</f>
        <v>2670.1094993535348</v>
      </c>
      <c r="FA35" s="56">
        <f>IF(FA$23&lt;'A&amp;Rs'!$V21,HLOOKUP(FA$21,$F$4:$Q$17,$B17),IF(AND(FA$23&gt;='A&amp;Rs'!$V21,FA$23&lt;'A&amp;Rs'!$X21),0,HLOOKUP(FA$21,$U$4:$AF$17,$B17)))</f>
        <v>2670.1094993535348</v>
      </c>
      <c r="FB35" s="56">
        <f>IF(FB$23&lt;'A&amp;Rs'!$V21,HLOOKUP(FB$21,$F$4:$Q$17,$B17),IF(AND(FB$23&gt;='A&amp;Rs'!$V21,FB$23&lt;'A&amp;Rs'!$X21),0,HLOOKUP(FB$21,$U$4:$AF$17,$B17)))</f>
        <v>2670.1094993535348</v>
      </c>
      <c r="FC35" s="56">
        <f>IF(FC$23&lt;'A&amp;Rs'!$V21,HLOOKUP(FC$21,$F$4:$Q$17,$B17),IF(AND(FC$23&gt;='A&amp;Rs'!$V21,FC$23&lt;'A&amp;Rs'!$X21),0,HLOOKUP(FC$21,$U$4:$AF$17,$B17)))</f>
        <v>2670.1094993535348</v>
      </c>
      <c r="FD35" s="56">
        <f>IF(FD$23&lt;'A&amp;Rs'!$V21,HLOOKUP(FD$21,$F$4:$Q$17,$B17),IF(AND(FD$23&gt;='A&amp;Rs'!$V21,FD$23&lt;'A&amp;Rs'!$X21),0,HLOOKUP(FD$21,$U$4:$AF$17,$B17)))</f>
        <v>2670.1094993535348</v>
      </c>
      <c r="FE35" s="56">
        <f>IF(FE$23&lt;'A&amp;Rs'!$V21,HLOOKUP(FE$21,$F$4:$Q$17,$B17),IF(AND(FE$23&gt;='A&amp;Rs'!$V21,FE$23&lt;'A&amp;Rs'!$X21),0,HLOOKUP(FE$21,$U$4:$AF$17,$B17)))</f>
        <v>2670.1094993535348</v>
      </c>
      <c r="FF35" s="1" t="s">
        <v>39</v>
      </c>
      <c r="FG35" s="1"/>
      <c r="FH35" s="1"/>
      <c r="FI35" s="99"/>
    </row>
    <row r="36" spans="1:165" x14ac:dyDescent="0.3">
      <c r="C36" s="98"/>
      <c r="D36" s="2"/>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3"/>
      <c r="FF36" s="1" t="s">
        <v>39</v>
      </c>
      <c r="FG36" s="1"/>
      <c r="FH36" s="1"/>
      <c r="FI36" s="99"/>
    </row>
    <row r="37" spans="1:165" x14ac:dyDescent="0.3">
      <c r="C37" s="98"/>
      <c r="D37" s="2" t="s">
        <v>64</v>
      </c>
      <c r="E37" s="74">
        <f>IF(E21&lt;='A&amp;Rs'!$K$9,SUM(E24:E35),"")</f>
        <v>17413</v>
      </c>
      <c r="F37" s="74">
        <f>IF(F21&lt;='A&amp;Rs'!$K$9,SUM(F24:F35),"")</f>
        <v>17413</v>
      </c>
      <c r="G37" s="74">
        <f>IF(G21&lt;='A&amp;Rs'!$K$9,SUM(G24:G35),"")</f>
        <v>13873</v>
      </c>
      <c r="H37" s="74">
        <f>IF(H21&lt;='A&amp;Rs'!$K$9,SUM(H24:H35),"")</f>
        <v>13873</v>
      </c>
      <c r="I37" s="74">
        <f>IF(I21&lt;='A&amp;Rs'!$K$9,SUM(I24:I35),"")</f>
        <v>15641</v>
      </c>
      <c r="J37" s="74">
        <f>IF(J21&lt;='A&amp;Rs'!$K$9,SUM(J24:J35),"")</f>
        <v>15641</v>
      </c>
      <c r="K37" s="74">
        <f>IF(K21&lt;='A&amp;Rs'!$K$9,SUM(K24:K35),"")</f>
        <v>14295</v>
      </c>
      <c r="L37" s="74">
        <f>IF(L21&lt;='A&amp;Rs'!$K$9,SUM(L24:L35),"")</f>
        <v>17387</v>
      </c>
      <c r="M37" s="74">
        <f>IF(M21&lt;='A&amp;Rs'!$K$9,SUM(M24:M35),"")</f>
        <v>14494</v>
      </c>
      <c r="N37" s="74">
        <f>IF(N21&lt;='A&amp;Rs'!$K$9,SUM(N24:N35),"")</f>
        <v>12822</v>
      </c>
      <c r="O37" s="74">
        <f>IF(O21&lt;='A&amp;Rs'!$K$9,SUM(O24:O35),"")</f>
        <v>12822</v>
      </c>
      <c r="P37" s="74">
        <f>IF(P21&lt;='A&amp;Rs'!$K$9,SUM(P24:P35),"")</f>
        <v>12822</v>
      </c>
      <c r="Q37" s="74">
        <f>IF(Q21&lt;='A&amp;Rs'!$K$9,SUM(Q24:Q35),"")</f>
        <v>16255</v>
      </c>
      <c r="R37" s="74">
        <f>IF(R21&lt;='A&amp;Rs'!$K$9,SUM(R24:R35),"")</f>
        <v>16842.07</v>
      </c>
      <c r="S37" s="74">
        <f>IF(S21&lt;='A&amp;Rs'!$K$9,SUM(S24:S35),"")</f>
        <v>16842.07</v>
      </c>
      <c r="T37" s="74">
        <f>IF(T21&lt;='A&amp;Rs'!$K$9,SUM(T24:T35),"")</f>
        <v>16842.07</v>
      </c>
      <c r="U37" s="74">
        <f>IF(U21&lt;='A&amp;Rs'!$K$9,SUM(U24:U35),"")</f>
        <v>16842.07</v>
      </c>
      <c r="V37" s="74">
        <f>IF(V21&lt;='A&amp;Rs'!$K$9,SUM(V24:V35),"")</f>
        <v>16842.07</v>
      </c>
      <c r="W37" s="74">
        <f>IF(W21&lt;='A&amp;Rs'!$K$9,SUM(W24:W35),"")</f>
        <v>21339.59</v>
      </c>
      <c r="X37" s="74">
        <f>IF(X21&lt;='A&amp;Rs'!$K$9,SUM(X24:X35),"")</f>
        <v>21339.59</v>
      </c>
      <c r="Y37" s="74">
        <f>IF(Y21&lt;='A&amp;Rs'!$K$9,SUM(Y24:Y35),"")</f>
        <v>21339.59</v>
      </c>
      <c r="Z37" s="74">
        <f>IF(Z21&lt;='A&amp;Rs'!$K$9,SUM(Z24:Z35),"")</f>
        <v>21339.59</v>
      </c>
      <c r="AA37" s="74">
        <f>IF(AA21&lt;='A&amp;Rs'!$K$9,SUM(AA24:AA35),"")</f>
        <v>21339.59</v>
      </c>
      <c r="AB37" s="74">
        <f>IF(AB21&lt;='A&amp;Rs'!$K$9,SUM(AB24:AB35),"")</f>
        <v>21339.59</v>
      </c>
      <c r="AC37" s="74">
        <f>IF(AC21&lt;='A&amp;Rs'!$K$9,SUM(AC24:AC35),"")</f>
        <v>21339.59</v>
      </c>
      <c r="AD37" s="74">
        <f>IF(AD21&lt;='A&amp;Rs'!$K$9,SUM(AD24:AD35),"")</f>
        <v>21766.381799999999</v>
      </c>
      <c r="AE37" s="74">
        <f>IF(AE21&lt;='A&amp;Rs'!$K$9,SUM(AE24:AE35),"")</f>
        <v>21766.381799999999</v>
      </c>
      <c r="AF37" s="74">
        <f>IF(AF21&lt;='A&amp;Rs'!$K$9,SUM(AF24:AF35),"")</f>
        <v>21766.381799999999</v>
      </c>
      <c r="AG37" s="74">
        <f>IF(AG21&lt;='A&amp;Rs'!$K$9,SUM(AG24:AG35),"")</f>
        <v>21766.381799999999</v>
      </c>
      <c r="AH37" s="74">
        <f>IF(AH21&lt;='A&amp;Rs'!$K$9,SUM(AH24:AH35),"")</f>
        <v>21766.381799999999</v>
      </c>
      <c r="AI37" s="74">
        <f>IF(AI21&lt;='A&amp;Rs'!$K$9,SUM(AI24:AI35),"")</f>
        <v>21766.381799999999</v>
      </c>
      <c r="AJ37" s="74">
        <f>IF(AJ21&lt;='A&amp;Rs'!$K$9,SUM(AJ24:AJ35),"")</f>
        <v>21766.381799999999</v>
      </c>
      <c r="AK37" s="74">
        <f>IF(AK21&lt;='A&amp;Rs'!$K$9,SUM(AK24:AK35),"")</f>
        <v>21766.381799999999</v>
      </c>
      <c r="AL37" s="74">
        <f>IF(AL21&lt;='A&amp;Rs'!$K$9,SUM(AL24:AL35),"")</f>
        <v>21766.381799999999</v>
      </c>
      <c r="AM37" s="74">
        <f>IF(AM21&lt;='A&amp;Rs'!$K$9,SUM(AM24:AM35),"")</f>
        <v>21766.381799999999</v>
      </c>
      <c r="AN37" s="74">
        <f>IF(AN21&lt;='A&amp;Rs'!$K$9,SUM(AN24:AN35),"")</f>
        <v>21766.381799999999</v>
      </c>
      <c r="AO37" s="74">
        <f>IF(AO21&lt;='A&amp;Rs'!$K$9,SUM(AO24:AO35),"")</f>
        <v>21766.381799999999</v>
      </c>
      <c r="AP37" s="74">
        <f>IF(AP21&lt;='A&amp;Rs'!$K$9,SUM(AP24:AP35),"")</f>
        <v>22419.373253999998</v>
      </c>
      <c r="AQ37" s="74">
        <f>IF(AQ21&lt;='A&amp;Rs'!$K$9,SUM(AQ24:AQ35),"")</f>
        <v>22419.373253999998</v>
      </c>
      <c r="AR37" s="74">
        <f>IF(AR21&lt;='A&amp;Rs'!$K$9,SUM(AR24:AR35),"")</f>
        <v>22419.373253999998</v>
      </c>
      <c r="AS37" s="74">
        <f>IF(AS21&lt;='A&amp;Rs'!$K$9,SUM(AS24:AS35),"")</f>
        <v>22419.373253999998</v>
      </c>
      <c r="AT37" s="74">
        <f>IF(AT21&lt;='A&amp;Rs'!$K$9,SUM(AT24:AT35),"")</f>
        <v>22419.373253999998</v>
      </c>
      <c r="AU37" s="74">
        <f>IF(AU21&lt;='A&amp;Rs'!$K$9,SUM(AU24:AU35),"")</f>
        <v>22419.373253999998</v>
      </c>
      <c r="AV37" s="74">
        <f>IF(AV21&lt;='A&amp;Rs'!$K$9,SUM(AV24:AV35),"")</f>
        <v>22419.373253999998</v>
      </c>
      <c r="AW37" s="74">
        <f>IF(AW21&lt;='A&amp;Rs'!$K$9,SUM(AW24:AW35),"")</f>
        <v>22419.373253999998</v>
      </c>
      <c r="AX37" s="74">
        <f>IF(AX21&lt;='A&amp;Rs'!$K$9,SUM(AX24:AX35),"")</f>
        <v>22419.373253999998</v>
      </c>
      <c r="AY37" s="74">
        <f>IF(AY21&lt;='A&amp;Rs'!$K$9,SUM(AY24:AY35),"")</f>
        <v>22419.373253999998</v>
      </c>
      <c r="AZ37" s="74">
        <f>IF(AZ21&lt;='A&amp;Rs'!$K$9,SUM(AZ24:AZ35),"")</f>
        <v>22419.373253999998</v>
      </c>
      <c r="BA37" s="74">
        <f>IF(BA21&lt;='A&amp;Rs'!$K$9,SUM(BA24:BA35),"")</f>
        <v>22419.373253999998</v>
      </c>
      <c r="BB37" s="74">
        <f>IF(BB21&lt;='A&amp;Rs'!$K$9,SUM(BB24:BB35),"")</f>
        <v>23091.954451620004</v>
      </c>
      <c r="BC37" s="74">
        <f>IF(BC21&lt;='A&amp;Rs'!$K$9,SUM(BC24:BC35),"")</f>
        <v>23091.954451620004</v>
      </c>
      <c r="BD37" s="74">
        <f>IF(BD21&lt;='A&amp;Rs'!$K$9,SUM(BD24:BD35),"")</f>
        <v>23091.954451620004</v>
      </c>
      <c r="BE37" s="74">
        <f>IF(BE21&lt;='A&amp;Rs'!$K$9,SUM(BE24:BE35),"")</f>
        <v>23091.954451620004</v>
      </c>
      <c r="BF37" s="74">
        <f>IF(BF21&lt;='A&amp;Rs'!$K$9,SUM(BF24:BF35),"")</f>
        <v>23091.954451620004</v>
      </c>
      <c r="BG37" s="74">
        <f>IF(BG21&lt;='A&amp;Rs'!$K$9,SUM(BG24:BG35),"")</f>
        <v>23091.954451620004</v>
      </c>
      <c r="BH37" s="74">
        <f>IF(BH21&lt;='A&amp;Rs'!$K$9,SUM(BH24:BH35),"")</f>
        <v>23091.954451620004</v>
      </c>
      <c r="BI37" s="74">
        <f>IF(BI21&lt;='A&amp;Rs'!$K$9,SUM(BI24:BI35),"")</f>
        <v>23091.954451620004</v>
      </c>
      <c r="BJ37" s="74">
        <f>IF(BJ21&lt;='A&amp;Rs'!$K$9,SUM(BJ24:BJ35),"")</f>
        <v>23091.954451620004</v>
      </c>
      <c r="BK37" s="74">
        <f>IF(BK21&lt;='A&amp;Rs'!$K$9,SUM(BK24:BK35),"")</f>
        <v>23091.954451620004</v>
      </c>
      <c r="BL37" s="74">
        <f>IF(BL21&lt;='A&amp;Rs'!$K$9,SUM(BL24:BL35),"")</f>
        <v>23091.954451620004</v>
      </c>
      <c r="BM37" s="74">
        <f>IF(BM21&lt;='A&amp;Rs'!$K$9,SUM(BM24:BM35),"")</f>
        <v>23091.954451620004</v>
      </c>
      <c r="BN37" s="74" t="str">
        <f>IF(BN21&lt;='A&amp;Rs'!$K$9,SUM(BN24:BN35),"")</f>
        <v/>
      </c>
      <c r="BO37" s="74" t="str">
        <f>IF(BO21&lt;='A&amp;Rs'!$K$9,SUM(BO24:BO35),"")</f>
        <v/>
      </c>
      <c r="BP37" s="74" t="str">
        <f>IF(BP21&lt;='A&amp;Rs'!$K$9,SUM(BP24:BP35),"")</f>
        <v/>
      </c>
      <c r="BQ37" s="74" t="str">
        <f>IF(BQ21&lt;='A&amp;Rs'!$K$9,SUM(BQ24:BQ35),"")</f>
        <v/>
      </c>
      <c r="BR37" s="74" t="str">
        <f>IF(BR21&lt;='A&amp;Rs'!$K$9,SUM(BR24:BR35),"")</f>
        <v/>
      </c>
      <c r="BS37" s="74" t="str">
        <f>IF(BS21&lt;='A&amp;Rs'!$K$9,SUM(BS24:BS35),"")</f>
        <v/>
      </c>
      <c r="BT37" s="74" t="str">
        <f>IF(BT21&lt;='A&amp;Rs'!$K$9,SUM(BT24:BT35),"")</f>
        <v/>
      </c>
      <c r="BU37" s="74" t="str">
        <f>IF(BU21&lt;='A&amp;Rs'!$K$9,SUM(BU24:BU35),"")</f>
        <v/>
      </c>
      <c r="BV37" s="74" t="str">
        <f>IF(BV21&lt;='A&amp;Rs'!$K$9,SUM(BV24:BV35),"")</f>
        <v/>
      </c>
      <c r="BW37" s="74" t="str">
        <f>IF(BW21&lt;='A&amp;Rs'!$K$9,SUM(BW24:BW35),"")</f>
        <v/>
      </c>
      <c r="BX37" s="74" t="str">
        <f>IF(BX21&lt;='A&amp;Rs'!$K$9,SUM(BX24:BX35),"")</f>
        <v/>
      </c>
      <c r="BY37" s="74" t="str">
        <f>IF(BY21&lt;='A&amp;Rs'!$K$9,SUM(BY24:BY35),"")</f>
        <v/>
      </c>
      <c r="BZ37" s="74" t="str">
        <f>IF(BZ21&lt;='A&amp;Rs'!$K$9,SUM(BZ24:BZ35),"")</f>
        <v/>
      </c>
      <c r="CA37" s="74" t="str">
        <f>IF(CA21&lt;='A&amp;Rs'!$K$9,SUM(CA24:CA35),"")</f>
        <v/>
      </c>
      <c r="CB37" s="74" t="str">
        <f>IF(CB21&lt;='A&amp;Rs'!$K$9,SUM(CB24:CB35),"")</f>
        <v/>
      </c>
      <c r="CC37" s="74" t="str">
        <f>IF(CC21&lt;='A&amp;Rs'!$K$9,SUM(CC24:CC35),"")</f>
        <v/>
      </c>
      <c r="CD37" s="74" t="str">
        <f>IF(CD21&lt;='A&amp;Rs'!$K$9,SUM(CD24:CD35),"")</f>
        <v/>
      </c>
      <c r="CE37" s="74" t="str">
        <f>IF(CE21&lt;='A&amp;Rs'!$K$9,SUM(CE24:CE35),"")</f>
        <v/>
      </c>
      <c r="CF37" s="74" t="str">
        <f>IF(CF21&lt;='A&amp;Rs'!$K$9,SUM(CF24:CF35),"")</f>
        <v/>
      </c>
      <c r="CG37" s="74" t="str">
        <f>IF(CG21&lt;='A&amp;Rs'!$K$9,SUM(CG24:CG35),"")</f>
        <v/>
      </c>
      <c r="CH37" s="74" t="str">
        <f>IF(CH21&lt;='A&amp;Rs'!$K$9,SUM(CH24:CH35),"")</f>
        <v/>
      </c>
      <c r="CI37" s="74" t="str">
        <f>IF(CI21&lt;='A&amp;Rs'!$K$9,SUM(CI24:CI35),"")</f>
        <v/>
      </c>
      <c r="CJ37" s="74" t="str">
        <f>IF(CJ21&lt;='A&amp;Rs'!$K$9,SUM(CJ24:CJ35),"")</f>
        <v/>
      </c>
      <c r="CK37" s="74" t="str">
        <f>IF(CK21&lt;='A&amp;Rs'!$K$9,SUM(CK24:CK35),"")</f>
        <v/>
      </c>
      <c r="CL37" s="74" t="str">
        <f>IF(CL21&lt;='A&amp;Rs'!$K$9,SUM(CL24:CL35),"")</f>
        <v/>
      </c>
      <c r="CM37" s="74" t="str">
        <f>IF(CM21&lt;='A&amp;Rs'!$K$9,SUM(CM24:CM35),"")</f>
        <v/>
      </c>
      <c r="CN37" s="74" t="str">
        <f>IF(CN21&lt;='A&amp;Rs'!$K$9,SUM(CN24:CN35),"")</f>
        <v/>
      </c>
      <c r="CO37" s="74" t="str">
        <f>IF(CO21&lt;='A&amp;Rs'!$K$9,SUM(CO24:CO35),"")</f>
        <v/>
      </c>
      <c r="CP37" s="74" t="str">
        <f>IF(CP21&lt;='A&amp;Rs'!$K$9,SUM(CP24:CP35),"")</f>
        <v/>
      </c>
      <c r="CQ37" s="74" t="str">
        <f>IF(CQ21&lt;='A&amp;Rs'!$K$9,SUM(CQ24:CQ35),"")</f>
        <v/>
      </c>
      <c r="CR37" s="74" t="str">
        <f>IF(CR21&lt;='A&amp;Rs'!$K$9,SUM(CR24:CR35),"")</f>
        <v/>
      </c>
      <c r="CS37" s="74" t="str">
        <f>IF(CS21&lt;='A&amp;Rs'!$K$9,SUM(CS24:CS35),"")</f>
        <v/>
      </c>
      <c r="CT37" s="74" t="str">
        <f>IF(CT21&lt;='A&amp;Rs'!$K$9,SUM(CT24:CT35),"")</f>
        <v/>
      </c>
      <c r="CU37" s="74" t="str">
        <f>IF(CU21&lt;='A&amp;Rs'!$K$9,SUM(CU24:CU35),"")</f>
        <v/>
      </c>
      <c r="CV37" s="74" t="str">
        <f>IF(CV21&lt;='A&amp;Rs'!$K$9,SUM(CV24:CV35),"")</f>
        <v/>
      </c>
      <c r="CW37" s="74" t="str">
        <f>IF(CW21&lt;='A&amp;Rs'!$K$9,SUM(CW24:CW35),"")</f>
        <v/>
      </c>
      <c r="CX37" s="74" t="str">
        <f>IF(CX21&lt;='A&amp;Rs'!$K$9,SUM(CX24:CX35),"")</f>
        <v/>
      </c>
      <c r="CY37" s="74" t="str">
        <f>IF(CY21&lt;='A&amp;Rs'!$K$9,SUM(CY24:CY35),"")</f>
        <v/>
      </c>
      <c r="CZ37" s="74" t="str">
        <f>IF(CZ21&lt;='A&amp;Rs'!$K$9,SUM(CZ24:CZ35),"")</f>
        <v/>
      </c>
      <c r="DA37" s="74" t="str">
        <f>IF(DA21&lt;='A&amp;Rs'!$K$9,SUM(DA24:DA35),"")</f>
        <v/>
      </c>
      <c r="DB37" s="74" t="str">
        <f>IF(DB21&lt;='A&amp;Rs'!$K$9,SUM(DB24:DB35),"")</f>
        <v/>
      </c>
      <c r="DC37" s="74" t="str">
        <f>IF(DC21&lt;='A&amp;Rs'!$K$9,SUM(DC24:DC35),"")</f>
        <v/>
      </c>
      <c r="DD37" s="74" t="str">
        <f>IF(DD21&lt;='A&amp;Rs'!$K$9,SUM(DD24:DD35),"")</f>
        <v/>
      </c>
      <c r="DE37" s="74" t="str">
        <f>IF(DE21&lt;='A&amp;Rs'!$K$9,SUM(DE24:DE35),"")</f>
        <v/>
      </c>
      <c r="DF37" s="74" t="str">
        <f>IF(DF21&lt;='A&amp;Rs'!$K$9,SUM(DF24:DF35),"")</f>
        <v/>
      </c>
      <c r="DG37" s="74" t="str">
        <f>IF(DG21&lt;='A&amp;Rs'!$K$9,SUM(DG24:DG35),"")</f>
        <v/>
      </c>
      <c r="DH37" s="74" t="str">
        <f>IF(DH21&lt;='A&amp;Rs'!$K$9,SUM(DH24:DH35),"")</f>
        <v/>
      </c>
      <c r="DI37" s="74" t="str">
        <f>IF(DI21&lt;='A&amp;Rs'!$K$9,SUM(DI24:DI35),"")</f>
        <v/>
      </c>
      <c r="DJ37" s="74" t="str">
        <f>IF(DJ21&lt;='A&amp;Rs'!$K$9,SUM(DJ24:DJ35),"")</f>
        <v/>
      </c>
      <c r="DK37" s="74" t="str">
        <f>IF(DK21&lt;='A&amp;Rs'!$K$9,SUM(DK24:DK35),"")</f>
        <v/>
      </c>
      <c r="DL37" s="74" t="str">
        <f>IF(DL21&lt;='A&amp;Rs'!$K$9,SUM(DL24:DL35),"")</f>
        <v/>
      </c>
      <c r="DM37" s="74" t="str">
        <f>IF(DM21&lt;='A&amp;Rs'!$K$9,SUM(DM24:DM35),"")</f>
        <v/>
      </c>
      <c r="DN37" s="74" t="str">
        <f>IF(DN21&lt;='A&amp;Rs'!$K$9,SUM(DN24:DN35),"")</f>
        <v/>
      </c>
      <c r="DO37" s="74" t="str">
        <f>IF(DO21&lt;='A&amp;Rs'!$K$9,SUM(DO24:DO35),"")</f>
        <v/>
      </c>
      <c r="DP37" s="74" t="str">
        <f>IF(DP21&lt;='A&amp;Rs'!$K$9,SUM(DP24:DP35),"")</f>
        <v/>
      </c>
      <c r="DQ37" s="74" t="str">
        <f>IF(DQ21&lt;='A&amp;Rs'!$K$9,SUM(DQ24:DQ35),"")</f>
        <v/>
      </c>
      <c r="DR37" s="74" t="str">
        <f>IF(DR21&lt;='A&amp;Rs'!$K$9,SUM(DR24:DR35),"")</f>
        <v/>
      </c>
      <c r="DS37" s="74" t="str">
        <f>IF(DS21&lt;='A&amp;Rs'!$K$9,SUM(DS24:DS35),"")</f>
        <v/>
      </c>
      <c r="DT37" s="74" t="str">
        <f>IF(DT21&lt;='A&amp;Rs'!$K$9,SUM(DT24:DT35),"")</f>
        <v/>
      </c>
      <c r="DU37" s="74" t="str">
        <f>IF(DU21&lt;='A&amp;Rs'!$K$9,SUM(DU24:DU35),"")</f>
        <v/>
      </c>
      <c r="DV37" s="74" t="str">
        <f>IF(DV21&lt;='A&amp;Rs'!$K$9,SUM(DV24:DV35),"")</f>
        <v/>
      </c>
      <c r="DW37" s="74" t="str">
        <f>IF(DW21&lt;='A&amp;Rs'!$K$9,SUM(DW24:DW35),"")</f>
        <v/>
      </c>
      <c r="DX37" s="74" t="str">
        <f>IF(DX21&lt;='A&amp;Rs'!$K$9,SUM(DX24:DX35),"")</f>
        <v/>
      </c>
      <c r="DY37" s="74" t="str">
        <f>IF(DY21&lt;='A&amp;Rs'!$K$9,SUM(DY24:DY35),"")</f>
        <v/>
      </c>
      <c r="DZ37" s="74" t="str">
        <f>IF(DZ21&lt;='A&amp;Rs'!$K$9,SUM(DZ24:DZ35),"")</f>
        <v/>
      </c>
      <c r="EA37" s="74" t="str">
        <f>IF(EA21&lt;='A&amp;Rs'!$K$9,SUM(EA24:EA35),"")</f>
        <v/>
      </c>
      <c r="EB37" s="74" t="str">
        <f>IF(EB21&lt;='A&amp;Rs'!$K$9,SUM(EB24:EB35),"")</f>
        <v/>
      </c>
      <c r="EC37" s="74" t="str">
        <f>IF(EC21&lt;='A&amp;Rs'!$K$9,SUM(EC24:EC35),"")</f>
        <v/>
      </c>
      <c r="ED37" s="74" t="str">
        <f>IF(ED21&lt;='A&amp;Rs'!$K$9,SUM(ED24:ED35),"")</f>
        <v/>
      </c>
      <c r="EE37" s="74" t="str">
        <f>IF(EE21&lt;='A&amp;Rs'!$K$9,SUM(EE24:EE35),"")</f>
        <v/>
      </c>
      <c r="EF37" s="74" t="str">
        <f>IF(EF21&lt;='A&amp;Rs'!$K$9,SUM(EF24:EF35),"")</f>
        <v/>
      </c>
      <c r="EG37" s="74" t="str">
        <f>IF(EG21&lt;='A&amp;Rs'!$K$9,SUM(EG24:EG35),"")</f>
        <v/>
      </c>
      <c r="EH37" s="74" t="str">
        <f>IF(EH21&lt;='A&amp;Rs'!$K$9,SUM(EH24:EH35),"")</f>
        <v/>
      </c>
      <c r="EI37" s="74" t="str">
        <f>IF(EI21&lt;='A&amp;Rs'!$K$9,SUM(EI24:EI35),"")</f>
        <v/>
      </c>
      <c r="EJ37" s="74" t="str">
        <f>IF(EJ21&lt;='A&amp;Rs'!$K$9,SUM(EJ24:EJ35),"")</f>
        <v/>
      </c>
      <c r="EK37" s="74" t="str">
        <f>IF(EK21&lt;='A&amp;Rs'!$K$9,SUM(EK24:EK35),"")</f>
        <v/>
      </c>
      <c r="EL37" s="74" t="str">
        <f>IF(EL21&lt;='A&amp;Rs'!$K$9,SUM(EL24:EL35),"")</f>
        <v/>
      </c>
      <c r="EM37" s="74" t="str">
        <f>IF(EM21&lt;='A&amp;Rs'!$K$9,SUM(EM24:EM35),"")</f>
        <v/>
      </c>
      <c r="EN37" s="74" t="str">
        <f>IF(EN21&lt;='A&amp;Rs'!$K$9,SUM(EN24:EN35),"")</f>
        <v/>
      </c>
      <c r="EO37" s="74" t="str">
        <f>IF(EO21&lt;='A&amp;Rs'!$K$9,SUM(EO24:EO35),"")</f>
        <v/>
      </c>
      <c r="EP37" s="74" t="str">
        <f>IF(EP21&lt;='A&amp;Rs'!$K$9,SUM(EP24:EP35),"")</f>
        <v/>
      </c>
      <c r="EQ37" s="74" t="str">
        <f>IF(EQ21&lt;='A&amp;Rs'!$K$9,SUM(EQ24:EQ35),"")</f>
        <v/>
      </c>
      <c r="ER37" s="74" t="str">
        <f>IF(ER21&lt;='A&amp;Rs'!$K$9,SUM(ER24:ER35),"")</f>
        <v/>
      </c>
      <c r="ES37" s="74" t="str">
        <f>IF(ES21&lt;='A&amp;Rs'!$K$9,SUM(ES24:ES35),"")</f>
        <v/>
      </c>
      <c r="ET37" s="74" t="str">
        <f>IF(ET21&lt;='A&amp;Rs'!$K$9,SUM(ET24:ET35),"")</f>
        <v/>
      </c>
      <c r="EU37" s="74" t="str">
        <f>IF(EU21&lt;='A&amp;Rs'!$K$9,SUM(EU24:EU35),"")</f>
        <v/>
      </c>
      <c r="EV37" s="74" t="str">
        <f>IF(EV21&lt;='A&amp;Rs'!$K$9,SUM(EV24:EV35),"")</f>
        <v/>
      </c>
      <c r="EW37" s="74" t="str">
        <f>IF(EW21&lt;='A&amp;Rs'!$K$9,SUM(EW24:EW35),"")</f>
        <v/>
      </c>
      <c r="EX37" s="74" t="str">
        <f>IF(EX21&lt;='A&amp;Rs'!$K$9,SUM(EX24:EX35),"")</f>
        <v/>
      </c>
      <c r="EY37" s="74" t="str">
        <f>IF(EY21&lt;='A&amp;Rs'!$K$9,SUM(EY24:EY35),"")</f>
        <v/>
      </c>
      <c r="EZ37" s="74" t="str">
        <f>IF(EZ21&lt;='A&amp;Rs'!$K$9,SUM(EZ24:EZ35),"")</f>
        <v/>
      </c>
      <c r="FA37" s="74" t="str">
        <f>IF(FA21&lt;='A&amp;Rs'!$K$9,SUM(FA24:FA35),"")</f>
        <v/>
      </c>
      <c r="FB37" s="74" t="str">
        <f>IF(FB21&lt;='A&amp;Rs'!$K$9,SUM(FB24:FB35),"")</f>
        <v/>
      </c>
      <c r="FC37" s="74" t="str">
        <f>IF(FC21&lt;='A&amp;Rs'!$K$9,SUM(FC24:FC35),"")</f>
        <v/>
      </c>
      <c r="FD37" s="74" t="str">
        <f>IF(FD21&lt;='A&amp;Rs'!$K$9,SUM(FD24:FD35),"")</f>
        <v/>
      </c>
      <c r="FE37" s="74" t="str">
        <f>IF(FE21&lt;='A&amp;Rs'!$K$9,SUM(FE24:FE35),"")</f>
        <v/>
      </c>
      <c r="FF37" s="1" t="s">
        <v>39</v>
      </c>
      <c r="FG37" s="1"/>
      <c r="FH37" s="1"/>
      <c r="FI37" s="99"/>
    </row>
    <row r="38" spans="1:165" x14ac:dyDescent="0.3">
      <c r="C38" s="98"/>
      <c r="D38" s="2" t="s">
        <v>65</v>
      </c>
      <c r="E38" s="44">
        <f>IFERROR(E37/'A&amp;Rs'!$S$23,"")</f>
        <v>1.4510833333333333</v>
      </c>
      <c r="F38" s="44">
        <f>IFERROR(F37/'A&amp;Rs'!$S$23,"")</f>
        <v>1.4510833333333333</v>
      </c>
      <c r="G38" s="44">
        <f>IFERROR(G37/'A&amp;Rs'!$S$23,"")</f>
        <v>1.1560833333333334</v>
      </c>
      <c r="H38" s="44">
        <f>IFERROR(H37/'A&amp;Rs'!$S$23,"")</f>
        <v>1.1560833333333334</v>
      </c>
      <c r="I38" s="44">
        <f>IFERROR(I37/'A&amp;Rs'!$S$23,"")</f>
        <v>1.3034166666666667</v>
      </c>
      <c r="J38" s="44">
        <f>IFERROR(J37/'A&amp;Rs'!$S$23,"")</f>
        <v>1.3034166666666667</v>
      </c>
      <c r="K38" s="44">
        <f>IFERROR(K37/'A&amp;Rs'!$S$23,"")</f>
        <v>1.1912499999999999</v>
      </c>
      <c r="L38" s="44">
        <f>IFERROR(L37/'A&amp;Rs'!$S$23,"")</f>
        <v>1.4489166666666666</v>
      </c>
      <c r="M38" s="44">
        <f>IFERROR(M37/'A&amp;Rs'!$S$23,"")</f>
        <v>1.2078333333333333</v>
      </c>
      <c r="N38" s="44">
        <f>IFERROR(N37/'A&amp;Rs'!$S$23,"")</f>
        <v>1.0685</v>
      </c>
      <c r="O38" s="44">
        <f>IFERROR(O37/'A&amp;Rs'!$S$23,"")</f>
        <v>1.0685</v>
      </c>
      <c r="P38" s="44">
        <f>IFERROR(P37/'A&amp;Rs'!$S$23,"")</f>
        <v>1.0685</v>
      </c>
      <c r="Q38" s="44">
        <f>IFERROR(Q37/'A&amp;Rs'!$S$23,"")</f>
        <v>1.3545833333333333</v>
      </c>
      <c r="R38" s="44">
        <f>IFERROR(R37/'A&amp;Rs'!$S$23,"")</f>
        <v>1.4035058333333332</v>
      </c>
      <c r="S38" s="44">
        <f>IFERROR(S37/'A&amp;Rs'!$S$23,"")</f>
        <v>1.4035058333333332</v>
      </c>
      <c r="T38" s="44">
        <f>IFERROR(T37/'A&amp;Rs'!$S$23,"")</f>
        <v>1.4035058333333332</v>
      </c>
      <c r="U38" s="44">
        <f>IFERROR(U37/'A&amp;Rs'!$S$23,"")</f>
        <v>1.4035058333333332</v>
      </c>
      <c r="V38" s="44">
        <f>IFERROR(V37/'A&amp;Rs'!$S$23,"")</f>
        <v>1.4035058333333332</v>
      </c>
      <c r="W38" s="44">
        <f>IFERROR(W37/'A&amp;Rs'!$S$23,"")</f>
        <v>1.7782991666666668</v>
      </c>
      <c r="X38" s="44">
        <f>IFERROR(X37/'A&amp;Rs'!$S$23,"")</f>
        <v>1.7782991666666668</v>
      </c>
      <c r="Y38" s="44">
        <f>IFERROR(Y37/'A&amp;Rs'!$S$23,"")</f>
        <v>1.7782991666666668</v>
      </c>
      <c r="Z38" s="44">
        <f>IFERROR(Z37/'A&amp;Rs'!$S$23,"")</f>
        <v>1.7782991666666668</v>
      </c>
      <c r="AA38" s="44">
        <f>IFERROR(AA37/'A&amp;Rs'!$S$23,"")</f>
        <v>1.7782991666666668</v>
      </c>
      <c r="AB38" s="44">
        <f>IFERROR(AB37/'A&amp;Rs'!$S$23,"")</f>
        <v>1.7782991666666668</v>
      </c>
      <c r="AC38" s="44">
        <f>IFERROR(AC37/'A&amp;Rs'!$S$23,"")</f>
        <v>1.7782991666666668</v>
      </c>
      <c r="AD38" s="44">
        <f>IFERROR(AD37/'A&amp;Rs'!$S$23,"")</f>
        <v>1.81386515</v>
      </c>
      <c r="AE38" s="44">
        <f>IFERROR(AE37/'A&amp;Rs'!$S$23,"")</f>
        <v>1.81386515</v>
      </c>
      <c r="AF38" s="44">
        <f>IFERROR(AF37/'A&amp;Rs'!$S$23,"")</f>
        <v>1.81386515</v>
      </c>
      <c r="AG38" s="44">
        <f>IFERROR(AG37/'A&amp;Rs'!$S$23,"")</f>
        <v>1.81386515</v>
      </c>
      <c r="AH38" s="44">
        <f>IFERROR(AH37/'A&amp;Rs'!$S$23,"")</f>
        <v>1.81386515</v>
      </c>
      <c r="AI38" s="44">
        <f>IFERROR(AI37/'A&amp;Rs'!$S$23,"")</f>
        <v>1.81386515</v>
      </c>
      <c r="AJ38" s="44">
        <f>IFERROR(AJ37/'A&amp;Rs'!$S$23,"")</f>
        <v>1.81386515</v>
      </c>
      <c r="AK38" s="44">
        <f>IFERROR(AK37/'A&amp;Rs'!$S$23,"")</f>
        <v>1.81386515</v>
      </c>
      <c r="AL38" s="44">
        <f>IFERROR(AL37/'A&amp;Rs'!$S$23,"")</f>
        <v>1.81386515</v>
      </c>
      <c r="AM38" s="44">
        <f>IFERROR(AM37/'A&amp;Rs'!$S$23,"")</f>
        <v>1.81386515</v>
      </c>
      <c r="AN38" s="44">
        <f>IFERROR(AN37/'A&amp;Rs'!$S$23,"")</f>
        <v>1.81386515</v>
      </c>
      <c r="AO38" s="44">
        <f>IFERROR(AO37/'A&amp;Rs'!$S$23,"")</f>
        <v>1.81386515</v>
      </c>
      <c r="AP38" s="44">
        <f>IFERROR(AP37/'A&amp;Rs'!$S$23,"")</f>
        <v>1.8682811044999998</v>
      </c>
      <c r="AQ38" s="44">
        <f>IFERROR(AQ37/'A&amp;Rs'!$S$23,"")</f>
        <v>1.8682811044999998</v>
      </c>
      <c r="AR38" s="44">
        <f>IFERROR(AR37/'A&amp;Rs'!$S$23,"")</f>
        <v>1.8682811044999998</v>
      </c>
      <c r="AS38" s="44">
        <f>IFERROR(AS37/'A&amp;Rs'!$S$23,"")</f>
        <v>1.8682811044999998</v>
      </c>
      <c r="AT38" s="44">
        <f>IFERROR(AT37/'A&amp;Rs'!$S$23,"")</f>
        <v>1.8682811044999998</v>
      </c>
      <c r="AU38" s="44">
        <f>IFERROR(AU37/'A&amp;Rs'!$S$23,"")</f>
        <v>1.8682811044999998</v>
      </c>
      <c r="AV38" s="44">
        <f>IFERROR(AV37/'A&amp;Rs'!$S$23,"")</f>
        <v>1.8682811044999998</v>
      </c>
      <c r="AW38" s="44">
        <f>IFERROR(AW37/'A&amp;Rs'!$S$23,"")</f>
        <v>1.8682811044999998</v>
      </c>
      <c r="AX38" s="44">
        <f>IFERROR(AX37/'A&amp;Rs'!$S$23,"")</f>
        <v>1.8682811044999998</v>
      </c>
      <c r="AY38" s="44">
        <f>IFERROR(AY37/'A&amp;Rs'!$S$23,"")</f>
        <v>1.8682811044999998</v>
      </c>
      <c r="AZ38" s="44">
        <f>IFERROR(AZ37/'A&amp;Rs'!$S$23,"")</f>
        <v>1.8682811044999998</v>
      </c>
      <c r="BA38" s="44">
        <f>IFERROR(BA37/'A&amp;Rs'!$S$23,"")</f>
        <v>1.8682811044999998</v>
      </c>
      <c r="BB38" s="44">
        <f>IFERROR(BB37/'A&amp;Rs'!$S$23,"")</f>
        <v>1.9243295376350003</v>
      </c>
      <c r="BC38" s="44">
        <f>IFERROR(BC37/'A&amp;Rs'!$S$23,"")</f>
        <v>1.9243295376350003</v>
      </c>
      <c r="BD38" s="44">
        <f>IFERROR(BD37/'A&amp;Rs'!$S$23,"")</f>
        <v>1.9243295376350003</v>
      </c>
      <c r="BE38" s="44">
        <f>IFERROR(BE37/'A&amp;Rs'!$S$23,"")</f>
        <v>1.9243295376350003</v>
      </c>
      <c r="BF38" s="44">
        <f>IFERROR(BF37/'A&amp;Rs'!$S$23,"")</f>
        <v>1.9243295376350003</v>
      </c>
      <c r="BG38" s="44">
        <f>IFERROR(BG37/'A&amp;Rs'!$S$23,"")</f>
        <v>1.9243295376350003</v>
      </c>
      <c r="BH38" s="44">
        <f>IFERROR(BH37/'A&amp;Rs'!$S$23,"")</f>
        <v>1.9243295376350003</v>
      </c>
      <c r="BI38" s="44">
        <f>IFERROR(BI37/'A&amp;Rs'!$S$23,"")</f>
        <v>1.9243295376350003</v>
      </c>
      <c r="BJ38" s="44">
        <f>IFERROR(BJ37/'A&amp;Rs'!$S$23,"")</f>
        <v>1.9243295376350003</v>
      </c>
      <c r="BK38" s="44">
        <f>IFERROR(BK37/'A&amp;Rs'!$S$23,"")</f>
        <v>1.9243295376350003</v>
      </c>
      <c r="BL38" s="44">
        <f>IFERROR(BL37/'A&amp;Rs'!$S$23,"")</f>
        <v>1.9243295376350003</v>
      </c>
      <c r="BM38" s="44">
        <f>IFERROR(BM37/'A&amp;Rs'!$S$23,"")</f>
        <v>1.9243295376350003</v>
      </c>
      <c r="BN38" s="44" t="str">
        <f>IFERROR(BN37/'A&amp;Rs'!$S$23,"")</f>
        <v/>
      </c>
      <c r="BO38" s="44" t="str">
        <f>IFERROR(BO37/'A&amp;Rs'!$S$23,"")</f>
        <v/>
      </c>
      <c r="BP38" s="44" t="str">
        <f>IFERROR(BP37/'A&amp;Rs'!$S$23,"")</f>
        <v/>
      </c>
      <c r="BQ38" s="44" t="str">
        <f>IFERROR(BQ37/'A&amp;Rs'!$S$23,"")</f>
        <v/>
      </c>
      <c r="BR38" s="44" t="str">
        <f>IFERROR(BR37/'A&amp;Rs'!$S$23,"")</f>
        <v/>
      </c>
      <c r="BS38" s="44" t="str">
        <f>IFERROR(BS37/'A&amp;Rs'!$S$23,"")</f>
        <v/>
      </c>
      <c r="BT38" s="44" t="str">
        <f>IFERROR(BT37/'A&amp;Rs'!$S$23,"")</f>
        <v/>
      </c>
      <c r="BU38" s="44" t="str">
        <f>IFERROR(BU37/'A&amp;Rs'!$S$23,"")</f>
        <v/>
      </c>
      <c r="BV38" s="44" t="str">
        <f>IFERROR(BV37/'A&amp;Rs'!$S$23,"")</f>
        <v/>
      </c>
      <c r="BW38" s="44" t="str">
        <f>IFERROR(BW37/'A&amp;Rs'!$S$23,"")</f>
        <v/>
      </c>
      <c r="BX38" s="44" t="str">
        <f>IFERROR(BX37/'A&amp;Rs'!$S$23,"")</f>
        <v/>
      </c>
      <c r="BY38" s="44" t="str">
        <f>IFERROR(BY37/'A&amp;Rs'!$S$23,"")</f>
        <v/>
      </c>
      <c r="BZ38" s="44" t="str">
        <f>IFERROR(BZ37/'A&amp;Rs'!$S$23,"")</f>
        <v/>
      </c>
      <c r="CA38" s="44" t="str">
        <f>IFERROR(CA37/'A&amp;Rs'!$S$23,"")</f>
        <v/>
      </c>
      <c r="CB38" s="44" t="str">
        <f>IFERROR(CB37/'A&amp;Rs'!$S$23,"")</f>
        <v/>
      </c>
      <c r="CC38" s="44" t="str">
        <f>IFERROR(CC37/'A&amp;Rs'!$S$23,"")</f>
        <v/>
      </c>
      <c r="CD38" s="44" t="str">
        <f>IFERROR(CD37/'A&amp;Rs'!$S$23,"")</f>
        <v/>
      </c>
      <c r="CE38" s="44" t="str">
        <f>IFERROR(CE37/'A&amp;Rs'!$S$23,"")</f>
        <v/>
      </c>
      <c r="CF38" s="44" t="str">
        <f>IFERROR(CF37/'A&amp;Rs'!$S$23,"")</f>
        <v/>
      </c>
      <c r="CG38" s="44" t="str">
        <f>IFERROR(CG37/'A&amp;Rs'!$S$23,"")</f>
        <v/>
      </c>
      <c r="CH38" s="44" t="str">
        <f>IFERROR(CH37/'A&amp;Rs'!$S$23,"")</f>
        <v/>
      </c>
      <c r="CI38" s="44" t="str">
        <f>IFERROR(CI37/'A&amp;Rs'!$S$23,"")</f>
        <v/>
      </c>
      <c r="CJ38" s="44" t="str">
        <f>IFERROR(CJ37/'A&amp;Rs'!$S$23,"")</f>
        <v/>
      </c>
      <c r="CK38" s="44" t="str">
        <f>IFERROR(CK37/'A&amp;Rs'!$S$23,"")</f>
        <v/>
      </c>
      <c r="CL38" s="44" t="str">
        <f>IFERROR(CL37/'A&amp;Rs'!$S$23,"")</f>
        <v/>
      </c>
      <c r="CM38" s="44" t="str">
        <f>IFERROR(CM37/'A&amp;Rs'!$S$23,"")</f>
        <v/>
      </c>
      <c r="CN38" s="44" t="str">
        <f>IFERROR(CN37/'A&amp;Rs'!$S$23,"")</f>
        <v/>
      </c>
      <c r="CO38" s="44" t="str">
        <f>IFERROR(CO37/'A&amp;Rs'!$S$23,"")</f>
        <v/>
      </c>
      <c r="CP38" s="44" t="str">
        <f>IFERROR(CP37/'A&amp;Rs'!$S$23,"")</f>
        <v/>
      </c>
      <c r="CQ38" s="44" t="str">
        <f>IFERROR(CQ37/'A&amp;Rs'!$S$23,"")</f>
        <v/>
      </c>
      <c r="CR38" s="44" t="str">
        <f>IFERROR(CR37/'A&amp;Rs'!$S$23,"")</f>
        <v/>
      </c>
      <c r="CS38" s="44" t="str">
        <f>IFERROR(CS37/'A&amp;Rs'!$S$23,"")</f>
        <v/>
      </c>
      <c r="CT38" s="44" t="str">
        <f>IFERROR(CT37/'A&amp;Rs'!$S$23,"")</f>
        <v/>
      </c>
      <c r="CU38" s="44" t="str">
        <f>IFERROR(CU37/'A&amp;Rs'!$S$23,"")</f>
        <v/>
      </c>
      <c r="CV38" s="44" t="str">
        <f>IFERROR(CV37/'A&amp;Rs'!$S$23,"")</f>
        <v/>
      </c>
      <c r="CW38" s="44" t="str">
        <f>IFERROR(CW37/'A&amp;Rs'!$S$23,"")</f>
        <v/>
      </c>
      <c r="CX38" s="44" t="str">
        <f>IFERROR(CX37/'A&amp;Rs'!$S$23,"")</f>
        <v/>
      </c>
      <c r="CY38" s="44" t="str">
        <f>IFERROR(CY37/'A&amp;Rs'!$S$23,"")</f>
        <v/>
      </c>
      <c r="CZ38" s="44" t="str">
        <f>IFERROR(CZ37/'A&amp;Rs'!$S$23,"")</f>
        <v/>
      </c>
      <c r="DA38" s="44" t="str">
        <f>IFERROR(DA37/'A&amp;Rs'!$S$23,"")</f>
        <v/>
      </c>
      <c r="DB38" s="44" t="str">
        <f>IFERROR(DB37/'A&amp;Rs'!$S$23,"")</f>
        <v/>
      </c>
      <c r="DC38" s="44" t="str">
        <f>IFERROR(DC37/'A&amp;Rs'!$S$23,"")</f>
        <v/>
      </c>
      <c r="DD38" s="44" t="str">
        <f>IFERROR(DD37/'A&amp;Rs'!$S$23,"")</f>
        <v/>
      </c>
      <c r="DE38" s="44" t="str">
        <f>IFERROR(DE37/'A&amp;Rs'!$S$23,"")</f>
        <v/>
      </c>
      <c r="DF38" s="44" t="str">
        <f>IFERROR(DF37/'A&amp;Rs'!$S$23,"")</f>
        <v/>
      </c>
      <c r="DG38" s="44" t="str">
        <f>IFERROR(DG37/'A&amp;Rs'!$S$23,"")</f>
        <v/>
      </c>
      <c r="DH38" s="44" t="str">
        <f>IFERROR(DH37/'A&amp;Rs'!$S$23,"")</f>
        <v/>
      </c>
      <c r="DI38" s="44" t="str">
        <f>IFERROR(DI37/'A&amp;Rs'!$S$23,"")</f>
        <v/>
      </c>
      <c r="DJ38" s="44" t="str">
        <f>IFERROR(DJ37/'A&amp;Rs'!$S$23,"")</f>
        <v/>
      </c>
      <c r="DK38" s="44" t="str">
        <f>IFERROR(DK37/'A&amp;Rs'!$S$23,"")</f>
        <v/>
      </c>
      <c r="DL38" s="44" t="str">
        <f>IFERROR(DL37/'A&amp;Rs'!$S$23,"")</f>
        <v/>
      </c>
      <c r="DM38" s="44" t="str">
        <f>IFERROR(DM37/'A&amp;Rs'!$S$23,"")</f>
        <v/>
      </c>
      <c r="DN38" s="44" t="str">
        <f>IFERROR(DN37/'A&amp;Rs'!$S$23,"")</f>
        <v/>
      </c>
      <c r="DO38" s="44" t="str">
        <f>IFERROR(DO37/'A&amp;Rs'!$S$23,"")</f>
        <v/>
      </c>
      <c r="DP38" s="44" t="str">
        <f>IFERROR(DP37/'A&amp;Rs'!$S$23,"")</f>
        <v/>
      </c>
      <c r="DQ38" s="44" t="str">
        <f>IFERROR(DQ37/'A&amp;Rs'!$S$23,"")</f>
        <v/>
      </c>
      <c r="DR38" s="44" t="str">
        <f>IFERROR(DR37/'A&amp;Rs'!$S$23,"")</f>
        <v/>
      </c>
      <c r="DS38" s="44" t="str">
        <f>IFERROR(DS37/'A&amp;Rs'!$S$23,"")</f>
        <v/>
      </c>
      <c r="DT38" s="44" t="str">
        <f>IFERROR(DT37/'A&amp;Rs'!$S$23,"")</f>
        <v/>
      </c>
      <c r="DU38" s="44" t="str">
        <f>IFERROR(DU37/'A&amp;Rs'!$S$23,"")</f>
        <v/>
      </c>
      <c r="DV38" s="44" t="str">
        <f>IFERROR(DV37/'A&amp;Rs'!$S$23,"")</f>
        <v/>
      </c>
      <c r="DW38" s="44" t="str">
        <f>IFERROR(DW37/'A&amp;Rs'!$S$23,"")</f>
        <v/>
      </c>
      <c r="DX38" s="44" t="str">
        <f>IFERROR(DX37/'A&amp;Rs'!$S$23,"")</f>
        <v/>
      </c>
      <c r="DY38" s="44" t="str">
        <f>IFERROR(DY37/'A&amp;Rs'!$S$23,"")</f>
        <v/>
      </c>
      <c r="DZ38" s="44" t="str">
        <f>IFERROR(DZ37/'A&amp;Rs'!$S$23,"")</f>
        <v/>
      </c>
      <c r="EA38" s="44" t="str">
        <f>IFERROR(EA37/'A&amp;Rs'!$S$23,"")</f>
        <v/>
      </c>
      <c r="EB38" s="44" t="str">
        <f>IFERROR(EB37/'A&amp;Rs'!$S$23,"")</f>
        <v/>
      </c>
      <c r="EC38" s="44" t="str">
        <f>IFERROR(EC37/'A&amp;Rs'!$S$23,"")</f>
        <v/>
      </c>
      <c r="ED38" s="44" t="str">
        <f>IFERROR(ED37/'A&amp;Rs'!$S$23,"")</f>
        <v/>
      </c>
      <c r="EE38" s="44" t="str">
        <f>IFERROR(EE37/'A&amp;Rs'!$S$23,"")</f>
        <v/>
      </c>
      <c r="EF38" s="44" t="str">
        <f>IFERROR(EF37/'A&amp;Rs'!$S$23,"")</f>
        <v/>
      </c>
      <c r="EG38" s="44" t="str">
        <f>IFERROR(EG37/'A&amp;Rs'!$S$23,"")</f>
        <v/>
      </c>
      <c r="EH38" s="44" t="str">
        <f>IFERROR(EH37/'A&amp;Rs'!$S$23,"")</f>
        <v/>
      </c>
      <c r="EI38" s="44" t="str">
        <f>IFERROR(EI37/'A&amp;Rs'!$S$23,"")</f>
        <v/>
      </c>
      <c r="EJ38" s="44" t="str">
        <f>IFERROR(EJ37/'A&amp;Rs'!$S$23,"")</f>
        <v/>
      </c>
      <c r="EK38" s="44" t="str">
        <f>IFERROR(EK37/'A&amp;Rs'!$S$23,"")</f>
        <v/>
      </c>
      <c r="EL38" s="44" t="str">
        <f>IFERROR(EL37/'A&amp;Rs'!$S$23,"")</f>
        <v/>
      </c>
      <c r="EM38" s="44" t="str">
        <f>IFERROR(EM37/'A&amp;Rs'!$S$23,"")</f>
        <v/>
      </c>
      <c r="EN38" s="44" t="str">
        <f>IFERROR(EN37/'A&amp;Rs'!$S$23,"")</f>
        <v/>
      </c>
      <c r="EO38" s="44" t="str">
        <f>IFERROR(EO37/'A&amp;Rs'!$S$23,"")</f>
        <v/>
      </c>
      <c r="EP38" s="44" t="str">
        <f>IFERROR(EP37/'A&amp;Rs'!$S$23,"")</f>
        <v/>
      </c>
      <c r="EQ38" s="44" t="str">
        <f>IFERROR(EQ37/'A&amp;Rs'!$S$23,"")</f>
        <v/>
      </c>
      <c r="ER38" s="44" t="str">
        <f>IFERROR(ER37/'A&amp;Rs'!$S$23,"")</f>
        <v/>
      </c>
      <c r="ES38" s="44" t="str">
        <f>IFERROR(ES37/'A&amp;Rs'!$S$23,"")</f>
        <v/>
      </c>
      <c r="ET38" s="44" t="str">
        <f>IFERROR(ET37/'A&amp;Rs'!$S$23,"")</f>
        <v/>
      </c>
      <c r="EU38" s="44" t="str">
        <f>IFERROR(EU37/'A&amp;Rs'!$S$23,"")</f>
        <v/>
      </c>
      <c r="EV38" s="44" t="str">
        <f>IFERROR(EV37/'A&amp;Rs'!$S$23,"")</f>
        <v/>
      </c>
      <c r="EW38" s="44" t="str">
        <f>IFERROR(EW37/'A&amp;Rs'!$S$23,"")</f>
        <v/>
      </c>
      <c r="EX38" s="44" t="str">
        <f>IFERROR(EX37/'A&amp;Rs'!$S$23,"")</f>
        <v/>
      </c>
      <c r="EY38" s="44" t="str">
        <f>IFERROR(EY37/'A&amp;Rs'!$S$23,"")</f>
        <v/>
      </c>
      <c r="EZ38" s="44" t="str">
        <f>IFERROR(EZ37/'A&amp;Rs'!$S$23,"")</f>
        <v/>
      </c>
      <c r="FA38" s="44" t="str">
        <f>IFERROR(FA37/'A&amp;Rs'!$S$23,"")</f>
        <v/>
      </c>
      <c r="FB38" s="44" t="str">
        <f>IFERROR(FB37/'A&amp;Rs'!$S$23,"")</f>
        <v/>
      </c>
      <c r="FC38" s="44" t="str">
        <f>IFERROR(FC37/'A&amp;Rs'!$S$23,"")</f>
        <v/>
      </c>
      <c r="FD38" s="44" t="str">
        <f>IFERROR(FD37/'A&amp;Rs'!$S$23,"")</f>
        <v/>
      </c>
      <c r="FE38" s="44" t="str">
        <f>IFERROR(FE37/'A&amp;Rs'!$S$23,"")</f>
        <v/>
      </c>
      <c r="FF38" s="1" t="s">
        <v>39</v>
      </c>
      <c r="FG38" s="1"/>
      <c r="FH38" s="1"/>
      <c r="FI38" s="99"/>
    </row>
    <row r="39" spans="1:165" x14ac:dyDescent="0.3">
      <c r="C39" s="98"/>
      <c r="D39" s="8" t="s">
        <v>74</v>
      </c>
      <c r="E39" s="46">
        <f>IF(E21&lt;='A&amp;Rs'!$K$9,E38,"")</f>
        <v>1.4510833333333333</v>
      </c>
      <c r="F39" s="46">
        <f>IF(F21&lt;='A&amp;Rs'!$K$9,F38,"")</f>
        <v>1.4510833333333333</v>
      </c>
      <c r="G39" s="46">
        <f>IF(G21&lt;='A&amp;Rs'!$K$9,G38,"")</f>
        <v>1.1560833333333334</v>
      </c>
      <c r="H39" s="46">
        <f>IF(H21&lt;='A&amp;Rs'!$K$9,H38,"")</f>
        <v>1.1560833333333334</v>
      </c>
      <c r="I39" s="46">
        <f>IF(I21&lt;='A&amp;Rs'!$K$9,I38,"")</f>
        <v>1.3034166666666667</v>
      </c>
      <c r="J39" s="46">
        <f>IF(J21&lt;='A&amp;Rs'!$K$9,J38,"")</f>
        <v>1.3034166666666667</v>
      </c>
      <c r="K39" s="46">
        <f>IF(K21&lt;='A&amp;Rs'!$K$9,K38,"")</f>
        <v>1.1912499999999999</v>
      </c>
      <c r="L39" s="46">
        <f>IF(L21&lt;='A&amp;Rs'!$K$9,L38,"")</f>
        <v>1.4489166666666666</v>
      </c>
      <c r="M39" s="46">
        <f>IF(M21&lt;='A&amp;Rs'!$K$9,M38,"")</f>
        <v>1.2078333333333333</v>
      </c>
      <c r="N39" s="46">
        <f>IF(N21&lt;='A&amp;Rs'!$K$9,N38,"")</f>
        <v>1.0685</v>
      </c>
      <c r="O39" s="46">
        <f>IF(O21&lt;='A&amp;Rs'!$K$9,O38,"")</f>
        <v>1.0685</v>
      </c>
      <c r="P39" s="46">
        <f>IF(P21&lt;='A&amp;Rs'!$K$9,P38,"")</f>
        <v>1.0685</v>
      </c>
      <c r="Q39" s="46">
        <f>IF(Q21&lt;='A&amp;Rs'!$K$9,Q38,"")</f>
        <v>1.3545833333333333</v>
      </c>
      <c r="R39" s="46">
        <f>IF(R21&lt;='A&amp;Rs'!$K$9,R38,"")</f>
        <v>1.4035058333333332</v>
      </c>
      <c r="S39" s="46">
        <f>IF(S21&lt;='A&amp;Rs'!$K$9,S38,"")</f>
        <v>1.4035058333333332</v>
      </c>
      <c r="T39" s="46">
        <f>IF(T21&lt;='A&amp;Rs'!$K$9,T38,"")</f>
        <v>1.4035058333333332</v>
      </c>
      <c r="U39" s="46">
        <f>IF(U21&lt;='A&amp;Rs'!$K$9,U38,"")</f>
        <v>1.4035058333333332</v>
      </c>
      <c r="V39" s="46">
        <f>IF(V21&lt;='A&amp;Rs'!$K$9,V38,"")</f>
        <v>1.4035058333333332</v>
      </c>
      <c r="W39" s="46">
        <f>IF(W21&lt;='A&amp;Rs'!$K$9,W38,"")</f>
        <v>1.7782991666666668</v>
      </c>
      <c r="X39" s="46">
        <f>IF(X21&lt;='A&amp;Rs'!$K$9,X38,"")</f>
        <v>1.7782991666666668</v>
      </c>
      <c r="Y39" s="46">
        <f>IF(Y21&lt;='A&amp;Rs'!$K$9,Y38,"")</f>
        <v>1.7782991666666668</v>
      </c>
      <c r="Z39" s="46">
        <f>IF(Z21&lt;='A&amp;Rs'!$K$9,Z38,"")</f>
        <v>1.7782991666666668</v>
      </c>
      <c r="AA39" s="46">
        <f>IF(AA21&lt;='A&amp;Rs'!$K$9,AA38,"")</f>
        <v>1.7782991666666668</v>
      </c>
      <c r="AB39" s="46">
        <f>IF(AB21&lt;='A&amp;Rs'!$K$9,AB38,"")</f>
        <v>1.7782991666666668</v>
      </c>
      <c r="AC39" s="46">
        <f>IF(AC21&lt;='A&amp;Rs'!$K$9,AC38,"")</f>
        <v>1.7782991666666668</v>
      </c>
      <c r="AD39" s="46">
        <f>IF(AD21&lt;='A&amp;Rs'!$K$9,AD38,"")</f>
        <v>1.81386515</v>
      </c>
      <c r="AE39" s="46">
        <f>IF(AE21&lt;='A&amp;Rs'!$K$9,AE38,"")</f>
        <v>1.81386515</v>
      </c>
      <c r="AF39" s="46">
        <f>IF(AF21&lt;='A&amp;Rs'!$K$9,AF38,"")</f>
        <v>1.81386515</v>
      </c>
      <c r="AG39" s="46">
        <f>IF(AG21&lt;='A&amp;Rs'!$K$9,AG38,"")</f>
        <v>1.81386515</v>
      </c>
      <c r="AH39" s="46">
        <f>IF(AH21&lt;='A&amp;Rs'!$K$9,AH38,"")</f>
        <v>1.81386515</v>
      </c>
      <c r="AI39" s="46">
        <f>IF(AI21&lt;='A&amp;Rs'!$K$9,AI38,"")</f>
        <v>1.81386515</v>
      </c>
      <c r="AJ39" s="46">
        <f>IF(AJ21&lt;='A&amp;Rs'!$K$9,AJ38,"")</f>
        <v>1.81386515</v>
      </c>
      <c r="AK39" s="46">
        <f>IF(AK21&lt;='A&amp;Rs'!$K$9,AK38,"")</f>
        <v>1.81386515</v>
      </c>
      <c r="AL39" s="46">
        <f>IF(AL21&lt;='A&amp;Rs'!$K$9,AL38,"")</f>
        <v>1.81386515</v>
      </c>
      <c r="AM39" s="46">
        <f>IF(AM21&lt;='A&amp;Rs'!$K$9,AM38,"")</f>
        <v>1.81386515</v>
      </c>
      <c r="AN39" s="46">
        <f>IF(AN21&lt;='A&amp;Rs'!$K$9,AN38,"")</f>
        <v>1.81386515</v>
      </c>
      <c r="AO39" s="46">
        <f>IF(AO21&lt;='A&amp;Rs'!$K$9,AO38,"")</f>
        <v>1.81386515</v>
      </c>
      <c r="AP39" s="46">
        <f>IF(AP21&lt;='A&amp;Rs'!$K$9,AP38,"")</f>
        <v>1.8682811044999998</v>
      </c>
      <c r="AQ39" s="46">
        <f>IF(AQ21&lt;='A&amp;Rs'!$K$9,AQ38,"")</f>
        <v>1.8682811044999998</v>
      </c>
      <c r="AR39" s="46">
        <f>IF(AR21&lt;='A&amp;Rs'!$K$9,AR38,"")</f>
        <v>1.8682811044999998</v>
      </c>
      <c r="AS39" s="46">
        <f>IF(AS21&lt;='A&amp;Rs'!$K$9,AS38,"")</f>
        <v>1.8682811044999998</v>
      </c>
      <c r="AT39" s="46">
        <f>IF(AT21&lt;='A&amp;Rs'!$K$9,AT38,"")</f>
        <v>1.8682811044999998</v>
      </c>
      <c r="AU39" s="46">
        <f>IF(AU21&lt;='A&amp;Rs'!$K$9,AU38,"")</f>
        <v>1.8682811044999998</v>
      </c>
      <c r="AV39" s="46">
        <f>IF(AV21&lt;='A&amp;Rs'!$K$9,AV38,"")</f>
        <v>1.8682811044999998</v>
      </c>
      <c r="AW39" s="46">
        <f>IF(AW21&lt;='A&amp;Rs'!$K$9,AW38,"")</f>
        <v>1.8682811044999998</v>
      </c>
      <c r="AX39" s="46">
        <f>IF(AX21&lt;='A&amp;Rs'!$K$9,AX38,"")</f>
        <v>1.8682811044999998</v>
      </c>
      <c r="AY39" s="46">
        <f>IF(AY21&lt;='A&amp;Rs'!$K$9,AY38,"")</f>
        <v>1.8682811044999998</v>
      </c>
      <c r="AZ39" s="46">
        <f>IF(AZ21&lt;='A&amp;Rs'!$K$9,AZ38,"")</f>
        <v>1.8682811044999998</v>
      </c>
      <c r="BA39" s="46">
        <f>IF(BA21&lt;='A&amp;Rs'!$K$9,BA38,"")</f>
        <v>1.8682811044999998</v>
      </c>
      <c r="BB39" s="46">
        <f>IF(BB21&lt;='A&amp;Rs'!$K$9,BB38,"")</f>
        <v>1.9243295376350003</v>
      </c>
      <c r="BC39" s="46">
        <f>IF(BC21&lt;='A&amp;Rs'!$K$9,BC38,"")</f>
        <v>1.9243295376350003</v>
      </c>
      <c r="BD39" s="46">
        <f>IF(BD21&lt;='A&amp;Rs'!$K$9,BD38,"")</f>
        <v>1.9243295376350003</v>
      </c>
      <c r="BE39" s="46">
        <f>IF(BE21&lt;='A&amp;Rs'!$K$9,BE38,"")</f>
        <v>1.9243295376350003</v>
      </c>
      <c r="BF39" s="46">
        <f>IF(BF21&lt;='A&amp;Rs'!$K$9,BF38,"")</f>
        <v>1.9243295376350003</v>
      </c>
      <c r="BG39" s="46">
        <f>IF(BG21&lt;='A&amp;Rs'!$K$9,BG38,"")</f>
        <v>1.9243295376350003</v>
      </c>
      <c r="BH39" s="46">
        <f>IF(BH21&lt;='A&amp;Rs'!$K$9,BH38,"")</f>
        <v>1.9243295376350003</v>
      </c>
      <c r="BI39" s="46">
        <f>IF(BI21&lt;='A&amp;Rs'!$K$9,BI38,"")</f>
        <v>1.9243295376350003</v>
      </c>
      <c r="BJ39" s="46">
        <f>IF(BJ21&lt;='A&amp;Rs'!$K$9,BJ38,"")</f>
        <v>1.9243295376350003</v>
      </c>
      <c r="BK39" s="46">
        <f>IF(BK21&lt;='A&amp;Rs'!$K$9,BK38,"")</f>
        <v>1.9243295376350003</v>
      </c>
      <c r="BL39" s="46">
        <f>IF(BL21&lt;='A&amp;Rs'!$K$9,BL38,"")</f>
        <v>1.9243295376350003</v>
      </c>
      <c r="BM39" s="46">
        <f>IF(BM21&lt;='A&amp;Rs'!$K$9,BM38,"")</f>
        <v>1.9243295376350003</v>
      </c>
      <c r="BN39" s="46" t="str">
        <f>IF(BN21&lt;='A&amp;Rs'!$K$9,BN38,"")</f>
        <v/>
      </c>
      <c r="BO39" s="46" t="str">
        <f>IF(BO21&lt;='A&amp;Rs'!$K$9,BO38,"")</f>
        <v/>
      </c>
      <c r="BP39" s="46" t="str">
        <f>IF(BP21&lt;='A&amp;Rs'!$K$9,BP38,"")</f>
        <v/>
      </c>
      <c r="BQ39" s="46" t="str">
        <f>IF(BQ21&lt;='A&amp;Rs'!$K$9,BQ38,"")</f>
        <v/>
      </c>
      <c r="BR39" s="46" t="str">
        <f>IF(BR21&lt;='A&amp;Rs'!$K$9,BR38,"")</f>
        <v/>
      </c>
      <c r="BS39" s="46" t="str">
        <f>IF(BS21&lt;='A&amp;Rs'!$K$9,BS38,"")</f>
        <v/>
      </c>
      <c r="BT39" s="46" t="str">
        <f>IF(BT21&lt;='A&amp;Rs'!$K$9,BT38,"")</f>
        <v/>
      </c>
      <c r="BU39" s="46" t="str">
        <f>IF(BU21&lt;='A&amp;Rs'!$K$9,BU38,"")</f>
        <v/>
      </c>
      <c r="BV39" s="46" t="str">
        <f>IF(BV21&lt;='A&amp;Rs'!$K$9,BV38,"")</f>
        <v/>
      </c>
      <c r="BW39" s="46" t="str">
        <f>IF(BW21&lt;='A&amp;Rs'!$K$9,BW38,"")</f>
        <v/>
      </c>
      <c r="BX39" s="46" t="str">
        <f>IF(BX21&lt;='A&amp;Rs'!$K$9,BX38,"")</f>
        <v/>
      </c>
      <c r="BY39" s="46" t="str">
        <f>IF(BY21&lt;='A&amp;Rs'!$K$9,BY38,"")</f>
        <v/>
      </c>
      <c r="BZ39" s="46" t="str">
        <f>IF(BZ21&lt;='A&amp;Rs'!$K$9,BZ38,"")</f>
        <v/>
      </c>
      <c r="CA39" s="46" t="str">
        <f>IF(CA21&lt;='A&amp;Rs'!$K$9,CA38,"")</f>
        <v/>
      </c>
      <c r="CB39" s="46" t="str">
        <f>IF(CB21&lt;='A&amp;Rs'!$K$9,CB38,"")</f>
        <v/>
      </c>
      <c r="CC39" s="46" t="str">
        <f>IF(CC21&lt;='A&amp;Rs'!$K$9,CC38,"")</f>
        <v/>
      </c>
      <c r="CD39" s="46" t="str">
        <f>IF(CD21&lt;='A&amp;Rs'!$K$9,CD38,"")</f>
        <v/>
      </c>
      <c r="CE39" s="46" t="str">
        <f>IF(CE21&lt;='A&amp;Rs'!$K$9,CE38,"")</f>
        <v/>
      </c>
      <c r="CF39" s="46" t="str">
        <f>IF(CF21&lt;='A&amp;Rs'!$K$9,CF38,"")</f>
        <v/>
      </c>
      <c r="CG39" s="46" t="str">
        <f>IF(CG21&lt;='A&amp;Rs'!$K$9,CG38,"")</f>
        <v/>
      </c>
      <c r="CH39" s="46" t="str">
        <f>IF(CH21&lt;='A&amp;Rs'!$K$9,CH38,"")</f>
        <v/>
      </c>
      <c r="CI39" s="46" t="str">
        <f>IF(CI21&lt;='A&amp;Rs'!$K$9,CI38,"")</f>
        <v/>
      </c>
      <c r="CJ39" s="46" t="str">
        <f>IF(CJ21&lt;='A&amp;Rs'!$K$9,CJ38,"")</f>
        <v/>
      </c>
      <c r="CK39" s="46" t="str">
        <f>IF(CK21&lt;='A&amp;Rs'!$K$9,CK38,"")</f>
        <v/>
      </c>
      <c r="CL39" s="46" t="str">
        <f>IF(CL21&lt;='A&amp;Rs'!$K$9,CL38,"")</f>
        <v/>
      </c>
      <c r="CM39" s="46" t="str">
        <f>IF(CM21&lt;='A&amp;Rs'!$K$9,CM38,"")</f>
        <v/>
      </c>
      <c r="CN39" s="46" t="str">
        <f>IF(CN21&lt;='A&amp;Rs'!$K$9,CN38,"")</f>
        <v/>
      </c>
      <c r="CO39" s="46" t="str">
        <f>IF(CO21&lt;='A&amp;Rs'!$K$9,CO38,"")</f>
        <v/>
      </c>
      <c r="CP39" s="46" t="str">
        <f>IF(CP21&lt;='A&amp;Rs'!$K$9,CP38,"")</f>
        <v/>
      </c>
      <c r="CQ39" s="46" t="str">
        <f>IF(CQ21&lt;='A&amp;Rs'!$K$9,CQ38,"")</f>
        <v/>
      </c>
      <c r="CR39" s="46" t="str">
        <f>IF(CR21&lt;='A&amp;Rs'!$K$9,CR38,"")</f>
        <v/>
      </c>
      <c r="CS39" s="46" t="str">
        <f>IF(CS21&lt;='A&amp;Rs'!$K$9,CS38,"")</f>
        <v/>
      </c>
      <c r="CT39" s="46" t="str">
        <f>IF(CT21&lt;='A&amp;Rs'!$K$9,CT38,"")</f>
        <v/>
      </c>
      <c r="CU39" s="46" t="str">
        <f>IF(CU21&lt;='A&amp;Rs'!$K$9,CU38,"")</f>
        <v/>
      </c>
      <c r="CV39" s="46" t="str">
        <f>IF(CV21&lt;='A&amp;Rs'!$K$9,CV38,"")</f>
        <v/>
      </c>
      <c r="CW39" s="46" t="str">
        <f>IF(CW21&lt;='A&amp;Rs'!$K$9,CW38,"")</f>
        <v/>
      </c>
      <c r="CX39" s="46" t="str">
        <f>IF(CX21&lt;='A&amp;Rs'!$K$9,CX38,"")</f>
        <v/>
      </c>
      <c r="CY39" s="46" t="str">
        <f>IF(CY21&lt;='A&amp;Rs'!$K$9,CY38,"")</f>
        <v/>
      </c>
      <c r="CZ39" s="46" t="str">
        <f>IF(CZ21&lt;='A&amp;Rs'!$K$9,CZ38,"")</f>
        <v/>
      </c>
      <c r="DA39" s="46" t="str">
        <f>IF(DA21&lt;='A&amp;Rs'!$K$9,DA38,"")</f>
        <v/>
      </c>
      <c r="DB39" s="46" t="str">
        <f>IF(DB21&lt;='A&amp;Rs'!$K$9,DB38,"")</f>
        <v/>
      </c>
      <c r="DC39" s="46" t="str">
        <f>IF(DC21&lt;='A&amp;Rs'!$K$9,DC38,"")</f>
        <v/>
      </c>
      <c r="DD39" s="46" t="str">
        <f>IF(DD21&lt;='A&amp;Rs'!$K$9,DD38,"")</f>
        <v/>
      </c>
      <c r="DE39" s="46" t="str">
        <f>IF(DE21&lt;='A&amp;Rs'!$K$9,DE38,"")</f>
        <v/>
      </c>
      <c r="DF39" s="46" t="str">
        <f>IF(DF21&lt;='A&amp;Rs'!$K$9,DF38,"")</f>
        <v/>
      </c>
      <c r="DG39" s="46" t="str">
        <f>IF(DG21&lt;='A&amp;Rs'!$K$9,DG38,"")</f>
        <v/>
      </c>
      <c r="DH39" s="46" t="str">
        <f>IF(DH21&lt;='A&amp;Rs'!$K$9,DH38,"")</f>
        <v/>
      </c>
      <c r="DI39" s="46" t="str">
        <f>IF(DI21&lt;='A&amp;Rs'!$K$9,DI38,"")</f>
        <v/>
      </c>
      <c r="DJ39" s="46" t="str">
        <f>IF(DJ21&lt;='A&amp;Rs'!$K$9,DJ38,"")</f>
        <v/>
      </c>
      <c r="DK39" s="46" t="str">
        <f>IF(DK21&lt;='A&amp;Rs'!$K$9,DK38,"")</f>
        <v/>
      </c>
      <c r="DL39" s="46" t="str">
        <f>IF(DL21&lt;='A&amp;Rs'!$K$9,DL38,"")</f>
        <v/>
      </c>
      <c r="DM39" s="46" t="str">
        <f>IF(DM21&lt;='A&amp;Rs'!$K$9,DM38,"")</f>
        <v/>
      </c>
      <c r="DN39" s="46" t="str">
        <f>IF(DN21&lt;='A&amp;Rs'!$K$9,DN38,"")</f>
        <v/>
      </c>
      <c r="DO39" s="46" t="str">
        <f>IF(DO21&lt;='A&amp;Rs'!$K$9,DO38,"")</f>
        <v/>
      </c>
      <c r="DP39" s="46" t="str">
        <f>IF(DP21&lt;='A&amp;Rs'!$K$9,DP38,"")</f>
        <v/>
      </c>
      <c r="DQ39" s="46" t="str">
        <f>IF(DQ21&lt;='A&amp;Rs'!$K$9,DQ38,"")</f>
        <v/>
      </c>
      <c r="DR39" s="46" t="str">
        <f>IF(DR21&lt;='A&amp;Rs'!$K$9,DR38,"")</f>
        <v/>
      </c>
      <c r="DS39" s="46" t="str">
        <f>IF(DS21&lt;='A&amp;Rs'!$K$9,DS38,"")</f>
        <v/>
      </c>
      <c r="DT39" s="46" t="str">
        <f>IF(DT21&lt;='A&amp;Rs'!$K$9,DT38,"")</f>
        <v/>
      </c>
      <c r="DU39" s="46" t="str">
        <f>IF(DU21&lt;='A&amp;Rs'!$K$9,DU38,"")</f>
        <v/>
      </c>
      <c r="DV39" s="46" t="str">
        <f>IF(DV21&lt;='A&amp;Rs'!$K$9,DV38,"")</f>
        <v/>
      </c>
      <c r="DW39" s="46" t="str">
        <f>IF(DW21&lt;='A&amp;Rs'!$K$9,DW38,"")</f>
        <v/>
      </c>
      <c r="DX39" s="46" t="str">
        <f>IF(DX21&lt;='A&amp;Rs'!$K$9,DX38,"")</f>
        <v/>
      </c>
      <c r="DY39" s="46" t="str">
        <f>IF(DY21&lt;='A&amp;Rs'!$K$9,DY38,"")</f>
        <v/>
      </c>
      <c r="DZ39" s="46" t="str">
        <f>IF(DZ21&lt;='A&amp;Rs'!$K$9,DZ38,"")</f>
        <v/>
      </c>
      <c r="EA39" s="46" t="str">
        <f>IF(EA21&lt;='A&amp;Rs'!$K$9,EA38,"")</f>
        <v/>
      </c>
      <c r="EB39" s="46" t="str">
        <f>IF(EB21&lt;='A&amp;Rs'!$K$9,EB38,"")</f>
        <v/>
      </c>
      <c r="EC39" s="46" t="str">
        <f>IF(EC21&lt;='A&amp;Rs'!$K$9,EC38,"")</f>
        <v/>
      </c>
      <c r="ED39" s="46" t="str">
        <f>IF(ED21&lt;='A&amp;Rs'!$K$9,ED38,"")</f>
        <v/>
      </c>
      <c r="EE39" s="46" t="str">
        <f>IF(EE21&lt;='A&amp;Rs'!$K$9,EE38,"")</f>
        <v/>
      </c>
      <c r="EF39" s="46" t="str">
        <f>IF(EF21&lt;='A&amp;Rs'!$K$9,EF38,"")</f>
        <v/>
      </c>
      <c r="EG39" s="46" t="str">
        <f>IF(EG21&lt;='A&amp;Rs'!$K$9,EG38,"")</f>
        <v/>
      </c>
      <c r="EH39" s="46" t="str">
        <f>IF(EH21&lt;='A&amp;Rs'!$K$9,EH38,"")</f>
        <v/>
      </c>
      <c r="EI39" s="46" t="str">
        <f>IF(EI21&lt;='A&amp;Rs'!$K$9,EI38,"")</f>
        <v/>
      </c>
      <c r="EJ39" s="46" t="str">
        <f>IF(EJ21&lt;='A&amp;Rs'!$K$9,EJ38,"")</f>
        <v/>
      </c>
      <c r="EK39" s="46" t="str">
        <f>IF(EK21&lt;='A&amp;Rs'!$K$9,EK38,"")</f>
        <v/>
      </c>
      <c r="EL39" s="46" t="str">
        <f>IF(EL21&lt;='A&amp;Rs'!$K$9,EL38,"")</f>
        <v/>
      </c>
      <c r="EM39" s="46" t="str">
        <f>IF(EM21&lt;='A&amp;Rs'!$K$9,EM38,"")</f>
        <v/>
      </c>
      <c r="EN39" s="46" t="str">
        <f>IF(EN21&lt;='A&amp;Rs'!$K$9,EN38,"")</f>
        <v/>
      </c>
      <c r="EO39" s="46" t="str">
        <f>IF(EO21&lt;='A&amp;Rs'!$K$9,EO38,"")</f>
        <v/>
      </c>
      <c r="EP39" s="46" t="str">
        <f>IF(EP21&lt;='A&amp;Rs'!$K$9,EP38,"")</f>
        <v/>
      </c>
      <c r="EQ39" s="46" t="str">
        <f>IF(EQ21&lt;='A&amp;Rs'!$K$9,EQ38,"")</f>
        <v/>
      </c>
      <c r="ER39" s="46" t="str">
        <f>IF(ER21&lt;='A&amp;Rs'!$K$9,ER38,"")</f>
        <v/>
      </c>
      <c r="ES39" s="46" t="str">
        <f>IF(ES21&lt;='A&amp;Rs'!$K$9,ES38,"")</f>
        <v/>
      </c>
      <c r="ET39" s="46" t="str">
        <f>IF(ET21&lt;='A&amp;Rs'!$K$9,ET38,"")</f>
        <v/>
      </c>
      <c r="EU39" s="46" t="str">
        <f>IF(EU21&lt;='A&amp;Rs'!$K$9,EU38,"")</f>
        <v/>
      </c>
      <c r="EV39" s="46" t="str">
        <f>IF(EV21&lt;='A&amp;Rs'!$K$9,EV38,"")</f>
        <v/>
      </c>
      <c r="EW39" s="46" t="str">
        <f>IF(EW21&lt;='A&amp;Rs'!$K$9,EW38,"")</f>
        <v/>
      </c>
      <c r="EX39" s="46" t="str">
        <f>IF(EX21&lt;='A&amp;Rs'!$K$9,EX38,"")</f>
        <v/>
      </c>
      <c r="EY39" s="46" t="str">
        <f>IF(EY21&lt;='A&amp;Rs'!$K$9,EY38,"")</f>
        <v/>
      </c>
      <c r="EZ39" s="46" t="str">
        <f>IF(EZ21&lt;='A&amp;Rs'!$K$9,EZ38,"")</f>
        <v/>
      </c>
      <c r="FA39" s="46" t="str">
        <f>IF(FA21&lt;='A&amp;Rs'!$K$9,FA38,"")</f>
        <v/>
      </c>
      <c r="FB39" s="46" t="str">
        <f>IF(FB21&lt;='A&amp;Rs'!$K$9,FB38,"")</f>
        <v/>
      </c>
      <c r="FC39" s="46" t="str">
        <f>IF(FC21&lt;='A&amp;Rs'!$K$9,FC38,"")</f>
        <v/>
      </c>
      <c r="FD39" s="46" t="str">
        <f>IF(FD21&lt;='A&amp;Rs'!$K$9,FD38,"")</f>
        <v/>
      </c>
      <c r="FE39" s="46" t="str">
        <f>IF(FE21&lt;='A&amp;Rs'!$K$9,FE38,"")</f>
        <v/>
      </c>
      <c r="FF39" s="1" t="s">
        <v>39</v>
      </c>
      <c r="FG39" s="1"/>
      <c r="FH39" s="1"/>
      <c r="FI39" s="99"/>
    </row>
    <row r="40" spans="1:165" x14ac:dyDescent="0.3">
      <c r="C40" s="98"/>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t="s">
        <v>39</v>
      </c>
      <c r="FG40" s="1"/>
      <c r="FH40" s="1"/>
      <c r="FI40" s="99"/>
    </row>
    <row r="41" spans="1:165" x14ac:dyDescent="0.3">
      <c r="A41" s="93" t="s">
        <v>78</v>
      </c>
      <c r="C41" s="98"/>
      <c r="D41" s="187" t="s">
        <v>69</v>
      </c>
      <c r="E41" s="196"/>
      <c r="F41" s="196"/>
      <c r="G41" s="196"/>
      <c r="H41" s="196"/>
      <c r="I41" s="196"/>
      <c r="J41" s="196"/>
      <c r="K41" s="196"/>
      <c r="L41" s="196"/>
      <c r="M41" s="196"/>
      <c r="N41" s="196"/>
      <c r="O41" s="196"/>
      <c r="P41" s="196"/>
      <c r="Q41" s="196"/>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c r="BE41" s="196"/>
      <c r="BF41" s="196"/>
      <c r="BG41" s="196"/>
      <c r="BH41" s="196"/>
      <c r="BI41" s="196"/>
      <c r="BJ41" s="196"/>
      <c r="BK41" s="196"/>
      <c r="BL41" s="196"/>
      <c r="BM41" s="196"/>
      <c r="BN41" s="196"/>
      <c r="BO41" s="196"/>
      <c r="BP41" s="196"/>
      <c r="BQ41" s="196"/>
      <c r="BR41" s="196"/>
      <c r="BS41" s="196"/>
      <c r="BT41" s="196"/>
      <c r="BU41" s="196"/>
      <c r="BV41" s="196"/>
      <c r="BW41" s="196"/>
      <c r="BX41" s="196"/>
      <c r="BY41" s="196"/>
      <c r="BZ41" s="196"/>
      <c r="CA41" s="196"/>
      <c r="CB41" s="196"/>
      <c r="CC41" s="196"/>
      <c r="CD41" s="196"/>
      <c r="CE41" s="196"/>
      <c r="CF41" s="196"/>
      <c r="CG41" s="196"/>
      <c r="CH41" s="196"/>
      <c r="CI41" s="196"/>
      <c r="CJ41" s="196"/>
      <c r="CK41" s="196"/>
      <c r="CL41" s="196"/>
      <c r="CM41" s="196"/>
      <c r="CN41" s="196"/>
      <c r="CO41" s="196"/>
      <c r="CP41" s="196"/>
      <c r="CQ41" s="196"/>
      <c r="CR41" s="196"/>
      <c r="CS41" s="196"/>
      <c r="CT41" s="196"/>
      <c r="CU41" s="196"/>
      <c r="CV41" s="196"/>
      <c r="CW41" s="196"/>
      <c r="CX41" s="196"/>
      <c r="CY41" s="196"/>
      <c r="CZ41" s="196"/>
      <c r="DA41" s="196"/>
      <c r="DB41" s="196"/>
      <c r="DC41" s="196"/>
      <c r="DD41" s="196"/>
      <c r="DE41" s="196"/>
      <c r="DF41" s="196"/>
      <c r="DG41" s="196"/>
      <c r="DH41" s="196"/>
      <c r="DI41" s="196"/>
      <c r="DJ41" s="196"/>
      <c r="DK41" s="196"/>
      <c r="DL41" s="196"/>
      <c r="DM41" s="196"/>
      <c r="DN41" s="196"/>
      <c r="DO41" s="196"/>
      <c r="DP41" s="196"/>
      <c r="DQ41" s="196"/>
      <c r="DR41" s="196"/>
      <c r="DS41" s="196"/>
      <c r="DT41" s="196"/>
      <c r="DU41" s="196"/>
      <c r="DV41" s="196"/>
      <c r="DW41" s="196"/>
      <c r="DX41" s="196"/>
      <c r="DY41" s="196"/>
      <c r="DZ41" s="196"/>
      <c r="EA41" s="196"/>
      <c r="EB41" s="196"/>
      <c r="EC41" s="196"/>
      <c r="ED41" s="196"/>
      <c r="EE41" s="196"/>
      <c r="EF41" s="196"/>
      <c r="EG41" s="196"/>
      <c r="EH41" s="196"/>
      <c r="EI41" s="196"/>
      <c r="EJ41" s="196"/>
      <c r="EK41" s="196"/>
      <c r="EL41" s="196"/>
      <c r="EM41" s="196"/>
      <c r="EN41" s="196"/>
      <c r="EO41" s="196"/>
      <c r="EP41" s="196"/>
      <c r="EQ41" s="196"/>
      <c r="ER41" s="196"/>
      <c r="ES41" s="196"/>
      <c r="ET41" s="196"/>
      <c r="EU41" s="196"/>
      <c r="EV41" s="196"/>
      <c r="EW41" s="196"/>
      <c r="EX41" s="196"/>
      <c r="EY41" s="196"/>
      <c r="EZ41" s="196"/>
      <c r="FA41" s="196"/>
      <c r="FB41" s="196"/>
      <c r="FC41" s="196"/>
      <c r="FD41" s="196"/>
      <c r="FE41" s="197"/>
      <c r="FF41" s="1" t="s">
        <v>39</v>
      </c>
      <c r="FG41" s="1"/>
      <c r="FH41" s="1"/>
      <c r="FI41" s="99"/>
    </row>
    <row r="42" spans="1:165" x14ac:dyDescent="0.3">
      <c r="A42" s="150">
        <f>'A&amp;Rs'!Z22</f>
        <v>160600</v>
      </c>
      <c r="B42" s="217">
        <f t="shared" ref="B42:B54" si="12">SUM(E42:FE42)</f>
        <v>-20075</v>
      </c>
      <c r="C42" s="215"/>
      <c r="D42" s="43" t="s">
        <v>62</v>
      </c>
      <c r="E42" s="56"/>
      <c r="F42" s="56">
        <f>IF(AND(F$23&gt;='A&amp;Rs'!$V22,F$23&lt;'A&amp;Rs'!$X22),-'A&amp;Rs'!$Z22/'A&amp;Rs'!$W22,0)</f>
        <v>0</v>
      </c>
      <c r="G42" s="56">
        <f>IF(AND(G$23&gt;='A&amp;Rs'!$V22,G$23&lt;'A&amp;Rs'!$X22),-'A&amp;Rs'!$Z22/'A&amp;Rs'!$W22,0)</f>
        <v>0</v>
      </c>
      <c r="H42" s="56">
        <f>IF(AND(H$23&gt;='A&amp;Rs'!$V22,H$23&lt;'A&amp;Rs'!$X22),-'A&amp;Rs'!$Z22/'A&amp;Rs'!$W22,0)</f>
        <v>0</v>
      </c>
      <c r="I42" s="56">
        <f>IF(AND(I$23&gt;='A&amp;Rs'!$V22,I$23&lt;'A&amp;Rs'!$X22),-'A&amp;Rs'!$Z22/'A&amp;Rs'!$W22,0)</f>
        <v>0</v>
      </c>
      <c r="J42" s="56">
        <f>IF(AND(J$23&gt;='A&amp;Rs'!$V22,J$23&lt;'A&amp;Rs'!$X22),-'A&amp;Rs'!$Z22/'A&amp;Rs'!$W22,0)</f>
        <v>0</v>
      </c>
      <c r="K42" s="56">
        <f>IF(AND(K$23&gt;='A&amp;Rs'!$V22,K$23&lt;'A&amp;Rs'!$X22),-'A&amp;Rs'!$Z22/'A&amp;Rs'!$W22,0)</f>
        <v>0</v>
      </c>
      <c r="L42" s="56">
        <f>IF(AND(L$23&gt;='A&amp;Rs'!$V22,L$23&lt;'A&amp;Rs'!$X22),-'A&amp;Rs'!$Z22/'A&amp;Rs'!$W22,0)</f>
        <v>0</v>
      </c>
      <c r="M42" s="56">
        <f>IF(AND(M$23&gt;='A&amp;Rs'!$V22,M$23&lt;'A&amp;Rs'!$X22),-'A&amp;Rs'!$Z22/'A&amp;Rs'!$W22,0)</f>
        <v>0</v>
      </c>
      <c r="N42" s="56">
        <f>IF(AND(N$23&gt;='A&amp;Rs'!$V22,N$23&lt;'A&amp;Rs'!$X22),-'A&amp;Rs'!$Z22/'A&amp;Rs'!$W22,0)</f>
        <v>0</v>
      </c>
      <c r="O42" s="56">
        <f>IF(AND(O$23&gt;='A&amp;Rs'!$V22,O$23&lt;'A&amp;Rs'!$X22),-'A&amp;Rs'!$Z22/'A&amp;Rs'!$W22,0)</f>
        <v>0</v>
      </c>
      <c r="P42" s="56">
        <f>IF(AND(P$23&gt;='A&amp;Rs'!$V22,P$23&lt;'A&amp;Rs'!$X22),-'A&amp;Rs'!$Z22/'A&amp;Rs'!$W22,0)</f>
        <v>0</v>
      </c>
      <c r="Q42" s="56">
        <f>IF(AND(Q$23&gt;='A&amp;Rs'!$V22,Q$23&lt;'A&amp;Rs'!$X22),-'A&amp;Rs'!$Z22/'A&amp;Rs'!$W22,0)</f>
        <v>0</v>
      </c>
      <c r="R42" s="56">
        <f>IF(AND(R$23&gt;='A&amp;Rs'!$V22,R$23&lt;'A&amp;Rs'!$X22),-'A&amp;Rs'!$Z22/'A&amp;Rs'!$W22,0)</f>
        <v>0</v>
      </c>
      <c r="S42" s="56">
        <f>IF(AND(S$23&gt;='A&amp;Rs'!$V22,S$23&lt;'A&amp;Rs'!$X22),-'A&amp;Rs'!$Z22/'A&amp;Rs'!$W22,0)</f>
        <v>0</v>
      </c>
      <c r="T42" s="56">
        <f>IF(AND(T$23&gt;='A&amp;Rs'!$V22,T$23&lt;'A&amp;Rs'!$X22),-'A&amp;Rs'!$Z22/'A&amp;Rs'!$W22,0)</f>
        <v>0</v>
      </c>
      <c r="U42" s="56">
        <f>IF(AND(U$23&gt;='A&amp;Rs'!$V22,U$23&lt;'A&amp;Rs'!$X22),-'A&amp;Rs'!$Z22/'A&amp;Rs'!$W22,0)</f>
        <v>0</v>
      </c>
      <c r="V42" s="56">
        <f>IF(AND(V$23&gt;='A&amp;Rs'!$V22,V$23&lt;'A&amp;Rs'!$X22),-'A&amp;Rs'!$Z22/'A&amp;Rs'!$W22,0)</f>
        <v>0</v>
      </c>
      <c r="W42" s="56">
        <f>IF(AND(W$23&gt;='A&amp;Rs'!$V22,W$23&lt;'A&amp;Rs'!$X22),-'A&amp;Rs'!$Z22/'A&amp;Rs'!$W22,0)</f>
        <v>-10037.5</v>
      </c>
      <c r="X42" s="56">
        <f>IF(AND(X$23&gt;='A&amp;Rs'!$V22,X$23&lt;'A&amp;Rs'!$X22),-'A&amp;Rs'!$Z22/'A&amp;Rs'!$W22,0)</f>
        <v>-10037.5</v>
      </c>
      <c r="Y42" s="56">
        <f>IF(AND(Y$23&gt;='A&amp;Rs'!$V22,Y$23&lt;'A&amp;Rs'!$X22),-'A&amp;Rs'!$Z22/'A&amp;Rs'!$W22,0)</f>
        <v>0</v>
      </c>
      <c r="Z42" s="56">
        <f>IF(AND(Z$23&gt;='A&amp;Rs'!$V22,Z$23&lt;'A&amp;Rs'!$X22),-'A&amp;Rs'!$Z22/'A&amp;Rs'!$W22,0)</f>
        <v>0</v>
      </c>
      <c r="AA42" s="56">
        <f>IF(AND(AA$23&gt;='A&amp;Rs'!$V22,AA$23&lt;'A&amp;Rs'!$X22),-'A&amp;Rs'!$Z22/'A&amp;Rs'!$W22,0)</f>
        <v>0</v>
      </c>
      <c r="AB42" s="56">
        <f>IF(AND(AB$23&gt;='A&amp;Rs'!$V22,AB$23&lt;'A&amp;Rs'!$X22),-'A&amp;Rs'!$Z22/'A&amp;Rs'!$W22,0)</f>
        <v>0</v>
      </c>
      <c r="AC42" s="56">
        <f>IF(AND(AC$23&gt;='A&amp;Rs'!$V22,AC$23&lt;'A&amp;Rs'!$X22),-'A&amp;Rs'!$Z22/'A&amp;Rs'!$W22,0)</f>
        <v>0</v>
      </c>
      <c r="AD42" s="56">
        <f>IF(AND(AD$23&gt;='A&amp;Rs'!$V22,AD$23&lt;'A&amp;Rs'!$X22),-'A&amp;Rs'!$Z22/'A&amp;Rs'!$W22,0)</f>
        <v>0</v>
      </c>
      <c r="AE42" s="56">
        <f>IF(AND(AE$23&gt;='A&amp;Rs'!$V22,AE$23&lt;'A&amp;Rs'!$X22),-'A&amp;Rs'!$Z22/'A&amp;Rs'!$W22,0)</f>
        <v>0</v>
      </c>
      <c r="AF42" s="56">
        <f>IF(AND(AF$23&gt;='A&amp;Rs'!$V22,AF$23&lt;'A&amp;Rs'!$X22),-'A&amp;Rs'!$Z22/'A&amp;Rs'!$W22,0)</f>
        <v>0</v>
      </c>
      <c r="AG42" s="56">
        <f>IF(AND(AG$23&gt;='A&amp;Rs'!$V22,AG$23&lt;'A&amp;Rs'!$X22),-'A&amp;Rs'!$Z22/'A&amp;Rs'!$W22,0)</f>
        <v>0</v>
      </c>
      <c r="AH42" s="56">
        <f>IF(AND(AH$23&gt;='A&amp;Rs'!$V22,AH$23&lt;'A&amp;Rs'!$X22),-'A&amp;Rs'!$Z22/'A&amp;Rs'!$W22,0)</f>
        <v>0</v>
      </c>
      <c r="AI42" s="56">
        <f>IF(AND(AI$23&gt;='A&amp;Rs'!$V22,AI$23&lt;'A&amp;Rs'!$X22),-'A&amp;Rs'!$Z22/'A&amp;Rs'!$W22,0)</f>
        <v>0</v>
      </c>
      <c r="AJ42" s="56">
        <f>IF(AND(AJ$23&gt;='A&amp;Rs'!$V22,AJ$23&lt;'A&amp;Rs'!$X22),-'A&amp;Rs'!$Z22/'A&amp;Rs'!$W22,0)</f>
        <v>0</v>
      </c>
      <c r="AK42" s="56">
        <f>IF(AND(AK$23&gt;='A&amp;Rs'!$V22,AK$23&lt;'A&amp;Rs'!$X22),-'A&amp;Rs'!$Z22/'A&amp;Rs'!$W22,0)</f>
        <v>0</v>
      </c>
      <c r="AL42" s="56">
        <f>IF(AND(AL$23&gt;='A&amp;Rs'!$V22,AL$23&lt;'A&amp;Rs'!$X22),-'A&amp;Rs'!$Z22/'A&amp;Rs'!$W22,0)</f>
        <v>0</v>
      </c>
      <c r="AM42" s="56">
        <f>IF(AND(AM$23&gt;='A&amp;Rs'!$V22,AM$23&lt;'A&amp;Rs'!$X22),-'A&amp;Rs'!$Z22/'A&amp;Rs'!$W22,0)</f>
        <v>0</v>
      </c>
      <c r="AN42" s="56">
        <f>IF(AND(AN$23&gt;='A&amp;Rs'!$V22,AN$23&lt;'A&amp;Rs'!$X22),-'A&amp;Rs'!$Z22/'A&amp;Rs'!$W22,0)</f>
        <v>0</v>
      </c>
      <c r="AO42" s="56">
        <f>IF(AND(AO$23&gt;='A&amp;Rs'!$V22,AO$23&lt;'A&amp;Rs'!$X22),-'A&amp;Rs'!$Z22/'A&amp;Rs'!$W22,0)</f>
        <v>0</v>
      </c>
      <c r="AP42" s="56">
        <f>IF(AND(AP$23&gt;='A&amp;Rs'!$V22,AP$23&lt;'A&amp;Rs'!$X22),-'A&amp;Rs'!$Z22/'A&amp;Rs'!$W22,0)</f>
        <v>0</v>
      </c>
      <c r="AQ42" s="56">
        <f>IF(AND(AQ$23&gt;='A&amp;Rs'!$V22,AQ$23&lt;'A&amp;Rs'!$X22),-'A&amp;Rs'!$Z22/'A&amp;Rs'!$W22,0)</f>
        <v>0</v>
      </c>
      <c r="AR42" s="56">
        <f>IF(AND(AR$23&gt;='A&amp;Rs'!$V22,AR$23&lt;'A&amp;Rs'!$X22),-'A&amp;Rs'!$Z22/'A&amp;Rs'!$W22,0)</f>
        <v>0</v>
      </c>
      <c r="AS42" s="56">
        <f>IF(AND(AS$23&gt;='A&amp;Rs'!$V22,AS$23&lt;'A&amp;Rs'!$X22),-'A&amp;Rs'!$Z22/'A&amp;Rs'!$W22,0)</f>
        <v>0</v>
      </c>
      <c r="AT42" s="56">
        <f>IF(AND(AT$23&gt;='A&amp;Rs'!$V22,AT$23&lt;'A&amp;Rs'!$X22),-'A&amp;Rs'!$Z22/'A&amp;Rs'!$W22,0)</f>
        <v>0</v>
      </c>
      <c r="AU42" s="56">
        <f>IF(AND(AU$23&gt;='A&amp;Rs'!$V22,AU$23&lt;'A&amp;Rs'!$X22),-'A&amp;Rs'!$Z22/'A&amp;Rs'!$W22,0)</f>
        <v>0</v>
      </c>
      <c r="AV42" s="56">
        <f>IF(AND(AV$23&gt;='A&amp;Rs'!$V22,AV$23&lt;'A&amp;Rs'!$X22),-'A&amp;Rs'!$Z22/'A&amp;Rs'!$W22,0)</f>
        <v>0</v>
      </c>
      <c r="AW42" s="56">
        <f>IF(AND(AW$23&gt;='A&amp;Rs'!$V22,AW$23&lt;'A&amp;Rs'!$X22),-'A&amp;Rs'!$Z22/'A&amp;Rs'!$W22,0)</f>
        <v>0</v>
      </c>
      <c r="AX42" s="56">
        <f>IF(AND(AX$23&gt;='A&amp;Rs'!$V22,AX$23&lt;'A&amp;Rs'!$X22),-'A&amp;Rs'!$Z22/'A&amp;Rs'!$W22,0)</f>
        <v>0</v>
      </c>
      <c r="AY42" s="56">
        <f>IF(AND(AY$23&gt;='A&amp;Rs'!$V22,AY$23&lt;'A&amp;Rs'!$X22),-'A&amp;Rs'!$Z22/'A&amp;Rs'!$W22,0)</f>
        <v>0</v>
      </c>
      <c r="AZ42" s="56">
        <f>IF(AND(AZ$23&gt;='A&amp;Rs'!$V22,AZ$23&lt;'A&amp;Rs'!$X22),-'A&amp;Rs'!$Z22/'A&amp;Rs'!$W22,0)</f>
        <v>0</v>
      </c>
      <c r="BA42" s="56">
        <f>IF(AND(BA$23&gt;='A&amp;Rs'!$V22,BA$23&lt;'A&amp;Rs'!$X22),-'A&amp;Rs'!$Z22/'A&amp;Rs'!$W22,0)</f>
        <v>0</v>
      </c>
      <c r="BB42" s="56">
        <f>IF(AND(BB$23&gt;='A&amp;Rs'!$V22,BB$23&lt;'A&amp;Rs'!$X22),-'A&amp;Rs'!$Z22/'A&amp;Rs'!$W22,0)</f>
        <v>0</v>
      </c>
      <c r="BC42" s="56">
        <f>IF(AND(BC$23&gt;='A&amp;Rs'!$V22,BC$23&lt;'A&amp;Rs'!$X22),-'A&amp;Rs'!$Z22/'A&amp;Rs'!$W22,0)</f>
        <v>0</v>
      </c>
      <c r="BD42" s="56">
        <f>IF(AND(BD$23&gt;='A&amp;Rs'!$V22,BD$23&lt;'A&amp;Rs'!$X22),-'A&amp;Rs'!$Z22/'A&amp;Rs'!$W22,0)</f>
        <v>0</v>
      </c>
      <c r="BE42" s="56">
        <f>IF(AND(BE$23&gt;='A&amp;Rs'!$V22,BE$23&lt;'A&amp;Rs'!$X22),-'A&amp;Rs'!$Z22/'A&amp;Rs'!$W22,0)</f>
        <v>0</v>
      </c>
      <c r="BF42" s="56">
        <f>IF(AND(BF$23&gt;='A&amp;Rs'!$V22,BF$23&lt;'A&amp;Rs'!$X22),-'A&amp;Rs'!$Z22/'A&amp;Rs'!$W22,0)</f>
        <v>0</v>
      </c>
      <c r="BG42" s="56">
        <f>IF(AND(BG$23&gt;='A&amp;Rs'!$V22,BG$23&lt;'A&amp;Rs'!$X22),-'A&amp;Rs'!$Z22/'A&amp;Rs'!$W22,0)</f>
        <v>0</v>
      </c>
      <c r="BH42" s="56">
        <f>IF(AND(BH$23&gt;='A&amp;Rs'!$V22,BH$23&lt;'A&amp;Rs'!$X22),-'A&amp;Rs'!$Z22/'A&amp;Rs'!$W22,0)</f>
        <v>0</v>
      </c>
      <c r="BI42" s="56">
        <f>IF(AND(BI$23&gt;='A&amp;Rs'!$V22,BI$23&lt;'A&amp;Rs'!$X22),-'A&amp;Rs'!$Z22/'A&amp;Rs'!$W22,0)</f>
        <v>0</v>
      </c>
      <c r="BJ42" s="56">
        <f>IF(AND(BJ$23&gt;='A&amp;Rs'!$V22,BJ$23&lt;'A&amp;Rs'!$X22),-'A&amp;Rs'!$Z22/'A&amp;Rs'!$W22,0)</f>
        <v>0</v>
      </c>
      <c r="BK42" s="56">
        <f>IF(AND(BK$23&gt;='A&amp;Rs'!$V22,BK$23&lt;'A&amp;Rs'!$X22),-'A&amp;Rs'!$Z22/'A&amp;Rs'!$W22,0)</f>
        <v>0</v>
      </c>
      <c r="BL42" s="56">
        <f>IF(AND(BL$23&gt;='A&amp;Rs'!$V22,BL$23&lt;'A&amp;Rs'!$X22),-'A&amp;Rs'!$Z22/'A&amp;Rs'!$W22,0)</f>
        <v>0</v>
      </c>
      <c r="BM42" s="56">
        <f>IF(AND(BM$23&gt;='A&amp;Rs'!$V22,BM$23&lt;'A&amp;Rs'!$X22),-'A&amp;Rs'!$Z22/'A&amp;Rs'!$W22,0)</f>
        <v>0</v>
      </c>
      <c r="BN42" s="56">
        <f>IF(AND(BN$23&gt;='A&amp;Rs'!$V22,BN$23&lt;'A&amp;Rs'!$X22),-'A&amp;Rs'!$Z22/'A&amp;Rs'!$W22,0)</f>
        <v>0</v>
      </c>
      <c r="BO42" s="56">
        <f>IF(AND(BO$23&gt;='A&amp;Rs'!$V22,BO$23&lt;'A&amp;Rs'!$X22),-'A&amp;Rs'!$Z22/'A&amp;Rs'!$W22,0)</f>
        <v>0</v>
      </c>
      <c r="BP42" s="56">
        <f>IF(AND(BP$23&gt;='A&amp;Rs'!$V22,BP$23&lt;'A&amp;Rs'!$X22),-'A&amp;Rs'!$Z22/'A&amp;Rs'!$W22,0)</f>
        <v>0</v>
      </c>
      <c r="BQ42" s="56">
        <f>IF(AND(BQ$23&gt;='A&amp;Rs'!$V22,BQ$23&lt;'A&amp;Rs'!$X22),-'A&amp;Rs'!$Z22/'A&amp;Rs'!$W22,0)</f>
        <v>0</v>
      </c>
      <c r="BR42" s="56">
        <f>IF(AND(BR$23&gt;='A&amp;Rs'!$V22,BR$23&lt;'A&amp;Rs'!$X22),-'A&amp;Rs'!$Z22/'A&amp;Rs'!$W22,0)</f>
        <v>0</v>
      </c>
      <c r="BS42" s="56">
        <f>IF(AND(BS$23&gt;='A&amp;Rs'!$V22,BS$23&lt;'A&amp;Rs'!$X22),-'A&amp;Rs'!$Z22/'A&amp;Rs'!$W22,0)</f>
        <v>0</v>
      </c>
      <c r="BT42" s="56">
        <f>IF(AND(BT$23&gt;='A&amp;Rs'!$V22,BT$23&lt;'A&amp;Rs'!$X22),-'A&amp;Rs'!$Z22/'A&amp;Rs'!$W22,0)</f>
        <v>0</v>
      </c>
      <c r="BU42" s="56">
        <f>IF(AND(BU$23&gt;='A&amp;Rs'!$V22,BU$23&lt;'A&amp;Rs'!$X22),-'A&amp;Rs'!$Z22/'A&amp;Rs'!$W22,0)</f>
        <v>0</v>
      </c>
      <c r="BV42" s="56">
        <f>IF(AND(BV$23&gt;='A&amp;Rs'!$V22,BV$23&lt;'A&amp;Rs'!$X22),-'A&amp;Rs'!$Z22/'A&amp;Rs'!$W22,0)</f>
        <v>0</v>
      </c>
      <c r="BW42" s="56">
        <f>IF(AND(BW$23&gt;='A&amp;Rs'!$V22,BW$23&lt;'A&amp;Rs'!$X22),-'A&amp;Rs'!$Z22/'A&amp;Rs'!$W22,0)</f>
        <v>0</v>
      </c>
      <c r="BX42" s="56">
        <f>IF(AND(BX$23&gt;='A&amp;Rs'!$V22,BX$23&lt;'A&amp;Rs'!$X22),-'A&amp;Rs'!$Z22/'A&amp;Rs'!$W22,0)</f>
        <v>0</v>
      </c>
      <c r="BY42" s="56">
        <f>IF(AND(BY$23&gt;='A&amp;Rs'!$V22,BY$23&lt;'A&amp;Rs'!$X22),-'A&amp;Rs'!$Z22/'A&amp;Rs'!$W22,0)</f>
        <v>0</v>
      </c>
      <c r="BZ42" s="56">
        <f>IF(AND(BZ$23&gt;='A&amp;Rs'!$V22,BZ$23&lt;'A&amp;Rs'!$X22),-'A&amp;Rs'!$Z22/'A&amp;Rs'!$W22,0)</f>
        <v>0</v>
      </c>
      <c r="CA42" s="56">
        <f>IF(AND(CA$23&gt;='A&amp;Rs'!$V22,CA$23&lt;'A&amp;Rs'!$X22),-'A&amp;Rs'!$Z22/'A&amp;Rs'!$W22,0)</f>
        <v>0</v>
      </c>
      <c r="CB42" s="56">
        <f>IF(AND(CB$23&gt;='A&amp;Rs'!$V22,CB$23&lt;'A&amp;Rs'!$X22),-'A&amp;Rs'!$Z22/'A&amp;Rs'!$W22,0)</f>
        <v>0</v>
      </c>
      <c r="CC42" s="56">
        <f>IF(AND(CC$23&gt;='A&amp;Rs'!$V22,CC$23&lt;'A&amp;Rs'!$X22),-'A&amp;Rs'!$Z22/'A&amp;Rs'!$W22,0)</f>
        <v>0</v>
      </c>
      <c r="CD42" s="56">
        <f>IF(AND(CD$23&gt;='A&amp;Rs'!$V22,CD$23&lt;'A&amp;Rs'!$X22),-'A&amp;Rs'!$Z22/'A&amp;Rs'!$W22,0)</f>
        <v>0</v>
      </c>
      <c r="CE42" s="56">
        <f>IF(AND(CE$23&gt;='A&amp;Rs'!$V22,CE$23&lt;'A&amp;Rs'!$X22),-'A&amp;Rs'!$Z22/'A&amp;Rs'!$W22,0)</f>
        <v>0</v>
      </c>
      <c r="CF42" s="56">
        <f>IF(AND(CF$23&gt;='A&amp;Rs'!$V22,CF$23&lt;'A&amp;Rs'!$X22),-'A&amp;Rs'!$Z22/'A&amp;Rs'!$W22,0)</f>
        <v>0</v>
      </c>
      <c r="CG42" s="56">
        <f>IF(AND(CG$23&gt;='A&amp;Rs'!$V22,CG$23&lt;'A&amp;Rs'!$X22),-'A&amp;Rs'!$Z22/'A&amp;Rs'!$W22,0)</f>
        <v>0</v>
      </c>
      <c r="CH42" s="56">
        <f>IF(AND(CH$23&gt;='A&amp;Rs'!$V22,CH$23&lt;'A&amp;Rs'!$X22),-'A&amp;Rs'!$Z22/'A&amp;Rs'!$W22,0)</f>
        <v>0</v>
      </c>
      <c r="CI42" s="56">
        <f>IF(AND(CI$23&gt;='A&amp;Rs'!$V22,CI$23&lt;'A&amp;Rs'!$X22),-'A&amp;Rs'!$Z22/'A&amp;Rs'!$W22,0)</f>
        <v>0</v>
      </c>
      <c r="CJ42" s="56">
        <f>IF(AND(CJ$23&gt;='A&amp;Rs'!$V22,CJ$23&lt;'A&amp;Rs'!$X22),-'A&amp;Rs'!$Z22/'A&amp;Rs'!$W22,0)</f>
        <v>0</v>
      </c>
      <c r="CK42" s="56">
        <f>IF(AND(CK$23&gt;='A&amp;Rs'!$V22,CK$23&lt;'A&amp;Rs'!$X22),-'A&amp;Rs'!$Z22/'A&amp;Rs'!$W22,0)</f>
        <v>0</v>
      </c>
      <c r="CL42" s="56">
        <f>IF(AND(CL$23&gt;='A&amp;Rs'!$V22,CL$23&lt;'A&amp;Rs'!$X22),-'A&amp;Rs'!$Z22/'A&amp;Rs'!$W22,0)</f>
        <v>0</v>
      </c>
      <c r="CM42" s="56">
        <f>IF(AND(CM$23&gt;='A&amp;Rs'!$V22,CM$23&lt;'A&amp;Rs'!$X22),-'A&amp;Rs'!$Z22/'A&amp;Rs'!$W22,0)</f>
        <v>0</v>
      </c>
      <c r="CN42" s="56">
        <f>IF(AND(CN$23&gt;='A&amp;Rs'!$V22,CN$23&lt;'A&amp;Rs'!$X22),-'A&amp;Rs'!$Z22/'A&amp;Rs'!$W22,0)</f>
        <v>0</v>
      </c>
      <c r="CO42" s="56">
        <f>IF(AND(CO$23&gt;='A&amp;Rs'!$V22,CO$23&lt;'A&amp;Rs'!$X22),-'A&amp;Rs'!$Z22/'A&amp;Rs'!$W22,0)</f>
        <v>0</v>
      </c>
      <c r="CP42" s="56">
        <f>IF(AND(CP$23&gt;='A&amp;Rs'!$V22,CP$23&lt;'A&amp;Rs'!$X22),-'A&amp;Rs'!$Z22/'A&amp;Rs'!$W22,0)</f>
        <v>0</v>
      </c>
      <c r="CQ42" s="56">
        <f>IF(AND(CQ$23&gt;='A&amp;Rs'!$V22,CQ$23&lt;'A&amp;Rs'!$X22),-'A&amp;Rs'!$Z22/'A&amp;Rs'!$W22,0)</f>
        <v>0</v>
      </c>
      <c r="CR42" s="56">
        <f>IF(AND(CR$23&gt;='A&amp;Rs'!$V22,CR$23&lt;'A&amp;Rs'!$X22),-'A&amp;Rs'!$Z22/'A&amp;Rs'!$W22,0)</f>
        <v>0</v>
      </c>
      <c r="CS42" s="56">
        <f>IF(AND(CS$23&gt;='A&amp;Rs'!$V22,CS$23&lt;'A&amp;Rs'!$X22),-'A&amp;Rs'!$Z22/'A&amp;Rs'!$W22,0)</f>
        <v>0</v>
      </c>
      <c r="CT42" s="56">
        <f>IF(AND(CT$23&gt;='A&amp;Rs'!$V22,CT$23&lt;'A&amp;Rs'!$X22),-'A&amp;Rs'!$Z22/'A&amp;Rs'!$W22,0)</f>
        <v>0</v>
      </c>
      <c r="CU42" s="56">
        <f>IF(AND(CU$23&gt;='A&amp;Rs'!$V22,CU$23&lt;'A&amp;Rs'!$X22),-'A&amp;Rs'!$Z22/'A&amp;Rs'!$W22,0)</f>
        <v>0</v>
      </c>
      <c r="CV42" s="56">
        <f>IF(AND(CV$23&gt;='A&amp;Rs'!$V22,CV$23&lt;'A&amp;Rs'!$X22),-'A&amp;Rs'!$Z22/'A&amp;Rs'!$W22,0)</f>
        <v>0</v>
      </c>
      <c r="CW42" s="56">
        <f>IF(AND(CW$23&gt;='A&amp;Rs'!$V22,CW$23&lt;'A&amp;Rs'!$X22),-'A&amp;Rs'!$Z22/'A&amp;Rs'!$W22,0)</f>
        <v>0</v>
      </c>
      <c r="CX42" s="56">
        <f>IF(AND(CX$23&gt;='A&amp;Rs'!$V22,CX$23&lt;'A&amp;Rs'!$X22),-'A&amp;Rs'!$Z22/'A&amp;Rs'!$W22,0)</f>
        <v>0</v>
      </c>
      <c r="CY42" s="56">
        <f>IF(AND(CY$23&gt;='A&amp;Rs'!$V22,CY$23&lt;'A&amp;Rs'!$X22),-'A&amp;Rs'!$Z22/'A&amp;Rs'!$W22,0)</f>
        <v>0</v>
      </c>
      <c r="CZ42" s="56">
        <f>IF(AND(CZ$23&gt;='A&amp;Rs'!$V22,CZ$23&lt;'A&amp;Rs'!$X22),-'A&amp;Rs'!$Z22/'A&amp;Rs'!$W22,0)</f>
        <v>0</v>
      </c>
      <c r="DA42" s="56">
        <f>IF(AND(DA$23&gt;='A&amp;Rs'!$V22,DA$23&lt;'A&amp;Rs'!$X22),-'A&amp;Rs'!$Z22/'A&amp;Rs'!$W22,0)</f>
        <v>0</v>
      </c>
      <c r="DB42" s="56">
        <f>IF(AND(DB$23&gt;='A&amp;Rs'!$V22,DB$23&lt;'A&amp;Rs'!$X22),-'A&amp;Rs'!$Z22/'A&amp;Rs'!$W22,0)</f>
        <v>0</v>
      </c>
      <c r="DC42" s="56">
        <f>IF(AND(DC$23&gt;='A&amp;Rs'!$V22,DC$23&lt;'A&amp;Rs'!$X22),-'A&amp;Rs'!$Z22/'A&amp;Rs'!$W22,0)</f>
        <v>0</v>
      </c>
      <c r="DD42" s="56">
        <f>IF(AND(DD$23&gt;='A&amp;Rs'!$V22,DD$23&lt;'A&amp;Rs'!$X22),-'A&amp;Rs'!$Z22/'A&amp;Rs'!$W22,0)</f>
        <v>0</v>
      </c>
      <c r="DE42" s="56">
        <f>IF(AND(DE$23&gt;='A&amp;Rs'!$V22,DE$23&lt;'A&amp;Rs'!$X22),-'A&amp;Rs'!$Z22/'A&amp;Rs'!$W22,0)</f>
        <v>0</v>
      </c>
      <c r="DF42" s="56">
        <f>IF(AND(DF$23&gt;='A&amp;Rs'!$V22,DF$23&lt;'A&amp;Rs'!$X22),-'A&amp;Rs'!$Z22/'A&amp;Rs'!$W22,0)</f>
        <v>0</v>
      </c>
      <c r="DG42" s="56">
        <f>IF(AND(DG$23&gt;='A&amp;Rs'!$V22,DG$23&lt;'A&amp;Rs'!$X22),-'A&amp;Rs'!$Z22/'A&amp;Rs'!$W22,0)</f>
        <v>0</v>
      </c>
      <c r="DH42" s="56">
        <f>IF(AND(DH$23&gt;='A&amp;Rs'!$V22,DH$23&lt;'A&amp;Rs'!$X22),-'A&amp;Rs'!$Z22/'A&amp;Rs'!$W22,0)</f>
        <v>0</v>
      </c>
      <c r="DI42" s="56">
        <f>IF(AND(DI$23&gt;='A&amp;Rs'!$V22,DI$23&lt;'A&amp;Rs'!$X22),-'A&amp;Rs'!$Z22/'A&amp;Rs'!$W22,0)</f>
        <v>0</v>
      </c>
      <c r="DJ42" s="56">
        <f>IF(AND(DJ$23&gt;='A&amp;Rs'!$V22,DJ$23&lt;'A&amp;Rs'!$X22),-'A&amp;Rs'!$Z22/'A&amp;Rs'!$W22,0)</f>
        <v>0</v>
      </c>
      <c r="DK42" s="56">
        <f>IF(AND(DK$23&gt;='A&amp;Rs'!$V22,DK$23&lt;'A&amp;Rs'!$X22),-'A&amp;Rs'!$Z22/'A&amp;Rs'!$W22,0)</f>
        <v>0</v>
      </c>
      <c r="DL42" s="56">
        <f>IF(AND(DL$23&gt;='A&amp;Rs'!$V22,DL$23&lt;'A&amp;Rs'!$X22),-'A&amp;Rs'!$Z22/'A&amp;Rs'!$W22,0)</f>
        <v>0</v>
      </c>
      <c r="DM42" s="56">
        <f>IF(AND(DM$23&gt;='A&amp;Rs'!$V22,DM$23&lt;'A&amp;Rs'!$X22),-'A&amp;Rs'!$Z22/'A&amp;Rs'!$W22,0)</f>
        <v>0</v>
      </c>
      <c r="DN42" s="56">
        <f>IF(AND(DN$23&gt;='A&amp;Rs'!$V22,DN$23&lt;'A&amp;Rs'!$X22),-'A&amp;Rs'!$Z22/'A&amp;Rs'!$W22,0)</f>
        <v>0</v>
      </c>
      <c r="DO42" s="56">
        <f>IF(AND(DO$23&gt;='A&amp;Rs'!$V22,DO$23&lt;'A&amp;Rs'!$X22),-'A&amp;Rs'!$Z22/'A&amp;Rs'!$W22,0)</f>
        <v>0</v>
      </c>
      <c r="DP42" s="56">
        <f>IF(AND(DP$23&gt;='A&amp;Rs'!$V22,DP$23&lt;'A&amp;Rs'!$X22),-'A&amp;Rs'!$Z22/'A&amp;Rs'!$W22,0)</f>
        <v>0</v>
      </c>
      <c r="DQ42" s="56">
        <f>IF(AND(DQ$23&gt;='A&amp;Rs'!$V22,DQ$23&lt;'A&amp;Rs'!$X22),-'A&amp;Rs'!$Z22/'A&amp;Rs'!$W22,0)</f>
        <v>0</v>
      </c>
      <c r="DR42" s="56">
        <f>IF(AND(DR$23&gt;='A&amp;Rs'!$V22,DR$23&lt;'A&amp;Rs'!$X22),-'A&amp;Rs'!$Z22/'A&amp;Rs'!$W22,0)</f>
        <v>0</v>
      </c>
      <c r="DS42" s="56">
        <f>IF(AND(DS$23&gt;='A&amp;Rs'!$V22,DS$23&lt;'A&amp;Rs'!$X22),-'A&amp;Rs'!$Z22/'A&amp;Rs'!$W22,0)</f>
        <v>0</v>
      </c>
      <c r="DT42" s="56">
        <f>IF(AND(DT$23&gt;='A&amp;Rs'!$V22,DT$23&lt;'A&amp;Rs'!$X22),-'A&amp;Rs'!$Z22/'A&amp;Rs'!$W22,0)</f>
        <v>0</v>
      </c>
      <c r="DU42" s="56">
        <f>IF(AND(DU$23&gt;='A&amp;Rs'!$V22,DU$23&lt;'A&amp;Rs'!$X22),-'A&amp;Rs'!$Z22/'A&amp;Rs'!$W22,0)</f>
        <v>0</v>
      </c>
      <c r="DV42" s="56">
        <f>IF(AND(DV$23&gt;='A&amp;Rs'!$V22,DV$23&lt;'A&amp;Rs'!$X22),-'A&amp;Rs'!$Z22/'A&amp;Rs'!$W22,0)</f>
        <v>0</v>
      </c>
      <c r="DW42" s="56">
        <f>IF(AND(DW$23&gt;='A&amp;Rs'!$V22,DW$23&lt;'A&amp;Rs'!$X22),-'A&amp;Rs'!$Z22/'A&amp;Rs'!$W22,0)</f>
        <v>0</v>
      </c>
      <c r="DX42" s="56">
        <f>IF(AND(DX$23&gt;='A&amp;Rs'!$V22,DX$23&lt;'A&amp;Rs'!$X22),-'A&amp;Rs'!$Z22/'A&amp;Rs'!$W22,0)</f>
        <v>0</v>
      </c>
      <c r="DY42" s="56">
        <f>IF(AND(DY$23&gt;='A&amp;Rs'!$V22,DY$23&lt;'A&amp;Rs'!$X22),-'A&amp;Rs'!$Z22/'A&amp;Rs'!$W22,0)</f>
        <v>0</v>
      </c>
      <c r="DZ42" s="56">
        <f>IF(AND(DZ$23&gt;='A&amp;Rs'!$V22,DZ$23&lt;'A&amp;Rs'!$X22),-'A&amp;Rs'!$Z22/'A&amp;Rs'!$W22,0)</f>
        <v>0</v>
      </c>
      <c r="EA42" s="56">
        <f>IF(AND(EA$23&gt;='A&amp;Rs'!$V22,EA$23&lt;'A&amp;Rs'!$X22),-'A&amp;Rs'!$Z22/'A&amp;Rs'!$W22,0)</f>
        <v>0</v>
      </c>
      <c r="EB42" s="56">
        <f>IF(AND(EB$23&gt;='A&amp;Rs'!$V22,EB$23&lt;'A&amp;Rs'!$X22),-'A&amp;Rs'!$Z22/'A&amp;Rs'!$W22,0)</f>
        <v>0</v>
      </c>
      <c r="EC42" s="56">
        <f>IF(AND(EC$23&gt;='A&amp;Rs'!$V22,EC$23&lt;'A&amp;Rs'!$X22),-'A&amp;Rs'!$Z22/'A&amp;Rs'!$W22,0)</f>
        <v>0</v>
      </c>
      <c r="ED42" s="56">
        <f>IF(AND(ED$23&gt;='A&amp;Rs'!$V22,ED$23&lt;'A&amp;Rs'!$X22),-'A&amp;Rs'!$Z22/'A&amp;Rs'!$W22,0)</f>
        <v>0</v>
      </c>
      <c r="EE42" s="56">
        <f>IF(AND(EE$23&gt;='A&amp;Rs'!$V22,EE$23&lt;'A&amp;Rs'!$X22),-'A&amp;Rs'!$Z22/'A&amp;Rs'!$W22,0)</f>
        <v>0</v>
      </c>
      <c r="EF42" s="56">
        <f>IF(AND(EF$23&gt;='A&amp;Rs'!$V22,EF$23&lt;'A&amp;Rs'!$X22),-'A&amp;Rs'!$Z22/'A&amp;Rs'!$W22,0)</f>
        <v>0</v>
      </c>
      <c r="EG42" s="56">
        <f>IF(AND(EG$23&gt;='A&amp;Rs'!$V22,EG$23&lt;'A&amp;Rs'!$X22),-'A&amp;Rs'!$Z22/'A&amp;Rs'!$W22,0)</f>
        <v>0</v>
      </c>
      <c r="EH42" s="56">
        <f>IF(AND(EH$23&gt;='A&amp;Rs'!$V22,EH$23&lt;'A&amp;Rs'!$X22),-'A&amp;Rs'!$Z22/'A&amp;Rs'!$W22,0)</f>
        <v>0</v>
      </c>
      <c r="EI42" s="56">
        <f>IF(AND(EI$23&gt;='A&amp;Rs'!$V22,EI$23&lt;'A&amp;Rs'!$X22),-'A&amp;Rs'!$Z22/'A&amp;Rs'!$W22,0)</f>
        <v>0</v>
      </c>
      <c r="EJ42" s="56">
        <f>IF(AND(EJ$23&gt;='A&amp;Rs'!$V22,EJ$23&lt;'A&amp;Rs'!$X22),-'A&amp;Rs'!$Z22/'A&amp;Rs'!$W22,0)</f>
        <v>0</v>
      </c>
      <c r="EK42" s="56">
        <f>IF(AND(EK$23&gt;='A&amp;Rs'!$V22,EK$23&lt;'A&amp;Rs'!$X22),-'A&amp;Rs'!$Z22/'A&amp;Rs'!$W22,0)</f>
        <v>0</v>
      </c>
      <c r="EL42" s="56">
        <f>IF(AND(EL$23&gt;='A&amp;Rs'!$V22,EL$23&lt;'A&amp;Rs'!$X22),-'A&amp;Rs'!$Z22/'A&amp;Rs'!$W22,0)</f>
        <v>0</v>
      </c>
      <c r="EM42" s="56">
        <f>IF(AND(EM$23&gt;='A&amp;Rs'!$V22,EM$23&lt;'A&amp;Rs'!$X22),-'A&amp;Rs'!$Z22/'A&amp;Rs'!$W22,0)</f>
        <v>0</v>
      </c>
      <c r="EN42" s="56">
        <f>IF(AND(EN$23&gt;='A&amp;Rs'!$V22,EN$23&lt;'A&amp;Rs'!$X22),-'A&amp;Rs'!$Z22/'A&amp;Rs'!$W22,0)</f>
        <v>0</v>
      </c>
      <c r="EO42" s="56">
        <f>IF(AND(EO$23&gt;='A&amp;Rs'!$V22,EO$23&lt;'A&amp;Rs'!$X22),-'A&amp;Rs'!$Z22/'A&amp;Rs'!$W22,0)</f>
        <v>0</v>
      </c>
      <c r="EP42" s="56">
        <f>IF(AND(EP$23&gt;='A&amp;Rs'!$V22,EP$23&lt;'A&amp;Rs'!$X22),-'A&amp;Rs'!$Z22/'A&amp;Rs'!$W22,0)</f>
        <v>0</v>
      </c>
      <c r="EQ42" s="56">
        <f>IF(AND(EQ$23&gt;='A&amp;Rs'!$V22,EQ$23&lt;'A&amp;Rs'!$X22),-'A&amp;Rs'!$Z22/'A&amp;Rs'!$W22,0)</f>
        <v>0</v>
      </c>
      <c r="ER42" s="56">
        <f>IF(AND(ER$23&gt;='A&amp;Rs'!$V22,ER$23&lt;'A&amp;Rs'!$X22),-'A&amp;Rs'!$Z22/'A&amp;Rs'!$W22,0)</f>
        <v>0</v>
      </c>
      <c r="ES42" s="56">
        <f>IF(AND(ES$23&gt;='A&amp;Rs'!$V22,ES$23&lt;'A&amp;Rs'!$X22),-'A&amp;Rs'!$Z22/'A&amp;Rs'!$W22,0)</f>
        <v>0</v>
      </c>
      <c r="ET42" s="56">
        <f>IF(AND(ET$23&gt;='A&amp;Rs'!$V22,ET$23&lt;'A&amp;Rs'!$X22),-'A&amp;Rs'!$Z22/'A&amp;Rs'!$W22,0)</f>
        <v>0</v>
      </c>
      <c r="EU42" s="56">
        <f>IF(AND(EU$23&gt;='A&amp;Rs'!$V22,EU$23&lt;'A&amp;Rs'!$X22),-'A&amp;Rs'!$Z22/'A&amp;Rs'!$W22,0)</f>
        <v>0</v>
      </c>
      <c r="EV42" s="56">
        <f>IF(AND(EV$23&gt;='A&amp;Rs'!$V22,EV$23&lt;'A&amp;Rs'!$X22),-'A&amp;Rs'!$Z22/'A&amp;Rs'!$W22,0)</f>
        <v>0</v>
      </c>
      <c r="EW42" s="56">
        <f>IF(AND(EW$23&gt;='A&amp;Rs'!$V22,EW$23&lt;'A&amp;Rs'!$X22),-'A&amp;Rs'!$Z22/'A&amp;Rs'!$W22,0)</f>
        <v>0</v>
      </c>
      <c r="EX42" s="56">
        <f>IF(AND(EX$23&gt;='A&amp;Rs'!$V22,EX$23&lt;'A&amp;Rs'!$X22),-'A&amp;Rs'!$Z22/'A&amp;Rs'!$W22,0)</f>
        <v>0</v>
      </c>
      <c r="EY42" s="56">
        <f>IF(AND(EY$23&gt;='A&amp;Rs'!$V22,EY$23&lt;'A&amp;Rs'!$X22),-'A&amp;Rs'!$Z22/'A&amp;Rs'!$W22,0)</f>
        <v>0</v>
      </c>
      <c r="EZ42" s="56">
        <f>IF(AND(EZ$23&gt;='A&amp;Rs'!$V22,EZ$23&lt;'A&amp;Rs'!$X22),-'A&amp;Rs'!$Z22/'A&amp;Rs'!$W22,0)</f>
        <v>0</v>
      </c>
      <c r="FA42" s="56">
        <f>IF(AND(FA$23&gt;='A&amp;Rs'!$V22,FA$23&lt;'A&amp;Rs'!$X22),-'A&amp;Rs'!$Z22/'A&amp;Rs'!$W22,0)</f>
        <v>0</v>
      </c>
      <c r="FB42" s="56">
        <f>IF(AND(FB$23&gt;='A&amp;Rs'!$V22,FB$23&lt;'A&amp;Rs'!$X22),-'A&amp;Rs'!$Z22/'A&amp;Rs'!$W22,0)</f>
        <v>0</v>
      </c>
      <c r="FC42" s="56">
        <f>IF(AND(FC$23&gt;='A&amp;Rs'!$V22,FC$23&lt;'A&amp;Rs'!$X22),-'A&amp;Rs'!$Z22/'A&amp;Rs'!$W22,0)</f>
        <v>0</v>
      </c>
      <c r="FD42" s="56">
        <f>IF(AND(FD$23&gt;='A&amp;Rs'!$V22,FD$23&lt;'A&amp;Rs'!$X22),-'A&amp;Rs'!$Z22/'A&amp;Rs'!$W22,0)</f>
        <v>0</v>
      </c>
      <c r="FE42" s="57">
        <f>IF(AND(FE$23&gt;='A&amp;Rs'!$V22,FE$23&lt;'A&amp;Rs'!$X22),-'A&amp;Rs'!$Z22/'A&amp;Rs'!$W22,0)</f>
        <v>0</v>
      </c>
      <c r="FF42" s="1" t="s">
        <v>39</v>
      </c>
      <c r="FG42" s="1"/>
      <c r="FH42" s="1"/>
      <c r="FI42" s="99"/>
    </row>
    <row r="43" spans="1:165" x14ac:dyDescent="0.3">
      <c r="A43" s="150">
        <f>'A&amp;Rs'!Z10</f>
        <v>12000</v>
      </c>
      <c r="B43" s="217">
        <f t="shared" si="12"/>
        <v>-12000</v>
      </c>
      <c r="C43" s="215"/>
      <c r="D43" s="43">
        <v>1</v>
      </c>
      <c r="E43" s="56"/>
      <c r="F43" s="56">
        <f>IF('A&amp;Rs'!$R10="","",IF(AND(F$23&gt;='A&amp;Rs'!$V10,F$23&lt;'A&amp;Rs'!$X10),-'A&amp;Rs'!$Z10/'A&amp;Rs'!$W10,0))</f>
        <v>0</v>
      </c>
      <c r="G43" s="56">
        <f>IF('A&amp;Rs'!$R10="","",IF(AND(G$23&gt;='A&amp;Rs'!$V10,G$23&lt;'A&amp;Rs'!$X10),-'A&amp;Rs'!$Z10/'A&amp;Rs'!$W10,0))</f>
        <v>-6000</v>
      </c>
      <c r="H43" s="56">
        <f>IF('A&amp;Rs'!$R10="","",IF(AND(H$23&gt;='A&amp;Rs'!$V10,H$23&lt;'A&amp;Rs'!$X10),-'A&amp;Rs'!$Z10/'A&amp;Rs'!$W10,0))</f>
        <v>-6000</v>
      </c>
      <c r="I43" s="56">
        <f>IF('A&amp;Rs'!$R10="","",IF(AND(I$23&gt;='A&amp;Rs'!$V10,I$23&lt;'A&amp;Rs'!$X10),-'A&amp;Rs'!$Z10/'A&amp;Rs'!$W10,0))</f>
        <v>0</v>
      </c>
      <c r="J43" s="56">
        <f>IF('A&amp;Rs'!$R10="","",IF(AND(J$23&gt;='A&amp;Rs'!$V10,J$23&lt;'A&amp;Rs'!$X10),-'A&amp;Rs'!$Z10/'A&amp;Rs'!$W10,0))</f>
        <v>0</v>
      </c>
      <c r="K43" s="56">
        <f>IF('A&amp;Rs'!$R10="","",IF(AND(K$23&gt;='A&amp;Rs'!$V10,K$23&lt;'A&amp;Rs'!$X10),-'A&amp;Rs'!$Z10/'A&amp;Rs'!$W10,0))</f>
        <v>0</v>
      </c>
      <c r="L43" s="56">
        <f>IF('A&amp;Rs'!$R10="","",IF(AND(L$23&gt;='A&amp;Rs'!$V10,L$23&lt;'A&amp;Rs'!$X10),-'A&amp;Rs'!$Z10/'A&amp;Rs'!$W10,0))</f>
        <v>0</v>
      </c>
      <c r="M43" s="56">
        <f>IF('A&amp;Rs'!$R10="","",IF(AND(M$23&gt;='A&amp;Rs'!$V10,M$23&lt;'A&amp;Rs'!$X10),-'A&amp;Rs'!$Z10/'A&amp;Rs'!$W10,0))</f>
        <v>0</v>
      </c>
      <c r="N43" s="56">
        <f>IF('A&amp;Rs'!$R10="","",IF(AND(N$23&gt;='A&amp;Rs'!$V10,N$23&lt;'A&amp;Rs'!$X10),-'A&amp;Rs'!$Z10/'A&amp;Rs'!$W10,0))</f>
        <v>0</v>
      </c>
      <c r="O43" s="56">
        <f>IF('A&amp;Rs'!$R10="","",IF(AND(O$23&gt;='A&amp;Rs'!$V10,O$23&lt;'A&amp;Rs'!$X10),-'A&amp;Rs'!$Z10/'A&amp;Rs'!$W10,0))</f>
        <v>0</v>
      </c>
      <c r="P43" s="56">
        <f>IF('A&amp;Rs'!$R10="","",IF(AND(P$23&gt;='A&amp;Rs'!$V10,P$23&lt;'A&amp;Rs'!$X10),-'A&amp;Rs'!$Z10/'A&amp;Rs'!$W10,0))</f>
        <v>0</v>
      </c>
      <c r="Q43" s="56">
        <f>IF('A&amp;Rs'!$R10="","",IF(AND(Q$23&gt;='A&amp;Rs'!$V10,Q$23&lt;'A&amp;Rs'!$X10),-'A&amp;Rs'!$Z10/'A&amp;Rs'!$W10,0))</f>
        <v>0</v>
      </c>
      <c r="R43" s="56">
        <f>IF('A&amp;Rs'!$R10="","",IF(AND(R$23&gt;='A&amp;Rs'!$V10,R$23&lt;'A&amp;Rs'!$X10),-'A&amp;Rs'!$Z10/'A&amp;Rs'!$W10,0))</f>
        <v>0</v>
      </c>
      <c r="S43" s="56">
        <f>IF('A&amp;Rs'!$R10="","",IF(AND(S$23&gt;='A&amp;Rs'!$V10,S$23&lt;'A&amp;Rs'!$X10),-'A&amp;Rs'!$Z10/'A&amp;Rs'!$W10,0))</f>
        <v>0</v>
      </c>
      <c r="T43" s="56">
        <f>IF('A&amp;Rs'!$R10="","",IF(AND(T$23&gt;='A&amp;Rs'!$V10,T$23&lt;'A&amp;Rs'!$X10),-'A&amp;Rs'!$Z10/'A&amp;Rs'!$W10,0))</f>
        <v>0</v>
      </c>
      <c r="U43" s="56">
        <f>IF('A&amp;Rs'!$R10="","",IF(AND(U$23&gt;='A&amp;Rs'!$V10,U$23&lt;'A&amp;Rs'!$X10),-'A&amp;Rs'!$Z10/'A&amp;Rs'!$W10,0))</f>
        <v>0</v>
      </c>
      <c r="V43" s="56">
        <f>IF('A&amp;Rs'!$R10="","",IF(AND(V$23&gt;='A&amp;Rs'!$V10,V$23&lt;'A&amp;Rs'!$X10),-'A&amp;Rs'!$Z10/'A&amp;Rs'!$W10,0))</f>
        <v>0</v>
      </c>
      <c r="W43" s="56">
        <f>IF('A&amp;Rs'!$R10="","",IF(AND(W$23&gt;='A&amp;Rs'!$V10,W$23&lt;'A&amp;Rs'!$X10),-'A&amp;Rs'!$Z10/'A&amp;Rs'!$W10,0))</f>
        <v>0</v>
      </c>
      <c r="X43" s="56">
        <f>IF('A&amp;Rs'!$R10="","",IF(AND(X$23&gt;='A&amp;Rs'!$V10,X$23&lt;'A&amp;Rs'!$X10),-'A&amp;Rs'!$Z10/'A&amp;Rs'!$W10,0))</f>
        <v>0</v>
      </c>
      <c r="Y43" s="56">
        <f>IF('A&amp;Rs'!$R10="","",IF(AND(Y$23&gt;='A&amp;Rs'!$V10,Y$23&lt;'A&amp;Rs'!$X10),-'A&amp;Rs'!$Z10/'A&amp;Rs'!$W10,0))</f>
        <v>0</v>
      </c>
      <c r="Z43" s="56">
        <f>IF('A&amp;Rs'!$R10="","",IF(AND(Z$23&gt;='A&amp;Rs'!$V10,Z$23&lt;'A&amp;Rs'!$X10),-'A&amp;Rs'!$Z10/'A&amp;Rs'!$W10,0))</f>
        <v>0</v>
      </c>
      <c r="AA43" s="56">
        <f>IF('A&amp;Rs'!$R10="","",IF(AND(AA$23&gt;='A&amp;Rs'!$V10,AA$23&lt;'A&amp;Rs'!$X10),-'A&amp;Rs'!$Z10/'A&amp;Rs'!$W10,0))</f>
        <v>0</v>
      </c>
      <c r="AB43" s="56">
        <f>IF('A&amp;Rs'!$R10="","",IF(AND(AB$23&gt;='A&amp;Rs'!$V10,AB$23&lt;'A&amp;Rs'!$X10),-'A&amp;Rs'!$Z10/'A&amp;Rs'!$W10,0))</f>
        <v>0</v>
      </c>
      <c r="AC43" s="56">
        <f>IF('A&amp;Rs'!$R10="","",IF(AND(AC$23&gt;='A&amp;Rs'!$V10,AC$23&lt;'A&amp;Rs'!$X10),-'A&amp;Rs'!$Z10/'A&amp;Rs'!$W10,0))</f>
        <v>0</v>
      </c>
      <c r="AD43" s="56">
        <f>IF('A&amp;Rs'!$R10="","",IF(AND(AD$23&gt;='A&amp;Rs'!$V10,AD$23&lt;'A&amp;Rs'!$X10),-'A&amp;Rs'!$Z10/'A&amp;Rs'!$W10,0))</f>
        <v>0</v>
      </c>
      <c r="AE43" s="56">
        <f>IF('A&amp;Rs'!$R10="","",IF(AND(AE$23&gt;='A&amp;Rs'!$V10,AE$23&lt;'A&amp;Rs'!$X10),-'A&amp;Rs'!$Z10/'A&amp;Rs'!$W10,0))</f>
        <v>0</v>
      </c>
      <c r="AF43" s="56">
        <f>IF('A&amp;Rs'!$R10="","",IF(AND(AF$23&gt;='A&amp;Rs'!$V10,AF$23&lt;'A&amp;Rs'!$X10),-'A&amp;Rs'!$Z10/'A&amp;Rs'!$W10,0))</f>
        <v>0</v>
      </c>
      <c r="AG43" s="56">
        <f>IF('A&amp;Rs'!$R10="","",IF(AND(AG$23&gt;='A&amp;Rs'!$V10,AG$23&lt;'A&amp;Rs'!$X10),-'A&amp;Rs'!$Z10/'A&amp;Rs'!$W10,0))</f>
        <v>0</v>
      </c>
      <c r="AH43" s="56">
        <f>IF('A&amp;Rs'!$R10="","",IF(AND(AH$23&gt;='A&amp;Rs'!$V10,AH$23&lt;'A&amp;Rs'!$X10),-'A&amp;Rs'!$Z10/'A&amp;Rs'!$W10,0))</f>
        <v>0</v>
      </c>
      <c r="AI43" s="56">
        <f>IF('A&amp;Rs'!$R10="","",IF(AND(AI$23&gt;='A&amp;Rs'!$V10,AI$23&lt;'A&amp;Rs'!$X10),-'A&amp;Rs'!$Z10/'A&amp;Rs'!$W10,0))</f>
        <v>0</v>
      </c>
      <c r="AJ43" s="56">
        <f>IF('A&amp;Rs'!$R10="","",IF(AND(AJ$23&gt;='A&amp;Rs'!$V10,AJ$23&lt;'A&amp;Rs'!$X10),-'A&amp;Rs'!$Z10/'A&amp;Rs'!$W10,0))</f>
        <v>0</v>
      </c>
      <c r="AK43" s="56">
        <f>IF('A&amp;Rs'!$R10="","",IF(AND(AK$23&gt;='A&amp;Rs'!$V10,AK$23&lt;'A&amp;Rs'!$X10),-'A&amp;Rs'!$Z10/'A&amp;Rs'!$W10,0))</f>
        <v>0</v>
      </c>
      <c r="AL43" s="56">
        <f>IF('A&amp;Rs'!$R10="","",IF(AND(AL$23&gt;='A&amp;Rs'!$V10,AL$23&lt;'A&amp;Rs'!$X10),-'A&amp;Rs'!$Z10/'A&amp;Rs'!$W10,0))</f>
        <v>0</v>
      </c>
      <c r="AM43" s="56">
        <f>IF('A&amp;Rs'!$R10="","",IF(AND(AM$23&gt;='A&amp;Rs'!$V10,AM$23&lt;'A&amp;Rs'!$X10),-'A&amp;Rs'!$Z10/'A&amp;Rs'!$W10,0))</f>
        <v>0</v>
      </c>
      <c r="AN43" s="56">
        <f>IF('A&amp;Rs'!$R10="","",IF(AND(AN$23&gt;='A&amp;Rs'!$V10,AN$23&lt;'A&amp;Rs'!$X10),-'A&amp;Rs'!$Z10/'A&amp;Rs'!$W10,0))</f>
        <v>0</v>
      </c>
      <c r="AO43" s="56">
        <f>IF('A&amp;Rs'!$R10="","",IF(AND(AO$23&gt;='A&amp;Rs'!$V10,AO$23&lt;'A&amp;Rs'!$X10),-'A&amp;Rs'!$Z10/'A&amp;Rs'!$W10,0))</f>
        <v>0</v>
      </c>
      <c r="AP43" s="56">
        <f>IF('A&amp;Rs'!$R10="","",IF(AND(AP$23&gt;='A&amp;Rs'!$V10,AP$23&lt;'A&amp;Rs'!$X10),-'A&amp;Rs'!$Z10/'A&amp;Rs'!$W10,0))</f>
        <v>0</v>
      </c>
      <c r="AQ43" s="56">
        <f>IF('A&amp;Rs'!$R10="","",IF(AND(AQ$23&gt;='A&amp;Rs'!$V10,AQ$23&lt;'A&amp;Rs'!$X10),-'A&amp;Rs'!$Z10/'A&amp;Rs'!$W10,0))</f>
        <v>0</v>
      </c>
      <c r="AR43" s="56">
        <f>IF('A&amp;Rs'!$R10="","",IF(AND(AR$23&gt;='A&amp;Rs'!$V10,AR$23&lt;'A&amp;Rs'!$X10),-'A&amp;Rs'!$Z10/'A&amp;Rs'!$W10,0))</f>
        <v>0</v>
      </c>
      <c r="AS43" s="56">
        <f>IF('A&amp;Rs'!$R10="","",IF(AND(AS$23&gt;='A&amp;Rs'!$V10,AS$23&lt;'A&amp;Rs'!$X10),-'A&amp;Rs'!$Z10/'A&amp;Rs'!$W10,0))</f>
        <v>0</v>
      </c>
      <c r="AT43" s="56">
        <f>IF('A&amp;Rs'!$R10="","",IF(AND(AT$23&gt;='A&amp;Rs'!$V10,AT$23&lt;'A&amp;Rs'!$X10),-'A&amp;Rs'!$Z10/'A&amp;Rs'!$W10,0))</f>
        <v>0</v>
      </c>
      <c r="AU43" s="56">
        <f>IF('A&amp;Rs'!$R10="","",IF(AND(AU$23&gt;='A&amp;Rs'!$V10,AU$23&lt;'A&amp;Rs'!$X10),-'A&amp;Rs'!$Z10/'A&amp;Rs'!$W10,0))</f>
        <v>0</v>
      </c>
      <c r="AV43" s="56">
        <f>IF('A&amp;Rs'!$R10="","",IF(AND(AV$23&gt;='A&amp;Rs'!$V10,AV$23&lt;'A&amp;Rs'!$X10),-'A&amp;Rs'!$Z10/'A&amp;Rs'!$W10,0))</f>
        <v>0</v>
      </c>
      <c r="AW43" s="56">
        <f>IF('A&amp;Rs'!$R10="","",IF(AND(AW$23&gt;='A&amp;Rs'!$V10,AW$23&lt;'A&amp;Rs'!$X10),-'A&amp;Rs'!$Z10/'A&amp;Rs'!$W10,0))</f>
        <v>0</v>
      </c>
      <c r="AX43" s="56">
        <f>IF('A&amp;Rs'!$R10="","",IF(AND(AX$23&gt;='A&amp;Rs'!$V10,AX$23&lt;'A&amp;Rs'!$X10),-'A&amp;Rs'!$Z10/'A&amp;Rs'!$W10,0))</f>
        <v>0</v>
      </c>
      <c r="AY43" s="56">
        <f>IF('A&amp;Rs'!$R10="","",IF(AND(AY$23&gt;='A&amp;Rs'!$V10,AY$23&lt;'A&amp;Rs'!$X10),-'A&amp;Rs'!$Z10/'A&amp;Rs'!$W10,0))</f>
        <v>0</v>
      </c>
      <c r="AZ43" s="56">
        <f>IF('A&amp;Rs'!$R10="","",IF(AND(AZ$23&gt;='A&amp;Rs'!$V10,AZ$23&lt;'A&amp;Rs'!$X10),-'A&amp;Rs'!$Z10/'A&amp;Rs'!$W10,0))</f>
        <v>0</v>
      </c>
      <c r="BA43" s="56">
        <f>IF('A&amp;Rs'!$R10="","",IF(AND(BA$23&gt;='A&amp;Rs'!$V10,BA$23&lt;'A&amp;Rs'!$X10),-'A&amp;Rs'!$Z10/'A&amp;Rs'!$W10,0))</f>
        <v>0</v>
      </c>
      <c r="BB43" s="56">
        <f>IF('A&amp;Rs'!$R10="","",IF(AND(BB$23&gt;='A&amp;Rs'!$V10,BB$23&lt;'A&amp;Rs'!$X10),-'A&amp;Rs'!$Z10/'A&amp;Rs'!$W10,0))</f>
        <v>0</v>
      </c>
      <c r="BC43" s="56">
        <f>IF('A&amp;Rs'!$R10="","",IF(AND(BC$23&gt;='A&amp;Rs'!$V10,BC$23&lt;'A&amp;Rs'!$X10),-'A&amp;Rs'!$Z10/'A&amp;Rs'!$W10,0))</f>
        <v>0</v>
      </c>
      <c r="BD43" s="56">
        <f>IF('A&amp;Rs'!$R10="","",IF(AND(BD$23&gt;='A&amp;Rs'!$V10,BD$23&lt;'A&amp;Rs'!$X10),-'A&amp;Rs'!$Z10/'A&amp;Rs'!$W10,0))</f>
        <v>0</v>
      </c>
      <c r="BE43" s="56">
        <f>IF('A&amp;Rs'!$R10="","",IF(AND(BE$23&gt;='A&amp;Rs'!$V10,BE$23&lt;'A&amp;Rs'!$X10),-'A&amp;Rs'!$Z10/'A&amp;Rs'!$W10,0))</f>
        <v>0</v>
      </c>
      <c r="BF43" s="56">
        <f>IF('A&amp;Rs'!$R10="","",IF(AND(BF$23&gt;='A&amp;Rs'!$V10,BF$23&lt;'A&amp;Rs'!$X10),-'A&amp;Rs'!$Z10/'A&amp;Rs'!$W10,0))</f>
        <v>0</v>
      </c>
      <c r="BG43" s="56">
        <f>IF('A&amp;Rs'!$R10="","",IF(AND(BG$23&gt;='A&amp;Rs'!$V10,BG$23&lt;'A&amp;Rs'!$X10),-'A&amp;Rs'!$Z10/'A&amp;Rs'!$W10,0))</f>
        <v>0</v>
      </c>
      <c r="BH43" s="56">
        <f>IF('A&amp;Rs'!$R10="","",IF(AND(BH$23&gt;='A&amp;Rs'!$V10,BH$23&lt;'A&amp;Rs'!$X10),-'A&amp;Rs'!$Z10/'A&amp;Rs'!$W10,0))</f>
        <v>0</v>
      </c>
      <c r="BI43" s="56">
        <f>IF('A&amp;Rs'!$R10="","",IF(AND(BI$23&gt;='A&amp;Rs'!$V10,BI$23&lt;'A&amp;Rs'!$X10),-'A&amp;Rs'!$Z10/'A&amp;Rs'!$W10,0))</f>
        <v>0</v>
      </c>
      <c r="BJ43" s="56">
        <f>IF('A&amp;Rs'!$R10="","",IF(AND(BJ$23&gt;='A&amp;Rs'!$V10,BJ$23&lt;'A&amp;Rs'!$X10),-'A&amp;Rs'!$Z10/'A&amp;Rs'!$W10,0))</f>
        <v>0</v>
      </c>
      <c r="BK43" s="56">
        <f>IF('A&amp;Rs'!$R10="","",IF(AND(BK$23&gt;='A&amp;Rs'!$V10,BK$23&lt;'A&amp;Rs'!$X10),-'A&amp;Rs'!$Z10/'A&amp;Rs'!$W10,0))</f>
        <v>0</v>
      </c>
      <c r="BL43" s="56">
        <f>IF('A&amp;Rs'!$R10="","",IF(AND(BL$23&gt;='A&amp;Rs'!$V10,BL$23&lt;'A&amp;Rs'!$X10),-'A&amp;Rs'!$Z10/'A&amp;Rs'!$W10,0))</f>
        <v>0</v>
      </c>
      <c r="BM43" s="56">
        <f>IF('A&amp;Rs'!$R10="","",IF(AND(BM$23&gt;='A&amp;Rs'!$V10,BM$23&lt;'A&amp;Rs'!$X10),-'A&amp;Rs'!$Z10/'A&amp;Rs'!$W10,0))</f>
        <v>0</v>
      </c>
      <c r="BN43" s="56">
        <f>IF('A&amp;Rs'!$R10="","",IF(AND(BN$23&gt;='A&amp;Rs'!$V10,BN$23&lt;'A&amp;Rs'!$X10),-'A&amp;Rs'!$Z10/'A&amp;Rs'!$W10,0))</f>
        <v>0</v>
      </c>
      <c r="BO43" s="56">
        <f>IF('A&amp;Rs'!$R10="","",IF(AND(BO$23&gt;='A&amp;Rs'!$V10,BO$23&lt;'A&amp;Rs'!$X10),-'A&amp;Rs'!$Z10/'A&amp;Rs'!$W10,0))</f>
        <v>0</v>
      </c>
      <c r="BP43" s="56">
        <f>IF('A&amp;Rs'!$R10="","",IF(AND(BP$23&gt;='A&amp;Rs'!$V10,BP$23&lt;'A&amp;Rs'!$X10),-'A&amp;Rs'!$Z10/'A&amp;Rs'!$W10,0))</f>
        <v>0</v>
      </c>
      <c r="BQ43" s="56">
        <f>IF('A&amp;Rs'!$R10="","",IF(AND(BQ$23&gt;='A&amp;Rs'!$V10,BQ$23&lt;'A&amp;Rs'!$X10),-'A&amp;Rs'!$Z10/'A&amp;Rs'!$W10,0))</f>
        <v>0</v>
      </c>
      <c r="BR43" s="56">
        <f>IF('A&amp;Rs'!$R10="","",IF(AND(BR$23&gt;='A&amp;Rs'!$V10,BR$23&lt;'A&amp;Rs'!$X10),-'A&amp;Rs'!$Z10/'A&amp;Rs'!$W10,0))</f>
        <v>0</v>
      </c>
      <c r="BS43" s="56">
        <f>IF('A&amp;Rs'!$R10="","",IF(AND(BS$23&gt;='A&amp;Rs'!$V10,BS$23&lt;'A&amp;Rs'!$X10),-'A&amp;Rs'!$Z10/'A&amp;Rs'!$W10,0))</f>
        <v>0</v>
      </c>
      <c r="BT43" s="56">
        <f>IF('A&amp;Rs'!$R10="","",IF(AND(BT$23&gt;='A&amp;Rs'!$V10,BT$23&lt;'A&amp;Rs'!$X10),-'A&amp;Rs'!$Z10/'A&amp;Rs'!$W10,0))</f>
        <v>0</v>
      </c>
      <c r="BU43" s="56">
        <f>IF('A&amp;Rs'!$R10="","",IF(AND(BU$23&gt;='A&amp;Rs'!$V10,BU$23&lt;'A&amp;Rs'!$X10),-'A&amp;Rs'!$Z10/'A&amp;Rs'!$W10,0))</f>
        <v>0</v>
      </c>
      <c r="BV43" s="56">
        <f>IF('A&amp;Rs'!$R10="","",IF(AND(BV$23&gt;='A&amp;Rs'!$V10,BV$23&lt;'A&amp;Rs'!$X10),-'A&amp;Rs'!$Z10/'A&amp;Rs'!$W10,0))</f>
        <v>0</v>
      </c>
      <c r="BW43" s="56">
        <f>IF('A&amp;Rs'!$R10="","",IF(AND(BW$23&gt;='A&amp;Rs'!$V10,BW$23&lt;'A&amp;Rs'!$X10),-'A&amp;Rs'!$Z10/'A&amp;Rs'!$W10,0))</f>
        <v>0</v>
      </c>
      <c r="BX43" s="56">
        <f>IF('A&amp;Rs'!$R10="","",IF(AND(BX$23&gt;='A&amp;Rs'!$V10,BX$23&lt;'A&amp;Rs'!$X10),-'A&amp;Rs'!$Z10/'A&amp;Rs'!$W10,0))</f>
        <v>0</v>
      </c>
      <c r="BY43" s="56">
        <f>IF('A&amp;Rs'!$R10="","",IF(AND(BY$23&gt;='A&amp;Rs'!$V10,BY$23&lt;'A&amp;Rs'!$X10),-'A&amp;Rs'!$Z10/'A&amp;Rs'!$W10,0))</f>
        <v>0</v>
      </c>
      <c r="BZ43" s="56">
        <f>IF('A&amp;Rs'!$R10="","",IF(AND(BZ$23&gt;='A&amp;Rs'!$V10,BZ$23&lt;'A&amp;Rs'!$X10),-'A&amp;Rs'!$Z10/'A&amp;Rs'!$W10,0))</f>
        <v>0</v>
      </c>
      <c r="CA43" s="56">
        <f>IF('A&amp;Rs'!$R10="","",IF(AND(CA$23&gt;='A&amp;Rs'!$V10,CA$23&lt;'A&amp;Rs'!$X10),-'A&amp;Rs'!$Z10/'A&amp;Rs'!$W10,0))</f>
        <v>0</v>
      </c>
      <c r="CB43" s="56">
        <f>IF('A&amp;Rs'!$R10="","",IF(AND(CB$23&gt;='A&amp;Rs'!$V10,CB$23&lt;'A&amp;Rs'!$X10),-'A&amp;Rs'!$Z10/'A&amp;Rs'!$W10,0))</f>
        <v>0</v>
      </c>
      <c r="CC43" s="56">
        <f>IF('A&amp;Rs'!$R10="","",IF(AND(CC$23&gt;='A&amp;Rs'!$V10,CC$23&lt;'A&amp;Rs'!$X10),-'A&amp;Rs'!$Z10/'A&amp;Rs'!$W10,0))</f>
        <v>0</v>
      </c>
      <c r="CD43" s="56">
        <f>IF('A&amp;Rs'!$R10="","",IF(AND(CD$23&gt;='A&amp;Rs'!$V10,CD$23&lt;'A&amp;Rs'!$X10),-'A&amp;Rs'!$Z10/'A&amp;Rs'!$W10,0))</f>
        <v>0</v>
      </c>
      <c r="CE43" s="56">
        <f>IF('A&amp;Rs'!$R10="","",IF(AND(CE$23&gt;='A&amp;Rs'!$V10,CE$23&lt;'A&amp;Rs'!$X10),-'A&amp;Rs'!$Z10/'A&amp;Rs'!$W10,0))</f>
        <v>0</v>
      </c>
      <c r="CF43" s="56">
        <f>IF('A&amp;Rs'!$R10="","",IF(AND(CF$23&gt;='A&amp;Rs'!$V10,CF$23&lt;'A&amp;Rs'!$X10),-'A&amp;Rs'!$Z10/'A&amp;Rs'!$W10,0))</f>
        <v>0</v>
      </c>
      <c r="CG43" s="56">
        <f>IF('A&amp;Rs'!$R10="","",IF(AND(CG$23&gt;='A&amp;Rs'!$V10,CG$23&lt;'A&amp;Rs'!$X10),-'A&amp;Rs'!$Z10/'A&amp;Rs'!$W10,0))</f>
        <v>0</v>
      </c>
      <c r="CH43" s="56">
        <f>IF('A&amp;Rs'!$R10="","",IF(AND(CH$23&gt;='A&amp;Rs'!$V10,CH$23&lt;'A&amp;Rs'!$X10),-'A&amp;Rs'!$Z10/'A&amp;Rs'!$W10,0))</f>
        <v>0</v>
      </c>
      <c r="CI43" s="56">
        <f>IF('A&amp;Rs'!$R10="","",IF(AND(CI$23&gt;='A&amp;Rs'!$V10,CI$23&lt;'A&amp;Rs'!$X10),-'A&amp;Rs'!$Z10/'A&amp;Rs'!$W10,0))</f>
        <v>0</v>
      </c>
      <c r="CJ43" s="56">
        <f>IF('A&amp;Rs'!$R10="","",IF(AND(CJ$23&gt;='A&amp;Rs'!$V10,CJ$23&lt;'A&amp;Rs'!$X10),-'A&amp;Rs'!$Z10/'A&amp;Rs'!$W10,0))</f>
        <v>0</v>
      </c>
      <c r="CK43" s="56">
        <f>IF('A&amp;Rs'!$R10="","",IF(AND(CK$23&gt;='A&amp;Rs'!$V10,CK$23&lt;'A&amp;Rs'!$X10),-'A&amp;Rs'!$Z10/'A&amp;Rs'!$W10,0))</f>
        <v>0</v>
      </c>
      <c r="CL43" s="56">
        <f>IF('A&amp;Rs'!$R10="","",IF(AND(CL$23&gt;='A&amp;Rs'!$V10,CL$23&lt;'A&amp;Rs'!$X10),-'A&amp;Rs'!$Z10/'A&amp;Rs'!$W10,0))</f>
        <v>0</v>
      </c>
      <c r="CM43" s="56">
        <f>IF('A&amp;Rs'!$R10="","",IF(AND(CM$23&gt;='A&amp;Rs'!$V10,CM$23&lt;'A&amp;Rs'!$X10),-'A&amp;Rs'!$Z10/'A&amp;Rs'!$W10,0))</f>
        <v>0</v>
      </c>
      <c r="CN43" s="56">
        <f>IF('A&amp;Rs'!$R10="","",IF(AND(CN$23&gt;='A&amp;Rs'!$V10,CN$23&lt;'A&amp;Rs'!$X10),-'A&amp;Rs'!$Z10/'A&amp;Rs'!$W10,0))</f>
        <v>0</v>
      </c>
      <c r="CO43" s="56">
        <f>IF('A&amp;Rs'!$R10="","",IF(AND(CO$23&gt;='A&amp;Rs'!$V10,CO$23&lt;'A&amp;Rs'!$X10),-'A&amp;Rs'!$Z10/'A&amp;Rs'!$W10,0))</f>
        <v>0</v>
      </c>
      <c r="CP43" s="56">
        <f>IF('A&amp;Rs'!$R10="","",IF(AND(CP$23&gt;='A&amp;Rs'!$V10,CP$23&lt;'A&amp;Rs'!$X10),-'A&amp;Rs'!$Z10/'A&amp;Rs'!$W10,0))</f>
        <v>0</v>
      </c>
      <c r="CQ43" s="56">
        <f>IF('A&amp;Rs'!$R10="","",IF(AND(CQ$23&gt;='A&amp;Rs'!$V10,CQ$23&lt;'A&amp;Rs'!$X10),-'A&amp;Rs'!$Z10/'A&amp;Rs'!$W10,0))</f>
        <v>0</v>
      </c>
      <c r="CR43" s="56">
        <f>IF('A&amp;Rs'!$R10="","",IF(AND(CR$23&gt;='A&amp;Rs'!$V10,CR$23&lt;'A&amp;Rs'!$X10),-'A&amp;Rs'!$Z10/'A&amp;Rs'!$W10,0))</f>
        <v>0</v>
      </c>
      <c r="CS43" s="56">
        <f>IF('A&amp;Rs'!$R10="","",IF(AND(CS$23&gt;='A&amp;Rs'!$V10,CS$23&lt;'A&amp;Rs'!$X10),-'A&amp;Rs'!$Z10/'A&amp;Rs'!$W10,0))</f>
        <v>0</v>
      </c>
      <c r="CT43" s="56">
        <f>IF('A&amp;Rs'!$R10="","",IF(AND(CT$23&gt;='A&amp;Rs'!$V10,CT$23&lt;'A&amp;Rs'!$X10),-'A&amp;Rs'!$Z10/'A&amp;Rs'!$W10,0))</f>
        <v>0</v>
      </c>
      <c r="CU43" s="56">
        <f>IF('A&amp;Rs'!$R10="","",IF(AND(CU$23&gt;='A&amp;Rs'!$V10,CU$23&lt;'A&amp;Rs'!$X10),-'A&amp;Rs'!$Z10/'A&amp;Rs'!$W10,0))</f>
        <v>0</v>
      </c>
      <c r="CV43" s="56">
        <f>IF('A&amp;Rs'!$R10="","",IF(AND(CV$23&gt;='A&amp;Rs'!$V10,CV$23&lt;'A&amp;Rs'!$X10),-'A&amp;Rs'!$Z10/'A&amp;Rs'!$W10,0))</f>
        <v>0</v>
      </c>
      <c r="CW43" s="56">
        <f>IF('A&amp;Rs'!$R10="","",IF(AND(CW$23&gt;='A&amp;Rs'!$V10,CW$23&lt;'A&amp;Rs'!$X10),-'A&amp;Rs'!$Z10/'A&amp;Rs'!$W10,0))</f>
        <v>0</v>
      </c>
      <c r="CX43" s="56">
        <f>IF('A&amp;Rs'!$R10="","",IF(AND(CX$23&gt;='A&amp;Rs'!$V10,CX$23&lt;'A&amp;Rs'!$X10),-'A&amp;Rs'!$Z10/'A&amp;Rs'!$W10,0))</f>
        <v>0</v>
      </c>
      <c r="CY43" s="56">
        <f>IF('A&amp;Rs'!$R10="","",IF(AND(CY$23&gt;='A&amp;Rs'!$V10,CY$23&lt;'A&amp;Rs'!$X10),-'A&amp;Rs'!$Z10/'A&amp;Rs'!$W10,0))</f>
        <v>0</v>
      </c>
      <c r="CZ43" s="56">
        <f>IF('A&amp;Rs'!$R10="","",IF(AND(CZ$23&gt;='A&amp;Rs'!$V10,CZ$23&lt;'A&amp;Rs'!$X10),-'A&amp;Rs'!$Z10/'A&amp;Rs'!$W10,0))</f>
        <v>0</v>
      </c>
      <c r="DA43" s="56">
        <f>IF('A&amp;Rs'!$R10="","",IF(AND(DA$23&gt;='A&amp;Rs'!$V10,DA$23&lt;'A&amp;Rs'!$X10),-'A&amp;Rs'!$Z10/'A&amp;Rs'!$W10,0))</f>
        <v>0</v>
      </c>
      <c r="DB43" s="56">
        <f>IF('A&amp;Rs'!$R10="","",IF(AND(DB$23&gt;='A&amp;Rs'!$V10,DB$23&lt;'A&amp;Rs'!$X10),-'A&amp;Rs'!$Z10/'A&amp;Rs'!$W10,0))</f>
        <v>0</v>
      </c>
      <c r="DC43" s="56">
        <f>IF('A&amp;Rs'!$R10="","",IF(AND(DC$23&gt;='A&amp;Rs'!$V10,DC$23&lt;'A&amp;Rs'!$X10),-'A&amp;Rs'!$Z10/'A&amp;Rs'!$W10,0))</f>
        <v>0</v>
      </c>
      <c r="DD43" s="56">
        <f>IF('A&amp;Rs'!$R10="","",IF(AND(DD$23&gt;='A&amp;Rs'!$V10,DD$23&lt;'A&amp;Rs'!$X10),-'A&amp;Rs'!$Z10/'A&amp;Rs'!$W10,0))</f>
        <v>0</v>
      </c>
      <c r="DE43" s="56">
        <f>IF('A&amp;Rs'!$R10="","",IF(AND(DE$23&gt;='A&amp;Rs'!$V10,DE$23&lt;'A&amp;Rs'!$X10),-'A&amp;Rs'!$Z10/'A&amp;Rs'!$W10,0))</f>
        <v>0</v>
      </c>
      <c r="DF43" s="56">
        <f>IF('A&amp;Rs'!$R10="","",IF(AND(DF$23&gt;='A&amp;Rs'!$V10,DF$23&lt;'A&amp;Rs'!$X10),-'A&amp;Rs'!$Z10/'A&amp;Rs'!$W10,0))</f>
        <v>0</v>
      </c>
      <c r="DG43" s="56">
        <f>IF('A&amp;Rs'!$R10="","",IF(AND(DG$23&gt;='A&amp;Rs'!$V10,DG$23&lt;'A&amp;Rs'!$X10),-'A&amp;Rs'!$Z10/'A&amp;Rs'!$W10,0))</f>
        <v>0</v>
      </c>
      <c r="DH43" s="56">
        <f>IF('A&amp;Rs'!$R10="","",IF(AND(DH$23&gt;='A&amp;Rs'!$V10,DH$23&lt;'A&amp;Rs'!$X10),-'A&amp;Rs'!$Z10/'A&amp;Rs'!$W10,0))</f>
        <v>0</v>
      </c>
      <c r="DI43" s="56">
        <f>IF('A&amp;Rs'!$R10="","",IF(AND(DI$23&gt;='A&amp;Rs'!$V10,DI$23&lt;'A&amp;Rs'!$X10),-'A&amp;Rs'!$Z10/'A&amp;Rs'!$W10,0))</f>
        <v>0</v>
      </c>
      <c r="DJ43" s="56">
        <f>IF('A&amp;Rs'!$R10="","",IF(AND(DJ$23&gt;='A&amp;Rs'!$V10,DJ$23&lt;'A&amp;Rs'!$X10),-'A&amp;Rs'!$Z10/'A&amp;Rs'!$W10,0))</f>
        <v>0</v>
      </c>
      <c r="DK43" s="56">
        <f>IF('A&amp;Rs'!$R10="","",IF(AND(DK$23&gt;='A&amp;Rs'!$V10,DK$23&lt;'A&amp;Rs'!$X10),-'A&amp;Rs'!$Z10/'A&amp;Rs'!$W10,0))</f>
        <v>0</v>
      </c>
      <c r="DL43" s="56">
        <f>IF('A&amp;Rs'!$R10="","",IF(AND(DL$23&gt;='A&amp;Rs'!$V10,DL$23&lt;'A&amp;Rs'!$X10),-'A&amp;Rs'!$Z10/'A&amp;Rs'!$W10,0))</f>
        <v>0</v>
      </c>
      <c r="DM43" s="56">
        <f>IF('A&amp;Rs'!$R10="","",IF(AND(DM$23&gt;='A&amp;Rs'!$V10,DM$23&lt;'A&amp;Rs'!$X10),-'A&amp;Rs'!$Z10/'A&amp;Rs'!$W10,0))</f>
        <v>0</v>
      </c>
      <c r="DN43" s="56">
        <f>IF('A&amp;Rs'!$R10="","",IF(AND(DN$23&gt;='A&amp;Rs'!$V10,DN$23&lt;'A&amp;Rs'!$X10),-'A&amp;Rs'!$Z10/'A&amp;Rs'!$W10,0))</f>
        <v>0</v>
      </c>
      <c r="DO43" s="56">
        <f>IF('A&amp;Rs'!$R10="","",IF(AND(DO$23&gt;='A&amp;Rs'!$V10,DO$23&lt;'A&amp;Rs'!$X10),-'A&amp;Rs'!$Z10/'A&amp;Rs'!$W10,0))</f>
        <v>0</v>
      </c>
      <c r="DP43" s="56">
        <f>IF('A&amp;Rs'!$R10="","",IF(AND(DP$23&gt;='A&amp;Rs'!$V10,DP$23&lt;'A&amp;Rs'!$X10),-'A&amp;Rs'!$Z10/'A&amp;Rs'!$W10,0))</f>
        <v>0</v>
      </c>
      <c r="DQ43" s="56">
        <f>IF('A&amp;Rs'!$R10="","",IF(AND(DQ$23&gt;='A&amp;Rs'!$V10,DQ$23&lt;'A&amp;Rs'!$X10),-'A&amp;Rs'!$Z10/'A&amp;Rs'!$W10,0))</f>
        <v>0</v>
      </c>
      <c r="DR43" s="56">
        <f>IF('A&amp;Rs'!$R10="","",IF(AND(DR$23&gt;='A&amp;Rs'!$V10,DR$23&lt;'A&amp;Rs'!$X10),-'A&amp;Rs'!$Z10/'A&amp;Rs'!$W10,0))</f>
        <v>0</v>
      </c>
      <c r="DS43" s="56">
        <f>IF('A&amp;Rs'!$R10="","",IF(AND(DS$23&gt;='A&amp;Rs'!$V10,DS$23&lt;'A&amp;Rs'!$X10),-'A&amp;Rs'!$Z10/'A&amp;Rs'!$W10,0))</f>
        <v>0</v>
      </c>
      <c r="DT43" s="56">
        <f>IF('A&amp;Rs'!$R10="","",IF(AND(DT$23&gt;='A&amp;Rs'!$V10,DT$23&lt;'A&amp;Rs'!$X10),-'A&amp;Rs'!$Z10/'A&amp;Rs'!$W10,0))</f>
        <v>0</v>
      </c>
      <c r="DU43" s="56">
        <f>IF('A&amp;Rs'!$R10="","",IF(AND(DU$23&gt;='A&amp;Rs'!$V10,DU$23&lt;'A&amp;Rs'!$X10),-'A&amp;Rs'!$Z10/'A&amp;Rs'!$W10,0))</f>
        <v>0</v>
      </c>
      <c r="DV43" s="56">
        <f>IF('A&amp;Rs'!$R10="","",IF(AND(DV$23&gt;='A&amp;Rs'!$V10,DV$23&lt;'A&amp;Rs'!$X10),-'A&amp;Rs'!$Z10/'A&amp;Rs'!$W10,0))</f>
        <v>0</v>
      </c>
      <c r="DW43" s="56">
        <f>IF('A&amp;Rs'!$R10="","",IF(AND(DW$23&gt;='A&amp;Rs'!$V10,DW$23&lt;'A&amp;Rs'!$X10),-'A&amp;Rs'!$Z10/'A&amp;Rs'!$W10,0))</f>
        <v>0</v>
      </c>
      <c r="DX43" s="56">
        <f>IF('A&amp;Rs'!$R10="","",IF(AND(DX$23&gt;='A&amp;Rs'!$V10,DX$23&lt;'A&amp;Rs'!$X10),-'A&amp;Rs'!$Z10/'A&amp;Rs'!$W10,0))</f>
        <v>0</v>
      </c>
      <c r="DY43" s="56">
        <f>IF('A&amp;Rs'!$R10="","",IF(AND(DY$23&gt;='A&amp;Rs'!$V10,DY$23&lt;'A&amp;Rs'!$X10),-'A&amp;Rs'!$Z10/'A&amp;Rs'!$W10,0))</f>
        <v>0</v>
      </c>
      <c r="DZ43" s="56">
        <f>IF('A&amp;Rs'!$R10="","",IF(AND(DZ$23&gt;='A&amp;Rs'!$V10,DZ$23&lt;'A&amp;Rs'!$X10),-'A&amp;Rs'!$Z10/'A&amp;Rs'!$W10,0))</f>
        <v>0</v>
      </c>
      <c r="EA43" s="56">
        <f>IF('A&amp;Rs'!$R10="","",IF(AND(EA$23&gt;='A&amp;Rs'!$V10,EA$23&lt;'A&amp;Rs'!$X10),-'A&amp;Rs'!$Z10/'A&amp;Rs'!$W10,0))</f>
        <v>0</v>
      </c>
      <c r="EB43" s="56">
        <f>IF('A&amp;Rs'!$R10="","",IF(AND(EB$23&gt;='A&amp;Rs'!$V10,EB$23&lt;'A&amp;Rs'!$X10),-'A&amp;Rs'!$Z10/'A&amp;Rs'!$W10,0))</f>
        <v>0</v>
      </c>
      <c r="EC43" s="56">
        <f>IF('A&amp;Rs'!$R10="","",IF(AND(EC$23&gt;='A&amp;Rs'!$V10,EC$23&lt;'A&amp;Rs'!$X10),-'A&amp;Rs'!$Z10/'A&amp;Rs'!$W10,0))</f>
        <v>0</v>
      </c>
      <c r="ED43" s="56">
        <f>IF('A&amp;Rs'!$R10="","",IF(AND(ED$23&gt;='A&amp;Rs'!$V10,ED$23&lt;'A&amp;Rs'!$X10),-'A&amp;Rs'!$Z10/'A&amp;Rs'!$W10,0))</f>
        <v>0</v>
      </c>
      <c r="EE43" s="56">
        <f>IF('A&amp;Rs'!$R10="","",IF(AND(EE$23&gt;='A&amp;Rs'!$V10,EE$23&lt;'A&amp;Rs'!$X10),-'A&amp;Rs'!$Z10/'A&amp;Rs'!$W10,0))</f>
        <v>0</v>
      </c>
      <c r="EF43" s="56">
        <f>IF('A&amp;Rs'!$R10="","",IF(AND(EF$23&gt;='A&amp;Rs'!$V10,EF$23&lt;'A&amp;Rs'!$X10),-'A&amp;Rs'!$Z10/'A&amp;Rs'!$W10,0))</f>
        <v>0</v>
      </c>
      <c r="EG43" s="56">
        <f>IF('A&amp;Rs'!$R10="","",IF(AND(EG$23&gt;='A&amp;Rs'!$V10,EG$23&lt;'A&amp;Rs'!$X10),-'A&amp;Rs'!$Z10/'A&amp;Rs'!$W10,0))</f>
        <v>0</v>
      </c>
      <c r="EH43" s="56">
        <f>IF('A&amp;Rs'!$R10="","",IF(AND(EH$23&gt;='A&amp;Rs'!$V10,EH$23&lt;'A&amp;Rs'!$X10),-'A&amp;Rs'!$Z10/'A&amp;Rs'!$W10,0))</f>
        <v>0</v>
      </c>
      <c r="EI43" s="56">
        <f>IF('A&amp;Rs'!$R10="","",IF(AND(EI$23&gt;='A&amp;Rs'!$V10,EI$23&lt;'A&amp;Rs'!$X10),-'A&amp;Rs'!$Z10/'A&amp;Rs'!$W10,0))</f>
        <v>0</v>
      </c>
      <c r="EJ43" s="56">
        <f>IF('A&amp;Rs'!$R10="","",IF(AND(EJ$23&gt;='A&amp;Rs'!$V10,EJ$23&lt;'A&amp;Rs'!$X10),-'A&amp;Rs'!$Z10/'A&amp;Rs'!$W10,0))</f>
        <v>0</v>
      </c>
      <c r="EK43" s="56">
        <f>IF('A&amp;Rs'!$R10="","",IF(AND(EK$23&gt;='A&amp;Rs'!$V10,EK$23&lt;'A&amp;Rs'!$X10),-'A&amp;Rs'!$Z10/'A&amp;Rs'!$W10,0))</f>
        <v>0</v>
      </c>
      <c r="EL43" s="56">
        <f>IF('A&amp;Rs'!$R10="","",IF(AND(EL$23&gt;='A&amp;Rs'!$V10,EL$23&lt;'A&amp;Rs'!$X10),-'A&amp;Rs'!$Z10/'A&amp;Rs'!$W10,0))</f>
        <v>0</v>
      </c>
      <c r="EM43" s="56">
        <f>IF('A&amp;Rs'!$R10="","",IF(AND(EM$23&gt;='A&amp;Rs'!$V10,EM$23&lt;'A&amp;Rs'!$X10),-'A&amp;Rs'!$Z10/'A&amp;Rs'!$W10,0))</f>
        <v>0</v>
      </c>
      <c r="EN43" s="56">
        <f>IF('A&amp;Rs'!$R10="","",IF(AND(EN$23&gt;='A&amp;Rs'!$V10,EN$23&lt;'A&amp;Rs'!$X10),-'A&amp;Rs'!$Z10/'A&amp;Rs'!$W10,0))</f>
        <v>0</v>
      </c>
      <c r="EO43" s="56">
        <f>IF('A&amp;Rs'!$R10="","",IF(AND(EO$23&gt;='A&amp;Rs'!$V10,EO$23&lt;'A&amp;Rs'!$X10),-'A&amp;Rs'!$Z10/'A&amp;Rs'!$W10,0))</f>
        <v>0</v>
      </c>
      <c r="EP43" s="56">
        <f>IF('A&amp;Rs'!$R10="","",IF(AND(EP$23&gt;='A&amp;Rs'!$V10,EP$23&lt;'A&amp;Rs'!$X10),-'A&amp;Rs'!$Z10/'A&amp;Rs'!$W10,0))</f>
        <v>0</v>
      </c>
      <c r="EQ43" s="56">
        <f>IF('A&amp;Rs'!$R10="","",IF(AND(EQ$23&gt;='A&amp;Rs'!$V10,EQ$23&lt;'A&amp;Rs'!$X10),-'A&amp;Rs'!$Z10/'A&amp;Rs'!$W10,0))</f>
        <v>0</v>
      </c>
      <c r="ER43" s="56">
        <f>IF('A&amp;Rs'!$R10="","",IF(AND(ER$23&gt;='A&amp;Rs'!$V10,ER$23&lt;'A&amp;Rs'!$X10),-'A&amp;Rs'!$Z10/'A&amp;Rs'!$W10,0))</f>
        <v>0</v>
      </c>
      <c r="ES43" s="56">
        <f>IF('A&amp;Rs'!$R10="","",IF(AND(ES$23&gt;='A&amp;Rs'!$V10,ES$23&lt;'A&amp;Rs'!$X10),-'A&amp;Rs'!$Z10/'A&amp;Rs'!$W10,0))</f>
        <v>0</v>
      </c>
      <c r="ET43" s="56">
        <f>IF('A&amp;Rs'!$R10="","",IF(AND(ET$23&gt;='A&amp;Rs'!$V10,ET$23&lt;'A&amp;Rs'!$X10),-'A&amp;Rs'!$Z10/'A&amp;Rs'!$W10,0))</f>
        <v>0</v>
      </c>
      <c r="EU43" s="56">
        <f>IF('A&amp;Rs'!$R10="","",IF(AND(EU$23&gt;='A&amp;Rs'!$V10,EU$23&lt;'A&amp;Rs'!$X10),-'A&amp;Rs'!$Z10/'A&amp;Rs'!$W10,0))</f>
        <v>0</v>
      </c>
      <c r="EV43" s="56">
        <f>IF('A&amp;Rs'!$R10="","",IF(AND(EV$23&gt;='A&amp;Rs'!$V10,EV$23&lt;'A&amp;Rs'!$X10),-'A&amp;Rs'!$Z10/'A&amp;Rs'!$W10,0))</f>
        <v>0</v>
      </c>
      <c r="EW43" s="56">
        <f>IF('A&amp;Rs'!$R10="","",IF(AND(EW$23&gt;='A&amp;Rs'!$V10,EW$23&lt;'A&amp;Rs'!$X10),-'A&amp;Rs'!$Z10/'A&amp;Rs'!$W10,0))</f>
        <v>0</v>
      </c>
      <c r="EX43" s="56">
        <f>IF('A&amp;Rs'!$R10="","",IF(AND(EX$23&gt;='A&amp;Rs'!$V10,EX$23&lt;'A&amp;Rs'!$X10),-'A&amp;Rs'!$Z10/'A&amp;Rs'!$W10,0))</f>
        <v>0</v>
      </c>
      <c r="EY43" s="56">
        <f>IF('A&amp;Rs'!$R10="","",IF(AND(EY$23&gt;='A&amp;Rs'!$V10,EY$23&lt;'A&amp;Rs'!$X10),-'A&amp;Rs'!$Z10/'A&amp;Rs'!$W10,0))</f>
        <v>0</v>
      </c>
      <c r="EZ43" s="56">
        <f>IF('A&amp;Rs'!$R10="","",IF(AND(EZ$23&gt;='A&amp;Rs'!$V10,EZ$23&lt;'A&amp;Rs'!$X10),-'A&amp;Rs'!$Z10/'A&amp;Rs'!$W10,0))</f>
        <v>0</v>
      </c>
      <c r="FA43" s="56">
        <f>IF('A&amp;Rs'!$R10="","",IF(AND(FA$23&gt;='A&amp;Rs'!$V10,FA$23&lt;'A&amp;Rs'!$X10),-'A&amp;Rs'!$Z10/'A&amp;Rs'!$W10,0))</f>
        <v>0</v>
      </c>
      <c r="FB43" s="56">
        <f>IF('A&amp;Rs'!$R10="","",IF(AND(FB$23&gt;='A&amp;Rs'!$V10,FB$23&lt;'A&amp;Rs'!$X10),-'A&amp;Rs'!$Z10/'A&amp;Rs'!$W10,0))</f>
        <v>0</v>
      </c>
      <c r="FC43" s="56">
        <f>IF('A&amp;Rs'!$R10="","",IF(AND(FC$23&gt;='A&amp;Rs'!$V10,FC$23&lt;'A&amp;Rs'!$X10),-'A&amp;Rs'!$Z10/'A&amp;Rs'!$W10,0))</f>
        <v>0</v>
      </c>
      <c r="FD43" s="56">
        <f>IF('A&amp;Rs'!$R10="","",IF(AND(FD$23&gt;='A&amp;Rs'!$V10,FD$23&lt;'A&amp;Rs'!$X10),-'A&amp;Rs'!$Z10/'A&amp;Rs'!$W10,0))</f>
        <v>0</v>
      </c>
      <c r="FE43" s="56">
        <f>IF('A&amp;Rs'!$R10="","",IF(AND(FE$23&gt;='A&amp;Rs'!$V10,FE$23&lt;'A&amp;Rs'!$X10),-'A&amp;Rs'!$Z10/'A&amp;Rs'!$W10,0))</f>
        <v>0</v>
      </c>
      <c r="FF43" s="1" t="s">
        <v>39</v>
      </c>
      <c r="FG43" s="1"/>
      <c r="FH43" s="1"/>
      <c r="FI43" s="99"/>
    </row>
    <row r="44" spans="1:165" x14ac:dyDescent="0.3">
      <c r="A44" s="150">
        <f>'A&amp;Rs'!Z11</f>
        <v>12000</v>
      </c>
      <c r="B44" s="217">
        <f t="shared" si="12"/>
        <v>-12000</v>
      </c>
      <c r="C44" s="215"/>
      <c r="D44" s="43">
        <v>2</v>
      </c>
      <c r="E44" s="56"/>
      <c r="F44" s="56">
        <f>IF('A&amp;Rs'!$R11="","",IF(AND(F$23&gt;='A&amp;Rs'!$V11,F$23&lt;'A&amp;Rs'!$X11),-'A&amp;Rs'!$Z11/'A&amp;Rs'!$W11,0))</f>
        <v>0</v>
      </c>
      <c r="G44" s="56">
        <f>IF('A&amp;Rs'!$R11="","",IF(AND(G$23&gt;='A&amp;Rs'!$V11,G$23&lt;'A&amp;Rs'!$X11),-'A&amp;Rs'!$Z11/'A&amp;Rs'!$W11,0))</f>
        <v>-6000</v>
      </c>
      <c r="H44" s="56">
        <f>IF('A&amp;Rs'!$R11="","",IF(AND(H$23&gt;='A&amp;Rs'!$V11,H$23&lt;'A&amp;Rs'!$X11),-'A&amp;Rs'!$Z11/'A&amp;Rs'!$W11,0))</f>
        <v>-6000</v>
      </c>
      <c r="I44" s="56">
        <f>IF('A&amp;Rs'!$R11="","",IF(AND(I$23&gt;='A&amp;Rs'!$V11,I$23&lt;'A&amp;Rs'!$X11),-'A&amp;Rs'!$Z11/'A&amp;Rs'!$W11,0))</f>
        <v>0</v>
      </c>
      <c r="J44" s="56">
        <f>IF('A&amp;Rs'!$R11="","",IF(AND(J$23&gt;='A&amp;Rs'!$V11,J$23&lt;'A&amp;Rs'!$X11),-'A&amp;Rs'!$Z11/'A&amp;Rs'!$W11,0))</f>
        <v>0</v>
      </c>
      <c r="K44" s="56">
        <f>IF('A&amp;Rs'!$R11="","",IF(AND(K$23&gt;='A&amp;Rs'!$V11,K$23&lt;'A&amp;Rs'!$X11),-'A&amp;Rs'!$Z11/'A&amp;Rs'!$W11,0))</f>
        <v>0</v>
      </c>
      <c r="L44" s="56">
        <f>IF('A&amp;Rs'!$R11="","",IF(AND(L$23&gt;='A&amp;Rs'!$V11,L$23&lt;'A&amp;Rs'!$X11),-'A&amp;Rs'!$Z11/'A&amp;Rs'!$W11,0))</f>
        <v>0</v>
      </c>
      <c r="M44" s="56">
        <f>IF('A&amp;Rs'!$R11="","",IF(AND(M$23&gt;='A&amp;Rs'!$V11,M$23&lt;'A&amp;Rs'!$X11),-'A&amp;Rs'!$Z11/'A&amp;Rs'!$W11,0))</f>
        <v>0</v>
      </c>
      <c r="N44" s="56">
        <f>IF('A&amp;Rs'!$R11="","",IF(AND(N$23&gt;='A&amp;Rs'!$V11,N$23&lt;'A&amp;Rs'!$X11),-'A&amp;Rs'!$Z11/'A&amp;Rs'!$W11,0))</f>
        <v>0</v>
      </c>
      <c r="O44" s="56">
        <f>IF('A&amp;Rs'!$R11="","",IF(AND(O$23&gt;='A&amp;Rs'!$V11,O$23&lt;'A&amp;Rs'!$X11),-'A&amp;Rs'!$Z11/'A&amp;Rs'!$W11,0))</f>
        <v>0</v>
      </c>
      <c r="P44" s="56">
        <f>IF('A&amp;Rs'!$R11="","",IF(AND(P$23&gt;='A&amp;Rs'!$V11,P$23&lt;'A&amp;Rs'!$X11),-'A&amp;Rs'!$Z11/'A&amp;Rs'!$W11,0))</f>
        <v>0</v>
      </c>
      <c r="Q44" s="56">
        <f>IF('A&amp;Rs'!$R11="","",IF(AND(Q$23&gt;='A&amp;Rs'!$V11,Q$23&lt;'A&amp;Rs'!$X11),-'A&amp;Rs'!$Z11/'A&amp;Rs'!$W11,0))</f>
        <v>0</v>
      </c>
      <c r="R44" s="56">
        <f>IF('A&amp;Rs'!$R11="","",IF(AND(R$23&gt;='A&amp;Rs'!$V11,R$23&lt;'A&amp;Rs'!$X11),-'A&amp;Rs'!$Z11/'A&amp;Rs'!$W11,0))</f>
        <v>0</v>
      </c>
      <c r="S44" s="56">
        <f>IF('A&amp;Rs'!$R11="","",IF(AND(S$23&gt;='A&amp;Rs'!$V11,S$23&lt;'A&amp;Rs'!$X11),-'A&amp;Rs'!$Z11/'A&amp;Rs'!$W11,0))</f>
        <v>0</v>
      </c>
      <c r="T44" s="56">
        <f>IF('A&amp;Rs'!$R11="","",IF(AND(T$23&gt;='A&amp;Rs'!$V11,T$23&lt;'A&amp;Rs'!$X11),-'A&amp;Rs'!$Z11/'A&amp;Rs'!$W11,0))</f>
        <v>0</v>
      </c>
      <c r="U44" s="56">
        <f>IF('A&amp;Rs'!$R11="","",IF(AND(U$23&gt;='A&amp;Rs'!$V11,U$23&lt;'A&amp;Rs'!$X11),-'A&amp;Rs'!$Z11/'A&amp;Rs'!$W11,0))</f>
        <v>0</v>
      </c>
      <c r="V44" s="56">
        <f>IF('A&amp;Rs'!$R11="","",IF(AND(V$23&gt;='A&amp;Rs'!$V11,V$23&lt;'A&amp;Rs'!$X11),-'A&amp;Rs'!$Z11/'A&amp;Rs'!$W11,0))</f>
        <v>0</v>
      </c>
      <c r="W44" s="56">
        <f>IF('A&amp;Rs'!$R11="","",IF(AND(W$23&gt;='A&amp;Rs'!$V11,W$23&lt;'A&amp;Rs'!$X11),-'A&amp;Rs'!$Z11/'A&amp;Rs'!$W11,0))</f>
        <v>0</v>
      </c>
      <c r="X44" s="56">
        <f>IF('A&amp;Rs'!$R11="","",IF(AND(X$23&gt;='A&amp;Rs'!$V11,X$23&lt;'A&amp;Rs'!$X11),-'A&amp;Rs'!$Z11/'A&amp;Rs'!$W11,0))</f>
        <v>0</v>
      </c>
      <c r="Y44" s="56">
        <f>IF('A&amp;Rs'!$R11="","",IF(AND(Y$23&gt;='A&amp;Rs'!$V11,Y$23&lt;'A&amp;Rs'!$X11),-'A&amp;Rs'!$Z11/'A&amp;Rs'!$W11,0))</f>
        <v>0</v>
      </c>
      <c r="Z44" s="56">
        <f>IF('A&amp;Rs'!$R11="","",IF(AND(Z$23&gt;='A&amp;Rs'!$V11,Z$23&lt;'A&amp;Rs'!$X11),-'A&amp;Rs'!$Z11/'A&amp;Rs'!$W11,0))</f>
        <v>0</v>
      </c>
      <c r="AA44" s="56">
        <f>IF('A&amp;Rs'!$R11="","",IF(AND(AA$23&gt;='A&amp;Rs'!$V11,AA$23&lt;'A&amp;Rs'!$X11),-'A&amp;Rs'!$Z11/'A&amp;Rs'!$W11,0))</f>
        <v>0</v>
      </c>
      <c r="AB44" s="56">
        <f>IF('A&amp;Rs'!$R11="","",IF(AND(AB$23&gt;='A&amp;Rs'!$V11,AB$23&lt;'A&amp;Rs'!$X11),-'A&amp;Rs'!$Z11/'A&amp;Rs'!$W11,0))</f>
        <v>0</v>
      </c>
      <c r="AC44" s="56">
        <f>IF('A&amp;Rs'!$R11="","",IF(AND(AC$23&gt;='A&amp;Rs'!$V11,AC$23&lt;'A&amp;Rs'!$X11),-'A&amp;Rs'!$Z11/'A&amp;Rs'!$W11,0))</f>
        <v>0</v>
      </c>
      <c r="AD44" s="56">
        <f>IF('A&amp;Rs'!$R11="","",IF(AND(AD$23&gt;='A&amp;Rs'!$V11,AD$23&lt;'A&amp;Rs'!$X11),-'A&amp;Rs'!$Z11/'A&amp;Rs'!$W11,0))</f>
        <v>0</v>
      </c>
      <c r="AE44" s="56">
        <f>IF('A&amp;Rs'!$R11="","",IF(AND(AE$23&gt;='A&amp;Rs'!$V11,AE$23&lt;'A&amp;Rs'!$X11),-'A&amp;Rs'!$Z11/'A&amp;Rs'!$W11,0))</f>
        <v>0</v>
      </c>
      <c r="AF44" s="56">
        <f>IF('A&amp;Rs'!$R11="","",IF(AND(AF$23&gt;='A&amp;Rs'!$V11,AF$23&lt;'A&amp;Rs'!$X11),-'A&amp;Rs'!$Z11/'A&amp;Rs'!$W11,0))</f>
        <v>0</v>
      </c>
      <c r="AG44" s="56">
        <f>IF('A&amp;Rs'!$R11="","",IF(AND(AG$23&gt;='A&amp;Rs'!$V11,AG$23&lt;'A&amp;Rs'!$X11),-'A&amp;Rs'!$Z11/'A&amp;Rs'!$W11,0))</f>
        <v>0</v>
      </c>
      <c r="AH44" s="56">
        <f>IF('A&amp;Rs'!$R11="","",IF(AND(AH$23&gt;='A&amp;Rs'!$V11,AH$23&lt;'A&amp;Rs'!$X11),-'A&amp;Rs'!$Z11/'A&amp;Rs'!$W11,0))</f>
        <v>0</v>
      </c>
      <c r="AI44" s="56">
        <f>IF('A&amp;Rs'!$R11="","",IF(AND(AI$23&gt;='A&amp;Rs'!$V11,AI$23&lt;'A&amp;Rs'!$X11),-'A&amp;Rs'!$Z11/'A&amp;Rs'!$W11,0))</f>
        <v>0</v>
      </c>
      <c r="AJ44" s="56">
        <f>IF('A&amp;Rs'!$R11="","",IF(AND(AJ$23&gt;='A&amp;Rs'!$V11,AJ$23&lt;'A&amp;Rs'!$X11),-'A&amp;Rs'!$Z11/'A&amp;Rs'!$W11,0))</f>
        <v>0</v>
      </c>
      <c r="AK44" s="56">
        <f>IF('A&amp;Rs'!$R11="","",IF(AND(AK$23&gt;='A&amp;Rs'!$V11,AK$23&lt;'A&amp;Rs'!$X11),-'A&amp;Rs'!$Z11/'A&amp;Rs'!$W11,0))</f>
        <v>0</v>
      </c>
      <c r="AL44" s="56">
        <f>IF('A&amp;Rs'!$R11="","",IF(AND(AL$23&gt;='A&amp;Rs'!$V11,AL$23&lt;'A&amp;Rs'!$X11),-'A&amp;Rs'!$Z11/'A&amp;Rs'!$W11,0))</f>
        <v>0</v>
      </c>
      <c r="AM44" s="56">
        <f>IF('A&amp;Rs'!$R11="","",IF(AND(AM$23&gt;='A&amp;Rs'!$V11,AM$23&lt;'A&amp;Rs'!$X11),-'A&amp;Rs'!$Z11/'A&amp;Rs'!$W11,0))</f>
        <v>0</v>
      </c>
      <c r="AN44" s="56">
        <f>IF('A&amp;Rs'!$R11="","",IF(AND(AN$23&gt;='A&amp;Rs'!$V11,AN$23&lt;'A&amp;Rs'!$X11),-'A&amp;Rs'!$Z11/'A&amp;Rs'!$W11,0))</f>
        <v>0</v>
      </c>
      <c r="AO44" s="56">
        <f>IF('A&amp;Rs'!$R11="","",IF(AND(AO$23&gt;='A&amp;Rs'!$V11,AO$23&lt;'A&amp;Rs'!$X11),-'A&amp;Rs'!$Z11/'A&amp;Rs'!$W11,0))</f>
        <v>0</v>
      </c>
      <c r="AP44" s="56">
        <f>IF('A&amp;Rs'!$R11="","",IF(AND(AP$23&gt;='A&amp;Rs'!$V11,AP$23&lt;'A&amp;Rs'!$X11),-'A&amp;Rs'!$Z11/'A&amp;Rs'!$W11,0))</f>
        <v>0</v>
      </c>
      <c r="AQ44" s="56">
        <f>IF('A&amp;Rs'!$R11="","",IF(AND(AQ$23&gt;='A&amp;Rs'!$V11,AQ$23&lt;'A&amp;Rs'!$X11),-'A&amp;Rs'!$Z11/'A&amp;Rs'!$W11,0))</f>
        <v>0</v>
      </c>
      <c r="AR44" s="56">
        <f>IF('A&amp;Rs'!$R11="","",IF(AND(AR$23&gt;='A&amp;Rs'!$V11,AR$23&lt;'A&amp;Rs'!$X11),-'A&amp;Rs'!$Z11/'A&amp;Rs'!$W11,0))</f>
        <v>0</v>
      </c>
      <c r="AS44" s="56">
        <f>IF('A&amp;Rs'!$R11="","",IF(AND(AS$23&gt;='A&amp;Rs'!$V11,AS$23&lt;'A&amp;Rs'!$X11),-'A&amp;Rs'!$Z11/'A&amp;Rs'!$W11,0))</f>
        <v>0</v>
      </c>
      <c r="AT44" s="56">
        <f>IF('A&amp;Rs'!$R11="","",IF(AND(AT$23&gt;='A&amp;Rs'!$V11,AT$23&lt;'A&amp;Rs'!$X11),-'A&amp;Rs'!$Z11/'A&amp;Rs'!$W11,0))</f>
        <v>0</v>
      </c>
      <c r="AU44" s="56">
        <f>IF('A&amp;Rs'!$R11="","",IF(AND(AU$23&gt;='A&amp;Rs'!$V11,AU$23&lt;'A&amp;Rs'!$X11),-'A&amp;Rs'!$Z11/'A&amp;Rs'!$W11,0))</f>
        <v>0</v>
      </c>
      <c r="AV44" s="56">
        <f>IF('A&amp;Rs'!$R11="","",IF(AND(AV$23&gt;='A&amp;Rs'!$V11,AV$23&lt;'A&amp;Rs'!$X11),-'A&amp;Rs'!$Z11/'A&amp;Rs'!$W11,0))</f>
        <v>0</v>
      </c>
      <c r="AW44" s="56">
        <f>IF('A&amp;Rs'!$R11="","",IF(AND(AW$23&gt;='A&amp;Rs'!$V11,AW$23&lt;'A&amp;Rs'!$X11),-'A&amp;Rs'!$Z11/'A&amp;Rs'!$W11,0))</f>
        <v>0</v>
      </c>
      <c r="AX44" s="56">
        <f>IF('A&amp;Rs'!$R11="","",IF(AND(AX$23&gt;='A&amp;Rs'!$V11,AX$23&lt;'A&amp;Rs'!$X11),-'A&amp;Rs'!$Z11/'A&amp;Rs'!$W11,0))</f>
        <v>0</v>
      </c>
      <c r="AY44" s="56">
        <f>IF('A&amp;Rs'!$R11="","",IF(AND(AY$23&gt;='A&amp;Rs'!$V11,AY$23&lt;'A&amp;Rs'!$X11),-'A&amp;Rs'!$Z11/'A&amp;Rs'!$W11,0))</f>
        <v>0</v>
      </c>
      <c r="AZ44" s="56">
        <f>IF('A&amp;Rs'!$R11="","",IF(AND(AZ$23&gt;='A&amp;Rs'!$V11,AZ$23&lt;'A&amp;Rs'!$X11),-'A&amp;Rs'!$Z11/'A&amp;Rs'!$W11,0))</f>
        <v>0</v>
      </c>
      <c r="BA44" s="56">
        <f>IF('A&amp;Rs'!$R11="","",IF(AND(BA$23&gt;='A&amp;Rs'!$V11,BA$23&lt;'A&amp;Rs'!$X11),-'A&amp;Rs'!$Z11/'A&amp;Rs'!$W11,0))</f>
        <v>0</v>
      </c>
      <c r="BB44" s="56">
        <f>IF('A&amp;Rs'!$R11="","",IF(AND(BB$23&gt;='A&amp;Rs'!$V11,BB$23&lt;'A&amp;Rs'!$X11),-'A&amp;Rs'!$Z11/'A&amp;Rs'!$W11,0))</f>
        <v>0</v>
      </c>
      <c r="BC44" s="56">
        <f>IF('A&amp;Rs'!$R11="","",IF(AND(BC$23&gt;='A&amp;Rs'!$V11,BC$23&lt;'A&amp;Rs'!$X11),-'A&amp;Rs'!$Z11/'A&amp;Rs'!$W11,0))</f>
        <v>0</v>
      </c>
      <c r="BD44" s="56">
        <f>IF('A&amp;Rs'!$R11="","",IF(AND(BD$23&gt;='A&amp;Rs'!$V11,BD$23&lt;'A&amp;Rs'!$X11),-'A&amp;Rs'!$Z11/'A&amp;Rs'!$W11,0))</f>
        <v>0</v>
      </c>
      <c r="BE44" s="56">
        <f>IF('A&amp;Rs'!$R11="","",IF(AND(BE$23&gt;='A&amp;Rs'!$V11,BE$23&lt;'A&amp;Rs'!$X11),-'A&amp;Rs'!$Z11/'A&amp;Rs'!$W11,0))</f>
        <v>0</v>
      </c>
      <c r="BF44" s="56">
        <f>IF('A&amp;Rs'!$R11="","",IF(AND(BF$23&gt;='A&amp;Rs'!$V11,BF$23&lt;'A&amp;Rs'!$X11),-'A&amp;Rs'!$Z11/'A&amp;Rs'!$W11,0))</f>
        <v>0</v>
      </c>
      <c r="BG44" s="56">
        <f>IF('A&amp;Rs'!$R11="","",IF(AND(BG$23&gt;='A&amp;Rs'!$V11,BG$23&lt;'A&amp;Rs'!$X11),-'A&amp;Rs'!$Z11/'A&amp;Rs'!$W11,0))</f>
        <v>0</v>
      </c>
      <c r="BH44" s="56">
        <f>IF('A&amp;Rs'!$R11="","",IF(AND(BH$23&gt;='A&amp;Rs'!$V11,BH$23&lt;'A&amp;Rs'!$X11),-'A&amp;Rs'!$Z11/'A&amp;Rs'!$W11,0))</f>
        <v>0</v>
      </c>
      <c r="BI44" s="56">
        <f>IF('A&amp;Rs'!$R11="","",IF(AND(BI$23&gt;='A&amp;Rs'!$V11,BI$23&lt;'A&amp;Rs'!$X11),-'A&amp;Rs'!$Z11/'A&amp;Rs'!$W11,0))</f>
        <v>0</v>
      </c>
      <c r="BJ44" s="56">
        <f>IF('A&amp;Rs'!$R11="","",IF(AND(BJ$23&gt;='A&amp;Rs'!$V11,BJ$23&lt;'A&amp;Rs'!$X11),-'A&amp;Rs'!$Z11/'A&amp;Rs'!$W11,0))</f>
        <v>0</v>
      </c>
      <c r="BK44" s="56">
        <f>IF('A&amp;Rs'!$R11="","",IF(AND(BK$23&gt;='A&amp;Rs'!$V11,BK$23&lt;'A&amp;Rs'!$X11),-'A&amp;Rs'!$Z11/'A&amp;Rs'!$W11,0))</f>
        <v>0</v>
      </c>
      <c r="BL44" s="56">
        <f>IF('A&amp;Rs'!$R11="","",IF(AND(BL$23&gt;='A&amp;Rs'!$V11,BL$23&lt;'A&amp;Rs'!$X11),-'A&amp;Rs'!$Z11/'A&amp;Rs'!$W11,0))</f>
        <v>0</v>
      </c>
      <c r="BM44" s="56">
        <f>IF('A&amp;Rs'!$R11="","",IF(AND(BM$23&gt;='A&amp;Rs'!$V11,BM$23&lt;'A&amp;Rs'!$X11),-'A&amp;Rs'!$Z11/'A&amp;Rs'!$W11,0))</f>
        <v>0</v>
      </c>
      <c r="BN44" s="56">
        <f>IF('A&amp;Rs'!$R11="","",IF(AND(BN$23&gt;='A&amp;Rs'!$V11,BN$23&lt;'A&amp;Rs'!$X11),-'A&amp;Rs'!$Z11/'A&amp;Rs'!$W11,0))</f>
        <v>0</v>
      </c>
      <c r="BO44" s="56">
        <f>IF('A&amp;Rs'!$R11="","",IF(AND(BO$23&gt;='A&amp;Rs'!$V11,BO$23&lt;'A&amp;Rs'!$X11),-'A&amp;Rs'!$Z11/'A&amp;Rs'!$W11,0))</f>
        <v>0</v>
      </c>
      <c r="BP44" s="56">
        <f>IF('A&amp;Rs'!$R11="","",IF(AND(BP$23&gt;='A&amp;Rs'!$V11,BP$23&lt;'A&amp;Rs'!$X11),-'A&amp;Rs'!$Z11/'A&amp;Rs'!$W11,0))</f>
        <v>0</v>
      </c>
      <c r="BQ44" s="56">
        <f>IF('A&amp;Rs'!$R11="","",IF(AND(BQ$23&gt;='A&amp;Rs'!$V11,BQ$23&lt;'A&amp;Rs'!$X11),-'A&amp;Rs'!$Z11/'A&amp;Rs'!$W11,0))</f>
        <v>0</v>
      </c>
      <c r="BR44" s="56">
        <f>IF('A&amp;Rs'!$R11="","",IF(AND(BR$23&gt;='A&amp;Rs'!$V11,BR$23&lt;'A&amp;Rs'!$X11),-'A&amp;Rs'!$Z11/'A&amp;Rs'!$W11,0))</f>
        <v>0</v>
      </c>
      <c r="BS44" s="56">
        <f>IF('A&amp;Rs'!$R11="","",IF(AND(BS$23&gt;='A&amp;Rs'!$V11,BS$23&lt;'A&amp;Rs'!$X11),-'A&amp;Rs'!$Z11/'A&amp;Rs'!$W11,0))</f>
        <v>0</v>
      </c>
      <c r="BT44" s="56">
        <f>IF('A&amp;Rs'!$R11="","",IF(AND(BT$23&gt;='A&amp;Rs'!$V11,BT$23&lt;'A&amp;Rs'!$X11),-'A&amp;Rs'!$Z11/'A&amp;Rs'!$W11,0))</f>
        <v>0</v>
      </c>
      <c r="BU44" s="56">
        <f>IF('A&amp;Rs'!$R11="","",IF(AND(BU$23&gt;='A&amp;Rs'!$V11,BU$23&lt;'A&amp;Rs'!$X11),-'A&amp;Rs'!$Z11/'A&amp;Rs'!$W11,0))</f>
        <v>0</v>
      </c>
      <c r="BV44" s="56">
        <f>IF('A&amp;Rs'!$R11="","",IF(AND(BV$23&gt;='A&amp;Rs'!$V11,BV$23&lt;'A&amp;Rs'!$X11),-'A&amp;Rs'!$Z11/'A&amp;Rs'!$W11,0))</f>
        <v>0</v>
      </c>
      <c r="BW44" s="56">
        <f>IF('A&amp;Rs'!$R11="","",IF(AND(BW$23&gt;='A&amp;Rs'!$V11,BW$23&lt;'A&amp;Rs'!$X11),-'A&amp;Rs'!$Z11/'A&amp;Rs'!$W11,0))</f>
        <v>0</v>
      </c>
      <c r="BX44" s="56">
        <f>IF('A&amp;Rs'!$R11="","",IF(AND(BX$23&gt;='A&amp;Rs'!$V11,BX$23&lt;'A&amp;Rs'!$X11),-'A&amp;Rs'!$Z11/'A&amp;Rs'!$W11,0))</f>
        <v>0</v>
      </c>
      <c r="BY44" s="56">
        <f>IF('A&amp;Rs'!$R11="","",IF(AND(BY$23&gt;='A&amp;Rs'!$V11,BY$23&lt;'A&amp;Rs'!$X11),-'A&amp;Rs'!$Z11/'A&amp;Rs'!$W11,0))</f>
        <v>0</v>
      </c>
      <c r="BZ44" s="56">
        <f>IF('A&amp;Rs'!$R11="","",IF(AND(BZ$23&gt;='A&amp;Rs'!$V11,BZ$23&lt;'A&amp;Rs'!$X11),-'A&amp;Rs'!$Z11/'A&amp;Rs'!$W11,0))</f>
        <v>0</v>
      </c>
      <c r="CA44" s="56">
        <f>IF('A&amp;Rs'!$R11="","",IF(AND(CA$23&gt;='A&amp;Rs'!$V11,CA$23&lt;'A&amp;Rs'!$X11),-'A&amp;Rs'!$Z11/'A&amp;Rs'!$W11,0))</f>
        <v>0</v>
      </c>
      <c r="CB44" s="56">
        <f>IF('A&amp;Rs'!$R11="","",IF(AND(CB$23&gt;='A&amp;Rs'!$V11,CB$23&lt;'A&amp;Rs'!$X11),-'A&amp;Rs'!$Z11/'A&amp;Rs'!$W11,0))</f>
        <v>0</v>
      </c>
      <c r="CC44" s="56">
        <f>IF('A&amp;Rs'!$R11="","",IF(AND(CC$23&gt;='A&amp;Rs'!$V11,CC$23&lt;'A&amp;Rs'!$X11),-'A&amp;Rs'!$Z11/'A&amp;Rs'!$W11,0))</f>
        <v>0</v>
      </c>
      <c r="CD44" s="56">
        <f>IF('A&amp;Rs'!$R11="","",IF(AND(CD$23&gt;='A&amp;Rs'!$V11,CD$23&lt;'A&amp;Rs'!$X11),-'A&amp;Rs'!$Z11/'A&amp;Rs'!$W11,0))</f>
        <v>0</v>
      </c>
      <c r="CE44" s="56">
        <f>IF('A&amp;Rs'!$R11="","",IF(AND(CE$23&gt;='A&amp;Rs'!$V11,CE$23&lt;'A&amp;Rs'!$X11),-'A&amp;Rs'!$Z11/'A&amp;Rs'!$W11,0))</f>
        <v>0</v>
      </c>
      <c r="CF44" s="56">
        <f>IF('A&amp;Rs'!$R11="","",IF(AND(CF$23&gt;='A&amp;Rs'!$V11,CF$23&lt;'A&amp;Rs'!$X11),-'A&amp;Rs'!$Z11/'A&amp;Rs'!$W11,0))</f>
        <v>0</v>
      </c>
      <c r="CG44" s="56">
        <f>IF('A&amp;Rs'!$R11="","",IF(AND(CG$23&gt;='A&amp;Rs'!$V11,CG$23&lt;'A&amp;Rs'!$X11),-'A&amp;Rs'!$Z11/'A&amp;Rs'!$W11,0))</f>
        <v>0</v>
      </c>
      <c r="CH44" s="56">
        <f>IF('A&amp;Rs'!$R11="","",IF(AND(CH$23&gt;='A&amp;Rs'!$V11,CH$23&lt;'A&amp;Rs'!$X11),-'A&amp;Rs'!$Z11/'A&amp;Rs'!$W11,0))</f>
        <v>0</v>
      </c>
      <c r="CI44" s="56">
        <f>IF('A&amp;Rs'!$R11="","",IF(AND(CI$23&gt;='A&amp;Rs'!$V11,CI$23&lt;'A&amp;Rs'!$X11),-'A&amp;Rs'!$Z11/'A&amp;Rs'!$W11,0))</f>
        <v>0</v>
      </c>
      <c r="CJ44" s="56">
        <f>IF('A&amp;Rs'!$R11="","",IF(AND(CJ$23&gt;='A&amp;Rs'!$V11,CJ$23&lt;'A&amp;Rs'!$X11),-'A&amp;Rs'!$Z11/'A&amp;Rs'!$W11,0))</f>
        <v>0</v>
      </c>
      <c r="CK44" s="56">
        <f>IF('A&amp;Rs'!$R11="","",IF(AND(CK$23&gt;='A&amp;Rs'!$V11,CK$23&lt;'A&amp;Rs'!$X11),-'A&amp;Rs'!$Z11/'A&amp;Rs'!$W11,0))</f>
        <v>0</v>
      </c>
      <c r="CL44" s="56">
        <f>IF('A&amp;Rs'!$R11="","",IF(AND(CL$23&gt;='A&amp;Rs'!$V11,CL$23&lt;'A&amp;Rs'!$X11),-'A&amp;Rs'!$Z11/'A&amp;Rs'!$W11,0))</f>
        <v>0</v>
      </c>
      <c r="CM44" s="56">
        <f>IF('A&amp;Rs'!$R11="","",IF(AND(CM$23&gt;='A&amp;Rs'!$V11,CM$23&lt;'A&amp;Rs'!$X11),-'A&amp;Rs'!$Z11/'A&amp;Rs'!$W11,0))</f>
        <v>0</v>
      </c>
      <c r="CN44" s="56">
        <f>IF('A&amp;Rs'!$R11="","",IF(AND(CN$23&gt;='A&amp;Rs'!$V11,CN$23&lt;'A&amp;Rs'!$X11),-'A&amp;Rs'!$Z11/'A&amp;Rs'!$W11,0))</f>
        <v>0</v>
      </c>
      <c r="CO44" s="56">
        <f>IF('A&amp;Rs'!$R11="","",IF(AND(CO$23&gt;='A&amp;Rs'!$V11,CO$23&lt;'A&amp;Rs'!$X11),-'A&amp;Rs'!$Z11/'A&amp;Rs'!$W11,0))</f>
        <v>0</v>
      </c>
      <c r="CP44" s="56">
        <f>IF('A&amp;Rs'!$R11="","",IF(AND(CP$23&gt;='A&amp;Rs'!$V11,CP$23&lt;'A&amp;Rs'!$X11),-'A&amp;Rs'!$Z11/'A&amp;Rs'!$W11,0))</f>
        <v>0</v>
      </c>
      <c r="CQ44" s="56">
        <f>IF('A&amp;Rs'!$R11="","",IF(AND(CQ$23&gt;='A&amp;Rs'!$V11,CQ$23&lt;'A&amp;Rs'!$X11),-'A&amp;Rs'!$Z11/'A&amp;Rs'!$W11,0))</f>
        <v>0</v>
      </c>
      <c r="CR44" s="56">
        <f>IF('A&amp;Rs'!$R11="","",IF(AND(CR$23&gt;='A&amp;Rs'!$V11,CR$23&lt;'A&amp;Rs'!$X11),-'A&amp;Rs'!$Z11/'A&amp;Rs'!$W11,0))</f>
        <v>0</v>
      </c>
      <c r="CS44" s="56">
        <f>IF('A&amp;Rs'!$R11="","",IF(AND(CS$23&gt;='A&amp;Rs'!$V11,CS$23&lt;'A&amp;Rs'!$X11),-'A&amp;Rs'!$Z11/'A&amp;Rs'!$W11,0))</f>
        <v>0</v>
      </c>
      <c r="CT44" s="56">
        <f>IF('A&amp;Rs'!$R11="","",IF(AND(CT$23&gt;='A&amp;Rs'!$V11,CT$23&lt;'A&amp;Rs'!$X11),-'A&amp;Rs'!$Z11/'A&amp;Rs'!$W11,0))</f>
        <v>0</v>
      </c>
      <c r="CU44" s="56">
        <f>IF('A&amp;Rs'!$R11="","",IF(AND(CU$23&gt;='A&amp;Rs'!$V11,CU$23&lt;'A&amp;Rs'!$X11),-'A&amp;Rs'!$Z11/'A&amp;Rs'!$W11,0))</f>
        <v>0</v>
      </c>
      <c r="CV44" s="56">
        <f>IF('A&amp;Rs'!$R11="","",IF(AND(CV$23&gt;='A&amp;Rs'!$V11,CV$23&lt;'A&amp;Rs'!$X11),-'A&amp;Rs'!$Z11/'A&amp;Rs'!$W11,0))</f>
        <v>0</v>
      </c>
      <c r="CW44" s="56">
        <f>IF('A&amp;Rs'!$R11="","",IF(AND(CW$23&gt;='A&amp;Rs'!$V11,CW$23&lt;'A&amp;Rs'!$X11),-'A&amp;Rs'!$Z11/'A&amp;Rs'!$W11,0))</f>
        <v>0</v>
      </c>
      <c r="CX44" s="56">
        <f>IF('A&amp;Rs'!$R11="","",IF(AND(CX$23&gt;='A&amp;Rs'!$V11,CX$23&lt;'A&amp;Rs'!$X11),-'A&amp;Rs'!$Z11/'A&amp;Rs'!$W11,0))</f>
        <v>0</v>
      </c>
      <c r="CY44" s="56">
        <f>IF('A&amp;Rs'!$R11="","",IF(AND(CY$23&gt;='A&amp;Rs'!$V11,CY$23&lt;'A&amp;Rs'!$X11),-'A&amp;Rs'!$Z11/'A&amp;Rs'!$W11,0))</f>
        <v>0</v>
      </c>
      <c r="CZ44" s="56">
        <f>IF('A&amp;Rs'!$R11="","",IF(AND(CZ$23&gt;='A&amp;Rs'!$V11,CZ$23&lt;'A&amp;Rs'!$X11),-'A&amp;Rs'!$Z11/'A&amp;Rs'!$W11,0))</f>
        <v>0</v>
      </c>
      <c r="DA44" s="56">
        <f>IF('A&amp;Rs'!$R11="","",IF(AND(DA$23&gt;='A&amp;Rs'!$V11,DA$23&lt;'A&amp;Rs'!$X11),-'A&amp;Rs'!$Z11/'A&amp;Rs'!$W11,0))</f>
        <v>0</v>
      </c>
      <c r="DB44" s="56">
        <f>IF('A&amp;Rs'!$R11="","",IF(AND(DB$23&gt;='A&amp;Rs'!$V11,DB$23&lt;'A&amp;Rs'!$X11),-'A&amp;Rs'!$Z11/'A&amp;Rs'!$W11,0))</f>
        <v>0</v>
      </c>
      <c r="DC44" s="56">
        <f>IF('A&amp;Rs'!$R11="","",IF(AND(DC$23&gt;='A&amp;Rs'!$V11,DC$23&lt;'A&amp;Rs'!$X11),-'A&amp;Rs'!$Z11/'A&amp;Rs'!$W11,0))</f>
        <v>0</v>
      </c>
      <c r="DD44" s="56">
        <f>IF('A&amp;Rs'!$R11="","",IF(AND(DD$23&gt;='A&amp;Rs'!$V11,DD$23&lt;'A&amp;Rs'!$X11),-'A&amp;Rs'!$Z11/'A&amp;Rs'!$W11,0))</f>
        <v>0</v>
      </c>
      <c r="DE44" s="56">
        <f>IF('A&amp;Rs'!$R11="","",IF(AND(DE$23&gt;='A&amp;Rs'!$V11,DE$23&lt;'A&amp;Rs'!$X11),-'A&amp;Rs'!$Z11/'A&amp;Rs'!$W11,0))</f>
        <v>0</v>
      </c>
      <c r="DF44" s="56">
        <f>IF('A&amp;Rs'!$R11="","",IF(AND(DF$23&gt;='A&amp;Rs'!$V11,DF$23&lt;'A&amp;Rs'!$X11),-'A&amp;Rs'!$Z11/'A&amp;Rs'!$W11,0))</f>
        <v>0</v>
      </c>
      <c r="DG44" s="56">
        <f>IF('A&amp;Rs'!$R11="","",IF(AND(DG$23&gt;='A&amp;Rs'!$V11,DG$23&lt;'A&amp;Rs'!$X11),-'A&amp;Rs'!$Z11/'A&amp;Rs'!$W11,0))</f>
        <v>0</v>
      </c>
      <c r="DH44" s="56">
        <f>IF('A&amp;Rs'!$R11="","",IF(AND(DH$23&gt;='A&amp;Rs'!$V11,DH$23&lt;'A&amp;Rs'!$X11),-'A&amp;Rs'!$Z11/'A&amp;Rs'!$W11,0))</f>
        <v>0</v>
      </c>
      <c r="DI44" s="56">
        <f>IF('A&amp;Rs'!$R11="","",IF(AND(DI$23&gt;='A&amp;Rs'!$V11,DI$23&lt;'A&amp;Rs'!$X11),-'A&amp;Rs'!$Z11/'A&amp;Rs'!$W11,0))</f>
        <v>0</v>
      </c>
      <c r="DJ44" s="56">
        <f>IF('A&amp;Rs'!$R11="","",IF(AND(DJ$23&gt;='A&amp;Rs'!$V11,DJ$23&lt;'A&amp;Rs'!$X11),-'A&amp;Rs'!$Z11/'A&amp;Rs'!$W11,0))</f>
        <v>0</v>
      </c>
      <c r="DK44" s="56">
        <f>IF('A&amp;Rs'!$R11="","",IF(AND(DK$23&gt;='A&amp;Rs'!$V11,DK$23&lt;'A&amp;Rs'!$X11),-'A&amp;Rs'!$Z11/'A&amp;Rs'!$W11,0))</f>
        <v>0</v>
      </c>
      <c r="DL44" s="56">
        <f>IF('A&amp;Rs'!$R11="","",IF(AND(DL$23&gt;='A&amp;Rs'!$V11,DL$23&lt;'A&amp;Rs'!$X11),-'A&amp;Rs'!$Z11/'A&amp;Rs'!$W11,0))</f>
        <v>0</v>
      </c>
      <c r="DM44" s="56">
        <f>IF('A&amp;Rs'!$R11="","",IF(AND(DM$23&gt;='A&amp;Rs'!$V11,DM$23&lt;'A&amp;Rs'!$X11),-'A&amp;Rs'!$Z11/'A&amp;Rs'!$W11,0))</f>
        <v>0</v>
      </c>
      <c r="DN44" s="56">
        <f>IF('A&amp;Rs'!$R11="","",IF(AND(DN$23&gt;='A&amp;Rs'!$V11,DN$23&lt;'A&amp;Rs'!$X11),-'A&amp;Rs'!$Z11/'A&amp;Rs'!$W11,0))</f>
        <v>0</v>
      </c>
      <c r="DO44" s="56">
        <f>IF('A&amp;Rs'!$R11="","",IF(AND(DO$23&gt;='A&amp;Rs'!$V11,DO$23&lt;'A&amp;Rs'!$X11),-'A&amp;Rs'!$Z11/'A&amp;Rs'!$W11,0))</f>
        <v>0</v>
      </c>
      <c r="DP44" s="56">
        <f>IF('A&amp;Rs'!$R11="","",IF(AND(DP$23&gt;='A&amp;Rs'!$V11,DP$23&lt;'A&amp;Rs'!$X11),-'A&amp;Rs'!$Z11/'A&amp;Rs'!$W11,0))</f>
        <v>0</v>
      </c>
      <c r="DQ44" s="56">
        <f>IF('A&amp;Rs'!$R11="","",IF(AND(DQ$23&gt;='A&amp;Rs'!$V11,DQ$23&lt;'A&amp;Rs'!$X11),-'A&amp;Rs'!$Z11/'A&amp;Rs'!$W11,0))</f>
        <v>0</v>
      </c>
      <c r="DR44" s="56">
        <f>IF('A&amp;Rs'!$R11="","",IF(AND(DR$23&gt;='A&amp;Rs'!$V11,DR$23&lt;'A&amp;Rs'!$X11),-'A&amp;Rs'!$Z11/'A&amp;Rs'!$W11,0))</f>
        <v>0</v>
      </c>
      <c r="DS44" s="56">
        <f>IF('A&amp;Rs'!$R11="","",IF(AND(DS$23&gt;='A&amp;Rs'!$V11,DS$23&lt;'A&amp;Rs'!$X11),-'A&amp;Rs'!$Z11/'A&amp;Rs'!$W11,0))</f>
        <v>0</v>
      </c>
      <c r="DT44" s="56">
        <f>IF('A&amp;Rs'!$R11="","",IF(AND(DT$23&gt;='A&amp;Rs'!$V11,DT$23&lt;'A&amp;Rs'!$X11),-'A&amp;Rs'!$Z11/'A&amp;Rs'!$W11,0))</f>
        <v>0</v>
      </c>
      <c r="DU44" s="56">
        <f>IF('A&amp;Rs'!$R11="","",IF(AND(DU$23&gt;='A&amp;Rs'!$V11,DU$23&lt;'A&amp;Rs'!$X11),-'A&amp;Rs'!$Z11/'A&amp;Rs'!$W11,0))</f>
        <v>0</v>
      </c>
      <c r="DV44" s="56">
        <f>IF('A&amp;Rs'!$R11="","",IF(AND(DV$23&gt;='A&amp;Rs'!$V11,DV$23&lt;'A&amp;Rs'!$X11),-'A&amp;Rs'!$Z11/'A&amp;Rs'!$W11,0))</f>
        <v>0</v>
      </c>
      <c r="DW44" s="56">
        <f>IF('A&amp;Rs'!$R11="","",IF(AND(DW$23&gt;='A&amp;Rs'!$V11,DW$23&lt;'A&amp;Rs'!$X11),-'A&amp;Rs'!$Z11/'A&amp;Rs'!$W11,0))</f>
        <v>0</v>
      </c>
      <c r="DX44" s="56">
        <f>IF('A&amp;Rs'!$R11="","",IF(AND(DX$23&gt;='A&amp;Rs'!$V11,DX$23&lt;'A&amp;Rs'!$X11),-'A&amp;Rs'!$Z11/'A&amp;Rs'!$W11,0))</f>
        <v>0</v>
      </c>
      <c r="DY44" s="56">
        <f>IF('A&amp;Rs'!$R11="","",IF(AND(DY$23&gt;='A&amp;Rs'!$V11,DY$23&lt;'A&amp;Rs'!$X11),-'A&amp;Rs'!$Z11/'A&amp;Rs'!$W11,0))</f>
        <v>0</v>
      </c>
      <c r="DZ44" s="56">
        <f>IF('A&amp;Rs'!$R11="","",IF(AND(DZ$23&gt;='A&amp;Rs'!$V11,DZ$23&lt;'A&amp;Rs'!$X11),-'A&amp;Rs'!$Z11/'A&amp;Rs'!$W11,0))</f>
        <v>0</v>
      </c>
      <c r="EA44" s="56">
        <f>IF('A&amp;Rs'!$R11="","",IF(AND(EA$23&gt;='A&amp;Rs'!$V11,EA$23&lt;'A&amp;Rs'!$X11),-'A&amp;Rs'!$Z11/'A&amp;Rs'!$W11,0))</f>
        <v>0</v>
      </c>
      <c r="EB44" s="56">
        <f>IF('A&amp;Rs'!$R11="","",IF(AND(EB$23&gt;='A&amp;Rs'!$V11,EB$23&lt;'A&amp;Rs'!$X11),-'A&amp;Rs'!$Z11/'A&amp;Rs'!$W11,0))</f>
        <v>0</v>
      </c>
      <c r="EC44" s="56">
        <f>IF('A&amp;Rs'!$R11="","",IF(AND(EC$23&gt;='A&amp;Rs'!$V11,EC$23&lt;'A&amp;Rs'!$X11),-'A&amp;Rs'!$Z11/'A&amp;Rs'!$W11,0))</f>
        <v>0</v>
      </c>
      <c r="ED44" s="56">
        <f>IF('A&amp;Rs'!$R11="","",IF(AND(ED$23&gt;='A&amp;Rs'!$V11,ED$23&lt;'A&amp;Rs'!$X11),-'A&amp;Rs'!$Z11/'A&amp;Rs'!$W11,0))</f>
        <v>0</v>
      </c>
      <c r="EE44" s="56">
        <f>IF('A&amp;Rs'!$R11="","",IF(AND(EE$23&gt;='A&amp;Rs'!$V11,EE$23&lt;'A&amp;Rs'!$X11),-'A&amp;Rs'!$Z11/'A&amp;Rs'!$W11,0))</f>
        <v>0</v>
      </c>
      <c r="EF44" s="56">
        <f>IF('A&amp;Rs'!$R11="","",IF(AND(EF$23&gt;='A&amp;Rs'!$V11,EF$23&lt;'A&amp;Rs'!$X11),-'A&amp;Rs'!$Z11/'A&amp;Rs'!$W11,0))</f>
        <v>0</v>
      </c>
      <c r="EG44" s="56">
        <f>IF('A&amp;Rs'!$R11="","",IF(AND(EG$23&gt;='A&amp;Rs'!$V11,EG$23&lt;'A&amp;Rs'!$X11),-'A&amp;Rs'!$Z11/'A&amp;Rs'!$W11,0))</f>
        <v>0</v>
      </c>
      <c r="EH44" s="56">
        <f>IF('A&amp;Rs'!$R11="","",IF(AND(EH$23&gt;='A&amp;Rs'!$V11,EH$23&lt;'A&amp;Rs'!$X11),-'A&amp;Rs'!$Z11/'A&amp;Rs'!$W11,0))</f>
        <v>0</v>
      </c>
      <c r="EI44" s="56">
        <f>IF('A&amp;Rs'!$R11="","",IF(AND(EI$23&gt;='A&amp;Rs'!$V11,EI$23&lt;'A&amp;Rs'!$X11),-'A&amp;Rs'!$Z11/'A&amp;Rs'!$W11,0))</f>
        <v>0</v>
      </c>
      <c r="EJ44" s="56">
        <f>IF('A&amp;Rs'!$R11="","",IF(AND(EJ$23&gt;='A&amp;Rs'!$V11,EJ$23&lt;'A&amp;Rs'!$X11),-'A&amp;Rs'!$Z11/'A&amp;Rs'!$W11,0))</f>
        <v>0</v>
      </c>
      <c r="EK44" s="56">
        <f>IF('A&amp;Rs'!$R11="","",IF(AND(EK$23&gt;='A&amp;Rs'!$V11,EK$23&lt;'A&amp;Rs'!$X11),-'A&amp;Rs'!$Z11/'A&amp;Rs'!$W11,0))</f>
        <v>0</v>
      </c>
      <c r="EL44" s="56">
        <f>IF('A&amp;Rs'!$R11="","",IF(AND(EL$23&gt;='A&amp;Rs'!$V11,EL$23&lt;'A&amp;Rs'!$X11),-'A&amp;Rs'!$Z11/'A&amp;Rs'!$W11,0))</f>
        <v>0</v>
      </c>
      <c r="EM44" s="56">
        <f>IF('A&amp;Rs'!$R11="","",IF(AND(EM$23&gt;='A&amp;Rs'!$V11,EM$23&lt;'A&amp;Rs'!$X11),-'A&amp;Rs'!$Z11/'A&amp;Rs'!$W11,0))</f>
        <v>0</v>
      </c>
      <c r="EN44" s="56">
        <f>IF('A&amp;Rs'!$R11="","",IF(AND(EN$23&gt;='A&amp;Rs'!$V11,EN$23&lt;'A&amp;Rs'!$X11),-'A&amp;Rs'!$Z11/'A&amp;Rs'!$W11,0))</f>
        <v>0</v>
      </c>
      <c r="EO44" s="56">
        <f>IF('A&amp;Rs'!$R11="","",IF(AND(EO$23&gt;='A&amp;Rs'!$V11,EO$23&lt;'A&amp;Rs'!$X11),-'A&amp;Rs'!$Z11/'A&amp;Rs'!$W11,0))</f>
        <v>0</v>
      </c>
      <c r="EP44" s="56">
        <f>IF('A&amp;Rs'!$R11="","",IF(AND(EP$23&gt;='A&amp;Rs'!$V11,EP$23&lt;'A&amp;Rs'!$X11),-'A&amp;Rs'!$Z11/'A&amp;Rs'!$W11,0))</f>
        <v>0</v>
      </c>
      <c r="EQ44" s="56">
        <f>IF('A&amp;Rs'!$R11="","",IF(AND(EQ$23&gt;='A&amp;Rs'!$V11,EQ$23&lt;'A&amp;Rs'!$X11),-'A&amp;Rs'!$Z11/'A&amp;Rs'!$W11,0))</f>
        <v>0</v>
      </c>
      <c r="ER44" s="56">
        <f>IF('A&amp;Rs'!$R11="","",IF(AND(ER$23&gt;='A&amp;Rs'!$V11,ER$23&lt;'A&amp;Rs'!$X11),-'A&amp;Rs'!$Z11/'A&amp;Rs'!$W11,0))</f>
        <v>0</v>
      </c>
      <c r="ES44" s="56">
        <f>IF('A&amp;Rs'!$R11="","",IF(AND(ES$23&gt;='A&amp;Rs'!$V11,ES$23&lt;'A&amp;Rs'!$X11),-'A&amp;Rs'!$Z11/'A&amp;Rs'!$W11,0))</f>
        <v>0</v>
      </c>
      <c r="ET44" s="56">
        <f>IF('A&amp;Rs'!$R11="","",IF(AND(ET$23&gt;='A&amp;Rs'!$V11,ET$23&lt;'A&amp;Rs'!$X11),-'A&amp;Rs'!$Z11/'A&amp;Rs'!$W11,0))</f>
        <v>0</v>
      </c>
      <c r="EU44" s="56">
        <f>IF('A&amp;Rs'!$R11="","",IF(AND(EU$23&gt;='A&amp;Rs'!$V11,EU$23&lt;'A&amp;Rs'!$X11),-'A&amp;Rs'!$Z11/'A&amp;Rs'!$W11,0))</f>
        <v>0</v>
      </c>
      <c r="EV44" s="56">
        <f>IF('A&amp;Rs'!$R11="","",IF(AND(EV$23&gt;='A&amp;Rs'!$V11,EV$23&lt;'A&amp;Rs'!$X11),-'A&amp;Rs'!$Z11/'A&amp;Rs'!$W11,0))</f>
        <v>0</v>
      </c>
      <c r="EW44" s="56">
        <f>IF('A&amp;Rs'!$R11="","",IF(AND(EW$23&gt;='A&amp;Rs'!$V11,EW$23&lt;'A&amp;Rs'!$X11),-'A&amp;Rs'!$Z11/'A&amp;Rs'!$W11,0))</f>
        <v>0</v>
      </c>
      <c r="EX44" s="56">
        <f>IF('A&amp;Rs'!$R11="","",IF(AND(EX$23&gt;='A&amp;Rs'!$V11,EX$23&lt;'A&amp;Rs'!$X11),-'A&amp;Rs'!$Z11/'A&amp;Rs'!$W11,0))</f>
        <v>0</v>
      </c>
      <c r="EY44" s="56">
        <f>IF('A&amp;Rs'!$R11="","",IF(AND(EY$23&gt;='A&amp;Rs'!$V11,EY$23&lt;'A&amp;Rs'!$X11),-'A&amp;Rs'!$Z11/'A&amp;Rs'!$W11,0))</f>
        <v>0</v>
      </c>
      <c r="EZ44" s="56">
        <f>IF('A&amp;Rs'!$R11="","",IF(AND(EZ$23&gt;='A&amp;Rs'!$V11,EZ$23&lt;'A&amp;Rs'!$X11),-'A&amp;Rs'!$Z11/'A&amp;Rs'!$W11,0))</f>
        <v>0</v>
      </c>
      <c r="FA44" s="56">
        <f>IF('A&amp;Rs'!$R11="","",IF(AND(FA$23&gt;='A&amp;Rs'!$V11,FA$23&lt;'A&amp;Rs'!$X11),-'A&amp;Rs'!$Z11/'A&amp;Rs'!$W11,0))</f>
        <v>0</v>
      </c>
      <c r="FB44" s="56">
        <f>IF('A&amp;Rs'!$R11="","",IF(AND(FB$23&gt;='A&amp;Rs'!$V11,FB$23&lt;'A&amp;Rs'!$X11),-'A&amp;Rs'!$Z11/'A&amp;Rs'!$W11,0))</f>
        <v>0</v>
      </c>
      <c r="FC44" s="56">
        <f>IF('A&amp;Rs'!$R11="","",IF(AND(FC$23&gt;='A&amp;Rs'!$V11,FC$23&lt;'A&amp;Rs'!$X11),-'A&amp;Rs'!$Z11/'A&amp;Rs'!$W11,0))</f>
        <v>0</v>
      </c>
      <c r="FD44" s="56">
        <f>IF('A&amp;Rs'!$R11="","",IF(AND(FD$23&gt;='A&amp;Rs'!$V11,FD$23&lt;'A&amp;Rs'!$X11),-'A&amp;Rs'!$Z11/'A&amp;Rs'!$W11,0))</f>
        <v>0</v>
      </c>
      <c r="FE44" s="56">
        <f>IF('A&amp;Rs'!$R11="","",IF(AND(FE$23&gt;='A&amp;Rs'!$V11,FE$23&lt;'A&amp;Rs'!$X11),-'A&amp;Rs'!$Z11/'A&amp;Rs'!$W11,0))</f>
        <v>0</v>
      </c>
      <c r="FF44" s="1" t="s">
        <v>39</v>
      </c>
      <c r="FG44" s="1"/>
      <c r="FH44" s="1"/>
      <c r="FI44" s="99"/>
    </row>
    <row r="45" spans="1:165" x14ac:dyDescent="0.3">
      <c r="A45" s="150">
        <f>'A&amp;Rs'!Z12</f>
        <v>12000</v>
      </c>
      <c r="B45" s="217">
        <f t="shared" si="12"/>
        <v>-12000</v>
      </c>
      <c r="C45" s="215"/>
      <c r="D45" s="43">
        <v>3</v>
      </c>
      <c r="E45" s="56"/>
      <c r="F45" s="56">
        <f>IF('A&amp;Rs'!$R12="","",IF(AND(F$23&gt;='A&amp;Rs'!$V12,F$23&lt;'A&amp;Rs'!$X12),-'A&amp;Rs'!$Z12/'A&amp;Rs'!$W12,0))</f>
        <v>0</v>
      </c>
      <c r="G45" s="56">
        <f>IF('A&amp;Rs'!$R12="","",IF(AND(G$23&gt;='A&amp;Rs'!$V12,G$23&lt;'A&amp;Rs'!$X12),-'A&amp;Rs'!$Z12/'A&amp;Rs'!$W12,0))</f>
        <v>-6000</v>
      </c>
      <c r="H45" s="56">
        <f>IF('A&amp;Rs'!$R12="","",IF(AND(H$23&gt;='A&amp;Rs'!$V12,H$23&lt;'A&amp;Rs'!$X12),-'A&amp;Rs'!$Z12/'A&amp;Rs'!$W12,0))</f>
        <v>-6000</v>
      </c>
      <c r="I45" s="56">
        <f>IF('A&amp;Rs'!$R12="","",IF(AND(I$23&gt;='A&amp;Rs'!$V12,I$23&lt;'A&amp;Rs'!$X12),-'A&amp;Rs'!$Z12/'A&amp;Rs'!$W12,0))</f>
        <v>0</v>
      </c>
      <c r="J45" s="56">
        <f>IF('A&amp;Rs'!$R12="","",IF(AND(J$23&gt;='A&amp;Rs'!$V12,J$23&lt;'A&amp;Rs'!$X12),-'A&amp;Rs'!$Z12/'A&amp;Rs'!$W12,0))</f>
        <v>0</v>
      </c>
      <c r="K45" s="56">
        <f>IF('A&amp;Rs'!$R12="","",IF(AND(K$23&gt;='A&amp;Rs'!$V12,K$23&lt;'A&amp;Rs'!$X12),-'A&amp;Rs'!$Z12/'A&amp;Rs'!$W12,0))</f>
        <v>0</v>
      </c>
      <c r="L45" s="56">
        <f>IF('A&amp;Rs'!$R12="","",IF(AND(L$23&gt;='A&amp;Rs'!$V12,L$23&lt;'A&amp;Rs'!$X12),-'A&amp;Rs'!$Z12/'A&amp;Rs'!$W12,0))</f>
        <v>0</v>
      </c>
      <c r="M45" s="56">
        <f>IF('A&amp;Rs'!$R12="","",IF(AND(M$23&gt;='A&amp;Rs'!$V12,M$23&lt;'A&amp;Rs'!$X12),-'A&amp;Rs'!$Z12/'A&amp;Rs'!$W12,0))</f>
        <v>0</v>
      </c>
      <c r="N45" s="56">
        <f>IF('A&amp;Rs'!$R12="","",IF(AND(N$23&gt;='A&amp;Rs'!$V12,N$23&lt;'A&amp;Rs'!$X12),-'A&amp;Rs'!$Z12/'A&amp;Rs'!$W12,0))</f>
        <v>0</v>
      </c>
      <c r="O45" s="56">
        <f>IF('A&amp;Rs'!$R12="","",IF(AND(O$23&gt;='A&amp;Rs'!$V12,O$23&lt;'A&amp;Rs'!$X12),-'A&amp;Rs'!$Z12/'A&amp;Rs'!$W12,0))</f>
        <v>0</v>
      </c>
      <c r="P45" s="56">
        <f>IF('A&amp;Rs'!$R12="","",IF(AND(P$23&gt;='A&amp;Rs'!$V12,P$23&lt;'A&amp;Rs'!$X12),-'A&amp;Rs'!$Z12/'A&amp;Rs'!$W12,0))</f>
        <v>0</v>
      </c>
      <c r="Q45" s="56">
        <f>IF('A&amp;Rs'!$R12="","",IF(AND(Q$23&gt;='A&amp;Rs'!$V12,Q$23&lt;'A&amp;Rs'!$X12),-'A&amp;Rs'!$Z12/'A&amp;Rs'!$W12,0))</f>
        <v>0</v>
      </c>
      <c r="R45" s="56">
        <f>IF('A&amp;Rs'!$R12="","",IF(AND(R$23&gt;='A&amp;Rs'!$V12,R$23&lt;'A&amp;Rs'!$X12),-'A&amp;Rs'!$Z12/'A&amp;Rs'!$W12,0))</f>
        <v>0</v>
      </c>
      <c r="S45" s="56">
        <f>IF('A&amp;Rs'!$R12="","",IF(AND(S$23&gt;='A&amp;Rs'!$V12,S$23&lt;'A&amp;Rs'!$X12),-'A&amp;Rs'!$Z12/'A&amp;Rs'!$W12,0))</f>
        <v>0</v>
      </c>
      <c r="T45" s="56">
        <f>IF('A&amp;Rs'!$R12="","",IF(AND(T$23&gt;='A&amp;Rs'!$V12,T$23&lt;'A&amp;Rs'!$X12),-'A&amp;Rs'!$Z12/'A&amp;Rs'!$W12,0))</f>
        <v>0</v>
      </c>
      <c r="U45" s="56">
        <f>IF('A&amp;Rs'!$R12="","",IF(AND(U$23&gt;='A&amp;Rs'!$V12,U$23&lt;'A&amp;Rs'!$X12),-'A&amp;Rs'!$Z12/'A&amp;Rs'!$W12,0))</f>
        <v>0</v>
      </c>
      <c r="V45" s="56">
        <f>IF('A&amp;Rs'!$R12="","",IF(AND(V$23&gt;='A&amp;Rs'!$V12,V$23&lt;'A&amp;Rs'!$X12),-'A&amp;Rs'!$Z12/'A&amp;Rs'!$W12,0))</f>
        <v>0</v>
      </c>
      <c r="W45" s="56">
        <f>IF('A&amp;Rs'!$R12="","",IF(AND(W$23&gt;='A&amp;Rs'!$V12,W$23&lt;'A&amp;Rs'!$X12),-'A&amp;Rs'!$Z12/'A&amp;Rs'!$W12,0))</f>
        <v>0</v>
      </c>
      <c r="X45" s="56">
        <f>IF('A&amp;Rs'!$R12="","",IF(AND(X$23&gt;='A&amp;Rs'!$V12,X$23&lt;'A&amp;Rs'!$X12),-'A&amp;Rs'!$Z12/'A&amp;Rs'!$W12,0))</f>
        <v>0</v>
      </c>
      <c r="Y45" s="56">
        <f>IF('A&amp;Rs'!$R12="","",IF(AND(Y$23&gt;='A&amp;Rs'!$V12,Y$23&lt;'A&amp;Rs'!$X12),-'A&amp;Rs'!$Z12/'A&amp;Rs'!$W12,0))</f>
        <v>0</v>
      </c>
      <c r="Z45" s="56">
        <f>IF('A&amp;Rs'!$R12="","",IF(AND(Z$23&gt;='A&amp;Rs'!$V12,Z$23&lt;'A&amp;Rs'!$X12),-'A&amp;Rs'!$Z12/'A&amp;Rs'!$W12,0))</f>
        <v>0</v>
      </c>
      <c r="AA45" s="56">
        <f>IF('A&amp;Rs'!$R12="","",IF(AND(AA$23&gt;='A&amp;Rs'!$V12,AA$23&lt;'A&amp;Rs'!$X12),-'A&amp;Rs'!$Z12/'A&amp;Rs'!$W12,0))</f>
        <v>0</v>
      </c>
      <c r="AB45" s="56">
        <f>IF('A&amp;Rs'!$R12="","",IF(AND(AB$23&gt;='A&amp;Rs'!$V12,AB$23&lt;'A&amp;Rs'!$X12),-'A&amp;Rs'!$Z12/'A&amp;Rs'!$W12,0))</f>
        <v>0</v>
      </c>
      <c r="AC45" s="56">
        <f>IF('A&amp;Rs'!$R12="","",IF(AND(AC$23&gt;='A&amp;Rs'!$V12,AC$23&lt;'A&amp;Rs'!$X12),-'A&amp;Rs'!$Z12/'A&amp;Rs'!$W12,0))</f>
        <v>0</v>
      </c>
      <c r="AD45" s="56">
        <f>IF('A&amp;Rs'!$R12="","",IF(AND(AD$23&gt;='A&amp;Rs'!$V12,AD$23&lt;'A&amp;Rs'!$X12),-'A&amp;Rs'!$Z12/'A&amp;Rs'!$W12,0))</f>
        <v>0</v>
      </c>
      <c r="AE45" s="56">
        <f>IF('A&amp;Rs'!$R12="","",IF(AND(AE$23&gt;='A&amp;Rs'!$V12,AE$23&lt;'A&amp;Rs'!$X12),-'A&amp;Rs'!$Z12/'A&amp;Rs'!$W12,0))</f>
        <v>0</v>
      </c>
      <c r="AF45" s="56">
        <f>IF('A&amp;Rs'!$R12="","",IF(AND(AF$23&gt;='A&amp;Rs'!$V12,AF$23&lt;'A&amp;Rs'!$X12),-'A&amp;Rs'!$Z12/'A&amp;Rs'!$W12,0))</f>
        <v>0</v>
      </c>
      <c r="AG45" s="56">
        <f>IF('A&amp;Rs'!$R12="","",IF(AND(AG$23&gt;='A&amp;Rs'!$V12,AG$23&lt;'A&amp;Rs'!$X12),-'A&amp;Rs'!$Z12/'A&amp;Rs'!$W12,0))</f>
        <v>0</v>
      </c>
      <c r="AH45" s="56">
        <f>IF('A&amp;Rs'!$R12="","",IF(AND(AH$23&gt;='A&amp;Rs'!$V12,AH$23&lt;'A&amp;Rs'!$X12),-'A&amp;Rs'!$Z12/'A&amp;Rs'!$W12,0))</f>
        <v>0</v>
      </c>
      <c r="AI45" s="56">
        <f>IF('A&amp;Rs'!$R12="","",IF(AND(AI$23&gt;='A&amp;Rs'!$V12,AI$23&lt;'A&amp;Rs'!$X12),-'A&amp;Rs'!$Z12/'A&amp;Rs'!$W12,0))</f>
        <v>0</v>
      </c>
      <c r="AJ45" s="56">
        <f>IF('A&amp;Rs'!$R12="","",IF(AND(AJ$23&gt;='A&amp;Rs'!$V12,AJ$23&lt;'A&amp;Rs'!$X12),-'A&amp;Rs'!$Z12/'A&amp;Rs'!$W12,0))</f>
        <v>0</v>
      </c>
      <c r="AK45" s="56">
        <f>IF('A&amp;Rs'!$R12="","",IF(AND(AK$23&gt;='A&amp;Rs'!$V12,AK$23&lt;'A&amp;Rs'!$X12),-'A&amp;Rs'!$Z12/'A&amp;Rs'!$W12,0))</f>
        <v>0</v>
      </c>
      <c r="AL45" s="56">
        <f>IF('A&amp;Rs'!$R12="","",IF(AND(AL$23&gt;='A&amp;Rs'!$V12,AL$23&lt;'A&amp;Rs'!$X12),-'A&amp;Rs'!$Z12/'A&amp;Rs'!$W12,0))</f>
        <v>0</v>
      </c>
      <c r="AM45" s="56">
        <f>IF('A&amp;Rs'!$R12="","",IF(AND(AM$23&gt;='A&amp;Rs'!$V12,AM$23&lt;'A&amp;Rs'!$X12),-'A&amp;Rs'!$Z12/'A&amp;Rs'!$W12,0))</f>
        <v>0</v>
      </c>
      <c r="AN45" s="56">
        <f>IF('A&amp;Rs'!$R12="","",IF(AND(AN$23&gt;='A&amp;Rs'!$V12,AN$23&lt;'A&amp;Rs'!$X12),-'A&amp;Rs'!$Z12/'A&amp;Rs'!$W12,0))</f>
        <v>0</v>
      </c>
      <c r="AO45" s="56">
        <f>IF('A&amp;Rs'!$R12="","",IF(AND(AO$23&gt;='A&amp;Rs'!$V12,AO$23&lt;'A&amp;Rs'!$X12),-'A&amp;Rs'!$Z12/'A&amp;Rs'!$W12,0))</f>
        <v>0</v>
      </c>
      <c r="AP45" s="56">
        <f>IF('A&amp;Rs'!$R12="","",IF(AND(AP$23&gt;='A&amp;Rs'!$V12,AP$23&lt;'A&amp;Rs'!$X12),-'A&amp;Rs'!$Z12/'A&amp;Rs'!$W12,0))</f>
        <v>0</v>
      </c>
      <c r="AQ45" s="56">
        <f>IF('A&amp;Rs'!$R12="","",IF(AND(AQ$23&gt;='A&amp;Rs'!$V12,AQ$23&lt;'A&amp;Rs'!$X12),-'A&amp;Rs'!$Z12/'A&amp;Rs'!$W12,0))</f>
        <v>0</v>
      </c>
      <c r="AR45" s="56">
        <f>IF('A&amp;Rs'!$R12="","",IF(AND(AR$23&gt;='A&amp;Rs'!$V12,AR$23&lt;'A&amp;Rs'!$X12),-'A&amp;Rs'!$Z12/'A&amp;Rs'!$W12,0))</f>
        <v>0</v>
      </c>
      <c r="AS45" s="56">
        <f>IF('A&amp;Rs'!$R12="","",IF(AND(AS$23&gt;='A&amp;Rs'!$V12,AS$23&lt;'A&amp;Rs'!$X12),-'A&amp;Rs'!$Z12/'A&amp;Rs'!$W12,0))</f>
        <v>0</v>
      </c>
      <c r="AT45" s="56">
        <f>IF('A&amp;Rs'!$R12="","",IF(AND(AT$23&gt;='A&amp;Rs'!$V12,AT$23&lt;'A&amp;Rs'!$X12),-'A&amp;Rs'!$Z12/'A&amp;Rs'!$W12,0))</f>
        <v>0</v>
      </c>
      <c r="AU45" s="56">
        <f>IF('A&amp;Rs'!$R12="","",IF(AND(AU$23&gt;='A&amp;Rs'!$V12,AU$23&lt;'A&amp;Rs'!$X12),-'A&amp;Rs'!$Z12/'A&amp;Rs'!$W12,0))</f>
        <v>0</v>
      </c>
      <c r="AV45" s="56">
        <f>IF('A&amp;Rs'!$R12="","",IF(AND(AV$23&gt;='A&amp;Rs'!$V12,AV$23&lt;'A&amp;Rs'!$X12),-'A&amp;Rs'!$Z12/'A&amp;Rs'!$W12,0))</f>
        <v>0</v>
      </c>
      <c r="AW45" s="56">
        <f>IF('A&amp;Rs'!$R12="","",IF(AND(AW$23&gt;='A&amp;Rs'!$V12,AW$23&lt;'A&amp;Rs'!$X12),-'A&amp;Rs'!$Z12/'A&amp;Rs'!$W12,0))</f>
        <v>0</v>
      </c>
      <c r="AX45" s="56">
        <f>IF('A&amp;Rs'!$R12="","",IF(AND(AX$23&gt;='A&amp;Rs'!$V12,AX$23&lt;'A&amp;Rs'!$X12),-'A&amp;Rs'!$Z12/'A&amp;Rs'!$W12,0))</f>
        <v>0</v>
      </c>
      <c r="AY45" s="56">
        <f>IF('A&amp;Rs'!$R12="","",IF(AND(AY$23&gt;='A&amp;Rs'!$V12,AY$23&lt;'A&amp;Rs'!$X12),-'A&amp;Rs'!$Z12/'A&amp;Rs'!$W12,0))</f>
        <v>0</v>
      </c>
      <c r="AZ45" s="56">
        <f>IF('A&amp;Rs'!$R12="","",IF(AND(AZ$23&gt;='A&amp;Rs'!$V12,AZ$23&lt;'A&amp;Rs'!$X12),-'A&amp;Rs'!$Z12/'A&amp;Rs'!$W12,0))</f>
        <v>0</v>
      </c>
      <c r="BA45" s="56">
        <f>IF('A&amp;Rs'!$R12="","",IF(AND(BA$23&gt;='A&amp;Rs'!$V12,BA$23&lt;'A&amp;Rs'!$X12),-'A&amp;Rs'!$Z12/'A&amp;Rs'!$W12,0))</f>
        <v>0</v>
      </c>
      <c r="BB45" s="56">
        <f>IF('A&amp;Rs'!$R12="","",IF(AND(BB$23&gt;='A&amp;Rs'!$V12,BB$23&lt;'A&amp;Rs'!$X12),-'A&amp;Rs'!$Z12/'A&amp;Rs'!$W12,0))</f>
        <v>0</v>
      </c>
      <c r="BC45" s="56">
        <f>IF('A&amp;Rs'!$R12="","",IF(AND(BC$23&gt;='A&amp;Rs'!$V12,BC$23&lt;'A&amp;Rs'!$X12),-'A&amp;Rs'!$Z12/'A&amp;Rs'!$W12,0))</f>
        <v>0</v>
      </c>
      <c r="BD45" s="56">
        <f>IF('A&amp;Rs'!$R12="","",IF(AND(BD$23&gt;='A&amp;Rs'!$V12,BD$23&lt;'A&amp;Rs'!$X12),-'A&amp;Rs'!$Z12/'A&amp;Rs'!$W12,0))</f>
        <v>0</v>
      </c>
      <c r="BE45" s="56">
        <f>IF('A&amp;Rs'!$R12="","",IF(AND(BE$23&gt;='A&amp;Rs'!$V12,BE$23&lt;'A&amp;Rs'!$X12),-'A&amp;Rs'!$Z12/'A&amp;Rs'!$W12,0))</f>
        <v>0</v>
      </c>
      <c r="BF45" s="56">
        <f>IF('A&amp;Rs'!$R12="","",IF(AND(BF$23&gt;='A&amp;Rs'!$V12,BF$23&lt;'A&amp;Rs'!$X12),-'A&amp;Rs'!$Z12/'A&amp;Rs'!$W12,0))</f>
        <v>0</v>
      </c>
      <c r="BG45" s="56">
        <f>IF('A&amp;Rs'!$R12="","",IF(AND(BG$23&gt;='A&amp;Rs'!$V12,BG$23&lt;'A&amp;Rs'!$X12),-'A&amp;Rs'!$Z12/'A&amp;Rs'!$W12,0))</f>
        <v>0</v>
      </c>
      <c r="BH45" s="56">
        <f>IF('A&amp;Rs'!$R12="","",IF(AND(BH$23&gt;='A&amp;Rs'!$V12,BH$23&lt;'A&amp;Rs'!$X12),-'A&amp;Rs'!$Z12/'A&amp;Rs'!$W12,0))</f>
        <v>0</v>
      </c>
      <c r="BI45" s="56">
        <f>IF('A&amp;Rs'!$R12="","",IF(AND(BI$23&gt;='A&amp;Rs'!$V12,BI$23&lt;'A&amp;Rs'!$X12),-'A&amp;Rs'!$Z12/'A&amp;Rs'!$W12,0))</f>
        <v>0</v>
      </c>
      <c r="BJ45" s="56">
        <f>IF('A&amp;Rs'!$R12="","",IF(AND(BJ$23&gt;='A&amp;Rs'!$V12,BJ$23&lt;'A&amp;Rs'!$X12),-'A&amp;Rs'!$Z12/'A&amp;Rs'!$W12,0))</f>
        <v>0</v>
      </c>
      <c r="BK45" s="56">
        <f>IF('A&amp;Rs'!$R12="","",IF(AND(BK$23&gt;='A&amp;Rs'!$V12,BK$23&lt;'A&amp;Rs'!$X12),-'A&amp;Rs'!$Z12/'A&amp;Rs'!$W12,0))</f>
        <v>0</v>
      </c>
      <c r="BL45" s="56">
        <f>IF('A&amp;Rs'!$R12="","",IF(AND(BL$23&gt;='A&amp;Rs'!$V12,BL$23&lt;'A&amp;Rs'!$X12),-'A&amp;Rs'!$Z12/'A&amp;Rs'!$W12,0))</f>
        <v>0</v>
      </c>
      <c r="BM45" s="56">
        <f>IF('A&amp;Rs'!$R12="","",IF(AND(BM$23&gt;='A&amp;Rs'!$V12,BM$23&lt;'A&amp;Rs'!$X12),-'A&amp;Rs'!$Z12/'A&amp;Rs'!$W12,0))</f>
        <v>0</v>
      </c>
      <c r="BN45" s="56">
        <f>IF('A&amp;Rs'!$R12="","",IF(AND(BN$23&gt;='A&amp;Rs'!$V12,BN$23&lt;'A&amp;Rs'!$X12),-'A&amp;Rs'!$Z12/'A&amp;Rs'!$W12,0))</f>
        <v>0</v>
      </c>
      <c r="BO45" s="56">
        <f>IF('A&amp;Rs'!$R12="","",IF(AND(BO$23&gt;='A&amp;Rs'!$V12,BO$23&lt;'A&amp;Rs'!$X12),-'A&amp;Rs'!$Z12/'A&amp;Rs'!$W12,0))</f>
        <v>0</v>
      </c>
      <c r="BP45" s="56">
        <f>IF('A&amp;Rs'!$R12="","",IF(AND(BP$23&gt;='A&amp;Rs'!$V12,BP$23&lt;'A&amp;Rs'!$X12),-'A&amp;Rs'!$Z12/'A&amp;Rs'!$W12,0))</f>
        <v>0</v>
      </c>
      <c r="BQ45" s="56">
        <f>IF('A&amp;Rs'!$R12="","",IF(AND(BQ$23&gt;='A&amp;Rs'!$V12,BQ$23&lt;'A&amp;Rs'!$X12),-'A&amp;Rs'!$Z12/'A&amp;Rs'!$W12,0))</f>
        <v>0</v>
      </c>
      <c r="BR45" s="56">
        <f>IF('A&amp;Rs'!$R12="","",IF(AND(BR$23&gt;='A&amp;Rs'!$V12,BR$23&lt;'A&amp;Rs'!$X12),-'A&amp;Rs'!$Z12/'A&amp;Rs'!$W12,0))</f>
        <v>0</v>
      </c>
      <c r="BS45" s="56">
        <f>IF('A&amp;Rs'!$R12="","",IF(AND(BS$23&gt;='A&amp;Rs'!$V12,BS$23&lt;'A&amp;Rs'!$X12),-'A&amp;Rs'!$Z12/'A&amp;Rs'!$W12,0))</f>
        <v>0</v>
      </c>
      <c r="BT45" s="56">
        <f>IF('A&amp;Rs'!$R12="","",IF(AND(BT$23&gt;='A&amp;Rs'!$V12,BT$23&lt;'A&amp;Rs'!$X12),-'A&amp;Rs'!$Z12/'A&amp;Rs'!$W12,0))</f>
        <v>0</v>
      </c>
      <c r="BU45" s="56">
        <f>IF('A&amp;Rs'!$R12="","",IF(AND(BU$23&gt;='A&amp;Rs'!$V12,BU$23&lt;'A&amp;Rs'!$X12),-'A&amp;Rs'!$Z12/'A&amp;Rs'!$W12,0))</f>
        <v>0</v>
      </c>
      <c r="BV45" s="56">
        <f>IF('A&amp;Rs'!$R12="","",IF(AND(BV$23&gt;='A&amp;Rs'!$V12,BV$23&lt;'A&amp;Rs'!$X12),-'A&amp;Rs'!$Z12/'A&amp;Rs'!$W12,0))</f>
        <v>0</v>
      </c>
      <c r="BW45" s="56">
        <f>IF('A&amp;Rs'!$R12="","",IF(AND(BW$23&gt;='A&amp;Rs'!$V12,BW$23&lt;'A&amp;Rs'!$X12),-'A&amp;Rs'!$Z12/'A&amp;Rs'!$W12,0))</f>
        <v>0</v>
      </c>
      <c r="BX45" s="56">
        <f>IF('A&amp;Rs'!$R12="","",IF(AND(BX$23&gt;='A&amp;Rs'!$V12,BX$23&lt;'A&amp;Rs'!$X12),-'A&amp;Rs'!$Z12/'A&amp;Rs'!$W12,0))</f>
        <v>0</v>
      </c>
      <c r="BY45" s="56">
        <f>IF('A&amp;Rs'!$R12="","",IF(AND(BY$23&gt;='A&amp;Rs'!$V12,BY$23&lt;'A&amp;Rs'!$X12),-'A&amp;Rs'!$Z12/'A&amp;Rs'!$W12,0))</f>
        <v>0</v>
      </c>
      <c r="BZ45" s="56">
        <f>IF('A&amp;Rs'!$R12="","",IF(AND(BZ$23&gt;='A&amp;Rs'!$V12,BZ$23&lt;'A&amp;Rs'!$X12),-'A&amp;Rs'!$Z12/'A&amp;Rs'!$W12,0))</f>
        <v>0</v>
      </c>
      <c r="CA45" s="56">
        <f>IF('A&amp;Rs'!$R12="","",IF(AND(CA$23&gt;='A&amp;Rs'!$V12,CA$23&lt;'A&amp;Rs'!$X12),-'A&amp;Rs'!$Z12/'A&amp;Rs'!$W12,0))</f>
        <v>0</v>
      </c>
      <c r="CB45" s="56">
        <f>IF('A&amp;Rs'!$R12="","",IF(AND(CB$23&gt;='A&amp;Rs'!$V12,CB$23&lt;'A&amp;Rs'!$X12),-'A&amp;Rs'!$Z12/'A&amp;Rs'!$W12,0))</f>
        <v>0</v>
      </c>
      <c r="CC45" s="56">
        <f>IF('A&amp;Rs'!$R12="","",IF(AND(CC$23&gt;='A&amp;Rs'!$V12,CC$23&lt;'A&amp;Rs'!$X12),-'A&amp;Rs'!$Z12/'A&amp;Rs'!$W12,0))</f>
        <v>0</v>
      </c>
      <c r="CD45" s="56">
        <f>IF('A&amp;Rs'!$R12="","",IF(AND(CD$23&gt;='A&amp;Rs'!$V12,CD$23&lt;'A&amp;Rs'!$X12),-'A&amp;Rs'!$Z12/'A&amp;Rs'!$W12,0))</f>
        <v>0</v>
      </c>
      <c r="CE45" s="56">
        <f>IF('A&amp;Rs'!$R12="","",IF(AND(CE$23&gt;='A&amp;Rs'!$V12,CE$23&lt;'A&amp;Rs'!$X12),-'A&amp;Rs'!$Z12/'A&amp;Rs'!$W12,0))</f>
        <v>0</v>
      </c>
      <c r="CF45" s="56">
        <f>IF('A&amp;Rs'!$R12="","",IF(AND(CF$23&gt;='A&amp;Rs'!$V12,CF$23&lt;'A&amp;Rs'!$X12),-'A&amp;Rs'!$Z12/'A&amp;Rs'!$W12,0))</f>
        <v>0</v>
      </c>
      <c r="CG45" s="56">
        <f>IF('A&amp;Rs'!$R12="","",IF(AND(CG$23&gt;='A&amp;Rs'!$V12,CG$23&lt;'A&amp;Rs'!$X12),-'A&amp;Rs'!$Z12/'A&amp;Rs'!$W12,0))</f>
        <v>0</v>
      </c>
      <c r="CH45" s="56">
        <f>IF('A&amp;Rs'!$R12="","",IF(AND(CH$23&gt;='A&amp;Rs'!$V12,CH$23&lt;'A&amp;Rs'!$X12),-'A&amp;Rs'!$Z12/'A&amp;Rs'!$W12,0))</f>
        <v>0</v>
      </c>
      <c r="CI45" s="56">
        <f>IF('A&amp;Rs'!$R12="","",IF(AND(CI$23&gt;='A&amp;Rs'!$V12,CI$23&lt;'A&amp;Rs'!$X12),-'A&amp;Rs'!$Z12/'A&amp;Rs'!$W12,0))</f>
        <v>0</v>
      </c>
      <c r="CJ45" s="56">
        <f>IF('A&amp;Rs'!$R12="","",IF(AND(CJ$23&gt;='A&amp;Rs'!$V12,CJ$23&lt;'A&amp;Rs'!$X12),-'A&amp;Rs'!$Z12/'A&amp;Rs'!$W12,0))</f>
        <v>0</v>
      </c>
      <c r="CK45" s="56">
        <f>IF('A&amp;Rs'!$R12="","",IF(AND(CK$23&gt;='A&amp;Rs'!$V12,CK$23&lt;'A&amp;Rs'!$X12),-'A&amp;Rs'!$Z12/'A&amp;Rs'!$W12,0))</f>
        <v>0</v>
      </c>
      <c r="CL45" s="56">
        <f>IF('A&amp;Rs'!$R12="","",IF(AND(CL$23&gt;='A&amp;Rs'!$V12,CL$23&lt;'A&amp;Rs'!$X12),-'A&amp;Rs'!$Z12/'A&amp;Rs'!$W12,0))</f>
        <v>0</v>
      </c>
      <c r="CM45" s="56">
        <f>IF('A&amp;Rs'!$R12="","",IF(AND(CM$23&gt;='A&amp;Rs'!$V12,CM$23&lt;'A&amp;Rs'!$X12),-'A&amp;Rs'!$Z12/'A&amp;Rs'!$W12,0))</f>
        <v>0</v>
      </c>
      <c r="CN45" s="56">
        <f>IF('A&amp;Rs'!$R12="","",IF(AND(CN$23&gt;='A&amp;Rs'!$V12,CN$23&lt;'A&amp;Rs'!$X12),-'A&amp;Rs'!$Z12/'A&amp;Rs'!$W12,0))</f>
        <v>0</v>
      </c>
      <c r="CO45" s="56">
        <f>IF('A&amp;Rs'!$R12="","",IF(AND(CO$23&gt;='A&amp;Rs'!$V12,CO$23&lt;'A&amp;Rs'!$X12),-'A&amp;Rs'!$Z12/'A&amp;Rs'!$W12,0))</f>
        <v>0</v>
      </c>
      <c r="CP45" s="56">
        <f>IF('A&amp;Rs'!$R12="","",IF(AND(CP$23&gt;='A&amp;Rs'!$V12,CP$23&lt;'A&amp;Rs'!$X12),-'A&amp;Rs'!$Z12/'A&amp;Rs'!$W12,0))</f>
        <v>0</v>
      </c>
      <c r="CQ45" s="56">
        <f>IF('A&amp;Rs'!$R12="","",IF(AND(CQ$23&gt;='A&amp;Rs'!$V12,CQ$23&lt;'A&amp;Rs'!$X12),-'A&amp;Rs'!$Z12/'A&amp;Rs'!$W12,0))</f>
        <v>0</v>
      </c>
      <c r="CR45" s="56">
        <f>IF('A&amp;Rs'!$R12="","",IF(AND(CR$23&gt;='A&amp;Rs'!$V12,CR$23&lt;'A&amp;Rs'!$X12),-'A&amp;Rs'!$Z12/'A&amp;Rs'!$W12,0))</f>
        <v>0</v>
      </c>
      <c r="CS45" s="56">
        <f>IF('A&amp;Rs'!$R12="","",IF(AND(CS$23&gt;='A&amp;Rs'!$V12,CS$23&lt;'A&amp;Rs'!$X12),-'A&amp;Rs'!$Z12/'A&amp;Rs'!$W12,0))</f>
        <v>0</v>
      </c>
      <c r="CT45" s="56">
        <f>IF('A&amp;Rs'!$R12="","",IF(AND(CT$23&gt;='A&amp;Rs'!$V12,CT$23&lt;'A&amp;Rs'!$X12),-'A&amp;Rs'!$Z12/'A&amp;Rs'!$W12,0))</f>
        <v>0</v>
      </c>
      <c r="CU45" s="56">
        <f>IF('A&amp;Rs'!$R12="","",IF(AND(CU$23&gt;='A&amp;Rs'!$V12,CU$23&lt;'A&amp;Rs'!$X12),-'A&amp;Rs'!$Z12/'A&amp;Rs'!$W12,0))</f>
        <v>0</v>
      </c>
      <c r="CV45" s="56">
        <f>IF('A&amp;Rs'!$R12="","",IF(AND(CV$23&gt;='A&amp;Rs'!$V12,CV$23&lt;'A&amp;Rs'!$X12),-'A&amp;Rs'!$Z12/'A&amp;Rs'!$W12,0))</f>
        <v>0</v>
      </c>
      <c r="CW45" s="56">
        <f>IF('A&amp;Rs'!$R12="","",IF(AND(CW$23&gt;='A&amp;Rs'!$V12,CW$23&lt;'A&amp;Rs'!$X12),-'A&amp;Rs'!$Z12/'A&amp;Rs'!$W12,0))</f>
        <v>0</v>
      </c>
      <c r="CX45" s="56">
        <f>IF('A&amp;Rs'!$R12="","",IF(AND(CX$23&gt;='A&amp;Rs'!$V12,CX$23&lt;'A&amp;Rs'!$X12),-'A&amp;Rs'!$Z12/'A&amp;Rs'!$W12,0))</f>
        <v>0</v>
      </c>
      <c r="CY45" s="56">
        <f>IF('A&amp;Rs'!$R12="","",IF(AND(CY$23&gt;='A&amp;Rs'!$V12,CY$23&lt;'A&amp;Rs'!$X12),-'A&amp;Rs'!$Z12/'A&amp;Rs'!$W12,0))</f>
        <v>0</v>
      </c>
      <c r="CZ45" s="56">
        <f>IF('A&amp;Rs'!$R12="","",IF(AND(CZ$23&gt;='A&amp;Rs'!$V12,CZ$23&lt;'A&amp;Rs'!$X12),-'A&amp;Rs'!$Z12/'A&amp;Rs'!$W12,0))</f>
        <v>0</v>
      </c>
      <c r="DA45" s="56">
        <f>IF('A&amp;Rs'!$R12="","",IF(AND(DA$23&gt;='A&amp;Rs'!$V12,DA$23&lt;'A&amp;Rs'!$X12),-'A&amp;Rs'!$Z12/'A&amp;Rs'!$W12,0))</f>
        <v>0</v>
      </c>
      <c r="DB45" s="56">
        <f>IF('A&amp;Rs'!$R12="","",IF(AND(DB$23&gt;='A&amp;Rs'!$V12,DB$23&lt;'A&amp;Rs'!$X12),-'A&amp;Rs'!$Z12/'A&amp;Rs'!$W12,0))</f>
        <v>0</v>
      </c>
      <c r="DC45" s="56">
        <f>IF('A&amp;Rs'!$R12="","",IF(AND(DC$23&gt;='A&amp;Rs'!$V12,DC$23&lt;'A&amp;Rs'!$X12),-'A&amp;Rs'!$Z12/'A&amp;Rs'!$W12,0))</f>
        <v>0</v>
      </c>
      <c r="DD45" s="56">
        <f>IF('A&amp;Rs'!$R12="","",IF(AND(DD$23&gt;='A&amp;Rs'!$V12,DD$23&lt;'A&amp;Rs'!$X12),-'A&amp;Rs'!$Z12/'A&amp;Rs'!$W12,0))</f>
        <v>0</v>
      </c>
      <c r="DE45" s="56">
        <f>IF('A&amp;Rs'!$R12="","",IF(AND(DE$23&gt;='A&amp;Rs'!$V12,DE$23&lt;'A&amp;Rs'!$X12),-'A&amp;Rs'!$Z12/'A&amp;Rs'!$W12,0))</f>
        <v>0</v>
      </c>
      <c r="DF45" s="56">
        <f>IF('A&amp;Rs'!$R12="","",IF(AND(DF$23&gt;='A&amp;Rs'!$V12,DF$23&lt;'A&amp;Rs'!$X12),-'A&amp;Rs'!$Z12/'A&amp;Rs'!$W12,0))</f>
        <v>0</v>
      </c>
      <c r="DG45" s="56">
        <f>IF('A&amp;Rs'!$R12="","",IF(AND(DG$23&gt;='A&amp;Rs'!$V12,DG$23&lt;'A&amp;Rs'!$X12),-'A&amp;Rs'!$Z12/'A&amp;Rs'!$W12,0))</f>
        <v>0</v>
      </c>
      <c r="DH45" s="56">
        <f>IF('A&amp;Rs'!$R12="","",IF(AND(DH$23&gt;='A&amp;Rs'!$V12,DH$23&lt;'A&amp;Rs'!$X12),-'A&amp;Rs'!$Z12/'A&amp;Rs'!$W12,0))</f>
        <v>0</v>
      </c>
      <c r="DI45" s="56">
        <f>IF('A&amp;Rs'!$R12="","",IF(AND(DI$23&gt;='A&amp;Rs'!$V12,DI$23&lt;'A&amp;Rs'!$X12),-'A&amp;Rs'!$Z12/'A&amp;Rs'!$W12,0))</f>
        <v>0</v>
      </c>
      <c r="DJ45" s="56">
        <f>IF('A&amp;Rs'!$R12="","",IF(AND(DJ$23&gt;='A&amp;Rs'!$V12,DJ$23&lt;'A&amp;Rs'!$X12),-'A&amp;Rs'!$Z12/'A&amp;Rs'!$W12,0))</f>
        <v>0</v>
      </c>
      <c r="DK45" s="56">
        <f>IF('A&amp;Rs'!$R12="","",IF(AND(DK$23&gt;='A&amp;Rs'!$V12,DK$23&lt;'A&amp;Rs'!$X12),-'A&amp;Rs'!$Z12/'A&amp;Rs'!$W12,0))</f>
        <v>0</v>
      </c>
      <c r="DL45" s="56">
        <f>IF('A&amp;Rs'!$R12="","",IF(AND(DL$23&gt;='A&amp;Rs'!$V12,DL$23&lt;'A&amp;Rs'!$X12),-'A&amp;Rs'!$Z12/'A&amp;Rs'!$W12,0))</f>
        <v>0</v>
      </c>
      <c r="DM45" s="56">
        <f>IF('A&amp;Rs'!$R12="","",IF(AND(DM$23&gt;='A&amp;Rs'!$V12,DM$23&lt;'A&amp;Rs'!$X12),-'A&amp;Rs'!$Z12/'A&amp;Rs'!$W12,0))</f>
        <v>0</v>
      </c>
      <c r="DN45" s="56">
        <f>IF('A&amp;Rs'!$R12="","",IF(AND(DN$23&gt;='A&amp;Rs'!$V12,DN$23&lt;'A&amp;Rs'!$X12),-'A&amp;Rs'!$Z12/'A&amp;Rs'!$W12,0))</f>
        <v>0</v>
      </c>
      <c r="DO45" s="56">
        <f>IF('A&amp;Rs'!$R12="","",IF(AND(DO$23&gt;='A&amp;Rs'!$V12,DO$23&lt;'A&amp;Rs'!$X12),-'A&amp;Rs'!$Z12/'A&amp;Rs'!$W12,0))</f>
        <v>0</v>
      </c>
      <c r="DP45" s="56">
        <f>IF('A&amp;Rs'!$R12="","",IF(AND(DP$23&gt;='A&amp;Rs'!$V12,DP$23&lt;'A&amp;Rs'!$X12),-'A&amp;Rs'!$Z12/'A&amp;Rs'!$W12,0))</f>
        <v>0</v>
      </c>
      <c r="DQ45" s="56">
        <f>IF('A&amp;Rs'!$R12="","",IF(AND(DQ$23&gt;='A&amp;Rs'!$V12,DQ$23&lt;'A&amp;Rs'!$X12),-'A&amp;Rs'!$Z12/'A&amp;Rs'!$W12,0))</f>
        <v>0</v>
      </c>
      <c r="DR45" s="56">
        <f>IF('A&amp;Rs'!$R12="","",IF(AND(DR$23&gt;='A&amp;Rs'!$V12,DR$23&lt;'A&amp;Rs'!$X12),-'A&amp;Rs'!$Z12/'A&amp;Rs'!$W12,0))</f>
        <v>0</v>
      </c>
      <c r="DS45" s="56">
        <f>IF('A&amp;Rs'!$R12="","",IF(AND(DS$23&gt;='A&amp;Rs'!$V12,DS$23&lt;'A&amp;Rs'!$X12),-'A&amp;Rs'!$Z12/'A&amp;Rs'!$W12,0))</f>
        <v>0</v>
      </c>
      <c r="DT45" s="56">
        <f>IF('A&amp;Rs'!$R12="","",IF(AND(DT$23&gt;='A&amp;Rs'!$V12,DT$23&lt;'A&amp;Rs'!$X12),-'A&amp;Rs'!$Z12/'A&amp;Rs'!$W12,0))</f>
        <v>0</v>
      </c>
      <c r="DU45" s="56">
        <f>IF('A&amp;Rs'!$R12="","",IF(AND(DU$23&gt;='A&amp;Rs'!$V12,DU$23&lt;'A&amp;Rs'!$X12),-'A&amp;Rs'!$Z12/'A&amp;Rs'!$W12,0))</f>
        <v>0</v>
      </c>
      <c r="DV45" s="56">
        <f>IF('A&amp;Rs'!$R12="","",IF(AND(DV$23&gt;='A&amp;Rs'!$V12,DV$23&lt;'A&amp;Rs'!$X12),-'A&amp;Rs'!$Z12/'A&amp;Rs'!$W12,0))</f>
        <v>0</v>
      </c>
      <c r="DW45" s="56">
        <f>IF('A&amp;Rs'!$R12="","",IF(AND(DW$23&gt;='A&amp;Rs'!$V12,DW$23&lt;'A&amp;Rs'!$X12),-'A&amp;Rs'!$Z12/'A&amp;Rs'!$W12,0))</f>
        <v>0</v>
      </c>
      <c r="DX45" s="56">
        <f>IF('A&amp;Rs'!$R12="","",IF(AND(DX$23&gt;='A&amp;Rs'!$V12,DX$23&lt;'A&amp;Rs'!$X12),-'A&amp;Rs'!$Z12/'A&amp;Rs'!$W12,0))</f>
        <v>0</v>
      </c>
      <c r="DY45" s="56">
        <f>IF('A&amp;Rs'!$R12="","",IF(AND(DY$23&gt;='A&amp;Rs'!$V12,DY$23&lt;'A&amp;Rs'!$X12),-'A&amp;Rs'!$Z12/'A&amp;Rs'!$W12,0))</f>
        <v>0</v>
      </c>
      <c r="DZ45" s="56">
        <f>IF('A&amp;Rs'!$R12="","",IF(AND(DZ$23&gt;='A&amp;Rs'!$V12,DZ$23&lt;'A&amp;Rs'!$X12),-'A&amp;Rs'!$Z12/'A&amp;Rs'!$W12,0))</f>
        <v>0</v>
      </c>
      <c r="EA45" s="56">
        <f>IF('A&amp;Rs'!$R12="","",IF(AND(EA$23&gt;='A&amp;Rs'!$V12,EA$23&lt;'A&amp;Rs'!$X12),-'A&amp;Rs'!$Z12/'A&amp;Rs'!$W12,0))</f>
        <v>0</v>
      </c>
      <c r="EB45" s="56">
        <f>IF('A&amp;Rs'!$R12="","",IF(AND(EB$23&gt;='A&amp;Rs'!$V12,EB$23&lt;'A&amp;Rs'!$X12),-'A&amp;Rs'!$Z12/'A&amp;Rs'!$W12,0))</f>
        <v>0</v>
      </c>
      <c r="EC45" s="56">
        <f>IF('A&amp;Rs'!$R12="","",IF(AND(EC$23&gt;='A&amp;Rs'!$V12,EC$23&lt;'A&amp;Rs'!$X12),-'A&amp;Rs'!$Z12/'A&amp;Rs'!$W12,0))</f>
        <v>0</v>
      </c>
      <c r="ED45" s="56">
        <f>IF('A&amp;Rs'!$R12="","",IF(AND(ED$23&gt;='A&amp;Rs'!$V12,ED$23&lt;'A&amp;Rs'!$X12),-'A&amp;Rs'!$Z12/'A&amp;Rs'!$W12,0))</f>
        <v>0</v>
      </c>
      <c r="EE45" s="56">
        <f>IF('A&amp;Rs'!$R12="","",IF(AND(EE$23&gt;='A&amp;Rs'!$V12,EE$23&lt;'A&amp;Rs'!$X12),-'A&amp;Rs'!$Z12/'A&amp;Rs'!$W12,0))</f>
        <v>0</v>
      </c>
      <c r="EF45" s="56">
        <f>IF('A&amp;Rs'!$R12="","",IF(AND(EF$23&gt;='A&amp;Rs'!$V12,EF$23&lt;'A&amp;Rs'!$X12),-'A&amp;Rs'!$Z12/'A&amp;Rs'!$W12,0))</f>
        <v>0</v>
      </c>
      <c r="EG45" s="56">
        <f>IF('A&amp;Rs'!$R12="","",IF(AND(EG$23&gt;='A&amp;Rs'!$V12,EG$23&lt;'A&amp;Rs'!$X12),-'A&amp;Rs'!$Z12/'A&amp;Rs'!$W12,0))</f>
        <v>0</v>
      </c>
      <c r="EH45" s="56">
        <f>IF('A&amp;Rs'!$R12="","",IF(AND(EH$23&gt;='A&amp;Rs'!$V12,EH$23&lt;'A&amp;Rs'!$X12),-'A&amp;Rs'!$Z12/'A&amp;Rs'!$W12,0))</f>
        <v>0</v>
      </c>
      <c r="EI45" s="56">
        <f>IF('A&amp;Rs'!$R12="","",IF(AND(EI$23&gt;='A&amp;Rs'!$V12,EI$23&lt;'A&amp;Rs'!$X12),-'A&amp;Rs'!$Z12/'A&amp;Rs'!$W12,0))</f>
        <v>0</v>
      </c>
      <c r="EJ45" s="56">
        <f>IF('A&amp;Rs'!$R12="","",IF(AND(EJ$23&gt;='A&amp;Rs'!$V12,EJ$23&lt;'A&amp;Rs'!$X12),-'A&amp;Rs'!$Z12/'A&amp;Rs'!$W12,0))</f>
        <v>0</v>
      </c>
      <c r="EK45" s="56">
        <f>IF('A&amp;Rs'!$R12="","",IF(AND(EK$23&gt;='A&amp;Rs'!$V12,EK$23&lt;'A&amp;Rs'!$X12),-'A&amp;Rs'!$Z12/'A&amp;Rs'!$W12,0))</f>
        <v>0</v>
      </c>
      <c r="EL45" s="56">
        <f>IF('A&amp;Rs'!$R12="","",IF(AND(EL$23&gt;='A&amp;Rs'!$V12,EL$23&lt;'A&amp;Rs'!$X12),-'A&amp;Rs'!$Z12/'A&amp;Rs'!$W12,0))</f>
        <v>0</v>
      </c>
      <c r="EM45" s="56">
        <f>IF('A&amp;Rs'!$R12="","",IF(AND(EM$23&gt;='A&amp;Rs'!$V12,EM$23&lt;'A&amp;Rs'!$X12),-'A&amp;Rs'!$Z12/'A&amp;Rs'!$W12,0))</f>
        <v>0</v>
      </c>
      <c r="EN45" s="56">
        <f>IF('A&amp;Rs'!$R12="","",IF(AND(EN$23&gt;='A&amp;Rs'!$V12,EN$23&lt;'A&amp;Rs'!$X12),-'A&amp;Rs'!$Z12/'A&amp;Rs'!$W12,0))</f>
        <v>0</v>
      </c>
      <c r="EO45" s="56">
        <f>IF('A&amp;Rs'!$R12="","",IF(AND(EO$23&gt;='A&amp;Rs'!$V12,EO$23&lt;'A&amp;Rs'!$X12),-'A&amp;Rs'!$Z12/'A&amp;Rs'!$W12,0))</f>
        <v>0</v>
      </c>
      <c r="EP45" s="56">
        <f>IF('A&amp;Rs'!$R12="","",IF(AND(EP$23&gt;='A&amp;Rs'!$V12,EP$23&lt;'A&amp;Rs'!$X12),-'A&amp;Rs'!$Z12/'A&amp;Rs'!$W12,0))</f>
        <v>0</v>
      </c>
      <c r="EQ45" s="56">
        <f>IF('A&amp;Rs'!$R12="","",IF(AND(EQ$23&gt;='A&amp;Rs'!$V12,EQ$23&lt;'A&amp;Rs'!$X12),-'A&amp;Rs'!$Z12/'A&amp;Rs'!$W12,0))</f>
        <v>0</v>
      </c>
      <c r="ER45" s="56">
        <f>IF('A&amp;Rs'!$R12="","",IF(AND(ER$23&gt;='A&amp;Rs'!$V12,ER$23&lt;'A&amp;Rs'!$X12),-'A&amp;Rs'!$Z12/'A&amp;Rs'!$W12,0))</f>
        <v>0</v>
      </c>
      <c r="ES45" s="56">
        <f>IF('A&amp;Rs'!$R12="","",IF(AND(ES$23&gt;='A&amp;Rs'!$V12,ES$23&lt;'A&amp;Rs'!$X12),-'A&amp;Rs'!$Z12/'A&amp;Rs'!$W12,0))</f>
        <v>0</v>
      </c>
      <c r="ET45" s="56">
        <f>IF('A&amp;Rs'!$R12="","",IF(AND(ET$23&gt;='A&amp;Rs'!$V12,ET$23&lt;'A&amp;Rs'!$X12),-'A&amp;Rs'!$Z12/'A&amp;Rs'!$W12,0))</f>
        <v>0</v>
      </c>
      <c r="EU45" s="56">
        <f>IF('A&amp;Rs'!$R12="","",IF(AND(EU$23&gt;='A&amp;Rs'!$V12,EU$23&lt;'A&amp;Rs'!$X12),-'A&amp;Rs'!$Z12/'A&amp;Rs'!$W12,0))</f>
        <v>0</v>
      </c>
      <c r="EV45" s="56">
        <f>IF('A&amp;Rs'!$R12="","",IF(AND(EV$23&gt;='A&amp;Rs'!$V12,EV$23&lt;'A&amp;Rs'!$X12),-'A&amp;Rs'!$Z12/'A&amp;Rs'!$W12,0))</f>
        <v>0</v>
      </c>
      <c r="EW45" s="56">
        <f>IF('A&amp;Rs'!$R12="","",IF(AND(EW$23&gt;='A&amp;Rs'!$V12,EW$23&lt;'A&amp;Rs'!$X12),-'A&amp;Rs'!$Z12/'A&amp;Rs'!$W12,0))</f>
        <v>0</v>
      </c>
      <c r="EX45" s="56">
        <f>IF('A&amp;Rs'!$R12="","",IF(AND(EX$23&gt;='A&amp;Rs'!$V12,EX$23&lt;'A&amp;Rs'!$X12),-'A&amp;Rs'!$Z12/'A&amp;Rs'!$W12,0))</f>
        <v>0</v>
      </c>
      <c r="EY45" s="56">
        <f>IF('A&amp;Rs'!$R12="","",IF(AND(EY$23&gt;='A&amp;Rs'!$V12,EY$23&lt;'A&amp;Rs'!$X12),-'A&amp;Rs'!$Z12/'A&amp;Rs'!$W12,0))</f>
        <v>0</v>
      </c>
      <c r="EZ45" s="56">
        <f>IF('A&amp;Rs'!$R12="","",IF(AND(EZ$23&gt;='A&amp;Rs'!$V12,EZ$23&lt;'A&amp;Rs'!$X12),-'A&amp;Rs'!$Z12/'A&amp;Rs'!$W12,0))</f>
        <v>0</v>
      </c>
      <c r="FA45" s="56">
        <f>IF('A&amp;Rs'!$R12="","",IF(AND(FA$23&gt;='A&amp;Rs'!$V12,FA$23&lt;'A&amp;Rs'!$X12),-'A&amp;Rs'!$Z12/'A&amp;Rs'!$W12,0))</f>
        <v>0</v>
      </c>
      <c r="FB45" s="56">
        <f>IF('A&amp;Rs'!$R12="","",IF(AND(FB$23&gt;='A&amp;Rs'!$V12,FB$23&lt;'A&amp;Rs'!$X12),-'A&amp;Rs'!$Z12/'A&amp;Rs'!$W12,0))</f>
        <v>0</v>
      </c>
      <c r="FC45" s="56">
        <f>IF('A&amp;Rs'!$R12="","",IF(AND(FC$23&gt;='A&amp;Rs'!$V12,FC$23&lt;'A&amp;Rs'!$X12),-'A&amp;Rs'!$Z12/'A&amp;Rs'!$W12,0))</f>
        <v>0</v>
      </c>
      <c r="FD45" s="56">
        <f>IF('A&amp;Rs'!$R12="","",IF(AND(FD$23&gt;='A&amp;Rs'!$V12,FD$23&lt;'A&amp;Rs'!$X12),-'A&amp;Rs'!$Z12/'A&amp;Rs'!$W12,0))</f>
        <v>0</v>
      </c>
      <c r="FE45" s="56">
        <f>IF('A&amp;Rs'!$R12="","",IF(AND(FE$23&gt;='A&amp;Rs'!$V12,FE$23&lt;'A&amp;Rs'!$X12),-'A&amp;Rs'!$Z12/'A&amp;Rs'!$W12,0))</f>
        <v>0</v>
      </c>
      <c r="FF45" s="1" t="s">
        <v>39</v>
      </c>
      <c r="FG45" s="1"/>
      <c r="FH45" s="1"/>
      <c r="FI45" s="99"/>
    </row>
    <row r="46" spans="1:165" x14ac:dyDescent="0.3">
      <c r="A46" s="150">
        <f>'A&amp;Rs'!Z13</f>
        <v>11500</v>
      </c>
      <c r="B46" s="217">
        <f t="shared" si="12"/>
        <v>-11500</v>
      </c>
      <c r="C46" s="215"/>
      <c r="D46" s="43">
        <v>4</v>
      </c>
      <c r="E46" s="56"/>
      <c r="F46" s="56">
        <f>IF('A&amp;Rs'!$R13="","",IF(AND(F$23&gt;='A&amp;Rs'!$V13,F$23&lt;'A&amp;Rs'!$X13),-'A&amp;Rs'!$Z13/'A&amp;Rs'!$W13,0))</f>
        <v>0</v>
      </c>
      <c r="G46" s="56">
        <f>IF('A&amp;Rs'!$R13="","",IF(AND(G$23&gt;='A&amp;Rs'!$V13,G$23&lt;'A&amp;Rs'!$X13),-'A&amp;Rs'!$Z13/'A&amp;Rs'!$W13,0))</f>
        <v>0</v>
      </c>
      <c r="H46" s="56">
        <f>IF('A&amp;Rs'!$R13="","",IF(AND(H$23&gt;='A&amp;Rs'!$V13,H$23&lt;'A&amp;Rs'!$X13),-'A&amp;Rs'!$Z13/'A&amp;Rs'!$W13,0))</f>
        <v>0</v>
      </c>
      <c r="I46" s="56">
        <f>IF('A&amp;Rs'!$R13="","",IF(AND(I$23&gt;='A&amp;Rs'!$V13,I$23&lt;'A&amp;Rs'!$X13),-'A&amp;Rs'!$Z13/'A&amp;Rs'!$W13,0))</f>
        <v>-3833.3333333333335</v>
      </c>
      <c r="J46" s="56">
        <f>IF('A&amp;Rs'!$R13="","",IF(AND(J$23&gt;='A&amp;Rs'!$V13,J$23&lt;'A&amp;Rs'!$X13),-'A&amp;Rs'!$Z13/'A&amp;Rs'!$W13,0))</f>
        <v>-3833.3333333333335</v>
      </c>
      <c r="K46" s="56">
        <f>IF('A&amp;Rs'!$R13="","",IF(AND(K$23&gt;='A&amp;Rs'!$V13,K$23&lt;'A&amp;Rs'!$X13),-'A&amp;Rs'!$Z13/'A&amp;Rs'!$W13,0))</f>
        <v>-3833.3333333333335</v>
      </c>
      <c r="L46" s="56">
        <f>IF('A&amp;Rs'!$R13="","",IF(AND(L$23&gt;='A&amp;Rs'!$V13,L$23&lt;'A&amp;Rs'!$X13),-'A&amp;Rs'!$Z13/'A&amp;Rs'!$W13,0))</f>
        <v>0</v>
      </c>
      <c r="M46" s="56">
        <f>IF('A&amp;Rs'!$R13="","",IF(AND(M$23&gt;='A&amp;Rs'!$V13,M$23&lt;'A&amp;Rs'!$X13),-'A&amp;Rs'!$Z13/'A&amp;Rs'!$W13,0))</f>
        <v>0</v>
      </c>
      <c r="N46" s="56">
        <f>IF('A&amp;Rs'!$R13="","",IF(AND(N$23&gt;='A&amp;Rs'!$V13,N$23&lt;'A&amp;Rs'!$X13),-'A&amp;Rs'!$Z13/'A&amp;Rs'!$W13,0))</f>
        <v>0</v>
      </c>
      <c r="O46" s="56">
        <f>IF('A&amp;Rs'!$R13="","",IF(AND(O$23&gt;='A&amp;Rs'!$V13,O$23&lt;'A&amp;Rs'!$X13),-'A&amp;Rs'!$Z13/'A&amp;Rs'!$W13,0))</f>
        <v>0</v>
      </c>
      <c r="P46" s="56">
        <f>IF('A&amp;Rs'!$R13="","",IF(AND(P$23&gt;='A&amp;Rs'!$V13,P$23&lt;'A&amp;Rs'!$X13),-'A&amp;Rs'!$Z13/'A&amp;Rs'!$W13,0))</f>
        <v>0</v>
      </c>
      <c r="Q46" s="56">
        <f>IF('A&amp;Rs'!$R13="","",IF(AND(Q$23&gt;='A&amp;Rs'!$V13,Q$23&lt;'A&amp;Rs'!$X13),-'A&amp;Rs'!$Z13/'A&amp;Rs'!$W13,0))</f>
        <v>0</v>
      </c>
      <c r="R46" s="56">
        <f>IF('A&amp;Rs'!$R13="","",IF(AND(R$23&gt;='A&amp;Rs'!$V13,R$23&lt;'A&amp;Rs'!$X13),-'A&amp;Rs'!$Z13/'A&amp;Rs'!$W13,0))</f>
        <v>0</v>
      </c>
      <c r="S46" s="56">
        <f>IF('A&amp;Rs'!$R13="","",IF(AND(S$23&gt;='A&amp;Rs'!$V13,S$23&lt;'A&amp;Rs'!$X13),-'A&amp;Rs'!$Z13/'A&amp;Rs'!$W13,0))</f>
        <v>0</v>
      </c>
      <c r="T46" s="56">
        <f>IF('A&amp;Rs'!$R13="","",IF(AND(T$23&gt;='A&amp;Rs'!$V13,T$23&lt;'A&amp;Rs'!$X13),-'A&amp;Rs'!$Z13/'A&amp;Rs'!$W13,0))</f>
        <v>0</v>
      </c>
      <c r="U46" s="56">
        <f>IF('A&amp;Rs'!$R13="","",IF(AND(U$23&gt;='A&amp;Rs'!$V13,U$23&lt;'A&amp;Rs'!$X13),-'A&amp;Rs'!$Z13/'A&amp;Rs'!$W13,0))</f>
        <v>0</v>
      </c>
      <c r="V46" s="56">
        <f>IF('A&amp;Rs'!$R13="","",IF(AND(V$23&gt;='A&amp;Rs'!$V13,V$23&lt;'A&amp;Rs'!$X13),-'A&amp;Rs'!$Z13/'A&amp;Rs'!$W13,0))</f>
        <v>0</v>
      </c>
      <c r="W46" s="56">
        <f>IF('A&amp;Rs'!$R13="","",IF(AND(W$23&gt;='A&amp;Rs'!$V13,W$23&lt;'A&amp;Rs'!$X13),-'A&amp;Rs'!$Z13/'A&amp;Rs'!$W13,0))</f>
        <v>0</v>
      </c>
      <c r="X46" s="56">
        <f>IF('A&amp;Rs'!$R13="","",IF(AND(X$23&gt;='A&amp;Rs'!$V13,X$23&lt;'A&amp;Rs'!$X13),-'A&amp;Rs'!$Z13/'A&amp;Rs'!$W13,0))</f>
        <v>0</v>
      </c>
      <c r="Y46" s="56">
        <f>IF('A&amp;Rs'!$R13="","",IF(AND(Y$23&gt;='A&amp;Rs'!$V13,Y$23&lt;'A&amp;Rs'!$X13),-'A&amp;Rs'!$Z13/'A&amp;Rs'!$W13,0))</f>
        <v>0</v>
      </c>
      <c r="Z46" s="56">
        <f>IF('A&amp;Rs'!$R13="","",IF(AND(Z$23&gt;='A&amp;Rs'!$V13,Z$23&lt;'A&amp;Rs'!$X13),-'A&amp;Rs'!$Z13/'A&amp;Rs'!$W13,0))</f>
        <v>0</v>
      </c>
      <c r="AA46" s="56">
        <f>IF('A&amp;Rs'!$R13="","",IF(AND(AA$23&gt;='A&amp;Rs'!$V13,AA$23&lt;'A&amp;Rs'!$X13),-'A&amp;Rs'!$Z13/'A&amp;Rs'!$W13,0))</f>
        <v>0</v>
      </c>
      <c r="AB46" s="56">
        <f>IF('A&amp;Rs'!$R13="","",IF(AND(AB$23&gt;='A&amp;Rs'!$V13,AB$23&lt;'A&amp;Rs'!$X13),-'A&amp;Rs'!$Z13/'A&amp;Rs'!$W13,0))</f>
        <v>0</v>
      </c>
      <c r="AC46" s="56">
        <f>IF('A&amp;Rs'!$R13="","",IF(AND(AC$23&gt;='A&amp;Rs'!$V13,AC$23&lt;'A&amp;Rs'!$X13),-'A&amp;Rs'!$Z13/'A&amp;Rs'!$W13,0))</f>
        <v>0</v>
      </c>
      <c r="AD46" s="56">
        <f>IF('A&amp;Rs'!$R13="","",IF(AND(AD$23&gt;='A&amp;Rs'!$V13,AD$23&lt;'A&amp;Rs'!$X13),-'A&amp;Rs'!$Z13/'A&amp;Rs'!$W13,0))</f>
        <v>0</v>
      </c>
      <c r="AE46" s="56">
        <f>IF('A&amp;Rs'!$R13="","",IF(AND(AE$23&gt;='A&amp;Rs'!$V13,AE$23&lt;'A&amp;Rs'!$X13),-'A&amp;Rs'!$Z13/'A&amp;Rs'!$W13,0))</f>
        <v>0</v>
      </c>
      <c r="AF46" s="56">
        <f>IF('A&amp;Rs'!$R13="","",IF(AND(AF$23&gt;='A&amp;Rs'!$V13,AF$23&lt;'A&amp;Rs'!$X13),-'A&amp;Rs'!$Z13/'A&amp;Rs'!$W13,0))</f>
        <v>0</v>
      </c>
      <c r="AG46" s="56">
        <f>IF('A&amp;Rs'!$R13="","",IF(AND(AG$23&gt;='A&amp;Rs'!$V13,AG$23&lt;'A&amp;Rs'!$X13),-'A&amp;Rs'!$Z13/'A&amp;Rs'!$W13,0))</f>
        <v>0</v>
      </c>
      <c r="AH46" s="56">
        <f>IF('A&amp;Rs'!$R13="","",IF(AND(AH$23&gt;='A&amp;Rs'!$V13,AH$23&lt;'A&amp;Rs'!$X13),-'A&amp;Rs'!$Z13/'A&amp;Rs'!$W13,0))</f>
        <v>0</v>
      </c>
      <c r="AI46" s="56">
        <f>IF('A&amp;Rs'!$R13="","",IF(AND(AI$23&gt;='A&amp;Rs'!$V13,AI$23&lt;'A&amp;Rs'!$X13),-'A&amp;Rs'!$Z13/'A&amp;Rs'!$W13,0))</f>
        <v>0</v>
      </c>
      <c r="AJ46" s="56">
        <f>IF('A&amp;Rs'!$R13="","",IF(AND(AJ$23&gt;='A&amp;Rs'!$V13,AJ$23&lt;'A&amp;Rs'!$X13),-'A&amp;Rs'!$Z13/'A&amp;Rs'!$W13,0))</f>
        <v>0</v>
      </c>
      <c r="AK46" s="56">
        <f>IF('A&amp;Rs'!$R13="","",IF(AND(AK$23&gt;='A&amp;Rs'!$V13,AK$23&lt;'A&amp;Rs'!$X13),-'A&amp;Rs'!$Z13/'A&amp;Rs'!$W13,0))</f>
        <v>0</v>
      </c>
      <c r="AL46" s="56">
        <f>IF('A&amp;Rs'!$R13="","",IF(AND(AL$23&gt;='A&amp;Rs'!$V13,AL$23&lt;'A&amp;Rs'!$X13),-'A&amp;Rs'!$Z13/'A&amp;Rs'!$W13,0))</f>
        <v>0</v>
      </c>
      <c r="AM46" s="56">
        <f>IF('A&amp;Rs'!$R13="","",IF(AND(AM$23&gt;='A&amp;Rs'!$V13,AM$23&lt;'A&amp;Rs'!$X13),-'A&amp;Rs'!$Z13/'A&amp;Rs'!$W13,0))</f>
        <v>0</v>
      </c>
      <c r="AN46" s="56">
        <f>IF('A&amp;Rs'!$R13="","",IF(AND(AN$23&gt;='A&amp;Rs'!$V13,AN$23&lt;'A&amp;Rs'!$X13),-'A&amp;Rs'!$Z13/'A&amp;Rs'!$W13,0))</f>
        <v>0</v>
      </c>
      <c r="AO46" s="56">
        <f>IF('A&amp;Rs'!$R13="","",IF(AND(AO$23&gt;='A&amp;Rs'!$V13,AO$23&lt;'A&amp;Rs'!$X13),-'A&amp;Rs'!$Z13/'A&amp;Rs'!$W13,0))</f>
        <v>0</v>
      </c>
      <c r="AP46" s="56">
        <f>IF('A&amp;Rs'!$R13="","",IF(AND(AP$23&gt;='A&amp;Rs'!$V13,AP$23&lt;'A&amp;Rs'!$X13),-'A&amp;Rs'!$Z13/'A&amp;Rs'!$W13,0))</f>
        <v>0</v>
      </c>
      <c r="AQ46" s="56">
        <f>IF('A&amp;Rs'!$R13="","",IF(AND(AQ$23&gt;='A&amp;Rs'!$V13,AQ$23&lt;'A&amp;Rs'!$X13),-'A&amp;Rs'!$Z13/'A&amp;Rs'!$W13,0))</f>
        <v>0</v>
      </c>
      <c r="AR46" s="56">
        <f>IF('A&amp;Rs'!$R13="","",IF(AND(AR$23&gt;='A&amp;Rs'!$V13,AR$23&lt;'A&amp;Rs'!$X13),-'A&amp;Rs'!$Z13/'A&amp;Rs'!$W13,0))</f>
        <v>0</v>
      </c>
      <c r="AS46" s="56">
        <f>IF('A&amp;Rs'!$R13="","",IF(AND(AS$23&gt;='A&amp;Rs'!$V13,AS$23&lt;'A&amp;Rs'!$X13),-'A&amp;Rs'!$Z13/'A&amp;Rs'!$W13,0))</f>
        <v>0</v>
      </c>
      <c r="AT46" s="56">
        <f>IF('A&amp;Rs'!$R13="","",IF(AND(AT$23&gt;='A&amp;Rs'!$V13,AT$23&lt;'A&amp;Rs'!$X13),-'A&amp;Rs'!$Z13/'A&amp;Rs'!$W13,0))</f>
        <v>0</v>
      </c>
      <c r="AU46" s="56">
        <f>IF('A&amp;Rs'!$R13="","",IF(AND(AU$23&gt;='A&amp;Rs'!$V13,AU$23&lt;'A&amp;Rs'!$X13),-'A&amp;Rs'!$Z13/'A&amp;Rs'!$W13,0))</f>
        <v>0</v>
      </c>
      <c r="AV46" s="56">
        <f>IF('A&amp;Rs'!$R13="","",IF(AND(AV$23&gt;='A&amp;Rs'!$V13,AV$23&lt;'A&amp;Rs'!$X13),-'A&amp;Rs'!$Z13/'A&amp;Rs'!$W13,0))</f>
        <v>0</v>
      </c>
      <c r="AW46" s="56">
        <f>IF('A&amp;Rs'!$R13="","",IF(AND(AW$23&gt;='A&amp;Rs'!$V13,AW$23&lt;'A&amp;Rs'!$X13),-'A&amp;Rs'!$Z13/'A&amp;Rs'!$W13,0))</f>
        <v>0</v>
      </c>
      <c r="AX46" s="56">
        <f>IF('A&amp;Rs'!$R13="","",IF(AND(AX$23&gt;='A&amp;Rs'!$V13,AX$23&lt;'A&amp;Rs'!$X13),-'A&amp;Rs'!$Z13/'A&amp;Rs'!$W13,0))</f>
        <v>0</v>
      </c>
      <c r="AY46" s="56">
        <f>IF('A&amp;Rs'!$R13="","",IF(AND(AY$23&gt;='A&amp;Rs'!$V13,AY$23&lt;'A&amp;Rs'!$X13),-'A&amp;Rs'!$Z13/'A&amp;Rs'!$W13,0))</f>
        <v>0</v>
      </c>
      <c r="AZ46" s="56">
        <f>IF('A&amp;Rs'!$R13="","",IF(AND(AZ$23&gt;='A&amp;Rs'!$V13,AZ$23&lt;'A&amp;Rs'!$X13),-'A&amp;Rs'!$Z13/'A&amp;Rs'!$W13,0))</f>
        <v>0</v>
      </c>
      <c r="BA46" s="56">
        <f>IF('A&amp;Rs'!$R13="","",IF(AND(BA$23&gt;='A&amp;Rs'!$V13,BA$23&lt;'A&amp;Rs'!$X13),-'A&amp;Rs'!$Z13/'A&amp;Rs'!$W13,0))</f>
        <v>0</v>
      </c>
      <c r="BB46" s="56">
        <f>IF('A&amp;Rs'!$R13="","",IF(AND(BB$23&gt;='A&amp;Rs'!$V13,BB$23&lt;'A&amp;Rs'!$X13),-'A&amp;Rs'!$Z13/'A&amp;Rs'!$W13,0))</f>
        <v>0</v>
      </c>
      <c r="BC46" s="56">
        <f>IF('A&amp;Rs'!$R13="","",IF(AND(BC$23&gt;='A&amp;Rs'!$V13,BC$23&lt;'A&amp;Rs'!$X13),-'A&amp;Rs'!$Z13/'A&amp;Rs'!$W13,0))</f>
        <v>0</v>
      </c>
      <c r="BD46" s="56">
        <f>IF('A&amp;Rs'!$R13="","",IF(AND(BD$23&gt;='A&amp;Rs'!$V13,BD$23&lt;'A&amp;Rs'!$X13),-'A&amp;Rs'!$Z13/'A&amp;Rs'!$W13,0))</f>
        <v>0</v>
      </c>
      <c r="BE46" s="56">
        <f>IF('A&amp;Rs'!$R13="","",IF(AND(BE$23&gt;='A&amp;Rs'!$V13,BE$23&lt;'A&amp;Rs'!$X13),-'A&amp;Rs'!$Z13/'A&amp;Rs'!$W13,0))</f>
        <v>0</v>
      </c>
      <c r="BF46" s="56">
        <f>IF('A&amp;Rs'!$R13="","",IF(AND(BF$23&gt;='A&amp;Rs'!$V13,BF$23&lt;'A&amp;Rs'!$X13),-'A&amp;Rs'!$Z13/'A&amp;Rs'!$W13,0))</f>
        <v>0</v>
      </c>
      <c r="BG46" s="56">
        <f>IF('A&amp;Rs'!$R13="","",IF(AND(BG$23&gt;='A&amp;Rs'!$V13,BG$23&lt;'A&amp;Rs'!$X13),-'A&amp;Rs'!$Z13/'A&amp;Rs'!$W13,0))</f>
        <v>0</v>
      </c>
      <c r="BH46" s="56">
        <f>IF('A&amp;Rs'!$R13="","",IF(AND(BH$23&gt;='A&amp;Rs'!$V13,BH$23&lt;'A&amp;Rs'!$X13),-'A&amp;Rs'!$Z13/'A&amp;Rs'!$W13,0))</f>
        <v>0</v>
      </c>
      <c r="BI46" s="56">
        <f>IF('A&amp;Rs'!$R13="","",IF(AND(BI$23&gt;='A&amp;Rs'!$V13,BI$23&lt;'A&amp;Rs'!$X13),-'A&amp;Rs'!$Z13/'A&amp;Rs'!$W13,0))</f>
        <v>0</v>
      </c>
      <c r="BJ46" s="56">
        <f>IF('A&amp;Rs'!$R13="","",IF(AND(BJ$23&gt;='A&amp;Rs'!$V13,BJ$23&lt;'A&amp;Rs'!$X13),-'A&amp;Rs'!$Z13/'A&amp;Rs'!$W13,0))</f>
        <v>0</v>
      </c>
      <c r="BK46" s="56">
        <f>IF('A&amp;Rs'!$R13="","",IF(AND(BK$23&gt;='A&amp;Rs'!$V13,BK$23&lt;'A&amp;Rs'!$X13),-'A&amp;Rs'!$Z13/'A&amp;Rs'!$W13,0))</f>
        <v>0</v>
      </c>
      <c r="BL46" s="56">
        <f>IF('A&amp;Rs'!$R13="","",IF(AND(BL$23&gt;='A&amp;Rs'!$V13,BL$23&lt;'A&amp;Rs'!$X13),-'A&amp;Rs'!$Z13/'A&amp;Rs'!$W13,0))</f>
        <v>0</v>
      </c>
      <c r="BM46" s="56">
        <f>IF('A&amp;Rs'!$R13="","",IF(AND(BM$23&gt;='A&amp;Rs'!$V13,BM$23&lt;'A&amp;Rs'!$X13),-'A&amp;Rs'!$Z13/'A&amp;Rs'!$W13,0))</f>
        <v>0</v>
      </c>
      <c r="BN46" s="56">
        <f>IF('A&amp;Rs'!$R13="","",IF(AND(BN$23&gt;='A&amp;Rs'!$V13,BN$23&lt;'A&amp;Rs'!$X13),-'A&amp;Rs'!$Z13/'A&amp;Rs'!$W13,0))</f>
        <v>0</v>
      </c>
      <c r="BO46" s="56">
        <f>IF('A&amp;Rs'!$R13="","",IF(AND(BO$23&gt;='A&amp;Rs'!$V13,BO$23&lt;'A&amp;Rs'!$X13),-'A&amp;Rs'!$Z13/'A&amp;Rs'!$W13,0))</f>
        <v>0</v>
      </c>
      <c r="BP46" s="56">
        <f>IF('A&amp;Rs'!$R13="","",IF(AND(BP$23&gt;='A&amp;Rs'!$V13,BP$23&lt;'A&amp;Rs'!$X13),-'A&amp;Rs'!$Z13/'A&amp;Rs'!$W13,0))</f>
        <v>0</v>
      </c>
      <c r="BQ46" s="56">
        <f>IF('A&amp;Rs'!$R13="","",IF(AND(BQ$23&gt;='A&amp;Rs'!$V13,BQ$23&lt;'A&amp;Rs'!$X13),-'A&amp;Rs'!$Z13/'A&amp;Rs'!$W13,0))</f>
        <v>0</v>
      </c>
      <c r="BR46" s="56">
        <f>IF('A&amp;Rs'!$R13="","",IF(AND(BR$23&gt;='A&amp;Rs'!$V13,BR$23&lt;'A&amp;Rs'!$X13),-'A&amp;Rs'!$Z13/'A&amp;Rs'!$W13,0))</f>
        <v>0</v>
      </c>
      <c r="BS46" s="56">
        <f>IF('A&amp;Rs'!$R13="","",IF(AND(BS$23&gt;='A&amp;Rs'!$V13,BS$23&lt;'A&amp;Rs'!$X13),-'A&amp;Rs'!$Z13/'A&amp;Rs'!$W13,0))</f>
        <v>0</v>
      </c>
      <c r="BT46" s="56">
        <f>IF('A&amp;Rs'!$R13="","",IF(AND(BT$23&gt;='A&amp;Rs'!$V13,BT$23&lt;'A&amp;Rs'!$X13),-'A&amp;Rs'!$Z13/'A&amp;Rs'!$W13,0))</f>
        <v>0</v>
      </c>
      <c r="BU46" s="56">
        <f>IF('A&amp;Rs'!$R13="","",IF(AND(BU$23&gt;='A&amp;Rs'!$V13,BU$23&lt;'A&amp;Rs'!$X13),-'A&amp;Rs'!$Z13/'A&amp;Rs'!$W13,0))</f>
        <v>0</v>
      </c>
      <c r="BV46" s="56">
        <f>IF('A&amp;Rs'!$R13="","",IF(AND(BV$23&gt;='A&amp;Rs'!$V13,BV$23&lt;'A&amp;Rs'!$X13),-'A&amp;Rs'!$Z13/'A&amp;Rs'!$W13,0))</f>
        <v>0</v>
      </c>
      <c r="BW46" s="56">
        <f>IF('A&amp;Rs'!$R13="","",IF(AND(BW$23&gt;='A&amp;Rs'!$V13,BW$23&lt;'A&amp;Rs'!$X13),-'A&amp;Rs'!$Z13/'A&amp;Rs'!$W13,0))</f>
        <v>0</v>
      </c>
      <c r="BX46" s="56">
        <f>IF('A&amp;Rs'!$R13="","",IF(AND(BX$23&gt;='A&amp;Rs'!$V13,BX$23&lt;'A&amp;Rs'!$X13),-'A&amp;Rs'!$Z13/'A&amp;Rs'!$W13,0))</f>
        <v>0</v>
      </c>
      <c r="BY46" s="56">
        <f>IF('A&amp;Rs'!$R13="","",IF(AND(BY$23&gt;='A&amp;Rs'!$V13,BY$23&lt;'A&amp;Rs'!$X13),-'A&amp;Rs'!$Z13/'A&amp;Rs'!$W13,0))</f>
        <v>0</v>
      </c>
      <c r="BZ46" s="56">
        <f>IF('A&amp;Rs'!$R13="","",IF(AND(BZ$23&gt;='A&amp;Rs'!$V13,BZ$23&lt;'A&amp;Rs'!$X13),-'A&amp;Rs'!$Z13/'A&amp;Rs'!$W13,0))</f>
        <v>0</v>
      </c>
      <c r="CA46" s="56">
        <f>IF('A&amp;Rs'!$R13="","",IF(AND(CA$23&gt;='A&amp;Rs'!$V13,CA$23&lt;'A&amp;Rs'!$X13),-'A&amp;Rs'!$Z13/'A&amp;Rs'!$W13,0))</f>
        <v>0</v>
      </c>
      <c r="CB46" s="56">
        <f>IF('A&amp;Rs'!$R13="","",IF(AND(CB$23&gt;='A&amp;Rs'!$V13,CB$23&lt;'A&amp;Rs'!$X13),-'A&amp;Rs'!$Z13/'A&amp;Rs'!$W13,0))</f>
        <v>0</v>
      </c>
      <c r="CC46" s="56">
        <f>IF('A&amp;Rs'!$R13="","",IF(AND(CC$23&gt;='A&amp;Rs'!$V13,CC$23&lt;'A&amp;Rs'!$X13),-'A&amp;Rs'!$Z13/'A&amp;Rs'!$W13,0))</f>
        <v>0</v>
      </c>
      <c r="CD46" s="56">
        <f>IF('A&amp;Rs'!$R13="","",IF(AND(CD$23&gt;='A&amp;Rs'!$V13,CD$23&lt;'A&amp;Rs'!$X13),-'A&amp;Rs'!$Z13/'A&amp;Rs'!$W13,0))</f>
        <v>0</v>
      </c>
      <c r="CE46" s="56">
        <f>IF('A&amp;Rs'!$R13="","",IF(AND(CE$23&gt;='A&amp;Rs'!$V13,CE$23&lt;'A&amp;Rs'!$X13),-'A&amp;Rs'!$Z13/'A&amp;Rs'!$W13,0))</f>
        <v>0</v>
      </c>
      <c r="CF46" s="56">
        <f>IF('A&amp;Rs'!$R13="","",IF(AND(CF$23&gt;='A&amp;Rs'!$V13,CF$23&lt;'A&amp;Rs'!$X13),-'A&amp;Rs'!$Z13/'A&amp;Rs'!$W13,0))</f>
        <v>0</v>
      </c>
      <c r="CG46" s="56">
        <f>IF('A&amp;Rs'!$R13="","",IF(AND(CG$23&gt;='A&amp;Rs'!$V13,CG$23&lt;'A&amp;Rs'!$X13),-'A&amp;Rs'!$Z13/'A&amp;Rs'!$W13,0))</f>
        <v>0</v>
      </c>
      <c r="CH46" s="56">
        <f>IF('A&amp;Rs'!$R13="","",IF(AND(CH$23&gt;='A&amp;Rs'!$V13,CH$23&lt;'A&amp;Rs'!$X13),-'A&amp;Rs'!$Z13/'A&amp;Rs'!$W13,0))</f>
        <v>0</v>
      </c>
      <c r="CI46" s="56">
        <f>IF('A&amp;Rs'!$R13="","",IF(AND(CI$23&gt;='A&amp;Rs'!$V13,CI$23&lt;'A&amp;Rs'!$X13),-'A&amp;Rs'!$Z13/'A&amp;Rs'!$W13,0))</f>
        <v>0</v>
      </c>
      <c r="CJ46" s="56">
        <f>IF('A&amp;Rs'!$R13="","",IF(AND(CJ$23&gt;='A&amp;Rs'!$V13,CJ$23&lt;'A&amp;Rs'!$X13),-'A&amp;Rs'!$Z13/'A&amp;Rs'!$W13,0))</f>
        <v>0</v>
      </c>
      <c r="CK46" s="56">
        <f>IF('A&amp;Rs'!$R13="","",IF(AND(CK$23&gt;='A&amp;Rs'!$V13,CK$23&lt;'A&amp;Rs'!$X13),-'A&amp;Rs'!$Z13/'A&amp;Rs'!$W13,0))</f>
        <v>0</v>
      </c>
      <c r="CL46" s="56">
        <f>IF('A&amp;Rs'!$R13="","",IF(AND(CL$23&gt;='A&amp;Rs'!$V13,CL$23&lt;'A&amp;Rs'!$X13),-'A&amp;Rs'!$Z13/'A&amp;Rs'!$W13,0))</f>
        <v>0</v>
      </c>
      <c r="CM46" s="56">
        <f>IF('A&amp;Rs'!$R13="","",IF(AND(CM$23&gt;='A&amp;Rs'!$V13,CM$23&lt;'A&amp;Rs'!$X13),-'A&amp;Rs'!$Z13/'A&amp;Rs'!$W13,0))</f>
        <v>0</v>
      </c>
      <c r="CN46" s="56">
        <f>IF('A&amp;Rs'!$R13="","",IF(AND(CN$23&gt;='A&amp;Rs'!$V13,CN$23&lt;'A&amp;Rs'!$X13),-'A&amp;Rs'!$Z13/'A&amp;Rs'!$W13,0))</f>
        <v>0</v>
      </c>
      <c r="CO46" s="56">
        <f>IF('A&amp;Rs'!$R13="","",IF(AND(CO$23&gt;='A&amp;Rs'!$V13,CO$23&lt;'A&amp;Rs'!$X13),-'A&amp;Rs'!$Z13/'A&amp;Rs'!$W13,0))</f>
        <v>0</v>
      </c>
      <c r="CP46" s="56">
        <f>IF('A&amp;Rs'!$R13="","",IF(AND(CP$23&gt;='A&amp;Rs'!$V13,CP$23&lt;'A&amp;Rs'!$X13),-'A&amp;Rs'!$Z13/'A&amp;Rs'!$W13,0))</f>
        <v>0</v>
      </c>
      <c r="CQ46" s="56">
        <f>IF('A&amp;Rs'!$R13="","",IF(AND(CQ$23&gt;='A&amp;Rs'!$V13,CQ$23&lt;'A&amp;Rs'!$X13),-'A&amp;Rs'!$Z13/'A&amp;Rs'!$W13,0))</f>
        <v>0</v>
      </c>
      <c r="CR46" s="56">
        <f>IF('A&amp;Rs'!$R13="","",IF(AND(CR$23&gt;='A&amp;Rs'!$V13,CR$23&lt;'A&amp;Rs'!$X13),-'A&amp;Rs'!$Z13/'A&amp;Rs'!$W13,0))</f>
        <v>0</v>
      </c>
      <c r="CS46" s="56">
        <f>IF('A&amp;Rs'!$R13="","",IF(AND(CS$23&gt;='A&amp;Rs'!$V13,CS$23&lt;'A&amp;Rs'!$X13),-'A&amp;Rs'!$Z13/'A&amp;Rs'!$W13,0))</f>
        <v>0</v>
      </c>
      <c r="CT46" s="56">
        <f>IF('A&amp;Rs'!$R13="","",IF(AND(CT$23&gt;='A&amp;Rs'!$V13,CT$23&lt;'A&amp;Rs'!$X13),-'A&amp;Rs'!$Z13/'A&amp;Rs'!$W13,0))</f>
        <v>0</v>
      </c>
      <c r="CU46" s="56">
        <f>IF('A&amp;Rs'!$R13="","",IF(AND(CU$23&gt;='A&amp;Rs'!$V13,CU$23&lt;'A&amp;Rs'!$X13),-'A&amp;Rs'!$Z13/'A&amp;Rs'!$W13,0))</f>
        <v>0</v>
      </c>
      <c r="CV46" s="56">
        <f>IF('A&amp;Rs'!$R13="","",IF(AND(CV$23&gt;='A&amp;Rs'!$V13,CV$23&lt;'A&amp;Rs'!$X13),-'A&amp;Rs'!$Z13/'A&amp;Rs'!$W13,0))</f>
        <v>0</v>
      </c>
      <c r="CW46" s="56">
        <f>IF('A&amp;Rs'!$R13="","",IF(AND(CW$23&gt;='A&amp;Rs'!$V13,CW$23&lt;'A&amp;Rs'!$X13),-'A&amp;Rs'!$Z13/'A&amp;Rs'!$W13,0))</f>
        <v>0</v>
      </c>
      <c r="CX46" s="56">
        <f>IF('A&amp;Rs'!$R13="","",IF(AND(CX$23&gt;='A&amp;Rs'!$V13,CX$23&lt;'A&amp;Rs'!$X13),-'A&amp;Rs'!$Z13/'A&amp;Rs'!$W13,0))</f>
        <v>0</v>
      </c>
      <c r="CY46" s="56">
        <f>IF('A&amp;Rs'!$R13="","",IF(AND(CY$23&gt;='A&amp;Rs'!$V13,CY$23&lt;'A&amp;Rs'!$X13),-'A&amp;Rs'!$Z13/'A&amp;Rs'!$W13,0))</f>
        <v>0</v>
      </c>
      <c r="CZ46" s="56">
        <f>IF('A&amp;Rs'!$R13="","",IF(AND(CZ$23&gt;='A&amp;Rs'!$V13,CZ$23&lt;'A&amp;Rs'!$X13),-'A&amp;Rs'!$Z13/'A&amp;Rs'!$W13,0))</f>
        <v>0</v>
      </c>
      <c r="DA46" s="56">
        <f>IF('A&amp;Rs'!$R13="","",IF(AND(DA$23&gt;='A&amp;Rs'!$V13,DA$23&lt;'A&amp;Rs'!$X13),-'A&amp;Rs'!$Z13/'A&amp;Rs'!$W13,0))</f>
        <v>0</v>
      </c>
      <c r="DB46" s="56">
        <f>IF('A&amp;Rs'!$R13="","",IF(AND(DB$23&gt;='A&amp;Rs'!$V13,DB$23&lt;'A&amp;Rs'!$X13),-'A&amp;Rs'!$Z13/'A&amp;Rs'!$W13,0))</f>
        <v>0</v>
      </c>
      <c r="DC46" s="56">
        <f>IF('A&amp;Rs'!$R13="","",IF(AND(DC$23&gt;='A&amp;Rs'!$V13,DC$23&lt;'A&amp;Rs'!$X13),-'A&amp;Rs'!$Z13/'A&amp;Rs'!$W13,0))</f>
        <v>0</v>
      </c>
      <c r="DD46" s="56">
        <f>IF('A&amp;Rs'!$R13="","",IF(AND(DD$23&gt;='A&amp;Rs'!$V13,DD$23&lt;'A&amp;Rs'!$X13),-'A&amp;Rs'!$Z13/'A&amp;Rs'!$W13,0))</f>
        <v>0</v>
      </c>
      <c r="DE46" s="56">
        <f>IF('A&amp;Rs'!$R13="","",IF(AND(DE$23&gt;='A&amp;Rs'!$V13,DE$23&lt;'A&amp;Rs'!$X13),-'A&amp;Rs'!$Z13/'A&amp;Rs'!$W13,0))</f>
        <v>0</v>
      </c>
      <c r="DF46" s="56">
        <f>IF('A&amp;Rs'!$R13="","",IF(AND(DF$23&gt;='A&amp;Rs'!$V13,DF$23&lt;'A&amp;Rs'!$X13),-'A&amp;Rs'!$Z13/'A&amp;Rs'!$W13,0))</f>
        <v>0</v>
      </c>
      <c r="DG46" s="56">
        <f>IF('A&amp;Rs'!$R13="","",IF(AND(DG$23&gt;='A&amp;Rs'!$V13,DG$23&lt;'A&amp;Rs'!$X13),-'A&amp;Rs'!$Z13/'A&amp;Rs'!$W13,0))</f>
        <v>0</v>
      </c>
      <c r="DH46" s="56">
        <f>IF('A&amp;Rs'!$R13="","",IF(AND(DH$23&gt;='A&amp;Rs'!$V13,DH$23&lt;'A&amp;Rs'!$X13),-'A&amp;Rs'!$Z13/'A&amp;Rs'!$W13,0))</f>
        <v>0</v>
      </c>
      <c r="DI46" s="56">
        <f>IF('A&amp;Rs'!$R13="","",IF(AND(DI$23&gt;='A&amp;Rs'!$V13,DI$23&lt;'A&amp;Rs'!$X13),-'A&amp;Rs'!$Z13/'A&amp;Rs'!$W13,0))</f>
        <v>0</v>
      </c>
      <c r="DJ46" s="56">
        <f>IF('A&amp;Rs'!$R13="","",IF(AND(DJ$23&gt;='A&amp;Rs'!$V13,DJ$23&lt;'A&amp;Rs'!$X13),-'A&amp;Rs'!$Z13/'A&amp;Rs'!$W13,0))</f>
        <v>0</v>
      </c>
      <c r="DK46" s="56">
        <f>IF('A&amp;Rs'!$R13="","",IF(AND(DK$23&gt;='A&amp;Rs'!$V13,DK$23&lt;'A&amp;Rs'!$X13),-'A&amp;Rs'!$Z13/'A&amp;Rs'!$W13,0))</f>
        <v>0</v>
      </c>
      <c r="DL46" s="56">
        <f>IF('A&amp;Rs'!$R13="","",IF(AND(DL$23&gt;='A&amp;Rs'!$V13,DL$23&lt;'A&amp;Rs'!$X13),-'A&amp;Rs'!$Z13/'A&amp;Rs'!$W13,0))</f>
        <v>0</v>
      </c>
      <c r="DM46" s="56">
        <f>IF('A&amp;Rs'!$R13="","",IF(AND(DM$23&gt;='A&amp;Rs'!$V13,DM$23&lt;'A&amp;Rs'!$X13),-'A&amp;Rs'!$Z13/'A&amp;Rs'!$W13,0))</f>
        <v>0</v>
      </c>
      <c r="DN46" s="56">
        <f>IF('A&amp;Rs'!$R13="","",IF(AND(DN$23&gt;='A&amp;Rs'!$V13,DN$23&lt;'A&amp;Rs'!$X13),-'A&amp;Rs'!$Z13/'A&amp;Rs'!$W13,0))</f>
        <v>0</v>
      </c>
      <c r="DO46" s="56">
        <f>IF('A&amp;Rs'!$R13="","",IF(AND(DO$23&gt;='A&amp;Rs'!$V13,DO$23&lt;'A&amp;Rs'!$X13),-'A&amp;Rs'!$Z13/'A&amp;Rs'!$W13,0))</f>
        <v>0</v>
      </c>
      <c r="DP46" s="56">
        <f>IF('A&amp;Rs'!$R13="","",IF(AND(DP$23&gt;='A&amp;Rs'!$V13,DP$23&lt;'A&amp;Rs'!$X13),-'A&amp;Rs'!$Z13/'A&amp;Rs'!$W13,0))</f>
        <v>0</v>
      </c>
      <c r="DQ46" s="56">
        <f>IF('A&amp;Rs'!$R13="","",IF(AND(DQ$23&gt;='A&amp;Rs'!$V13,DQ$23&lt;'A&amp;Rs'!$X13),-'A&amp;Rs'!$Z13/'A&amp;Rs'!$W13,0))</f>
        <v>0</v>
      </c>
      <c r="DR46" s="56">
        <f>IF('A&amp;Rs'!$R13="","",IF(AND(DR$23&gt;='A&amp;Rs'!$V13,DR$23&lt;'A&amp;Rs'!$X13),-'A&amp;Rs'!$Z13/'A&amp;Rs'!$W13,0))</f>
        <v>0</v>
      </c>
      <c r="DS46" s="56">
        <f>IF('A&amp;Rs'!$R13="","",IF(AND(DS$23&gt;='A&amp;Rs'!$V13,DS$23&lt;'A&amp;Rs'!$X13),-'A&amp;Rs'!$Z13/'A&amp;Rs'!$W13,0))</f>
        <v>0</v>
      </c>
      <c r="DT46" s="56">
        <f>IF('A&amp;Rs'!$R13="","",IF(AND(DT$23&gt;='A&amp;Rs'!$V13,DT$23&lt;'A&amp;Rs'!$X13),-'A&amp;Rs'!$Z13/'A&amp;Rs'!$W13,0))</f>
        <v>0</v>
      </c>
      <c r="DU46" s="56">
        <f>IF('A&amp;Rs'!$R13="","",IF(AND(DU$23&gt;='A&amp;Rs'!$V13,DU$23&lt;'A&amp;Rs'!$X13),-'A&amp;Rs'!$Z13/'A&amp;Rs'!$W13,0))</f>
        <v>0</v>
      </c>
      <c r="DV46" s="56">
        <f>IF('A&amp;Rs'!$R13="","",IF(AND(DV$23&gt;='A&amp;Rs'!$V13,DV$23&lt;'A&amp;Rs'!$X13),-'A&amp;Rs'!$Z13/'A&amp;Rs'!$W13,0))</f>
        <v>0</v>
      </c>
      <c r="DW46" s="56">
        <f>IF('A&amp;Rs'!$R13="","",IF(AND(DW$23&gt;='A&amp;Rs'!$V13,DW$23&lt;'A&amp;Rs'!$X13),-'A&amp;Rs'!$Z13/'A&amp;Rs'!$W13,0))</f>
        <v>0</v>
      </c>
      <c r="DX46" s="56">
        <f>IF('A&amp;Rs'!$R13="","",IF(AND(DX$23&gt;='A&amp;Rs'!$V13,DX$23&lt;'A&amp;Rs'!$X13),-'A&amp;Rs'!$Z13/'A&amp;Rs'!$W13,0))</f>
        <v>0</v>
      </c>
      <c r="DY46" s="56">
        <f>IF('A&amp;Rs'!$R13="","",IF(AND(DY$23&gt;='A&amp;Rs'!$V13,DY$23&lt;'A&amp;Rs'!$X13),-'A&amp;Rs'!$Z13/'A&amp;Rs'!$W13,0))</f>
        <v>0</v>
      </c>
      <c r="DZ46" s="56">
        <f>IF('A&amp;Rs'!$R13="","",IF(AND(DZ$23&gt;='A&amp;Rs'!$V13,DZ$23&lt;'A&amp;Rs'!$X13),-'A&amp;Rs'!$Z13/'A&amp;Rs'!$W13,0))</f>
        <v>0</v>
      </c>
      <c r="EA46" s="56">
        <f>IF('A&amp;Rs'!$R13="","",IF(AND(EA$23&gt;='A&amp;Rs'!$V13,EA$23&lt;'A&amp;Rs'!$X13),-'A&amp;Rs'!$Z13/'A&amp;Rs'!$W13,0))</f>
        <v>0</v>
      </c>
      <c r="EB46" s="56">
        <f>IF('A&amp;Rs'!$R13="","",IF(AND(EB$23&gt;='A&amp;Rs'!$V13,EB$23&lt;'A&amp;Rs'!$X13),-'A&amp;Rs'!$Z13/'A&amp;Rs'!$W13,0))</f>
        <v>0</v>
      </c>
      <c r="EC46" s="56">
        <f>IF('A&amp;Rs'!$R13="","",IF(AND(EC$23&gt;='A&amp;Rs'!$V13,EC$23&lt;'A&amp;Rs'!$X13),-'A&amp;Rs'!$Z13/'A&amp;Rs'!$W13,0))</f>
        <v>0</v>
      </c>
      <c r="ED46" s="56">
        <f>IF('A&amp;Rs'!$R13="","",IF(AND(ED$23&gt;='A&amp;Rs'!$V13,ED$23&lt;'A&amp;Rs'!$X13),-'A&amp;Rs'!$Z13/'A&amp;Rs'!$W13,0))</f>
        <v>0</v>
      </c>
      <c r="EE46" s="56">
        <f>IF('A&amp;Rs'!$R13="","",IF(AND(EE$23&gt;='A&amp;Rs'!$V13,EE$23&lt;'A&amp;Rs'!$X13),-'A&amp;Rs'!$Z13/'A&amp;Rs'!$W13,0))</f>
        <v>0</v>
      </c>
      <c r="EF46" s="56">
        <f>IF('A&amp;Rs'!$R13="","",IF(AND(EF$23&gt;='A&amp;Rs'!$V13,EF$23&lt;'A&amp;Rs'!$X13),-'A&amp;Rs'!$Z13/'A&amp;Rs'!$W13,0))</f>
        <v>0</v>
      </c>
      <c r="EG46" s="56">
        <f>IF('A&amp;Rs'!$R13="","",IF(AND(EG$23&gt;='A&amp;Rs'!$V13,EG$23&lt;'A&amp;Rs'!$X13),-'A&amp;Rs'!$Z13/'A&amp;Rs'!$W13,0))</f>
        <v>0</v>
      </c>
      <c r="EH46" s="56">
        <f>IF('A&amp;Rs'!$R13="","",IF(AND(EH$23&gt;='A&amp;Rs'!$V13,EH$23&lt;'A&amp;Rs'!$X13),-'A&amp;Rs'!$Z13/'A&amp;Rs'!$W13,0))</f>
        <v>0</v>
      </c>
      <c r="EI46" s="56">
        <f>IF('A&amp;Rs'!$R13="","",IF(AND(EI$23&gt;='A&amp;Rs'!$V13,EI$23&lt;'A&amp;Rs'!$X13),-'A&amp;Rs'!$Z13/'A&amp;Rs'!$W13,0))</f>
        <v>0</v>
      </c>
      <c r="EJ46" s="56">
        <f>IF('A&amp;Rs'!$R13="","",IF(AND(EJ$23&gt;='A&amp;Rs'!$V13,EJ$23&lt;'A&amp;Rs'!$X13),-'A&amp;Rs'!$Z13/'A&amp;Rs'!$W13,0))</f>
        <v>0</v>
      </c>
      <c r="EK46" s="56">
        <f>IF('A&amp;Rs'!$R13="","",IF(AND(EK$23&gt;='A&amp;Rs'!$V13,EK$23&lt;'A&amp;Rs'!$X13),-'A&amp;Rs'!$Z13/'A&amp;Rs'!$W13,0))</f>
        <v>0</v>
      </c>
      <c r="EL46" s="56">
        <f>IF('A&amp;Rs'!$R13="","",IF(AND(EL$23&gt;='A&amp;Rs'!$V13,EL$23&lt;'A&amp;Rs'!$X13),-'A&amp;Rs'!$Z13/'A&amp;Rs'!$W13,0))</f>
        <v>0</v>
      </c>
      <c r="EM46" s="56">
        <f>IF('A&amp;Rs'!$R13="","",IF(AND(EM$23&gt;='A&amp;Rs'!$V13,EM$23&lt;'A&amp;Rs'!$X13),-'A&amp;Rs'!$Z13/'A&amp;Rs'!$W13,0))</f>
        <v>0</v>
      </c>
      <c r="EN46" s="56">
        <f>IF('A&amp;Rs'!$R13="","",IF(AND(EN$23&gt;='A&amp;Rs'!$V13,EN$23&lt;'A&amp;Rs'!$X13),-'A&amp;Rs'!$Z13/'A&amp;Rs'!$W13,0))</f>
        <v>0</v>
      </c>
      <c r="EO46" s="56">
        <f>IF('A&amp;Rs'!$R13="","",IF(AND(EO$23&gt;='A&amp;Rs'!$V13,EO$23&lt;'A&amp;Rs'!$X13),-'A&amp;Rs'!$Z13/'A&amp;Rs'!$W13,0))</f>
        <v>0</v>
      </c>
      <c r="EP46" s="56">
        <f>IF('A&amp;Rs'!$R13="","",IF(AND(EP$23&gt;='A&amp;Rs'!$V13,EP$23&lt;'A&amp;Rs'!$X13),-'A&amp;Rs'!$Z13/'A&amp;Rs'!$W13,0))</f>
        <v>0</v>
      </c>
      <c r="EQ46" s="56">
        <f>IF('A&amp;Rs'!$R13="","",IF(AND(EQ$23&gt;='A&amp;Rs'!$V13,EQ$23&lt;'A&amp;Rs'!$X13),-'A&amp;Rs'!$Z13/'A&amp;Rs'!$W13,0))</f>
        <v>0</v>
      </c>
      <c r="ER46" s="56">
        <f>IF('A&amp;Rs'!$R13="","",IF(AND(ER$23&gt;='A&amp;Rs'!$V13,ER$23&lt;'A&amp;Rs'!$X13),-'A&amp;Rs'!$Z13/'A&amp;Rs'!$W13,0))</f>
        <v>0</v>
      </c>
      <c r="ES46" s="56">
        <f>IF('A&amp;Rs'!$R13="","",IF(AND(ES$23&gt;='A&amp;Rs'!$V13,ES$23&lt;'A&amp;Rs'!$X13),-'A&amp;Rs'!$Z13/'A&amp;Rs'!$W13,0))</f>
        <v>0</v>
      </c>
      <c r="ET46" s="56">
        <f>IF('A&amp;Rs'!$R13="","",IF(AND(ET$23&gt;='A&amp;Rs'!$V13,ET$23&lt;'A&amp;Rs'!$X13),-'A&amp;Rs'!$Z13/'A&amp;Rs'!$W13,0))</f>
        <v>0</v>
      </c>
      <c r="EU46" s="56">
        <f>IF('A&amp;Rs'!$R13="","",IF(AND(EU$23&gt;='A&amp;Rs'!$V13,EU$23&lt;'A&amp;Rs'!$X13),-'A&amp;Rs'!$Z13/'A&amp;Rs'!$W13,0))</f>
        <v>0</v>
      </c>
      <c r="EV46" s="56">
        <f>IF('A&amp;Rs'!$R13="","",IF(AND(EV$23&gt;='A&amp;Rs'!$V13,EV$23&lt;'A&amp;Rs'!$X13),-'A&amp;Rs'!$Z13/'A&amp;Rs'!$W13,0))</f>
        <v>0</v>
      </c>
      <c r="EW46" s="56">
        <f>IF('A&amp;Rs'!$R13="","",IF(AND(EW$23&gt;='A&amp;Rs'!$V13,EW$23&lt;'A&amp;Rs'!$X13),-'A&amp;Rs'!$Z13/'A&amp;Rs'!$W13,0))</f>
        <v>0</v>
      </c>
      <c r="EX46" s="56">
        <f>IF('A&amp;Rs'!$R13="","",IF(AND(EX$23&gt;='A&amp;Rs'!$V13,EX$23&lt;'A&amp;Rs'!$X13),-'A&amp;Rs'!$Z13/'A&amp;Rs'!$W13,0))</f>
        <v>0</v>
      </c>
      <c r="EY46" s="56">
        <f>IF('A&amp;Rs'!$R13="","",IF(AND(EY$23&gt;='A&amp;Rs'!$V13,EY$23&lt;'A&amp;Rs'!$X13),-'A&amp;Rs'!$Z13/'A&amp;Rs'!$W13,0))</f>
        <v>0</v>
      </c>
      <c r="EZ46" s="56">
        <f>IF('A&amp;Rs'!$R13="","",IF(AND(EZ$23&gt;='A&amp;Rs'!$V13,EZ$23&lt;'A&amp;Rs'!$X13),-'A&amp;Rs'!$Z13/'A&amp;Rs'!$W13,0))</f>
        <v>0</v>
      </c>
      <c r="FA46" s="56">
        <f>IF('A&amp;Rs'!$R13="","",IF(AND(FA$23&gt;='A&amp;Rs'!$V13,FA$23&lt;'A&amp;Rs'!$X13),-'A&amp;Rs'!$Z13/'A&amp;Rs'!$W13,0))</f>
        <v>0</v>
      </c>
      <c r="FB46" s="56">
        <f>IF('A&amp;Rs'!$R13="","",IF(AND(FB$23&gt;='A&amp;Rs'!$V13,FB$23&lt;'A&amp;Rs'!$X13),-'A&amp;Rs'!$Z13/'A&amp;Rs'!$W13,0))</f>
        <v>0</v>
      </c>
      <c r="FC46" s="56">
        <f>IF('A&amp;Rs'!$R13="","",IF(AND(FC$23&gt;='A&amp;Rs'!$V13,FC$23&lt;'A&amp;Rs'!$X13),-'A&amp;Rs'!$Z13/'A&amp;Rs'!$W13,0))</f>
        <v>0</v>
      </c>
      <c r="FD46" s="56">
        <f>IF('A&amp;Rs'!$R13="","",IF(AND(FD$23&gt;='A&amp;Rs'!$V13,FD$23&lt;'A&amp;Rs'!$X13),-'A&amp;Rs'!$Z13/'A&amp;Rs'!$W13,0))</f>
        <v>0</v>
      </c>
      <c r="FE46" s="56">
        <f>IF('A&amp;Rs'!$R13="","",IF(AND(FE$23&gt;='A&amp;Rs'!$V13,FE$23&lt;'A&amp;Rs'!$X13),-'A&amp;Rs'!$Z13/'A&amp;Rs'!$W13,0))</f>
        <v>0</v>
      </c>
      <c r="FF46" s="1" t="s">
        <v>39</v>
      </c>
      <c r="FG46" s="1"/>
      <c r="FH46" s="1"/>
      <c r="FI46" s="99"/>
    </row>
    <row r="47" spans="1:165" x14ac:dyDescent="0.3">
      <c r="A47" s="150">
        <f>'A&amp;Rs'!Z14</f>
        <v>13000</v>
      </c>
      <c r="B47" s="217">
        <f t="shared" si="12"/>
        <v>-13000</v>
      </c>
      <c r="C47" s="215"/>
      <c r="D47" s="43">
        <v>5</v>
      </c>
      <c r="E47" s="56"/>
      <c r="F47" s="56">
        <f>IF('A&amp;Rs'!$R14="","",IF(AND(F$23&gt;='A&amp;Rs'!$V14,F$23&lt;'A&amp;Rs'!$X14),-'A&amp;Rs'!$Z14/'A&amp;Rs'!$W14,0))</f>
        <v>0</v>
      </c>
      <c r="G47" s="56">
        <f>IF('A&amp;Rs'!$R14="","",IF(AND(G$23&gt;='A&amp;Rs'!$V14,G$23&lt;'A&amp;Rs'!$X14),-'A&amp;Rs'!$Z14/'A&amp;Rs'!$W14,0))</f>
        <v>0</v>
      </c>
      <c r="H47" s="56">
        <f>IF('A&amp;Rs'!$R14="","",IF(AND(H$23&gt;='A&amp;Rs'!$V14,H$23&lt;'A&amp;Rs'!$X14),-'A&amp;Rs'!$Z14/'A&amp;Rs'!$W14,0))</f>
        <v>0</v>
      </c>
      <c r="I47" s="56">
        <f>IF('A&amp;Rs'!$R14="","",IF(AND(I$23&gt;='A&amp;Rs'!$V14,I$23&lt;'A&amp;Rs'!$X14),-'A&amp;Rs'!$Z14/'A&amp;Rs'!$W14,0))</f>
        <v>-4333.333333333333</v>
      </c>
      <c r="J47" s="56">
        <f>IF('A&amp;Rs'!$R14="","",IF(AND(J$23&gt;='A&amp;Rs'!$V14,J$23&lt;'A&amp;Rs'!$X14),-'A&amp;Rs'!$Z14/'A&amp;Rs'!$W14,0))</f>
        <v>-4333.333333333333</v>
      </c>
      <c r="K47" s="56">
        <f>IF('A&amp;Rs'!$R14="","",IF(AND(K$23&gt;='A&amp;Rs'!$V14,K$23&lt;'A&amp;Rs'!$X14),-'A&amp;Rs'!$Z14/'A&amp;Rs'!$W14,0))</f>
        <v>-4333.333333333333</v>
      </c>
      <c r="L47" s="56">
        <f>IF('A&amp;Rs'!$R14="","",IF(AND(L$23&gt;='A&amp;Rs'!$V14,L$23&lt;'A&amp;Rs'!$X14),-'A&amp;Rs'!$Z14/'A&amp;Rs'!$W14,0))</f>
        <v>0</v>
      </c>
      <c r="M47" s="56">
        <f>IF('A&amp;Rs'!$R14="","",IF(AND(M$23&gt;='A&amp;Rs'!$V14,M$23&lt;'A&amp;Rs'!$X14),-'A&amp;Rs'!$Z14/'A&amp;Rs'!$W14,0))</f>
        <v>0</v>
      </c>
      <c r="N47" s="56">
        <f>IF('A&amp;Rs'!$R14="","",IF(AND(N$23&gt;='A&amp;Rs'!$V14,N$23&lt;'A&amp;Rs'!$X14),-'A&amp;Rs'!$Z14/'A&amp;Rs'!$W14,0))</f>
        <v>0</v>
      </c>
      <c r="O47" s="56">
        <f>IF('A&amp;Rs'!$R14="","",IF(AND(O$23&gt;='A&amp;Rs'!$V14,O$23&lt;'A&amp;Rs'!$X14),-'A&amp;Rs'!$Z14/'A&amp;Rs'!$W14,0))</f>
        <v>0</v>
      </c>
      <c r="P47" s="56">
        <f>IF('A&amp;Rs'!$R14="","",IF(AND(P$23&gt;='A&amp;Rs'!$V14,P$23&lt;'A&amp;Rs'!$X14),-'A&amp;Rs'!$Z14/'A&amp;Rs'!$W14,0))</f>
        <v>0</v>
      </c>
      <c r="Q47" s="56">
        <f>IF('A&amp;Rs'!$R14="","",IF(AND(Q$23&gt;='A&amp;Rs'!$V14,Q$23&lt;'A&amp;Rs'!$X14),-'A&amp;Rs'!$Z14/'A&amp;Rs'!$W14,0))</f>
        <v>0</v>
      </c>
      <c r="R47" s="56">
        <f>IF('A&amp;Rs'!$R14="","",IF(AND(R$23&gt;='A&amp;Rs'!$V14,R$23&lt;'A&amp;Rs'!$X14),-'A&amp;Rs'!$Z14/'A&amp;Rs'!$W14,0))</f>
        <v>0</v>
      </c>
      <c r="S47" s="56">
        <f>IF('A&amp;Rs'!$R14="","",IF(AND(S$23&gt;='A&amp;Rs'!$V14,S$23&lt;'A&amp;Rs'!$X14),-'A&amp;Rs'!$Z14/'A&amp;Rs'!$W14,0))</f>
        <v>0</v>
      </c>
      <c r="T47" s="56">
        <f>IF('A&amp;Rs'!$R14="","",IF(AND(T$23&gt;='A&amp;Rs'!$V14,T$23&lt;'A&amp;Rs'!$X14),-'A&amp;Rs'!$Z14/'A&amp;Rs'!$W14,0))</f>
        <v>0</v>
      </c>
      <c r="U47" s="56">
        <f>IF('A&amp;Rs'!$R14="","",IF(AND(U$23&gt;='A&amp;Rs'!$V14,U$23&lt;'A&amp;Rs'!$X14),-'A&amp;Rs'!$Z14/'A&amp;Rs'!$W14,0))</f>
        <v>0</v>
      </c>
      <c r="V47" s="56">
        <f>IF('A&amp;Rs'!$R14="","",IF(AND(V$23&gt;='A&amp;Rs'!$V14,V$23&lt;'A&amp;Rs'!$X14),-'A&amp;Rs'!$Z14/'A&amp;Rs'!$W14,0))</f>
        <v>0</v>
      </c>
      <c r="W47" s="56">
        <f>IF('A&amp;Rs'!$R14="","",IF(AND(W$23&gt;='A&amp;Rs'!$V14,W$23&lt;'A&amp;Rs'!$X14),-'A&amp;Rs'!$Z14/'A&amp;Rs'!$W14,0))</f>
        <v>0</v>
      </c>
      <c r="X47" s="56">
        <f>IF('A&amp;Rs'!$R14="","",IF(AND(X$23&gt;='A&amp;Rs'!$V14,X$23&lt;'A&amp;Rs'!$X14),-'A&amp;Rs'!$Z14/'A&amp;Rs'!$W14,0))</f>
        <v>0</v>
      </c>
      <c r="Y47" s="56">
        <f>IF('A&amp;Rs'!$R14="","",IF(AND(Y$23&gt;='A&amp;Rs'!$V14,Y$23&lt;'A&amp;Rs'!$X14),-'A&amp;Rs'!$Z14/'A&amp;Rs'!$W14,0))</f>
        <v>0</v>
      </c>
      <c r="Z47" s="56">
        <f>IF('A&amp;Rs'!$R14="","",IF(AND(Z$23&gt;='A&amp;Rs'!$V14,Z$23&lt;'A&amp;Rs'!$X14),-'A&amp;Rs'!$Z14/'A&amp;Rs'!$W14,0))</f>
        <v>0</v>
      </c>
      <c r="AA47" s="56">
        <f>IF('A&amp;Rs'!$R14="","",IF(AND(AA$23&gt;='A&amp;Rs'!$V14,AA$23&lt;'A&amp;Rs'!$X14),-'A&amp;Rs'!$Z14/'A&amp;Rs'!$W14,0))</f>
        <v>0</v>
      </c>
      <c r="AB47" s="56">
        <f>IF('A&amp;Rs'!$R14="","",IF(AND(AB$23&gt;='A&amp;Rs'!$V14,AB$23&lt;'A&amp;Rs'!$X14),-'A&amp;Rs'!$Z14/'A&amp;Rs'!$W14,0))</f>
        <v>0</v>
      </c>
      <c r="AC47" s="56">
        <f>IF('A&amp;Rs'!$R14="","",IF(AND(AC$23&gt;='A&amp;Rs'!$V14,AC$23&lt;'A&amp;Rs'!$X14),-'A&amp;Rs'!$Z14/'A&amp;Rs'!$W14,0))</f>
        <v>0</v>
      </c>
      <c r="AD47" s="56">
        <f>IF('A&amp;Rs'!$R14="","",IF(AND(AD$23&gt;='A&amp;Rs'!$V14,AD$23&lt;'A&amp;Rs'!$X14),-'A&amp;Rs'!$Z14/'A&amp;Rs'!$W14,0))</f>
        <v>0</v>
      </c>
      <c r="AE47" s="56">
        <f>IF('A&amp;Rs'!$R14="","",IF(AND(AE$23&gt;='A&amp;Rs'!$V14,AE$23&lt;'A&amp;Rs'!$X14),-'A&amp;Rs'!$Z14/'A&amp;Rs'!$W14,0))</f>
        <v>0</v>
      </c>
      <c r="AF47" s="56">
        <f>IF('A&amp;Rs'!$R14="","",IF(AND(AF$23&gt;='A&amp;Rs'!$V14,AF$23&lt;'A&amp;Rs'!$X14),-'A&amp;Rs'!$Z14/'A&amp;Rs'!$W14,0))</f>
        <v>0</v>
      </c>
      <c r="AG47" s="56">
        <f>IF('A&amp;Rs'!$R14="","",IF(AND(AG$23&gt;='A&amp;Rs'!$V14,AG$23&lt;'A&amp;Rs'!$X14),-'A&amp;Rs'!$Z14/'A&amp;Rs'!$W14,0))</f>
        <v>0</v>
      </c>
      <c r="AH47" s="56">
        <f>IF('A&amp;Rs'!$R14="","",IF(AND(AH$23&gt;='A&amp;Rs'!$V14,AH$23&lt;'A&amp;Rs'!$X14),-'A&amp;Rs'!$Z14/'A&amp;Rs'!$W14,0))</f>
        <v>0</v>
      </c>
      <c r="AI47" s="56">
        <f>IF('A&amp;Rs'!$R14="","",IF(AND(AI$23&gt;='A&amp;Rs'!$V14,AI$23&lt;'A&amp;Rs'!$X14),-'A&amp;Rs'!$Z14/'A&amp;Rs'!$W14,0))</f>
        <v>0</v>
      </c>
      <c r="AJ47" s="56">
        <f>IF('A&amp;Rs'!$R14="","",IF(AND(AJ$23&gt;='A&amp;Rs'!$V14,AJ$23&lt;'A&amp;Rs'!$X14),-'A&amp;Rs'!$Z14/'A&amp;Rs'!$W14,0))</f>
        <v>0</v>
      </c>
      <c r="AK47" s="56">
        <f>IF('A&amp;Rs'!$R14="","",IF(AND(AK$23&gt;='A&amp;Rs'!$V14,AK$23&lt;'A&amp;Rs'!$X14),-'A&amp;Rs'!$Z14/'A&amp;Rs'!$W14,0))</f>
        <v>0</v>
      </c>
      <c r="AL47" s="56">
        <f>IF('A&amp;Rs'!$R14="","",IF(AND(AL$23&gt;='A&amp;Rs'!$V14,AL$23&lt;'A&amp;Rs'!$X14),-'A&amp;Rs'!$Z14/'A&amp;Rs'!$W14,0))</f>
        <v>0</v>
      </c>
      <c r="AM47" s="56">
        <f>IF('A&amp;Rs'!$R14="","",IF(AND(AM$23&gt;='A&amp;Rs'!$V14,AM$23&lt;'A&amp;Rs'!$X14),-'A&amp;Rs'!$Z14/'A&amp;Rs'!$W14,0))</f>
        <v>0</v>
      </c>
      <c r="AN47" s="56">
        <f>IF('A&amp;Rs'!$R14="","",IF(AND(AN$23&gt;='A&amp;Rs'!$V14,AN$23&lt;'A&amp;Rs'!$X14),-'A&amp;Rs'!$Z14/'A&amp;Rs'!$W14,0))</f>
        <v>0</v>
      </c>
      <c r="AO47" s="56">
        <f>IF('A&amp;Rs'!$R14="","",IF(AND(AO$23&gt;='A&amp;Rs'!$V14,AO$23&lt;'A&amp;Rs'!$X14),-'A&amp;Rs'!$Z14/'A&amp;Rs'!$W14,0))</f>
        <v>0</v>
      </c>
      <c r="AP47" s="56">
        <f>IF('A&amp;Rs'!$R14="","",IF(AND(AP$23&gt;='A&amp;Rs'!$V14,AP$23&lt;'A&amp;Rs'!$X14),-'A&amp;Rs'!$Z14/'A&amp;Rs'!$W14,0))</f>
        <v>0</v>
      </c>
      <c r="AQ47" s="56">
        <f>IF('A&amp;Rs'!$R14="","",IF(AND(AQ$23&gt;='A&amp;Rs'!$V14,AQ$23&lt;'A&amp;Rs'!$X14),-'A&amp;Rs'!$Z14/'A&amp;Rs'!$W14,0))</f>
        <v>0</v>
      </c>
      <c r="AR47" s="56">
        <f>IF('A&amp;Rs'!$R14="","",IF(AND(AR$23&gt;='A&amp;Rs'!$V14,AR$23&lt;'A&amp;Rs'!$X14),-'A&amp;Rs'!$Z14/'A&amp;Rs'!$W14,0))</f>
        <v>0</v>
      </c>
      <c r="AS47" s="56">
        <f>IF('A&amp;Rs'!$R14="","",IF(AND(AS$23&gt;='A&amp;Rs'!$V14,AS$23&lt;'A&amp;Rs'!$X14),-'A&amp;Rs'!$Z14/'A&amp;Rs'!$W14,0))</f>
        <v>0</v>
      </c>
      <c r="AT47" s="56">
        <f>IF('A&amp;Rs'!$R14="","",IF(AND(AT$23&gt;='A&amp;Rs'!$V14,AT$23&lt;'A&amp;Rs'!$X14),-'A&amp;Rs'!$Z14/'A&amp;Rs'!$W14,0))</f>
        <v>0</v>
      </c>
      <c r="AU47" s="56">
        <f>IF('A&amp;Rs'!$R14="","",IF(AND(AU$23&gt;='A&amp;Rs'!$V14,AU$23&lt;'A&amp;Rs'!$X14),-'A&amp;Rs'!$Z14/'A&amp;Rs'!$W14,0))</f>
        <v>0</v>
      </c>
      <c r="AV47" s="56">
        <f>IF('A&amp;Rs'!$R14="","",IF(AND(AV$23&gt;='A&amp;Rs'!$V14,AV$23&lt;'A&amp;Rs'!$X14),-'A&amp;Rs'!$Z14/'A&amp;Rs'!$W14,0))</f>
        <v>0</v>
      </c>
      <c r="AW47" s="56">
        <f>IF('A&amp;Rs'!$R14="","",IF(AND(AW$23&gt;='A&amp;Rs'!$V14,AW$23&lt;'A&amp;Rs'!$X14),-'A&amp;Rs'!$Z14/'A&amp;Rs'!$W14,0))</f>
        <v>0</v>
      </c>
      <c r="AX47" s="56">
        <f>IF('A&amp;Rs'!$R14="","",IF(AND(AX$23&gt;='A&amp;Rs'!$V14,AX$23&lt;'A&amp;Rs'!$X14),-'A&amp;Rs'!$Z14/'A&amp;Rs'!$W14,0))</f>
        <v>0</v>
      </c>
      <c r="AY47" s="56">
        <f>IF('A&amp;Rs'!$R14="","",IF(AND(AY$23&gt;='A&amp;Rs'!$V14,AY$23&lt;'A&amp;Rs'!$X14),-'A&amp;Rs'!$Z14/'A&amp;Rs'!$W14,0))</f>
        <v>0</v>
      </c>
      <c r="AZ47" s="56">
        <f>IF('A&amp;Rs'!$R14="","",IF(AND(AZ$23&gt;='A&amp;Rs'!$V14,AZ$23&lt;'A&amp;Rs'!$X14),-'A&amp;Rs'!$Z14/'A&amp;Rs'!$W14,0))</f>
        <v>0</v>
      </c>
      <c r="BA47" s="56">
        <f>IF('A&amp;Rs'!$R14="","",IF(AND(BA$23&gt;='A&amp;Rs'!$V14,BA$23&lt;'A&amp;Rs'!$X14),-'A&amp;Rs'!$Z14/'A&amp;Rs'!$W14,0))</f>
        <v>0</v>
      </c>
      <c r="BB47" s="56">
        <f>IF('A&amp;Rs'!$R14="","",IF(AND(BB$23&gt;='A&amp;Rs'!$V14,BB$23&lt;'A&amp;Rs'!$X14),-'A&amp;Rs'!$Z14/'A&amp;Rs'!$W14,0))</f>
        <v>0</v>
      </c>
      <c r="BC47" s="56">
        <f>IF('A&amp;Rs'!$R14="","",IF(AND(BC$23&gt;='A&amp;Rs'!$V14,BC$23&lt;'A&amp;Rs'!$X14),-'A&amp;Rs'!$Z14/'A&amp;Rs'!$W14,0))</f>
        <v>0</v>
      </c>
      <c r="BD47" s="56">
        <f>IF('A&amp;Rs'!$R14="","",IF(AND(BD$23&gt;='A&amp;Rs'!$V14,BD$23&lt;'A&amp;Rs'!$X14),-'A&amp;Rs'!$Z14/'A&amp;Rs'!$W14,0))</f>
        <v>0</v>
      </c>
      <c r="BE47" s="56">
        <f>IF('A&amp;Rs'!$R14="","",IF(AND(BE$23&gt;='A&amp;Rs'!$V14,BE$23&lt;'A&amp;Rs'!$X14),-'A&amp;Rs'!$Z14/'A&amp;Rs'!$W14,0))</f>
        <v>0</v>
      </c>
      <c r="BF47" s="56">
        <f>IF('A&amp;Rs'!$R14="","",IF(AND(BF$23&gt;='A&amp;Rs'!$V14,BF$23&lt;'A&amp;Rs'!$X14),-'A&amp;Rs'!$Z14/'A&amp;Rs'!$W14,0))</f>
        <v>0</v>
      </c>
      <c r="BG47" s="56">
        <f>IF('A&amp;Rs'!$R14="","",IF(AND(BG$23&gt;='A&amp;Rs'!$V14,BG$23&lt;'A&amp;Rs'!$X14),-'A&amp;Rs'!$Z14/'A&amp;Rs'!$W14,0))</f>
        <v>0</v>
      </c>
      <c r="BH47" s="56">
        <f>IF('A&amp;Rs'!$R14="","",IF(AND(BH$23&gt;='A&amp;Rs'!$V14,BH$23&lt;'A&amp;Rs'!$X14),-'A&amp;Rs'!$Z14/'A&amp;Rs'!$W14,0))</f>
        <v>0</v>
      </c>
      <c r="BI47" s="56">
        <f>IF('A&amp;Rs'!$R14="","",IF(AND(BI$23&gt;='A&amp;Rs'!$V14,BI$23&lt;'A&amp;Rs'!$X14),-'A&amp;Rs'!$Z14/'A&amp;Rs'!$W14,0))</f>
        <v>0</v>
      </c>
      <c r="BJ47" s="56">
        <f>IF('A&amp;Rs'!$R14="","",IF(AND(BJ$23&gt;='A&amp;Rs'!$V14,BJ$23&lt;'A&amp;Rs'!$X14),-'A&amp;Rs'!$Z14/'A&amp;Rs'!$W14,0))</f>
        <v>0</v>
      </c>
      <c r="BK47" s="56">
        <f>IF('A&amp;Rs'!$R14="","",IF(AND(BK$23&gt;='A&amp;Rs'!$V14,BK$23&lt;'A&amp;Rs'!$X14),-'A&amp;Rs'!$Z14/'A&amp;Rs'!$W14,0))</f>
        <v>0</v>
      </c>
      <c r="BL47" s="56">
        <f>IF('A&amp;Rs'!$R14="","",IF(AND(BL$23&gt;='A&amp;Rs'!$V14,BL$23&lt;'A&amp;Rs'!$X14),-'A&amp;Rs'!$Z14/'A&amp;Rs'!$W14,0))</f>
        <v>0</v>
      </c>
      <c r="BM47" s="56">
        <f>IF('A&amp;Rs'!$R14="","",IF(AND(BM$23&gt;='A&amp;Rs'!$V14,BM$23&lt;'A&amp;Rs'!$X14),-'A&amp;Rs'!$Z14/'A&amp;Rs'!$W14,0))</f>
        <v>0</v>
      </c>
      <c r="BN47" s="56">
        <f>IF('A&amp;Rs'!$R14="","",IF(AND(BN$23&gt;='A&amp;Rs'!$V14,BN$23&lt;'A&amp;Rs'!$X14),-'A&amp;Rs'!$Z14/'A&amp;Rs'!$W14,0))</f>
        <v>0</v>
      </c>
      <c r="BO47" s="56">
        <f>IF('A&amp;Rs'!$R14="","",IF(AND(BO$23&gt;='A&amp;Rs'!$V14,BO$23&lt;'A&amp;Rs'!$X14),-'A&amp;Rs'!$Z14/'A&amp;Rs'!$W14,0))</f>
        <v>0</v>
      </c>
      <c r="BP47" s="56">
        <f>IF('A&amp;Rs'!$R14="","",IF(AND(BP$23&gt;='A&amp;Rs'!$V14,BP$23&lt;'A&amp;Rs'!$X14),-'A&amp;Rs'!$Z14/'A&amp;Rs'!$W14,0))</f>
        <v>0</v>
      </c>
      <c r="BQ47" s="56">
        <f>IF('A&amp;Rs'!$R14="","",IF(AND(BQ$23&gt;='A&amp;Rs'!$V14,BQ$23&lt;'A&amp;Rs'!$X14),-'A&amp;Rs'!$Z14/'A&amp;Rs'!$W14,0))</f>
        <v>0</v>
      </c>
      <c r="BR47" s="56">
        <f>IF('A&amp;Rs'!$R14="","",IF(AND(BR$23&gt;='A&amp;Rs'!$V14,BR$23&lt;'A&amp;Rs'!$X14),-'A&amp;Rs'!$Z14/'A&amp;Rs'!$W14,0))</f>
        <v>0</v>
      </c>
      <c r="BS47" s="56">
        <f>IF('A&amp;Rs'!$R14="","",IF(AND(BS$23&gt;='A&amp;Rs'!$V14,BS$23&lt;'A&amp;Rs'!$X14),-'A&amp;Rs'!$Z14/'A&amp;Rs'!$W14,0))</f>
        <v>0</v>
      </c>
      <c r="BT47" s="56">
        <f>IF('A&amp;Rs'!$R14="","",IF(AND(BT$23&gt;='A&amp;Rs'!$V14,BT$23&lt;'A&amp;Rs'!$X14),-'A&amp;Rs'!$Z14/'A&amp;Rs'!$W14,0))</f>
        <v>0</v>
      </c>
      <c r="BU47" s="56">
        <f>IF('A&amp;Rs'!$R14="","",IF(AND(BU$23&gt;='A&amp;Rs'!$V14,BU$23&lt;'A&amp;Rs'!$X14),-'A&amp;Rs'!$Z14/'A&amp;Rs'!$W14,0))</f>
        <v>0</v>
      </c>
      <c r="BV47" s="56">
        <f>IF('A&amp;Rs'!$R14="","",IF(AND(BV$23&gt;='A&amp;Rs'!$V14,BV$23&lt;'A&amp;Rs'!$X14),-'A&amp;Rs'!$Z14/'A&amp;Rs'!$W14,0))</f>
        <v>0</v>
      </c>
      <c r="BW47" s="56">
        <f>IF('A&amp;Rs'!$R14="","",IF(AND(BW$23&gt;='A&amp;Rs'!$V14,BW$23&lt;'A&amp;Rs'!$X14),-'A&amp;Rs'!$Z14/'A&amp;Rs'!$W14,0))</f>
        <v>0</v>
      </c>
      <c r="BX47" s="56">
        <f>IF('A&amp;Rs'!$R14="","",IF(AND(BX$23&gt;='A&amp;Rs'!$V14,BX$23&lt;'A&amp;Rs'!$X14),-'A&amp;Rs'!$Z14/'A&amp;Rs'!$W14,0))</f>
        <v>0</v>
      </c>
      <c r="BY47" s="56">
        <f>IF('A&amp;Rs'!$R14="","",IF(AND(BY$23&gt;='A&amp;Rs'!$V14,BY$23&lt;'A&amp;Rs'!$X14),-'A&amp;Rs'!$Z14/'A&amp;Rs'!$W14,0))</f>
        <v>0</v>
      </c>
      <c r="BZ47" s="56">
        <f>IF('A&amp;Rs'!$R14="","",IF(AND(BZ$23&gt;='A&amp;Rs'!$V14,BZ$23&lt;'A&amp;Rs'!$X14),-'A&amp;Rs'!$Z14/'A&amp;Rs'!$W14,0))</f>
        <v>0</v>
      </c>
      <c r="CA47" s="56">
        <f>IF('A&amp;Rs'!$R14="","",IF(AND(CA$23&gt;='A&amp;Rs'!$V14,CA$23&lt;'A&amp;Rs'!$X14),-'A&amp;Rs'!$Z14/'A&amp;Rs'!$W14,0))</f>
        <v>0</v>
      </c>
      <c r="CB47" s="56">
        <f>IF('A&amp;Rs'!$R14="","",IF(AND(CB$23&gt;='A&amp;Rs'!$V14,CB$23&lt;'A&amp;Rs'!$X14),-'A&amp;Rs'!$Z14/'A&amp;Rs'!$W14,0))</f>
        <v>0</v>
      </c>
      <c r="CC47" s="56">
        <f>IF('A&amp;Rs'!$R14="","",IF(AND(CC$23&gt;='A&amp;Rs'!$V14,CC$23&lt;'A&amp;Rs'!$X14),-'A&amp;Rs'!$Z14/'A&amp;Rs'!$W14,0))</f>
        <v>0</v>
      </c>
      <c r="CD47" s="56">
        <f>IF('A&amp;Rs'!$R14="","",IF(AND(CD$23&gt;='A&amp;Rs'!$V14,CD$23&lt;'A&amp;Rs'!$X14),-'A&amp;Rs'!$Z14/'A&amp;Rs'!$W14,0))</f>
        <v>0</v>
      </c>
      <c r="CE47" s="56">
        <f>IF('A&amp;Rs'!$R14="","",IF(AND(CE$23&gt;='A&amp;Rs'!$V14,CE$23&lt;'A&amp;Rs'!$X14),-'A&amp;Rs'!$Z14/'A&amp;Rs'!$W14,0))</f>
        <v>0</v>
      </c>
      <c r="CF47" s="56">
        <f>IF('A&amp;Rs'!$R14="","",IF(AND(CF$23&gt;='A&amp;Rs'!$V14,CF$23&lt;'A&amp;Rs'!$X14),-'A&amp;Rs'!$Z14/'A&amp;Rs'!$W14,0))</f>
        <v>0</v>
      </c>
      <c r="CG47" s="56">
        <f>IF('A&amp;Rs'!$R14="","",IF(AND(CG$23&gt;='A&amp;Rs'!$V14,CG$23&lt;'A&amp;Rs'!$X14),-'A&amp;Rs'!$Z14/'A&amp;Rs'!$W14,0))</f>
        <v>0</v>
      </c>
      <c r="CH47" s="56">
        <f>IF('A&amp;Rs'!$R14="","",IF(AND(CH$23&gt;='A&amp;Rs'!$V14,CH$23&lt;'A&amp;Rs'!$X14),-'A&amp;Rs'!$Z14/'A&amp;Rs'!$W14,0))</f>
        <v>0</v>
      </c>
      <c r="CI47" s="56">
        <f>IF('A&amp;Rs'!$R14="","",IF(AND(CI$23&gt;='A&amp;Rs'!$V14,CI$23&lt;'A&amp;Rs'!$X14),-'A&amp;Rs'!$Z14/'A&amp;Rs'!$W14,0))</f>
        <v>0</v>
      </c>
      <c r="CJ47" s="56">
        <f>IF('A&amp;Rs'!$R14="","",IF(AND(CJ$23&gt;='A&amp;Rs'!$V14,CJ$23&lt;'A&amp;Rs'!$X14),-'A&amp;Rs'!$Z14/'A&amp;Rs'!$W14,0))</f>
        <v>0</v>
      </c>
      <c r="CK47" s="56">
        <f>IF('A&amp;Rs'!$R14="","",IF(AND(CK$23&gt;='A&amp;Rs'!$V14,CK$23&lt;'A&amp;Rs'!$X14),-'A&amp;Rs'!$Z14/'A&amp;Rs'!$W14,0))</f>
        <v>0</v>
      </c>
      <c r="CL47" s="56">
        <f>IF('A&amp;Rs'!$R14="","",IF(AND(CL$23&gt;='A&amp;Rs'!$V14,CL$23&lt;'A&amp;Rs'!$X14),-'A&amp;Rs'!$Z14/'A&amp;Rs'!$W14,0))</f>
        <v>0</v>
      </c>
      <c r="CM47" s="56">
        <f>IF('A&amp;Rs'!$R14="","",IF(AND(CM$23&gt;='A&amp;Rs'!$V14,CM$23&lt;'A&amp;Rs'!$X14),-'A&amp;Rs'!$Z14/'A&amp;Rs'!$W14,0))</f>
        <v>0</v>
      </c>
      <c r="CN47" s="56">
        <f>IF('A&amp;Rs'!$R14="","",IF(AND(CN$23&gt;='A&amp;Rs'!$V14,CN$23&lt;'A&amp;Rs'!$X14),-'A&amp;Rs'!$Z14/'A&amp;Rs'!$W14,0))</f>
        <v>0</v>
      </c>
      <c r="CO47" s="56">
        <f>IF('A&amp;Rs'!$R14="","",IF(AND(CO$23&gt;='A&amp;Rs'!$V14,CO$23&lt;'A&amp;Rs'!$X14),-'A&amp;Rs'!$Z14/'A&amp;Rs'!$W14,0))</f>
        <v>0</v>
      </c>
      <c r="CP47" s="56">
        <f>IF('A&amp;Rs'!$R14="","",IF(AND(CP$23&gt;='A&amp;Rs'!$V14,CP$23&lt;'A&amp;Rs'!$X14),-'A&amp;Rs'!$Z14/'A&amp;Rs'!$W14,0))</f>
        <v>0</v>
      </c>
      <c r="CQ47" s="56">
        <f>IF('A&amp;Rs'!$R14="","",IF(AND(CQ$23&gt;='A&amp;Rs'!$V14,CQ$23&lt;'A&amp;Rs'!$X14),-'A&amp;Rs'!$Z14/'A&amp;Rs'!$W14,0))</f>
        <v>0</v>
      </c>
      <c r="CR47" s="56">
        <f>IF('A&amp;Rs'!$R14="","",IF(AND(CR$23&gt;='A&amp;Rs'!$V14,CR$23&lt;'A&amp;Rs'!$X14),-'A&amp;Rs'!$Z14/'A&amp;Rs'!$W14,0))</f>
        <v>0</v>
      </c>
      <c r="CS47" s="56">
        <f>IF('A&amp;Rs'!$R14="","",IF(AND(CS$23&gt;='A&amp;Rs'!$V14,CS$23&lt;'A&amp;Rs'!$X14),-'A&amp;Rs'!$Z14/'A&amp;Rs'!$W14,0))</f>
        <v>0</v>
      </c>
      <c r="CT47" s="56">
        <f>IF('A&amp;Rs'!$R14="","",IF(AND(CT$23&gt;='A&amp;Rs'!$V14,CT$23&lt;'A&amp;Rs'!$X14),-'A&amp;Rs'!$Z14/'A&amp;Rs'!$W14,0))</f>
        <v>0</v>
      </c>
      <c r="CU47" s="56">
        <f>IF('A&amp;Rs'!$R14="","",IF(AND(CU$23&gt;='A&amp;Rs'!$V14,CU$23&lt;'A&amp;Rs'!$X14),-'A&amp;Rs'!$Z14/'A&amp;Rs'!$W14,0))</f>
        <v>0</v>
      </c>
      <c r="CV47" s="56">
        <f>IF('A&amp;Rs'!$R14="","",IF(AND(CV$23&gt;='A&amp;Rs'!$V14,CV$23&lt;'A&amp;Rs'!$X14),-'A&amp;Rs'!$Z14/'A&amp;Rs'!$W14,0))</f>
        <v>0</v>
      </c>
      <c r="CW47" s="56">
        <f>IF('A&amp;Rs'!$R14="","",IF(AND(CW$23&gt;='A&amp;Rs'!$V14,CW$23&lt;'A&amp;Rs'!$X14),-'A&amp;Rs'!$Z14/'A&amp;Rs'!$W14,0))</f>
        <v>0</v>
      </c>
      <c r="CX47" s="56">
        <f>IF('A&amp;Rs'!$R14="","",IF(AND(CX$23&gt;='A&amp;Rs'!$V14,CX$23&lt;'A&amp;Rs'!$X14),-'A&amp;Rs'!$Z14/'A&amp;Rs'!$W14,0))</f>
        <v>0</v>
      </c>
      <c r="CY47" s="56">
        <f>IF('A&amp;Rs'!$R14="","",IF(AND(CY$23&gt;='A&amp;Rs'!$V14,CY$23&lt;'A&amp;Rs'!$X14),-'A&amp;Rs'!$Z14/'A&amp;Rs'!$W14,0))</f>
        <v>0</v>
      </c>
      <c r="CZ47" s="56">
        <f>IF('A&amp;Rs'!$R14="","",IF(AND(CZ$23&gt;='A&amp;Rs'!$V14,CZ$23&lt;'A&amp;Rs'!$X14),-'A&amp;Rs'!$Z14/'A&amp;Rs'!$W14,0))</f>
        <v>0</v>
      </c>
      <c r="DA47" s="56">
        <f>IF('A&amp;Rs'!$R14="","",IF(AND(DA$23&gt;='A&amp;Rs'!$V14,DA$23&lt;'A&amp;Rs'!$X14),-'A&amp;Rs'!$Z14/'A&amp;Rs'!$W14,0))</f>
        <v>0</v>
      </c>
      <c r="DB47" s="56">
        <f>IF('A&amp;Rs'!$R14="","",IF(AND(DB$23&gt;='A&amp;Rs'!$V14,DB$23&lt;'A&amp;Rs'!$X14),-'A&amp;Rs'!$Z14/'A&amp;Rs'!$W14,0))</f>
        <v>0</v>
      </c>
      <c r="DC47" s="56">
        <f>IF('A&amp;Rs'!$R14="","",IF(AND(DC$23&gt;='A&amp;Rs'!$V14,DC$23&lt;'A&amp;Rs'!$X14),-'A&amp;Rs'!$Z14/'A&amp;Rs'!$W14,0))</f>
        <v>0</v>
      </c>
      <c r="DD47" s="56">
        <f>IF('A&amp;Rs'!$R14="","",IF(AND(DD$23&gt;='A&amp;Rs'!$V14,DD$23&lt;'A&amp;Rs'!$X14),-'A&amp;Rs'!$Z14/'A&amp;Rs'!$W14,0))</f>
        <v>0</v>
      </c>
      <c r="DE47" s="56">
        <f>IF('A&amp;Rs'!$R14="","",IF(AND(DE$23&gt;='A&amp;Rs'!$V14,DE$23&lt;'A&amp;Rs'!$X14),-'A&amp;Rs'!$Z14/'A&amp;Rs'!$W14,0))</f>
        <v>0</v>
      </c>
      <c r="DF47" s="56">
        <f>IF('A&amp;Rs'!$R14="","",IF(AND(DF$23&gt;='A&amp;Rs'!$V14,DF$23&lt;'A&amp;Rs'!$X14),-'A&amp;Rs'!$Z14/'A&amp;Rs'!$W14,0))</f>
        <v>0</v>
      </c>
      <c r="DG47" s="56">
        <f>IF('A&amp;Rs'!$R14="","",IF(AND(DG$23&gt;='A&amp;Rs'!$V14,DG$23&lt;'A&amp;Rs'!$X14),-'A&amp;Rs'!$Z14/'A&amp;Rs'!$W14,0))</f>
        <v>0</v>
      </c>
      <c r="DH47" s="56">
        <f>IF('A&amp;Rs'!$R14="","",IF(AND(DH$23&gt;='A&amp;Rs'!$V14,DH$23&lt;'A&amp;Rs'!$X14),-'A&amp;Rs'!$Z14/'A&amp;Rs'!$W14,0))</f>
        <v>0</v>
      </c>
      <c r="DI47" s="56">
        <f>IF('A&amp;Rs'!$R14="","",IF(AND(DI$23&gt;='A&amp;Rs'!$V14,DI$23&lt;'A&amp;Rs'!$X14),-'A&amp;Rs'!$Z14/'A&amp;Rs'!$W14,0))</f>
        <v>0</v>
      </c>
      <c r="DJ47" s="56">
        <f>IF('A&amp;Rs'!$R14="","",IF(AND(DJ$23&gt;='A&amp;Rs'!$V14,DJ$23&lt;'A&amp;Rs'!$X14),-'A&amp;Rs'!$Z14/'A&amp;Rs'!$W14,0))</f>
        <v>0</v>
      </c>
      <c r="DK47" s="56">
        <f>IF('A&amp;Rs'!$R14="","",IF(AND(DK$23&gt;='A&amp;Rs'!$V14,DK$23&lt;'A&amp;Rs'!$X14),-'A&amp;Rs'!$Z14/'A&amp;Rs'!$W14,0))</f>
        <v>0</v>
      </c>
      <c r="DL47" s="56">
        <f>IF('A&amp;Rs'!$R14="","",IF(AND(DL$23&gt;='A&amp;Rs'!$V14,DL$23&lt;'A&amp;Rs'!$X14),-'A&amp;Rs'!$Z14/'A&amp;Rs'!$W14,0))</f>
        <v>0</v>
      </c>
      <c r="DM47" s="56">
        <f>IF('A&amp;Rs'!$R14="","",IF(AND(DM$23&gt;='A&amp;Rs'!$V14,DM$23&lt;'A&amp;Rs'!$X14),-'A&amp;Rs'!$Z14/'A&amp;Rs'!$W14,0))</f>
        <v>0</v>
      </c>
      <c r="DN47" s="56">
        <f>IF('A&amp;Rs'!$R14="","",IF(AND(DN$23&gt;='A&amp;Rs'!$V14,DN$23&lt;'A&amp;Rs'!$X14),-'A&amp;Rs'!$Z14/'A&amp;Rs'!$W14,0))</f>
        <v>0</v>
      </c>
      <c r="DO47" s="56">
        <f>IF('A&amp;Rs'!$R14="","",IF(AND(DO$23&gt;='A&amp;Rs'!$V14,DO$23&lt;'A&amp;Rs'!$X14),-'A&amp;Rs'!$Z14/'A&amp;Rs'!$W14,0))</f>
        <v>0</v>
      </c>
      <c r="DP47" s="56">
        <f>IF('A&amp;Rs'!$R14="","",IF(AND(DP$23&gt;='A&amp;Rs'!$V14,DP$23&lt;'A&amp;Rs'!$X14),-'A&amp;Rs'!$Z14/'A&amp;Rs'!$W14,0))</f>
        <v>0</v>
      </c>
      <c r="DQ47" s="56">
        <f>IF('A&amp;Rs'!$R14="","",IF(AND(DQ$23&gt;='A&amp;Rs'!$V14,DQ$23&lt;'A&amp;Rs'!$X14),-'A&amp;Rs'!$Z14/'A&amp;Rs'!$W14,0))</f>
        <v>0</v>
      </c>
      <c r="DR47" s="56">
        <f>IF('A&amp;Rs'!$R14="","",IF(AND(DR$23&gt;='A&amp;Rs'!$V14,DR$23&lt;'A&amp;Rs'!$X14),-'A&amp;Rs'!$Z14/'A&amp;Rs'!$W14,0))</f>
        <v>0</v>
      </c>
      <c r="DS47" s="56">
        <f>IF('A&amp;Rs'!$R14="","",IF(AND(DS$23&gt;='A&amp;Rs'!$V14,DS$23&lt;'A&amp;Rs'!$X14),-'A&amp;Rs'!$Z14/'A&amp;Rs'!$W14,0))</f>
        <v>0</v>
      </c>
      <c r="DT47" s="56">
        <f>IF('A&amp;Rs'!$R14="","",IF(AND(DT$23&gt;='A&amp;Rs'!$V14,DT$23&lt;'A&amp;Rs'!$X14),-'A&amp;Rs'!$Z14/'A&amp;Rs'!$W14,0))</f>
        <v>0</v>
      </c>
      <c r="DU47" s="56">
        <f>IF('A&amp;Rs'!$R14="","",IF(AND(DU$23&gt;='A&amp;Rs'!$V14,DU$23&lt;'A&amp;Rs'!$X14),-'A&amp;Rs'!$Z14/'A&amp;Rs'!$W14,0))</f>
        <v>0</v>
      </c>
      <c r="DV47" s="56">
        <f>IF('A&amp;Rs'!$R14="","",IF(AND(DV$23&gt;='A&amp;Rs'!$V14,DV$23&lt;'A&amp;Rs'!$X14),-'A&amp;Rs'!$Z14/'A&amp;Rs'!$W14,0))</f>
        <v>0</v>
      </c>
      <c r="DW47" s="56">
        <f>IF('A&amp;Rs'!$R14="","",IF(AND(DW$23&gt;='A&amp;Rs'!$V14,DW$23&lt;'A&amp;Rs'!$X14),-'A&amp;Rs'!$Z14/'A&amp;Rs'!$W14,0))</f>
        <v>0</v>
      </c>
      <c r="DX47" s="56">
        <f>IF('A&amp;Rs'!$R14="","",IF(AND(DX$23&gt;='A&amp;Rs'!$V14,DX$23&lt;'A&amp;Rs'!$X14),-'A&amp;Rs'!$Z14/'A&amp;Rs'!$W14,0))</f>
        <v>0</v>
      </c>
      <c r="DY47" s="56">
        <f>IF('A&amp;Rs'!$R14="","",IF(AND(DY$23&gt;='A&amp;Rs'!$V14,DY$23&lt;'A&amp;Rs'!$X14),-'A&amp;Rs'!$Z14/'A&amp;Rs'!$W14,0))</f>
        <v>0</v>
      </c>
      <c r="DZ47" s="56">
        <f>IF('A&amp;Rs'!$R14="","",IF(AND(DZ$23&gt;='A&amp;Rs'!$V14,DZ$23&lt;'A&amp;Rs'!$X14),-'A&amp;Rs'!$Z14/'A&amp;Rs'!$W14,0))</f>
        <v>0</v>
      </c>
      <c r="EA47" s="56">
        <f>IF('A&amp;Rs'!$R14="","",IF(AND(EA$23&gt;='A&amp;Rs'!$V14,EA$23&lt;'A&amp;Rs'!$X14),-'A&amp;Rs'!$Z14/'A&amp;Rs'!$W14,0))</f>
        <v>0</v>
      </c>
      <c r="EB47" s="56">
        <f>IF('A&amp;Rs'!$R14="","",IF(AND(EB$23&gt;='A&amp;Rs'!$V14,EB$23&lt;'A&amp;Rs'!$X14),-'A&amp;Rs'!$Z14/'A&amp;Rs'!$W14,0))</f>
        <v>0</v>
      </c>
      <c r="EC47" s="56">
        <f>IF('A&amp;Rs'!$R14="","",IF(AND(EC$23&gt;='A&amp;Rs'!$V14,EC$23&lt;'A&amp;Rs'!$X14),-'A&amp;Rs'!$Z14/'A&amp;Rs'!$W14,0))</f>
        <v>0</v>
      </c>
      <c r="ED47" s="56">
        <f>IF('A&amp;Rs'!$R14="","",IF(AND(ED$23&gt;='A&amp;Rs'!$V14,ED$23&lt;'A&amp;Rs'!$X14),-'A&amp;Rs'!$Z14/'A&amp;Rs'!$W14,0))</f>
        <v>0</v>
      </c>
      <c r="EE47" s="56">
        <f>IF('A&amp;Rs'!$R14="","",IF(AND(EE$23&gt;='A&amp;Rs'!$V14,EE$23&lt;'A&amp;Rs'!$X14),-'A&amp;Rs'!$Z14/'A&amp;Rs'!$W14,0))</f>
        <v>0</v>
      </c>
      <c r="EF47" s="56">
        <f>IF('A&amp;Rs'!$R14="","",IF(AND(EF$23&gt;='A&amp;Rs'!$V14,EF$23&lt;'A&amp;Rs'!$X14),-'A&amp;Rs'!$Z14/'A&amp;Rs'!$W14,0))</f>
        <v>0</v>
      </c>
      <c r="EG47" s="56">
        <f>IF('A&amp;Rs'!$R14="","",IF(AND(EG$23&gt;='A&amp;Rs'!$V14,EG$23&lt;'A&amp;Rs'!$X14),-'A&amp;Rs'!$Z14/'A&amp;Rs'!$W14,0))</f>
        <v>0</v>
      </c>
      <c r="EH47" s="56">
        <f>IF('A&amp;Rs'!$R14="","",IF(AND(EH$23&gt;='A&amp;Rs'!$V14,EH$23&lt;'A&amp;Rs'!$X14),-'A&amp;Rs'!$Z14/'A&amp;Rs'!$W14,0))</f>
        <v>0</v>
      </c>
      <c r="EI47" s="56">
        <f>IF('A&amp;Rs'!$R14="","",IF(AND(EI$23&gt;='A&amp;Rs'!$V14,EI$23&lt;'A&amp;Rs'!$X14),-'A&amp;Rs'!$Z14/'A&amp;Rs'!$W14,0))</f>
        <v>0</v>
      </c>
      <c r="EJ47" s="56">
        <f>IF('A&amp;Rs'!$R14="","",IF(AND(EJ$23&gt;='A&amp;Rs'!$V14,EJ$23&lt;'A&amp;Rs'!$X14),-'A&amp;Rs'!$Z14/'A&amp;Rs'!$W14,0))</f>
        <v>0</v>
      </c>
      <c r="EK47" s="56">
        <f>IF('A&amp;Rs'!$R14="","",IF(AND(EK$23&gt;='A&amp;Rs'!$V14,EK$23&lt;'A&amp;Rs'!$X14),-'A&amp;Rs'!$Z14/'A&amp;Rs'!$W14,0))</f>
        <v>0</v>
      </c>
      <c r="EL47" s="56">
        <f>IF('A&amp;Rs'!$R14="","",IF(AND(EL$23&gt;='A&amp;Rs'!$V14,EL$23&lt;'A&amp;Rs'!$X14),-'A&amp;Rs'!$Z14/'A&amp;Rs'!$W14,0))</f>
        <v>0</v>
      </c>
      <c r="EM47" s="56">
        <f>IF('A&amp;Rs'!$R14="","",IF(AND(EM$23&gt;='A&amp;Rs'!$V14,EM$23&lt;'A&amp;Rs'!$X14),-'A&amp;Rs'!$Z14/'A&amp;Rs'!$W14,0))</f>
        <v>0</v>
      </c>
      <c r="EN47" s="56">
        <f>IF('A&amp;Rs'!$R14="","",IF(AND(EN$23&gt;='A&amp;Rs'!$V14,EN$23&lt;'A&amp;Rs'!$X14),-'A&amp;Rs'!$Z14/'A&amp;Rs'!$W14,0))</f>
        <v>0</v>
      </c>
      <c r="EO47" s="56">
        <f>IF('A&amp;Rs'!$R14="","",IF(AND(EO$23&gt;='A&amp;Rs'!$V14,EO$23&lt;'A&amp;Rs'!$X14),-'A&amp;Rs'!$Z14/'A&amp;Rs'!$W14,0))</f>
        <v>0</v>
      </c>
      <c r="EP47" s="56">
        <f>IF('A&amp;Rs'!$R14="","",IF(AND(EP$23&gt;='A&amp;Rs'!$V14,EP$23&lt;'A&amp;Rs'!$X14),-'A&amp;Rs'!$Z14/'A&amp;Rs'!$W14,0))</f>
        <v>0</v>
      </c>
      <c r="EQ47" s="56">
        <f>IF('A&amp;Rs'!$R14="","",IF(AND(EQ$23&gt;='A&amp;Rs'!$V14,EQ$23&lt;'A&amp;Rs'!$X14),-'A&amp;Rs'!$Z14/'A&amp;Rs'!$W14,0))</f>
        <v>0</v>
      </c>
      <c r="ER47" s="56">
        <f>IF('A&amp;Rs'!$R14="","",IF(AND(ER$23&gt;='A&amp;Rs'!$V14,ER$23&lt;'A&amp;Rs'!$X14),-'A&amp;Rs'!$Z14/'A&amp;Rs'!$W14,0))</f>
        <v>0</v>
      </c>
      <c r="ES47" s="56">
        <f>IF('A&amp;Rs'!$R14="","",IF(AND(ES$23&gt;='A&amp;Rs'!$V14,ES$23&lt;'A&amp;Rs'!$X14),-'A&amp;Rs'!$Z14/'A&amp;Rs'!$W14,0))</f>
        <v>0</v>
      </c>
      <c r="ET47" s="56">
        <f>IF('A&amp;Rs'!$R14="","",IF(AND(ET$23&gt;='A&amp;Rs'!$V14,ET$23&lt;'A&amp;Rs'!$X14),-'A&amp;Rs'!$Z14/'A&amp;Rs'!$W14,0))</f>
        <v>0</v>
      </c>
      <c r="EU47" s="56">
        <f>IF('A&amp;Rs'!$R14="","",IF(AND(EU$23&gt;='A&amp;Rs'!$V14,EU$23&lt;'A&amp;Rs'!$X14),-'A&amp;Rs'!$Z14/'A&amp;Rs'!$W14,0))</f>
        <v>0</v>
      </c>
      <c r="EV47" s="56">
        <f>IF('A&amp;Rs'!$R14="","",IF(AND(EV$23&gt;='A&amp;Rs'!$V14,EV$23&lt;'A&amp;Rs'!$X14),-'A&amp;Rs'!$Z14/'A&amp;Rs'!$W14,0))</f>
        <v>0</v>
      </c>
      <c r="EW47" s="56">
        <f>IF('A&amp;Rs'!$R14="","",IF(AND(EW$23&gt;='A&amp;Rs'!$V14,EW$23&lt;'A&amp;Rs'!$X14),-'A&amp;Rs'!$Z14/'A&amp;Rs'!$W14,0))</f>
        <v>0</v>
      </c>
      <c r="EX47" s="56">
        <f>IF('A&amp;Rs'!$R14="","",IF(AND(EX$23&gt;='A&amp;Rs'!$V14,EX$23&lt;'A&amp;Rs'!$X14),-'A&amp;Rs'!$Z14/'A&amp;Rs'!$W14,0))</f>
        <v>0</v>
      </c>
      <c r="EY47" s="56">
        <f>IF('A&amp;Rs'!$R14="","",IF(AND(EY$23&gt;='A&amp;Rs'!$V14,EY$23&lt;'A&amp;Rs'!$X14),-'A&amp;Rs'!$Z14/'A&amp;Rs'!$W14,0))</f>
        <v>0</v>
      </c>
      <c r="EZ47" s="56">
        <f>IF('A&amp;Rs'!$R14="","",IF(AND(EZ$23&gt;='A&amp;Rs'!$V14,EZ$23&lt;'A&amp;Rs'!$X14),-'A&amp;Rs'!$Z14/'A&amp;Rs'!$W14,0))</f>
        <v>0</v>
      </c>
      <c r="FA47" s="56">
        <f>IF('A&amp;Rs'!$R14="","",IF(AND(FA$23&gt;='A&amp;Rs'!$V14,FA$23&lt;'A&amp;Rs'!$X14),-'A&amp;Rs'!$Z14/'A&amp;Rs'!$W14,0))</f>
        <v>0</v>
      </c>
      <c r="FB47" s="56">
        <f>IF('A&amp;Rs'!$R14="","",IF(AND(FB$23&gt;='A&amp;Rs'!$V14,FB$23&lt;'A&amp;Rs'!$X14),-'A&amp;Rs'!$Z14/'A&amp;Rs'!$W14,0))</f>
        <v>0</v>
      </c>
      <c r="FC47" s="56">
        <f>IF('A&amp;Rs'!$R14="","",IF(AND(FC$23&gt;='A&amp;Rs'!$V14,FC$23&lt;'A&amp;Rs'!$X14),-'A&amp;Rs'!$Z14/'A&amp;Rs'!$W14,0))</f>
        <v>0</v>
      </c>
      <c r="FD47" s="56">
        <f>IF('A&amp;Rs'!$R14="","",IF(AND(FD$23&gt;='A&amp;Rs'!$V14,FD$23&lt;'A&amp;Rs'!$X14),-'A&amp;Rs'!$Z14/'A&amp;Rs'!$W14,0))</f>
        <v>0</v>
      </c>
      <c r="FE47" s="56">
        <f>IF('A&amp;Rs'!$R14="","",IF(AND(FE$23&gt;='A&amp;Rs'!$V14,FE$23&lt;'A&amp;Rs'!$X14),-'A&amp;Rs'!$Z14/'A&amp;Rs'!$W14,0))</f>
        <v>0</v>
      </c>
      <c r="FF47" s="1" t="s">
        <v>39</v>
      </c>
      <c r="FG47" s="1"/>
      <c r="FH47" s="1"/>
      <c r="FI47" s="99"/>
    </row>
    <row r="48" spans="1:165" x14ac:dyDescent="0.3">
      <c r="A48" s="150">
        <f>'A&amp;Rs'!Z15</f>
        <v>13000</v>
      </c>
      <c r="B48" s="217">
        <f t="shared" si="12"/>
        <v>-13000</v>
      </c>
      <c r="C48" s="215"/>
      <c r="D48" s="43">
        <v>6</v>
      </c>
      <c r="E48" s="56"/>
      <c r="F48" s="56">
        <f>IF('A&amp;Rs'!$R15="","",IF(AND(F$23&gt;='A&amp;Rs'!$V15,F$23&lt;'A&amp;Rs'!$X15),-'A&amp;Rs'!$Z15/'A&amp;Rs'!$W15,0))</f>
        <v>0</v>
      </c>
      <c r="G48" s="56">
        <f>IF('A&amp;Rs'!$R15="","",IF(AND(G$23&gt;='A&amp;Rs'!$V15,G$23&lt;'A&amp;Rs'!$X15),-'A&amp;Rs'!$Z15/'A&amp;Rs'!$W15,0))</f>
        <v>0</v>
      </c>
      <c r="H48" s="56">
        <f>IF('A&amp;Rs'!$R15="","",IF(AND(H$23&gt;='A&amp;Rs'!$V15,H$23&lt;'A&amp;Rs'!$X15),-'A&amp;Rs'!$Z15/'A&amp;Rs'!$W15,0))</f>
        <v>0</v>
      </c>
      <c r="I48" s="56">
        <f>IF('A&amp;Rs'!$R15="","",IF(AND(I$23&gt;='A&amp;Rs'!$V15,I$23&lt;'A&amp;Rs'!$X15),-'A&amp;Rs'!$Z15/'A&amp;Rs'!$W15,0))</f>
        <v>0</v>
      </c>
      <c r="J48" s="56">
        <f>IF('A&amp;Rs'!$R15="","",IF(AND(J$23&gt;='A&amp;Rs'!$V15,J$23&lt;'A&amp;Rs'!$X15),-'A&amp;Rs'!$Z15/'A&amp;Rs'!$W15,0))</f>
        <v>0</v>
      </c>
      <c r="K48" s="56">
        <f>IF('A&amp;Rs'!$R15="","",IF(AND(K$23&gt;='A&amp;Rs'!$V15,K$23&lt;'A&amp;Rs'!$X15),-'A&amp;Rs'!$Z15/'A&amp;Rs'!$W15,0))</f>
        <v>-4333.333333333333</v>
      </c>
      <c r="L48" s="56">
        <f>IF('A&amp;Rs'!$R15="","",IF(AND(L$23&gt;='A&amp;Rs'!$V15,L$23&lt;'A&amp;Rs'!$X15),-'A&amp;Rs'!$Z15/'A&amp;Rs'!$W15,0))</f>
        <v>-4333.333333333333</v>
      </c>
      <c r="M48" s="56">
        <f>IF('A&amp;Rs'!$R15="","",IF(AND(M$23&gt;='A&amp;Rs'!$V15,M$23&lt;'A&amp;Rs'!$X15),-'A&amp;Rs'!$Z15/'A&amp;Rs'!$W15,0))</f>
        <v>-4333.333333333333</v>
      </c>
      <c r="N48" s="56">
        <f>IF('A&amp;Rs'!$R15="","",IF(AND(N$23&gt;='A&amp;Rs'!$V15,N$23&lt;'A&amp;Rs'!$X15),-'A&amp;Rs'!$Z15/'A&amp;Rs'!$W15,0))</f>
        <v>0</v>
      </c>
      <c r="O48" s="56">
        <f>IF('A&amp;Rs'!$R15="","",IF(AND(O$23&gt;='A&amp;Rs'!$V15,O$23&lt;'A&amp;Rs'!$X15),-'A&amp;Rs'!$Z15/'A&amp;Rs'!$W15,0))</f>
        <v>0</v>
      </c>
      <c r="P48" s="56">
        <f>IF('A&amp;Rs'!$R15="","",IF(AND(P$23&gt;='A&amp;Rs'!$V15,P$23&lt;'A&amp;Rs'!$X15),-'A&amp;Rs'!$Z15/'A&amp;Rs'!$W15,0))</f>
        <v>0</v>
      </c>
      <c r="Q48" s="56">
        <f>IF('A&amp;Rs'!$R15="","",IF(AND(Q$23&gt;='A&amp;Rs'!$V15,Q$23&lt;'A&amp;Rs'!$X15),-'A&amp;Rs'!$Z15/'A&amp;Rs'!$W15,0))</f>
        <v>0</v>
      </c>
      <c r="R48" s="56">
        <f>IF('A&amp;Rs'!$R15="","",IF(AND(R$23&gt;='A&amp;Rs'!$V15,R$23&lt;'A&amp;Rs'!$X15),-'A&amp;Rs'!$Z15/'A&amp;Rs'!$W15,0))</f>
        <v>0</v>
      </c>
      <c r="S48" s="56">
        <f>IF('A&amp;Rs'!$R15="","",IF(AND(S$23&gt;='A&amp;Rs'!$V15,S$23&lt;'A&amp;Rs'!$X15),-'A&amp;Rs'!$Z15/'A&amp;Rs'!$W15,0))</f>
        <v>0</v>
      </c>
      <c r="T48" s="56">
        <f>IF('A&amp;Rs'!$R15="","",IF(AND(T$23&gt;='A&amp;Rs'!$V15,T$23&lt;'A&amp;Rs'!$X15),-'A&amp;Rs'!$Z15/'A&amp;Rs'!$W15,0))</f>
        <v>0</v>
      </c>
      <c r="U48" s="56">
        <f>IF('A&amp;Rs'!$R15="","",IF(AND(U$23&gt;='A&amp;Rs'!$V15,U$23&lt;'A&amp;Rs'!$X15),-'A&amp;Rs'!$Z15/'A&amp;Rs'!$W15,0))</f>
        <v>0</v>
      </c>
      <c r="V48" s="56">
        <f>IF('A&amp;Rs'!$R15="","",IF(AND(V$23&gt;='A&amp;Rs'!$V15,V$23&lt;'A&amp;Rs'!$X15),-'A&amp;Rs'!$Z15/'A&amp;Rs'!$W15,0))</f>
        <v>0</v>
      </c>
      <c r="W48" s="56">
        <f>IF('A&amp;Rs'!$R15="","",IF(AND(W$23&gt;='A&amp;Rs'!$V15,W$23&lt;'A&amp;Rs'!$X15),-'A&amp;Rs'!$Z15/'A&amp;Rs'!$W15,0))</f>
        <v>0</v>
      </c>
      <c r="X48" s="56">
        <f>IF('A&amp;Rs'!$R15="","",IF(AND(X$23&gt;='A&amp;Rs'!$V15,X$23&lt;'A&amp;Rs'!$X15),-'A&amp;Rs'!$Z15/'A&amp;Rs'!$W15,0))</f>
        <v>0</v>
      </c>
      <c r="Y48" s="56">
        <f>IF('A&amp;Rs'!$R15="","",IF(AND(Y$23&gt;='A&amp;Rs'!$V15,Y$23&lt;'A&amp;Rs'!$X15),-'A&amp;Rs'!$Z15/'A&amp;Rs'!$W15,0))</f>
        <v>0</v>
      </c>
      <c r="Z48" s="56">
        <f>IF('A&amp;Rs'!$R15="","",IF(AND(Z$23&gt;='A&amp;Rs'!$V15,Z$23&lt;'A&amp;Rs'!$X15),-'A&amp;Rs'!$Z15/'A&amp;Rs'!$W15,0))</f>
        <v>0</v>
      </c>
      <c r="AA48" s="56">
        <f>IF('A&amp;Rs'!$R15="","",IF(AND(AA$23&gt;='A&amp;Rs'!$V15,AA$23&lt;'A&amp;Rs'!$X15),-'A&amp;Rs'!$Z15/'A&amp;Rs'!$W15,0))</f>
        <v>0</v>
      </c>
      <c r="AB48" s="56">
        <f>IF('A&amp;Rs'!$R15="","",IF(AND(AB$23&gt;='A&amp;Rs'!$V15,AB$23&lt;'A&amp;Rs'!$X15),-'A&amp;Rs'!$Z15/'A&amp;Rs'!$W15,0))</f>
        <v>0</v>
      </c>
      <c r="AC48" s="56">
        <f>IF('A&amp;Rs'!$R15="","",IF(AND(AC$23&gt;='A&amp;Rs'!$V15,AC$23&lt;'A&amp;Rs'!$X15),-'A&amp;Rs'!$Z15/'A&amp;Rs'!$W15,0))</f>
        <v>0</v>
      </c>
      <c r="AD48" s="56">
        <f>IF('A&amp;Rs'!$R15="","",IF(AND(AD$23&gt;='A&amp;Rs'!$V15,AD$23&lt;'A&amp;Rs'!$X15),-'A&amp;Rs'!$Z15/'A&amp;Rs'!$W15,0))</f>
        <v>0</v>
      </c>
      <c r="AE48" s="56">
        <f>IF('A&amp;Rs'!$R15="","",IF(AND(AE$23&gt;='A&amp;Rs'!$V15,AE$23&lt;'A&amp;Rs'!$X15),-'A&amp;Rs'!$Z15/'A&amp;Rs'!$W15,0))</f>
        <v>0</v>
      </c>
      <c r="AF48" s="56">
        <f>IF('A&amp;Rs'!$R15="","",IF(AND(AF$23&gt;='A&amp;Rs'!$V15,AF$23&lt;'A&amp;Rs'!$X15),-'A&amp;Rs'!$Z15/'A&amp;Rs'!$W15,0))</f>
        <v>0</v>
      </c>
      <c r="AG48" s="56">
        <f>IF('A&amp;Rs'!$R15="","",IF(AND(AG$23&gt;='A&amp;Rs'!$V15,AG$23&lt;'A&amp;Rs'!$X15),-'A&amp;Rs'!$Z15/'A&amp;Rs'!$W15,0))</f>
        <v>0</v>
      </c>
      <c r="AH48" s="56">
        <f>IF('A&amp;Rs'!$R15="","",IF(AND(AH$23&gt;='A&amp;Rs'!$V15,AH$23&lt;'A&amp;Rs'!$X15),-'A&amp;Rs'!$Z15/'A&amp;Rs'!$W15,0))</f>
        <v>0</v>
      </c>
      <c r="AI48" s="56">
        <f>IF('A&amp;Rs'!$R15="","",IF(AND(AI$23&gt;='A&amp;Rs'!$V15,AI$23&lt;'A&amp;Rs'!$X15),-'A&amp;Rs'!$Z15/'A&amp;Rs'!$W15,0))</f>
        <v>0</v>
      </c>
      <c r="AJ48" s="56">
        <f>IF('A&amp;Rs'!$R15="","",IF(AND(AJ$23&gt;='A&amp;Rs'!$V15,AJ$23&lt;'A&amp;Rs'!$X15),-'A&amp;Rs'!$Z15/'A&amp;Rs'!$W15,0))</f>
        <v>0</v>
      </c>
      <c r="AK48" s="56">
        <f>IF('A&amp;Rs'!$R15="","",IF(AND(AK$23&gt;='A&amp;Rs'!$V15,AK$23&lt;'A&amp;Rs'!$X15),-'A&amp;Rs'!$Z15/'A&amp;Rs'!$W15,0))</f>
        <v>0</v>
      </c>
      <c r="AL48" s="56">
        <f>IF('A&amp;Rs'!$R15="","",IF(AND(AL$23&gt;='A&amp;Rs'!$V15,AL$23&lt;'A&amp;Rs'!$X15),-'A&amp;Rs'!$Z15/'A&amp;Rs'!$W15,0))</f>
        <v>0</v>
      </c>
      <c r="AM48" s="56">
        <f>IF('A&amp;Rs'!$R15="","",IF(AND(AM$23&gt;='A&amp;Rs'!$V15,AM$23&lt;'A&amp;Rs'!$X15),-'A&amp;Rs'!$Z15/'A&amp;Rs'!$W15,0))</f>
        <v>0</v>
      </c>
      <c r="AN48" s="56">
        <f>IF('A&amp;Rs'!$R15="","",IF(AND(AN$23&gt;='A&amp;Rs'!$V15,AN$23&lt;'A&amp;Rs'!$X15),-'A&amp;Rs'!$Z15/'A&amp;Rs'!$W15,0))</f>
        <v>0</v>
      </c>
      <c r="AO48" s="56">
        <f>IF('A&amp;Rs'!$R15="","",IF(AND(AO$23&gt;='A&amp;Rs'!$V15,AO$23&lt;'A&amp;Rs'!$X15),-'A&amp;Rs'!$Z15/'A&amp;Rs'!$W15,0))</f>
        <v>0</v>
      </c>
      <c r="AP48" s="56">
        <f>IF('A&amp;Rs'!$R15="","",IF(AND(AP$23&gt;='A&amp;Rs'!$V15,AP$23&lt;'A&amp;Rs'!$X15),-'A&amp;Rs'!$Z15/'A&amp;Rs'!$W15,0))</f>
        <v>0</v>
      </c>
      <c r="AQ48" s="56">
        <f>IF('A&amp;Rs'!$R15="","",IF(AND(AQ$23&gt;='A&amp;Rs'!$V15,AQ$23&lt;'A&amp;Rs'!$X15),-'A&amp;Rs'!$Z15/'A&amp;Rs'!$W15,0))</f>
        <v>0</v>
      </c>
      <c r="AR48" s="56">
        <f>IF('A&amp;Rs'!$R15="","",IF(AND(AR$23&gt;='A&amp;Rs'!$V15,AR$23&lt;'A&amp;Rs'!$X15),-'A&amp;Rs'!$Z15/'A&amp;Rs'!$W15,0))</f>
        <v>0</v>
      </c>
      <c r="AS48" s="56">
        <f>IF('A&amp;Rs'!$R15="","",IF(AND(AS$23&gt;='A&amp;Rs'!$V15,AS$23&lt;'A&amp;Rs'!$X15),-'A&amp;Rs'!$Z15/'A&amp;Rs'!$W15,0))</f>
        <v>0</v>
      </c>
      <c r="AT48" s="56">
        <f>IF('A&amp;Rs'!$R15="","",IF(AND(AT$23&gt;='A&amp;Rs'!$V15,AT$23&lt;'A&amp;Rs'!$X15),-'A&amp;Rs'!$Z15/'A&amp;Rs'!$W15,0))</f>
        <v>0</v>
      </c>
      <c r="AU48" s="56">
        <f>IF('A&amp;Rs'!$R15="","",IF(AND(AU$23&gt;='A&amp;Rs'!$V15,AU$23&lt;'A&amp;Rs'!$X15),-'A&amp;Rs'!$Z15/'A&amp;Rs'!$W15,0))</f>
        <v>0</v>
      </c>
      <c r="AV48" s="56">
        <f>IF('A&amp;Rs'!$R15="","",IF(AND(AV$23&gt;='A&amp;Rs'!$V15,AV$23&lt;'A&amp;Rs'!$X15),-'A&amp;Rs'!$Z15/'A&amp;Rs'!$W15,0))</f>
        <v>0</v>
      </c>
      <c r="AW48" s="56">
        <f>IF('A&amp;Rs'!$R15="","",IF(AND(AW$23&gt;='A&amp;Rs'!$V15,AW$23&lt;'A&amp;Rs'!$X15),-'A&amp;Rs'!$Z15/'A&amp;Rs'!$W15,0))</f>
        <v>0</v>
      </c>
      <c r="AX48" s="56">
        <f>IF('A&amp;Rs'!$R15="","",IF(AND(AX$23&gt;='A&amp;Rs'!$V15,AX$23&lt;'A&amp;Rs'!$X15),-'A&amp;Rs'!$Z15/'A&amp;Rs'!$W15,0))</f>
        <v>0</v>
      </c>
      <c r="AY48" s="56">
        <f>IF('A&amp;Rs'!$R15="","",IF(AND(AY$23&gt;='A&amp;Rs'!$V15,AY$23&lt;'A&amp;Rs'!$X15),-'A&amp;Rs'!$Z15/'A&amp;Rs'!$W15,0))</f>
        <v>0</v>
      </c>
      <c r="AZ48" s="56">
        <f>IF('A&amp;Rs'!$R15="","",IF(AND(AZ$23&gt;='A&amp;Rs'!$V15,AZ$23&lt;'A&amp;Rs'!$X15),-'A&amp;Rs'!$Z15/'A&amp;Rs'!$W15,0))</f>
        <v>0</v>
      </c>
      <c r="BA48" s="56">
        <f>IF('A&amp;Rs'!$R15="","",IF(AND(BA$23&gt;='A&amp;Rs'!$V15,BA$23&lt;'A&amp;Rs'!$X15),-'A&amp;Rs'!$Z15/'A&amp;Rs'!$W15,0))</f>
        <v>0</v>
      </c>
      <c r="BB48" s="56">
        <f>IF('A&amp;Rs'!$R15="","",IF(AND(BB$23&gt;='A&amp;Rs'!$V15,BB$23&lt;'A&amp;Rs'!$X15),-'A&amp;Rs'!$Z15/'A&amp;Rs'!$W15,0))</f>
        <v>0</v>
      </c>
      <c r="BC48" s="56">
        <f>IF('A&amp;Rs'!$R15="","",IF(AND(BC$23&gt;='A&amp;Rs'!$V15,BC$23&lt;'A&amp;Rs'!$X15),-'A&amp;Rs'!$Z15/'A&amp;Rs'!$W15,0))</f>
        <v>0</v>
      </c>
      <c r="BD48" s="56">
        <f>IF('A&amp;Rs'!$R15="","",IF(AND(BD$23&gt;='A&amp;Rs'!$V15,BD$23&lt;'A&amp;Rs'!$X15),-'A&amp;Rs'!$Z15/'A&amp;Rs'!$W15,0))</f>
        <v>0</v>
      </c>
      <c r="BE48" s="56">
        <f>IF('A&amp;Rs'!$R15="","",IF(AND(BE$23&gt;='A&amp;Rs'!$V15,BE$23&lt;'A&amp;Rs'!$X15),-'A&amp;Rs'!$Z15/'A&amp;Rs'!$W15,0))</f>
        <v>0</v>
      </c>
      <c r="BF48" s="56">
        <f>IF('A&amp;Rs'!$R15="","",IF(AND(BF$23&gt;='A&amp;Rs'!$V15,BF$23&lt;'A&amp;Rs'!$X15),-'A&amp;Rs'!$Z15/'A&amp;Rs'!$W15,0))</f>
        <v>0</v>
      </c>
      <c r="BG48" s="56">
        <f>IF('A&amp;Rs'!$R15="","",IF(AND(BG$23&gt;='A&amp;Rs'!$V15,BG$23&lt;'A&amp;Rs'!$X15),-'A&amp;Rs'!$Z15/'A&amp;Rs'!$W15,0))</f>
        <v>0</v>
      </c>
      <c r="BH48" s="56">
        <f>IF('A&amp;Rs'!$R15="","",IF(AND(BH$23&gt;='A&amp;Rs'!$V15,BH$23&lt;'A&amp;Rs'!$X15),-'A&amp;Rs'!$Z15/'A&amp;Rs'!$W15,0))</f>
        <v>0</v>
      </c>
      <c r="BI48" s="56">
        <f>IF('A&amp;Rs'!$R15="","",IF(AND(BI$23&gt;='A&amp;Rs'!$V15,BI$23&lt;'A&amp;Rs'!$X15),-'A&amp;Rs'!$Z15/'A&amp;Rs'!$W15,0))</f>
        <v>0</v>
      </c>
      <c r="BJ48" s="56">
        <f>IF('A&amp;Rs'!$R15="","",IF(AND(BJ$23&gt;='A&amp;Rs'!$V15,BJ$23&lt;'A&amp;Rs'!$X15),-'A&amp;Rs'!$Z15/'A&amp;Rs'!$W15,0))</f>
        <v>0</v>
      </c>
      <c r="BK48" s="56">
        <f>IF('A&amp;Rs'!$R15="","",IF(AND(BK$23&gt;='A&amp;Rs'!$V15,BK$23&lt;'A&amp;Rs'!$X15),-'A&amp;Rs'!$Z15/'A&amp;Rs'!$W15,0))</f>
        <v>0</v>
      </c>
      <c r="BL48" s="56">
        <f>IF('A&amp;Rs'!$R15="","",IF(AND(BL$23&gt;='A&amp;Rs'!$V15,BL$23&lt;'A&amp;Rs'!$X15),-'A&amp;Rs'!$Z15/'A&amp;Rs'!$W15,0))</f>
        <v>0</v>
      </c>
      <c r="BM48" s="56">
        <f>IF('A&amp;Rs'!$R15="","",IF(AND(BM$23&gt;='A&amp;Rs'!$V15,BM$23&lt;'A&amp;Rs'!$X15),-'A&amp;Rs'!$Z15/'A&amp;Rs'!$W15,0))</f>
        <v>0</v>
      </c>
      <c r="BN48" s="56">
        <f>IF('A&amp;Rs'!$R15="","",IF(AND(BN$23&gt;='A&amp;Rs'!$V15,BN$23&lt;'A&amp;Rs'!$X15),-'A&amp;Rs'!$Z15/'A&amp;Rs'!$W15,0))</f>
        <v>0</v>
      </c>
      <c r="BO48" s="56">
        <f>IF('A&amp;Rs'!$R15="","",IF(AND(BO$23&gt;='A&amp;Rs'!$V15,BO$23&lt;'A&amp;Rs'!$X15),-'A&amp;Rs'!$Z15/'A&amp;Rs'!$W15,0))</f>
        <v>0</v>
      </c>
      <c r="BP48" s="56">
        <f>IF('A&amp;Rs'!$R15="","",IF(AND(BP$23&gt;='A&amp;Rs'!$V15,BP$23&lt;'A&amp;Rs'!$X15),-'A&amp;Rs'!$Z15/'A&amp;Rs'!$W15,0))</f>
        <v>0</v>
      </c>
      <c r="BQ48" s="56">
        <f>IF('A&amp;Rs'!$R15="","",IF(AND(BQ$23&gt;='A&amp;Rs'!$V15,BQ$23&lt;'A&amp;Rs'!$X15),-'A&amp;Rs'!$Z15/'A&amp;Rs'!$W15,0))</f>
        <v>0</v>
      </c>
      <c r="BR48" s="56">
        <f>IF('A&amp;Rs'!$R15="","",IF(AND(BR$23&gt;='A&amp;Rs'!$V15,BR$23&lt;'A&amp;Rs'!$X15),-'A&amp;Rs'!$Z15/'A&amp;Rs'!$W15,0))</f>
        <v>0</v>
      </c>
      <c r="BS48" s="56">
        <f>IF('A&amp;Rs'!$R15="","",IF(AND(BS$23&gt;='A&amp;Rs'!$V15,BS$23&lt;'A&amp;Rs'!$X15),-'A&amp;Rs'!$Z15/'A&amp;Rs'!$W15,0))</f>
        <v>0</v>
      </c>
      <c r="BT48" s="56">
        <f>IF('A&amp;Rs'!$R15="","",IF(AND(BT$23&gt;='A&amp;Rs'!$V15,BT$23&lt;'A&amp;Rs'!$X15),-'A&amp;Rs'!$Z15/'A&amp;Rs'!$W15,0))</f>
        <v>0</v>
      </c>
      <c r="BU48" s="56">
        <f>IF('A&amp;Rs'!$R15="","",IF(AND(BU$23&gt;='A&amp;Rs'!$V15,BU$23&lt;'A&amp;Rs'!$X15),-'A&amp;Rs'!$Z15/'A&amp;Rs'!$W15,0))</f>
        <v>0</v>
      </c>
      <c r="BV48" s="56">
        <f>IF('A&amp;Rs'!$R15="","",IF(AND(BV$23&gt;='A&amp;Rs'!$V15,BV$23&lt;'A&amp;Rs'!$X15),-'A&amp;Rs'!$Z15/'A&amp;Rs'!$W15,0))</f>
        <v>0</v>
      </c>
      <c r="BW48" s="56">
        <f>IF('A&amp;Rs'!$R15="","",IF(AND(BW$23&gt;='A&amp;Rs'!$V15,BW$23&lt;'A&amp;Rs'!$X15),-'A&amp;Rs'!$Z15/'A&amp;Rs'!$W15,0))</f>
        <v>0</v>
      </c>
      <c r="BX48" s="56">
        <f>IF('A&amp;Rs'!$R15="","",IF(AND(BX$23&gt;='A&amp;Rs'!$V15,BX$23&lt;'A&amp;Rs'!$X15),-'A&amp;Rs'!$Z15/'A&amp;Rs'!$W15,0))</f>
        <v>0</v>
      </c>
      <c r="BY48" s="56">
        <f>IF('A&amp;Rs'!$R15="","",IF(AND(BY$23&gt;='A&amp;Rs'!$V15,BY$23&lt;'A&amp;Rs'!$X15),-'A&amp;Rs'!$Z15/'A&amp;Rs'!$W15,0))</f>
        <v>0</v>
      </c>
      <c r="BZ48" s="56">
        <f>IF('A&amp;Rs'!$R15="","",IF(AND(BZ$23&gt;='A&amp;Rs'!$V15,BZ$23&lt;'A&amp;Rs'!$X15),-'A&amp;Rs'!$Z15/'A&amp;Rs'!$W15,0))</f>
        <v>0</v>
      </c>
      <c r="CA48" s="56">
        <f>IF('A&amp;Rs'!$R15="","",IF(AND(CA$23&gt;='A&amp;Rs'!$V15,CA$23&lt;'A&amp;Rs'!$X15),-'A&amp;Rs'!$Z15/'A&amp;Rs'!$W15,0))</f>
        <v>0</v>
      </c>
      <c r="CB48" s="56">
        <f>IF('A&amp;Rs'!$R15="","",IF(AND(CB$23&gt;='A&amp;Rs'!$V15,CB$23&lt;'A&amp;Rs'!$X15),-'A&amp;Rs'!$Z15/'A&amp;Rs'!$W15,0))</f>
        <v>0</v>
      </c>
      <c r="CC48" s="56">
        <f>IF('A&amp;Rs'!$R15="","",IF(AND(CC$23&gt;='A&amp;Rs'!$V15,CC$23&lt;'A&amp;Rs'!$X15),-'A&amp;Rs'!$Z15/'A&amp;Rs'!$W15,0))</f>
        <v>0</v>
      </c>
      <c r="CD48" s="56">
        <f>IF('A&amp;Rs'!$R15="","",IF(AND(CD$23&gt;='A&amp;Rs'!$V15,CD$23&lt;'A&amp;Rs'!$X15),-'A&amp;Rs'!$Z15/'A&amp;Rs'!$W15,0))</f>
        <v>0</v>
      </c>
      <c r="CE48" s="56">
        <f>IF('A&amp;Rs'!$R15="","",IF(AND(CE$23&gt;='A&amp;Rs'!$V15,CE$23&lt;'A&amp;Rs'!$X15),-'A&amp;Rs'!$Z15/'A&amp;Rs'!$W15,0))</f>
        <v>0</v>
      </c>
      <c r="CF48" s="56">
        <f>IF('A&amp;Rs'!$R15="","",IF(AND(CF$23&gt;='A&amp;Rs'!$V15,CF$23&lt;'A&amp;Rs'!$X15),-'A&amp;Rs'!$Z15/'A&amp;Rs'!$W15,0))</f>
        <v>0</v>
      </c>
      <c r="CG48" s="56">
        <f>IF('A&amp;Rs'!$R15="","",IF(AND(CG$23&gt;='A&amp;Rs'!$V15,CG$23&lt;'A&amp;Rs'!$X15),-'A&amp;Rs'!$Z15/'A&amp;Rs'!$W15,0))</f>
        <v>0</v>
      </c>
      <c r="CH48" s="56">
        <f>IF('A&amp;Rs'!$R15="","",IF(AND(CH$23&gt;='A&amp;Rs'!$V15,CH$23&lt;'A&amp;Rs'!$X15),-'A&amp;Rs'!$Z15/'A&amp;Rs'!$W15,0))</f>
        <v>0</v>
      </c>
      <c r="CI48" s="56">
        <f>IF('A&amp;Rs'!$R15="","",IF(AND(CI$23&gt;='A&amp;Rs'!$V15,CI$23&lt;'A&amp;Rs'!$X15),-'A&amp;Rs'!$Z15/'A&amp;Rs'!$W15,0))</f>
        <v>0</v>
      </c>
      <c r="CJ48" s="56">
        <f>IF('A&amp;Rs'!$R15="","",IF(AND(CJ$23&gt;='A&amp;Rs'!$V15,CJ$23&lt;'A&amp;Rs'!$X15),-'A&amp;Rs'!$Z15/'A&amp;Rs'!$W15,0))</f>
        <v>0</v>
      </c>
      <c r="CK48" s="56">
        <f>IF('A&amp;Rs'!$R15="","",IF(AND(CK$23&gt;='A&amp;Rs'!$V15,CK$23&lt;'A&amp;Rs'!$X15),-'A&amp;Rs'!$Z15/'A&amp;Rs'!$W15,0))</f>
        <v>0</v>
      </c>
      <c r="CL48" s="56">
        <f>IF('A&amp;Rs'!$R15="","",IF(AND(CL$23&gt;='A&amp;Rs'!$V15,CL$23&lt;'A&amp;Rs'!$X15),-'A&amp;Rs'!$Z15/'A&amp;Rs'!$W15,0))</f>
        <v>0</v>
      </c>
      <c r="CM48" s="56">
        <f>IF('A&amp;Rs'!$R15="","",IF(AND(CM$23&gt;='A&amp;Rs'!$V15,CM$23&lt;'A&amp;Rs'!$X15),-'A&amp;Rs'!$Z15/'A&amp;Rs'!$W15,0))</f>
        <v>0</v>
      </c>
      <c r="CN48" s="56">
        <f>IF('A&amp;Rs'!$R15="","",IF(AND(CN$23&gt;='A&amp;Rs'!$V15,CN$23&lt;'A&amp;Rs'!$X15),-'A&amp;Rs'!$Z15/'A&amp;Rs'!$W15,0))</f>
        <v>0</v>
      </c>
      <c r="CO48" s="56">
        <f>IF('A&amp;Rs'!$R15="","",IF(AND(CO$23&gt;='A&amp;Rs'!$V15,CO$23&lt;'A&amp;Rs'!$X15),-'A&amp;Rs'!$Z15/'A&amp;Rs'!$W15,0))</f>
        <v>0</v>
      </c>
      <c r="CP48" s="56">
        <f>IF('A&amp;Rs'!$R15="","",IF(AND(CP$23&gt;='A&amp;Rs'!$V15,CP$23&lt;'A&amp;Rs'!$X15),-'A&amp;Rs'!$Z15/'A&amp;Rs'!$W15,0))</f>
        <v>0</v>
      </c>
      <c r="CQ48" s="56">
        <f>IF('A&amp;Rs'!$R15="","",IF(AND(CQ$23&gt;='A&amp;Rs'!$V15,CQ$23&lt;'A&amp;Rs'!$X15),-'A&amp;Rs'!$Z15/'A&amp;Rs'!$W15,0))</f>
        <v>0</v>
      </c>
      <c r="CR48" s="56">
        <f>IF('A&amp;Rs'!$R15="","",IF(AND(CR$23&gt;='A&amp;Rs'!$V15,CR$23&lt;'A&amp;Rs'!$X15),-'A&amp;Rs'!$Z15/'A&amp;Rs'!$W15,0))</f>
        <v>0</v>
      </c>
      <c r="CS48" s="56">
        <f>IF('A&amp;Rs'!$R15="","",IF(AND(CS$23&gt;='A&amp;Rs'!$V15,CS$23&lt;'A&amp;Rs'!$X15),-'A&amp;Rs'!$Z15/'A&amp;Rs'!$W15,0))</f>
        <v>0</v>
      </c>
      <c r="CT48" s="56">
        <f>IF('A&amp;Rs'!$R15="","",IF(AND(CT$23&gt;='A&amp;Rs'!$V15,CT$23&lt;'A&amp;Rs'!$X15),-'A&amp;Rs'!$Z15/'A&amp;Rs'!$W15,0))</f>
        <v>0</v>
      </c>
      <c r="CU48" s="56">
        <f>IF('A&amp;Rs'!$R15="","",IF(AND(CU$23&gt;='A&amp;Rs'!$V15,CU$23&lt;'A&amp;Rs'!$X15),-'A&amp;Rs'!$Z15/'A&amp;Rs'!$W15,0))</f>
        <v>0</v>
      </c>
      <c r="CV48" s="56">
        <f>IF('A&amp;Rs'!$R15="","",IF(AND(CV$23&gt;='A&amp;Rs'!$V15,CV$23&lt;'A&amp;Rs'!$X15),-'A&amp;Rs'!$Z15/'A&amp;Rs'!$W15,0))</f>
        <v>0</v>
      </c>
      <c r="CW48" s="56">
        <f>IF('A&amp;Rs'!$R15="","",IF(AND(CW$23&gt;='A&amp;Rs'!$V15,CW$23&lt;'A&amp;Rs'!$X15),-'A&amp;Rs'!$Z15/'A&amp;Rs'!$W15,0))</f>
        <v>0</v>
      </c>
      <c r="CX48" s="56">
        <f>IF('A&amp;Rs'!$R15="","",IF(AND(CX$23&gt;='A&amp;Rs'!$V15,CX$23&lt;'A&amp;Rs'!$X15),-'A&amp;Rs'!$Z15/'A&amp;Rs'!$W15,0))</f>
        <v>0</v>
      </c>
      <c r="CY48" s="56">
        <f>IF('A&amp;Rs'!$R15="","",IF(AND(CY$23&gt;='A&amp;Rs'!$V15,CY$23&lt;'A&amp;Rs'!$X15),-'A&amp;Rs'!$Z15/'A&amp;Rs'!$W15,0))</f>
        <v>0</v>
      </c>
      <c r="CZ48" s="56">
        <f>IF('A&amp;Rs'!$R15="","",IF(AND(CZ$23&gt;='A&amp;Rs'!$V15,CZ$23&lt;'A&amp;Rs'!$X15),-'A&amp;Rs'!$Z15/'A&amp;Rs'!$W15,0))</f>
        <v>0</v>
      </c>
      <c r="DA48" s="56">
        <f>IF('A&amp;Rs'!$R15="","",IF(AND(DA$23&gt;='A&amp;Rs'!$V15,DA$23&lt;'A&amp;Rs'!$X15),-'A&amp;Rs'!$Z15/'A&amp;Rs'!$W15,0))</f>
        <v>0</v>
      </c>
      <c r="DB48" s="56">
        <f>IF('A&amp;Rs'!$R15="","",IF(AND(DB$23&gt;='A&amp;Rs'!$V15,DB$23&lt;'A&amp;Rs'!$X15),-'A&amp;Rs'!$Z15/'A&amp;Rs'!$W15,0))</f>
        <v>0</v>
      </c>
      <c r="DC48" s="56">
        <f>IF('A&amp;Rs'!$R15="","",IF(AND(DC$23&gt;='A&amp;Rs'!$V15,DC$23&lt;'A&amp;Rs'!$X15),-'A&amp;Rs'!$Z15/'A&amp;Rs'!$W15,0))</f>
        <v>0</v>
      </c>
      <c r="DD48" s="56">
        <f>IF('A&amp;Rs'!$R15="","",IF(AND(DD$23&gt;='A&amp;Rs'!$V15,DD$23&lt;'A&amp;Rs'!$X15),-'A&amp;Rs'!$Z15/'A&amp;Rs'!$W15,0))</f>
        <v>0</v>
      </c>
      <c r="DE48" s="56">
        <f>IF('A&amp;Rs'!$R15="","",IF(AND(DE$23&gt;='A&amp;Rs'!$V15,DE$23&lt;'A&amp;Rs'!$X15),-'A&amp;Rs'!$Z15/'A&amp;Rs'!$W15,0))</f>
        <v>0</v>
      </c>
      <c r="DF48" s="56">
        <f>IF('A&amp;Rs'!$R15="","",IF(AND(DF$23&gt;='A&amp;Rs'!$V15,DF$23&lt;'A&amp;Rs'!$X15),-'A&amp;Rs'!$Z15/'A&amp;Rs'!$W15,0))</f>
        <v>0</v>
      </c>
      <c r="DG48" s="56">
        <f>IF('A&amp;Rs'!$R15="","",IF(AND(DG$23&gt;='A&amp;Rs'!$V15,DG$23&lt;'A&amp;Rs'!$X15),-'A&amp;Rs'!$Z15/'A&amp;Rs'!$W15,0))</f>
        <v>0</v>
      </c>
      <c r="DH48" s="56">
        <f>IF('A&amp;Rs'!$R15="","",IF(AND(DH$23&gt;='A&amp;Rs'!$V15,DH$23&lt;'A&amp;Rs'!$X15),-'A&amp;Rs'!$Z15/'A&amp;Rs'!$W15,0))</f>
        <v>0</v>
      </c>
      <c r="DI48" s="56">
        <f>IF('A&amp;Rs'!$R15="","",IF(AND(DI$23&gt;='A&amp;Rs'!$V15,DI$23&lt;'A&amp;Rs'!$X15),-'A&amp;Rs'!$Z15/'A&amp;Rs'!$W15,0))</f>
        <v>0</v>
      </c>
      <c r="DJ48" s="56">
        <f>IF('A&amp;Rs'!$R15="","",IF(AND(DJ$23&gt;='A&amp;Rs'!$V15,DJ$23&lt;'A&amp;Rs'!$X15),-'A&amp;Rs'!$Z15/'A&amp;Rs'!$W15,0))</f>
        <v>0</v>
      </c>
      <c r="DK48" s="56">
        <f>IF('A&amp;Rs'!$R15="","",IF(AND(DK$23&gt;='A&amp;Rs'!$V15,DK$23&lt;'A&amp;Rs'!$X15),-'A&amp;Rs'!$Z15/'A&amp;Rs'!$W15,0))</f>
        <v>0</v>
      </c>
      <c r="DL48" s="56">
        <f>IF('A&amp;Rs'!$R15="","",IF(AND(DL$23&gt;='A&amp;Rs'!$V15,DL$23&lt;'A&amp;Rs'!$X15),-'A&amp;Rs'!$Z15/'A&amp;Rs'!$W15,0))</f>
        <v>0</v>
      </c>
      <c r="DM48" s="56">
        <f>IF('A&amp;Rs'!$R15="","",IF(AND(DM$23&gt;='A&amp;Rs'!$V15,DM$23&lt;'A&amp;Rs'!$X15),-'A&amp;Rs'!$Z15/'A&amp;Rs'!$W15,0))</f>
        <v>0</v>
      </c>
      <c r="DN48" s="56">
        <f>IF('A&amp;Rs'!$R15="","",IF(AND(DN$23&gt;='A&amp;Rs'!$V15,DN$23&lt;'A&amp;Rs'!$X15),-'A&amp;Rs'!$Z15/'A&amp;Rs'!$W15,0))</f>
        <v>0</v>
      </c>
      <c r="DO48" s="56">
        <f>IF('A&amp;Rs'!$R15="","",IF(AND(DO$23&gt;='A&amp;Rs'!$V15,DO$23&lt;'A&amp;Rs'!$X15),-'A&amp;Rs'!$Z15/'A&amp;Rs'!$W15,0))</f>
        <v>0</v>
      </c>
      <c r="DP48" s="56">
        <f>IF('A&amp;Rs'!$R15="","",IF(AND(DP$23&gt;='A&amp;Rs'!$V15,DP$23&lt;'A&amp;Rs'!$X15),-'A&amp;Rs'!$Z15/'A&amp;Rs'!$W15,0))</f>
        <v>0</v>
      </c>
      <c r="DQ48" s="56">
        <f>IF('A&amp;Rs'!$R15="","",IF(AND(DQ$23&gt;='A&amp;Rs'!$V15,DQ$23&lt;'A&amp;Rs'!$X15),-'A&amp;Rs'!$Z15/'A&amp;Rs'!$W15,0))</f>
        <v>0</v>
      </c>
      <c r="DR48" s="56">
        <f>IF('A&amp;Rs'!$R15="","",IF(AND(DR$23&gt;='A&amp;Rs'!$V15,DR$23&lt;'A&amp;Rs'!$X15),-'A&amp;Rs'!$Z15/'A&amp;Rs'!$W15,0))</f>
        <v>0</v>
      </c>
      <c r="DS48" s="56">
        <f>IF('A&amp;Rs'!$R15="","",IF(AND(DS$23&gt;='A&amp;Rs'!$V15,DS$23&lt;'A&amp;Rs'!$X15),-'A&amp;Rs'!$Z15/'A&amp;Rs'!$W15,0))</f>
        <v>0</v>
      </c>
      <c r="DT48" s="56">
        <f>IF('A&amp;Rs'!$R15="","",IF(AND(DT$23&gt;='A&amp;Rs'!$V15,DT$23&lt;'A&amp;Rs'!$X15),-'A&amp;Rs'!$Z15/'A&amp;Rs'!$W15,0))</f>
        <v>0</v>
      </c>
      <c r="DU48" s="56">
        <f>IF('A&amp;Rs'!$R15="","",IF(AND(DU$23&gt;='A&amp;Rs'!$V15,DU$23&lt;'A&amp;Rs'!$X15),-'A&amp;Rs'!$Z15/'A&amp;Rs'!$W15,0))</f>
        <v>0</v>
      </c>
      <c r="DV48" s="56">
        <f>IF('A&amp;Rs'!$R15="","",IF(AND(DV$23&gt;='A&amp;Rs'!$V15,DV$23&lt;'A&amp;Rs'!$X15),-'A&amp;Rs'!$Z15/'A&amp;Rs'!$W15,0))</f>
        <v>0</v>
      </c>
      <c r="DW48" s="56">
        <f>IF('A&amp;Rs'!$R15="","",IF(AND(DW$23&gt;='A&amp;Rs'!$V15,DW$23&lt;'A&amp;Rs'!$X15),-'A&amp;Rs'!$Z15/'A&amp;Rs'!$W15,0))</f>
        <v>0</v>
      </c>
      <c r="DX48" s="56">
        <f>IF('A&amp;Rs'!$R15="","",IF(AND(DX$23&gt;='A&amp;Rs'!$V15,DX$23&lt;'A&amp;Rs'!$X15),-'A&amp;Rs'!$Z15/'A&amp;Rs'!$W15,0))</f>
        <v>0</v>
      </c>
      <c r="DY48" s="56">
        <f>IF('A&amp;Rs'!$R15="","",IF(AND(DY$23&gt;='A&amp;Rs'!$V15,DY$23&lt;'A&amp;Rs'!$X15),-'A&amp;Rs'!$Z15/'A&amp;Rs'!$W15,0))</f>
        <v>0</v>
      </c>
      <c r="DZ48" s="56">
        <f>IF('A&amp;Rs'!$R15="","",IF(AND(DZ$23&gt;='A&amp;Rs'!$V15,DZ$23&lt;'A&amp;Rs'!$X15),-'A&amp;Rs'!$Z15/'A&amp;Rs'!$W15,0))</f>
        <v>0</v>
      </c>
      <c r="EA48" s="56">
        <f>IF('A&amp;Rs'!$R15="","",IF(AND(EA$23&gt;='A&amp;Rs'!$V15,EA$23&lt;'A&amp;Rs'!$X15),-'A&amp;Rs'!$Z15/'A&amp;Rs'!$W15,0))</f>
        <v>0</v>
      </c>
      <c r="EB48" s="56">
        <f>IF('A&amp;Rs'!$R15="","",IF(AND(EB$23&gt;='A&amp;Rs'!$V15,EB$23&lt;'A&amp;Rs'!$X15),-'A&amp;Rs'!$Z15/'A&amp;Rs'!$W15,0))</f>
        <v>0</v>
      </c>
      <c r="EC48" s="56">
        <f>IF('A&amp;Rs'!$R15="","",IF(AND(EC$23&gt;='A&amp;Rs'!$V15,EC$23&lt;'A&amp;Rs'!$X15),-'A&amp;Rs'!$Z15/'A&amp;Rs'!$W15,0))</f>
        <v>0</v>
      </c>
      <c r="ED48" s="56">
        <f>IF('A&amp;Rs'!$R15="","",IF(AND(ED$23&gt;='A&amp;Rs'!$V15,ED$23&lt;'A&amp;Rs'!$X15),-'A&amp;Rs'!$Z15/'A&amp;Rs'!$W15,0))</f>
        <v>0</v>
      </c>
      <c r="EE48" s="56">
        <f>IF('A&amp;Rs'!$R15="","",IF(AND(EE$23&gt;='A&amp;Rs'!$V15,EE$23&lt;'A&amp;Rs'!$X15),-'A&amp;Rs'!$Z15/'A&amp;Rs'!$W15,0))</f>
        <v>0</v>
      </c>
      <c r="EF48" s="56">
        <f>IF('A&amp;Rs'!$R15="","",IF(AND(EF$23&gt;='A&amp;Rs'!$V15,EF$23&lt;'A&amp;Rs'!$X15),-'A&amp;Rs'!$Z15/'A&amp;Rs'!$W15,0))</f>
        <v>0</v>
      </c>
      <c r="EG48" s="56">
        <f>IF('A&amp;Rs'!$R15="","",IF(AND(EG$23&gt;='A&amp;Rs'!$V15,EG$23&lt;'A&amp;Rs'!$X15),-'A&amp;Rs'!$Z15/'A&amp;Rs'!$W15,0))</f>
        <v>0</v>
      </c>
      <c r="EH48" s="56">
        <f>IF('A&amp;Rs'!$R15="","",IF(AND(EH$23&gt;='A&amp;Rs'!$V15,EH$23&lt;'A&amp;Rs'!$X15),-'A&amp;Rs'!$Z15/'A&amp;Rs'!$W15,0))</f>
        <v>0</v>
      </c>
      <c r="EI48" s="56">
        <f>IF('A&amp;Rs'!$R15="","",IF(AND(EI$23&gt;='A&amp;Rs'!$V15,EI$23&lt;'A&amp;Rs'!$X15),-'A&amp;Rs'!$Z15/'A&amp;Rs'!$W15,0))</f>
        <v>0</v>
      </c>
      <c r="EJ48" s="56">
        <f>IF('A&amp;Rs'!$R15="","",IF(AND(EJ$23&gt;='A&amp;Rs'!$V15,EJ$23&lt;'A&amp;Rs'!$X15),-'A&amp;Rs'!$Z15/'A&amp;Rs'!$W15,0))</f>
        <v>0</v>
      </c>
      <c r="EK48" s="56">
        <f>IF('A&amp;Rs'!$R15="","",IF(AND(EK$23&gt;='A&amp;Rs'!$V15,EK$23&lt;'A&amp;Rs'!$X15),-'A&amp;Rs'!$Z15/'A&amp;Rs'!$W15,0))</f>
        <v>0</v>
      </c>
      <c r="EL48" s="56">
        <f>IF('A&amp;Rs'!$R15="","",IF(AND(EL$23&gt;='A&amp;Rs'!$V15,EL$23&lt;'A&amp;Rs'!$X15),-'A&amp;Rs'!$Z15/'A&amp;Rs'!$W15,0))</f>
        <v>0</v>
      </c>
      <c r="EM48" s="56">
        <f>IF('A&amp;Rs'!$R15="","",IF(AND(EM$23&gt;='A&amp;Rs'!$V15,EM$23&lt;'A&amp;Rs'!$X15),-'A&amp;Rs'!$Z15/'A&amp;Rs'!$W15,0))</f>
        <v>0</v>
      </c>
      <c r="EN48" s="56">
        <f>IF('A&amp;Rs'!$R15="","",IF(AND(EN$23&gt;='A&amp;Rs'!$V15,EN$23&lt;'A&amp;Rs'!$X15),-'A&amp;Rs'!$Z15/'A&amp;Rs'!$W15,0))</f>
        <v>0</v>
      </c>
      <c r="EO48" s="56">
        <f>IF('A&amp;Rs'!$R15="","",IF(AND(EO$23&gt;='A&amp;Rs'!$V15,EO$23&lt;'A&amp;Rs'!$X15),-'A&amp;Rs'!$Z15/'A&amp;Rs'!$W15,0))</f>
        <v>0</v>
      </c>
      <c r="EP48" s="56">
        <f>IF('A&amp;Rs'!$R15="","",IF(AND(EP$23&gt;='A&amp;Rs'!$V15,EP$23&lt;'A&amp;Rs'!$X15),-'A&amp;Rs'!$Z15/'A&amp;Rs'!$W15,0))</f>
        <v>0</v>
      </c>
      <c r="EQ48" s="56">
        <f>IF('A&amp;Rs'!$R15="","",IF(AND(EQ$23&gt;='A&amp;Rs'!$V15,EQ$23&lt;'A&amp;Rs'!$X15),-'A&amp;Rs'!$Z15/'A&amp;Rs'!$W15,0))</f>
        <v>0</v>
      </c>
      <c r="ER48" s="56">
        <f>IF('A&amp;Rs'!$R15="","",IF(AND(ER$23&gt;='A&amp;Rs'!$V15,ER$23&lt;'A&amp;Rs'!$X15),-'A&amp;Rs'!$Z15/'A&amp;Rs'!$W15,0))</f>
        <v>0</v>
      </c>
      <c r="ES48" s="56">
        <f>IF('A&amp;Rs'!$R15="","",IF(AND(ES$23&gt;='A&amp;Rs'!$V15,ES$23&lt;'A&amp;Rs'!$X15),-'A&amp;Rs'!$Z15/'A&amp;Rs'!$W15,0))</f>
        <v>0</v>
      </c>
      <c r="ET48" s="56">
        <f>IF('A&amp;Rs'!$R15="","",IF(AND(ET$23&gt;='A&amp;Rs'!$V15,ET$23&lt;'A&amp;Rs'!$X15),-'A&amp;Rs'!$Z15/'A&amp;Rs'!$W15,0))</f>
        <v>0</v>
      </c>
      <c r="EU48" s="56">
        <f>IF('A&amp;Rs'!$R15="","",IF(AND(EU$23&gt;='A&amp;Rs'!$V15,EU$23&lt;'A&amp;Rs'!$X15),-'A&amp;Rs'!$Z15/'A&amp;Rs'!$W15,0))</f>
        <v>0</v>
      </c>
      <c r="EV48" s="56">
        <f>IF('A&amp;Rs'!$R15="","",IF(AND(EV$23&gt;='A&amp;Rs'!$V15,EV$23&lt;'A&amp;Rs'!$X15),-'A&amp;Rs'!$Z15/'A&amp;Rs'!$W15,0))</f>
        <v>0</v>
      </c>
      <c r="EW48" s="56">
        <f>IF('A&amp;Rs'!$R15="","",IF(AND(EW$23&gt;='A&amp;Rs'!$V15,EW$23&lt;'A&amp;Rs'!$X15),-'A&amp;Rs'!$Z15/'A&amp;Rs'!$W15,0))</f>
        <v>0</v>
      </c>
      <c r="EX48" s="56">
        <f>IF('A&amp;Rs'!$R15="","",IF(AND(EX$23&gt;='A&amp;Rs'!$V15,EX$23&lt;'A&amp;Rs'!$X15),-'A&amp;Rs'!$Z15/'A&amp;Rs'!$W15,0))</f>
        <v>0</v>
      </c>
      <c r="EY48" s="56">
        <f>IF('A&amp;Rs'!$R15="","",IF(AND(EY$23&gt;='A&amp;Rs'!$V15,EY$23&lt;'A&amp;Rs'!$X15),-'A&amp;Rs'!$Z15/'A&amp;Rs'!$W15,0))</f>
        <v>0</v>
      </c>
      <c r="EZ48" s="56">
        <f>IF('A&amp;Rs'!$R15="","",IF(AND(EZ$23&gt;='A&amp;Rs'!$V15,EZ$23&lt;'A&amp;Rs'!$X15),-'A&amp;Rs'!$Z15/'A&amp;Rs'!$W15,0))</f>
        <v>0</v>
      </c>
      <c r="FA48" s="56">
        <f>IF('A&amp;Rs'!$R15="","",IF(AND(FA$23&gt;='A&amp;Rs'!$V15,FA$23&lt;'A&amp;Rs'!$X15),-'A&amp;Rs'!$Z15/'A&amp;Rs'!$W15,0))</f>
        <v>0</v>
      </c>
      <c r="FB48" s="56">
        <f>IF('A&amp;Rs'!$R15="","",IF(AND(FB$23&gt;='A&amp;Rs'!$V15,FB$23&lt;'A&amp;Rs'!$X15),-'A&amp;Rs'!$Z15/'A&amp;Rs'!$W15,0))</f>
        <v>0</v>
      </c>
      <c r="FC48" s="56">
        <f>IF('A&amp;Rs'!$R15="","",IF(AND(FC$23&gt;='A&amp;Rs'!$V15,FC$23&lt;'A&amp;Rs'!$X15),-'A&amp;Rs'!$Z15/'A&amp;Rs'!$W15,0))</f>
        <v>0</v>
      </c>
      <c r="FD48" s="56">
        <f>IF('A&amp;Rs'!$R15="","",IF(AND(FD$23&gt;='A&amp;Rs'!$V15,FD$23&lt;'A&amp;Rs'!$X15),-'A&amp;Rs'!$Z15/'A&amp;Rs'!$W15,0))</f>
        <v>0</v>
      </c>
      <c r="FE48" s="56">
        <f>IF('A&amp;Rs'!$R15="","",IF(AND(FE$23&gt;='A&amp;Rs'!$V15,FE$23&lt;'A&amp;Rs'!$X15),-'A&amp;Rs'!$Z15/'A&amp;Rs'!$W15,0))</f>
        <v>0</v>
      </c>
      <c r="FF48" s="1" t="s">
        <v>39</v>
      </c>
      <c r="FG48" s="1"/>
      <c r="FH48" s="1"/>
      <c r="FI48" s="99"/>
    </row>
    <row r="49" spans="1:165" x14ac:dyDescent="0.3">
      <c r="A49" s="150">
        <f>'A&amp;Rs'!Z16</f>
        <v>13200</v>
      </c>
      <c r="B49" s="217">
        <f t="shared" si="12"/>
        <v>-13200</v>
      </c>
      <c r="C49" s="215"/>
      <c r="D49" s="43">
        <v>7</v>
      </c>
      <c r="E49" s="56"/>
      <c r="F49" s="56">
        <f>IF('A&amp;Rs'!$R16="","",IF(AND(F$23&gt;='A&amp;Rs'!$V16,F$23&lt;'A&amp;Rs'!$X16),-'A&amp;Rs'!$Z16/'A&amp;Rs'!$W16,0))</f>
        <v>0</v>
      </c>
      <c r="G49" s="56">
        <f>IF('A&amp;Rs'!$R16="","",IF(AND(G$23&gt;='A&amp;Rs'!$V16,G$23&lt;'A&amp;Rs'!$X16),-'A&amp;Rs'!$Z16/'A&amp;Rs'!$W16,0))</f>
        <v>0</v>
      </c>
      <c r="H49" s="56">
        <f>IF('A&amp;Rs'!$R16="","",IF(AND(H$23&gt;='A&amp;Rs'!$V16,H$23&lt;'A&amp;Rs'!$X16),-'A&amp;Rs'!$Z16/'A&amp;Rs'!$W16,0))</f>
        <v>0</v>
      </c>
      <c r="I49" s="56">
        <f>IF('A&amp;Rs'!$R16="","",IF(AND(I$23&gt;='A&amp;Rs'!$V16,I$23&lt;'A&amp;Rs'!$X16),-'A&amp;Rs'!$Z16/'A&amp;Rs'!$W16,0))</f>
        <v>0</v>
      </c>
      <c r="J49" s="56">
        <f>IF('A&amp;Rs'!$R16="","",IF(AND(J$23&gt;='A&amp;Rs'!$V16,J$23&lt;'A&amp;Rs'!$X16),-'A&amp;Rs'!$Z16/'A&amp;Rs'!$W16,0))</f>
        <v>0</v>
      </c>
      <c r="K49" s="56">
        <f>IF('A&amp;Rs'!$R16="","",IF(AND(K$23&gt;='A&amp;Rs'!$V16,K$23&lt;'A&amp;Rs'!$X16),-'A&amp;Rs'!$Z16/'A&amp;Rs'!$W16,0))</f>
        <v>0</v>
      </c>
      <c r="L49" s="56">
        <f>IF('A&amp;Rs'!$R16="","",IF(AND(L$23&gt;='A&amp;Rs'!$V16,L$23&lt;'A&amp;Rs'!$X16),-'A&amp;Rs'!$Z16/'A&amp;Rs'!$W16,0))</f>
        <v>0</v>
      </c>
      <c r="M49" s="56">
        <f>IF('A&amp;Rs'!$R16="","",IF(AND(M$23&gt;='A&amp;Rs'!$V16,M$23&lt;'A&amp;Rs'!$X16),-'A&amp;Rs'!$Z16/'A&amp;Rs'!$W16,0))</f>
        <v>-3300</v>
      </c>
      <c r="N49" s="56">
        <f>IF('A&amp;Rs'!$R16="","",IF(AND(N$23&gt;='A&amp;Rs'!$V16,N$23&lt;'A&amp;Rs'!$X16),-'A&amp;Rs'!$Z16/'A&amp;Rs'!$W16,0))</f>
        <v>-3300</v>
      </c>
      <c r="O49" s="56">
        <f>IF('A&amp;Rs'!$R16="","",IF(AND(O$23&gt;='A&amp;Rs'!$V16,O$23&lt;'A&amp;Rs'!$X16),-'A&amp;Rs'!$Z16/'A&amp;Rs'!$W16,0))</f>
        <v>-3300</v>
      </c>
      <c r="P49" s="56">
        <f>IF('A&amp;Rs'!$R16="","",IF(AND(P$23&gt;='A&amp;Rs'!$V16,P$23&lt;'A&amp;Rs'!$X16),-'A&amp;Rs'!$Z16/'A&amp;Rs'!$W16,0))</f>
        <v>-3300</v>
      </c>
      <c r="Q49" s="56">
        <f>IF('A&amp;Rs'!$R16="","",IF(AND(Q$23&gt;='A&amp;Rs'!$V16,Q$23&lt;'A&amp;Rs'!$X16),-'A&amp;Rs'!$Z16/'A&amp;Rs'!$W16,0))</f>
        <v>0</v>
      </c>
      <c r="R49" s="56">
        <f>IF('A&amp;Rs'!$R16="","",IF(AND(R$23&gt;='A&amp;Rs'!$V16,R$23&lt;'A&amp;Rs'!$X16),-'A&amp;Rs'!$Z16/'A&amp;Rs'!$W16,0))</f>
        <v>0</v>
      </c>
      <c r="S49" s="56">
        <f>IF('A&amp;Rs'!$R16="","",IF(AND(S$23&gt;='A&amp;Rs'!$V16,S$23&lt;'A&amp;Rs'!$X16),-'A&amp;Rs'!$Z16/'A&amp;Rs'!$W16,0))</f>
        <v>0</v>
      </c>
      <c r="T49" s="56">
        <f>IF('A&amp;Rs'!$R16="","",IF(AND(T$23&gt;='A&amp;Rs'!$V16,T$23&lt;'A&amp;Rs'!$X16),-'A&amp;Rs'!$Z16/'A&amp;Rs'!$W16,0))</f>
        <v>0</v>
      </c>
      <c r="U49" s="56">
        <f>IF('A&amp;Rs'!$R16="","",IF(AND(U$23&gt;='A&amp;Rs'!$V16,U$23&lt;'A&amp;Rs'!$X16),-'A&amp;Rs'!$Z16/'A&amp;Rs'!$W16,0))</f>
        <v>0</v>
      </c>
      <c r="V49" s="56">
        <f>IF('A&amp;Rs'!$R16="","",IF(AND(V$23&gt;='A&amp;Rs'!$V16,V$23&lt;'A&amp;Rs'!$X16),-'A&amp;Rs'!$Z16/'A&amp;Rs'!$W16,0))</f>
        <v>0</v>
      </c>
      <c r="W49" s="56">
        <f>IF('A&amp;Rs'!$R16="","",IF(AND(W$23&gt;='A&amp;Rs'!$V16,W$23&lt;'A&amp;Rs'!$X16),-'A&amp;Rs'!$Z16/'A&amp;Rs'!$W16,0))</f>
        <v>0</v>
      </c>
      <c r="X49" s="56">
        <f>IF('A&amp;Rs'!$R16="","",IF(AND(X$23&gt;='A&amp;Rs'!$V16,X$23&lt;'A&amp;Rs'!$X16),-'A&amp;Rs'!$Z16/'A&amp;Rs'!$W16,0))</f>
        <v>0</v>
      </c>
      <c r="Y49" s="56">
        <f>IF('A&amp;Rs'!$R16="","",IF(AND(Y$23&gt;='A&amp;Rs'!$V16,Y$23&lt;'A&amp;Rs'!$X16),-'A&amp;Rs'!$Z16/'A&amp;Rs'!$W16,0))</f>
        <v>0</v>
      </c>
      <c r="Z49" s="56">
        <f>IF('A&amp;Rs'!$R16="","",IF(AND(Z$23&gt;='A&amp;Rs'!$V16,Z$23&lt;'A&amp;Rs'!$X16),-'A&amp;Rs'!$Z16/'A&amp;Rs'!$W16,0))</f>
        <v>0</v>
      </c>
      <c r="AA49" s="56">
        <f>IF('A&amp;Rs'!$R16="","",IF(AND(AA$23&gt;='A&amp;Rs'!$V16,AA$23&lt;'A&amp;Rs'!$X16),-'A&amp;Rs'!$Z16/'A&amp;Rs'!$W16,0))</f>
        <v>0</v>
      </c>
      <c r="AB49" s="56">
        <f>IF('A&amp;Rs'!$R16="","",IF(AND(AB$23&gt;='A&amp;Rs'!$V16,AB$23&lt;'A&amp;Rs'!$X16),-'A&amp;Rs'!$Z16/'A&amp;Rs'!$W16,0))</f>
        <v>0</v>
      </c>
      <c r="AC49" s="56">
        <f>IF('A&amp;Rs'!$R16="","",IF(AND(AC$23&gt;='A&amp;Rs'!$V16,AC$23&lt;'A&amp;Rs'!$X16),-'A&amp;Rs'!$Z16/'A&amp;Rs'!$W16,0))</f>
        <v>0</v>
      </c>
      <c r="AD49" s="56">
        <f>IF('A&amp;Rs'!$R16="","",IF(AND(AD$23&gt;='A&amp;Rs'!$V16,AD$23&lt;'A&amp;Rs'!$X16),-'A&amp;Rs'!$Z16/'A&amp;Rs'!$W16,0))</f>
        <v>0</v>
      </c>
      <c r="AE49" s="56">
        <f>IF('A&amp;Rs'!$R16="","",IF(AND(AE$23&gt;='A&amp;Rs'!$V16,AE$23&lt;'A&amp;Rs'!$X16),-'A&amp;Rs'!$Z16/'A&amp;Rs'!$W16,0))</f>
        <v>0</v>
      </c>
      <c r="AF49" s="56">
        <f>IF('A&amp;Rs'!$R16="","",IF(AND(AF$23&gt;='A&amp;Rs'!$V16,AF$23&lt;'A&amp;Rs'!$X16),-'A&amp;Rs'!$Z16/'A&amp;Rs'!$W16,0))</f>
        <v>0</v>
      </c>
      <c r="AG49" s="56">
        <f>IF('A&amp;Rs'!$R16="","",IF(AND(AG$23&gt;='A&amp;Rs'!$V16,AG$23&lt;'A&amp;Rs'!$X16),-'A&amp;Rs'!$Z16/'A&amp;Rs'!$W16,0))</f>
        <v>0</v>
      </c>
      <c r="AH49" s="56">
        <f>IF('A&amp;Rs'!$R16="","",IF(AND(AH$23&gt;='A&amp;Rs'!$V16,AH$23&lt;'A&amp;Rs'!$X16),-'A&amp;Rs'!$Z16/'A&amp;Rs'!$W16,0))</f>
        <v>0</v>
      </c>
      <c r="AI49" s="56">
        <f>IF('A&amp;Rs'!$R16="","",IF(AND(AI$23&gt;='A&amp;Rs'!$V16,AI$23&lt;'A&amp;Rs'!$X16),-'A&amp;Rs'!$Z16/'A&amp;Rs'!$W16,0))</f>
        <v>0</v>
      </c>
      <c r="AJ49" s="56">
        <f>IF('A&amp;Rs'!$R16="","",IF(AND(AJ$23&gt;='A&amp;Rs'!$V16,AJ$23&lt;'A&amp;Rs'!$X16),-'A&amp;Rs'!$Z16/'A&amp;Rs'!$W16,0))</f>
        <v>0</v>
      </c>
      <c r="AK49" s="56">
        <f>IF('A&amp;Rs'!$R16="","",IF(AND(AK$23&gt;='A&amp;Rs'!$V16,AK$23&lt;'A&amp;Rs'!$X16),-'A&amp;Rs'!$Z16/'A&amp;Rs'!$W16,0))</f>
        <v>0</v>
      </c>
      <c r="AL49" s="56">
        <f>IF('A&amp;Rs'!$R16="","",IF(AND(AL$23&gt;='A&amp;Rs'!$V16,AL$23&lt;'A&amp;Rs'!$X16),-'A&amp;Rs'!$Z16/'A&amp;Rs'!$W16,0))</f>
        <v>0</v>
      </c>
      <c r="AM49" s="56">
        <f>IF('A&amp;Rs'!$R16="","",IF(AND(AM$23&gt;='A&amp;Rs'!$V16,AM$23&lt;'A&amp;Rs'!$X16),-'A&amp;Rs'!$Z16/'A&amp;Rs'!$W16,0))</f>
        <v>0</v>
      </c>
      <c r="AN49" s="56">
        <f>IF('A&amp;Rs'!$R16="","",IF(AND(AN$23&gt;='A&amp;Rs'!$V16,AN$23&lt;'A&amp;Rs'!$X16),-'A&amp;Rs'!$Z16/'A&amp;Rs'!$W16,0))</f>
        <v>0</v>
      </c>
      <c r="AO49" s="56">
        <f>IF('A&amp;Rs'!$R16="","",IF(AND(AO$23&gt;='A&amp;Rs'!$V16,AO$23&lt;'A&amp;Rs'!$X16),-'A&amp;Rs'!$Z16/'A&amp;Rs'!$W16,0))</f>
        <v>0</v>
      </c>
      <c r="AP49" s="56">
        <f>IF('A&amp;Rs'!$R16="","",IF(AND(AP$23&gt;='A&amp;Rs'!$V16,AP$23&lt;'A&amp;Rs'!$X16),-'A&amp;Rs'!$Z16/'A&amp;Rs'!$W16,0))</f>
        <v>0</v>
      </c>
      <c r="AQ49" s="56">
        <f>IF('A&amp;Rs'!$R16="","",IF(AND(AQ$23&gt;='A&amp;Rs'!$V16,AQ$23&lt;'A&amp;Rs'!$X16),-'A&amp;Rs'!$Z16/'A&amp;Rs'!$W16,0))</f>
        <v>0</v>
      </c>
      <c r="AR49" s="56">
        <f>IF('A&amp;Rs'!$R16="","",IF(AND(AR$23&gt;='A&amp;Rs'!$V16,AR$23&lt;'A&amp;Rs'!$X16),-'A&amp;Rs'!$Z16/'A&amp;Rs'!$W16,0))</f>
        <v>0</v>
      </c>
      <c r="AS49" s="56">
        <f>IF('A&amp;Rs'!$R16="","",IF(AND(AS$23&gt;='A&amp;Rs'!$V16,AS$23&lt;'A&amp;Rs'!$X16),-'A&amp;Rs'!$Z16/'A&amp;Rs'!$W16,0))</f>
        <v>0</v>
      </c>
      <c r="AT49" s="56">
        <f>IF('A&amp;Rs'!$R16="","",IF(AND(AT$23&gt;='A&amp;Rs'!$V16,AT$23&lt;'A&amp;Rs'!$X16),-'A&amp;Rs'!$Z16/'A&amp;Rs'!$W16,0))</f>
        <v>0</v>
      </c>
      <c r="AU49" s="56">
        <f>IF('A&amp;Rs'!$R16="","",IF(AND(AU$23&gt;='A&amp;Rs'!$V16,AU$23&lt;'A&amp;Rs'!$X16),-'A&amp;Rs'!$Z16/'A&amp;Rs'!$W16,0))</f>
        <v>0</v>
      </c>
      <c r="AV49" s="56">
        <f>IF('A&amp;Rs'!$R16="","",IF(AND(AV$23&gt;='A&amp;Rs'!$V16,AV$23&lt;'A&amp;Rs'!$X16),-'A&amp;Rs'!$Z16/'A&amp;Rs'!$W16,0))</f>
        <v>0</v>
      </c>
      <c r="AW49" s="56">
        <f>IF('A&amp;Rs'!$R16="","",IF(AND(AW$23&gt;='A&amp;Rs'!$V16,AW$23&lt;'A&amp;Rs'!$X16),-'A&amp;Rs'!$Z16/'A&amp;Rs'!$W16,0))</f>
        <v>0</v>
      </c>
      <c r="AX49" s="56">
        <f>IF('A&amp;Rs'!$R16="","",IF(AND(AX$23&gt;='A&amp;Rs'!$V16,AX$23&lt;'A&amp;Rs'!$X16),-'A&amp;Rs'!$Z16/'A&amp;Rs'!$W16,0))</f>
        <v>0</v>
      </c>
      <c r="AY49" s="56">
        <f>IF('A&amp;Rs'!$R16="","",IF(AND(AY$23&gt;='A&amp;Rs'!$V16,AY$23&lt;'A&amp;Rs'!$X16),-'A&amp;Rs'!$Z16/'A&amp;Rs'!$W16,0))</f>
        <v>0</v>
      </c>
      <c r="AZ49" s="56">
        <f>IF('A&amp;Rs'!$R16="","",IF(AND(AZ$23&gt;='A&amp;Rs'!$V16,AZ$23&lt;'A&amp;Rs'!$X16),-'A&amp;Rs'!$Z16/'A&amp;Rs'!$W16,0))</f>
        <v>0</v>
      </c>
      <c r="BA49" s="56">
        <f>IF('A&amp;Rs'!$R16="","",IF(AND(BA$23&gt;='A&amp;Rs'!$V16,BA$23&lt;'A&amp;Rs'!$X16),-'A&amp;Rs'!$Z16/'A&amp;Rs'!$W16,0))</f>
        <v>0</v>
      </c>
      <c r="BB49" s="56">
        <f>IF('A&amp;Rs'!$R16="","",IF(AND(BB$23&gt;='A&amp;Rs'!$V16,BB$23&lt;'A&amp;Rs'!$X16),-'A&amp;Rs'!$Z16/'A&amp;Rs'!$W16,0))</f>
        <v>0</v>
      </c>
      <c r="BC49" s="56">
        <f>IF('A&amp;Rs'!$R16="","",IF(AND(BC$23&gt;='A&amp;Rs'!$V16,BC$23&lt;'A&amp;Rs'!$X16),-'A&amp;Rs'!$Z16/'A&amp;Rs'!$W16,0))</f>
        <v>0</v>
      </c>
      <c r="BD49" s="56">
        <f>IF('A&amp;Rs'!$R16="","",IF(AND(BD$23&gt;='A&amp;Rs'!$V16,BD$23&lt;'A&amp;Rs'!$X16),-'A&amp;Rs'!$Z16/'A&amp;Rs'!$W16,0))</f>
        <v>0</v>
      </c>
      <c r="BE49" s="56">
        <f>IF('A&amp;Rs'!$R16="","",IF(AND(BE$23&gt;='A&amp;Rs'!$V16,BE$23&lt;'A&amp;Rs'!$X16),-'A&amp;Rs'!$Z16/'A&amp;Rs'!$W16,0))</f>
        <v>0</v>
      </c>
      <c r="BF49" s="56">
        <f>IF('A&amp;Rs'!$R16="","",IF(AND(BF$23&gt;='A&amp;Rs'!$V16,BF$23&lt;'A&amp;Rs'!$X16),-'A&amp;Rs'!$Z16/'A&amp;Rs'!$W16,0))</f>
        <v>0</v>
      </c>
      <c r="BG49" s="56">
        <f>IF('A&amp;Rs'!$R16="","",IF(AND(BG$23&gt;='A&amp;Rs'!$V16,BG$23&lt;'A&amp;Rs'!$X16),-'A&amp;Rs'!$Z16/'A&amp;Rs'!$W16,0))</f>
        <v>0</v>
      </c>
      <c r="BH49" s="56">
        <f>IF('A&amp;Rs'!$R16="","",IF(AND(BH$23&gt;='A&amp;Rs'!$V16,BH$23&lt;'A&amp;Rs'!$X16),-'A&amp;Rs'!$Z16/'A&amp;Rs'!$W16,0))</f>
        <v>0</v>
      </c>
      <c r="BI49" s="56">
        <f>IF('A&amp;Rs'!$R16="","",IF(AND(BI$23&gt;='A&amp;Rs'!$V16,BI$23&lt;'A&amp;Rs'!$X16),-'A&amp;Rs'!$Z16/'A&amp;Rs'!$W16,0))</f>
        <v>0</v>
      </c>
      <c r="BJ49" s="56">
        <f>IF('A&amp;Rs'!$R16="","",IF(AND(BJ$23&gt;='A&amp;Rs'!$V16,BJ$23&lt;'A&amp;Rs'!$X16),-'A&amp;Rs'!$Z16/'A&amp;Rs'!$W16,0))</f>
        <v>0</v>
      </c>
      <c r="BK49" s="56">
        <f>IF('A&amp;Rs'!$R16="","",IF(AND(BK$23&gt;='A&amp;Rs'!$V16,BK$23&lt;'A&amp;Rs'!$X16),-'A&amp;Rs'!$Z16/'A&amp;Rs'!$W16,0))</f>
        <v>0</v>
      </c>
      <c r="BL49" s="56">
        <f>IF('A&amp;Rs'!$R16="","",IF(AND(BL$23&gt;='A&amp;Rs'!$V16,BL$23&lt;'A&amp;Rs'!$X16),-'A&amp;Rs'!$Z16/'A&amp;Rs'!$W16,0))</f>
        <v>0</v>
      </c>
      <c r="BM49" s="56">
        <f>IF('A&amp;Rs'!$R16="","",IF(AND(BM$23&gt;='A&amp;Rs'!$V16,BM$23&lt;'A&amp;Rs'!$X16),-'A&amp;Rs'!$Z16/'A&amp;Rs'!$W16,0))</f>
        <v>0</v>
      </c>
      <c r="BN49" s="56">
        <f>IF('A&amp;Rs'!$R16="","",IF(AND(BN$23&gt;='A&amp;Rs'!$V16,BN$23&lt;'A&amp;Rs'!$X16),-'A&amp;Rs'!$Z16/'A&amp;Rs'!$W16,0))</f>
        <v>0</v>
      </c>
      <c r="BO49" s="56">
        <f>IF('A&amp;Rs'!$R16="","",IF(AND(BO$23&gt;='A&amp;Rs'!$V16,BO$23&lt;'A&amp;Rs'!$X16),-'A&amp;Rs'!$Z16/'A&amp;Rs'!$W16,0))</f>
        <v>0</v>
      </c>
      <c r="BP49" s="56">
        <f>IF('A&amp;Rs'!$R16="","",IF(AND(BP$23&gt;='A&amp;Rs'!$V16,BP$23&lt;'A&amp;Rs'!$X16),-'A&amp;Rs'!$Z16/'A&amp;Rs'!$W16,0))</f>
        <v>0</v>
      </c>
      <c r="BQ49" s="56">
        <f>IF('A&amp;Rs'!$R16="","",IF(AND(BQ$23&gt;='A&amp;Rs'!$V16,BQ$23&lt;'A&amp;Rs'!$X16),-'A&amp;Rs'!$Z16/'A&amp;Rs'!$W16,0))</f>
        <v>0</v>
      </c>
      <c r="BR49" s="56">
        <f>IF('A&amp;Rs'!$R16="","",IF(AND(BR$23&gt;='A&amp;Rs'!$V16,BR$23&lt;'A&amp;Rs'!$X16),-'A&amp;Rs'!$Z16/'A&amp;Rs'!$W16,0))</f>
        <v>0</v>
      </c>
      <c r="BS49" s="56">
        <f>IF('A&amp;Rs'!$R16="","",IF(AND(BS$23&gt;='A&amp;Rs'!$V16,BS$23&lt;'A&amp;Rs'!$X16),-'A&amp;Rs'!$Z16/'A&amp;Rs'!$W16,0))</f>
        <v>0</v>
      </c>
      <c r="BT49" s="56">
        <f>IF('A&amp;Rs'!$R16="","",IF(AND(BT$23&gt;='A&amp;Rs'!$V16,BT$23&lt;'A&amp;Rs'!$X16),-'A&amp;Rs'!$Z16/'A&amp;Rs'!$W16,0))</f>
        <v>0</v>
      </c>
      <c r="BU49" s="56">
        <f>IF('A&amp;Rs'!$R16="","",IF(AND(BU$23&gt;='A&amp;Rs'!$V16,BU$23&lt;'A&amp;Rs'!$X16),-'A&amp;Rs'!$Z16/'A&amp;Rs'!$W16,0))</f>
        <v>0</v>
      </c>
      <c r="BV49" s="56">
        <f>IF('A&amp;Rs'!$R16="","",IF(AND(BV$23&gt;='A&amp;Rs'!$V16,BV$23&lt;'A&amp;Rs'!$X16),-'A&amp;Rs'!$Z16/'A&amp;Rs'!$W16,0))</f>
        <v>0</v>
      </c>
      <c r="BW49" s="56">
        <f>IF('A&amp;Rs'!$R16="","",IF(AND(BW$23&gt;='A&amp;Rs'!$V16,BW$23&lt;'A&amp;Rs'!$X16),-'A&amp;Rs'!$Z16/'A&amp;Rs'!$W16,0))</f>
        <v>0</v>
      </c>
      <c r="BX49" s="56">
        <f>IF('A&amp;Rs'!$R16="","",IF(AND(BX$23&gt;='A&amp;Rs'!$V16,BX$23&lt;'A&amp;Rs'!$X16),-'A&amp;Rs'!$Z16/'A&amp;Rs'!$W16,0))</f>
        <v>0</v>
      </c>
      <c r="BY49" s="56">
        <f>IF('A&amp;Rs'!$R16="","",IF(AND(BY$23&gt;='A&amp;Rs'!$V16,BY$23&lt;'A&amp;Rs'!$X16),-'A&amp;Rs'!$Z16/'A&amp;Rs'!$W16,0))</f>
        <v>0</v>
      </c>
      <c r="BZ49" s="56">
        <f>IF('A&amp;Rs'!$R16="","",IF(AND(BZ$23&gt;='A&amp;Rs'!$V16,BZ$23&lt;'A&amp;Rs'!$X16),-'A&amp;Rs'!$Z16/'A&amp;Rs'!$W16,0))</f>
        <v>0</v>
      </c>
      <c r="CA49" s="56">
        <f>IF('A&amp;Rs'!$R16="","",IF(AND(CA$23&gt;='A&amp;Rs'!$V16,CA$23&lt;'A&amp;Rs'!$X16),-'A&amp;Rs'!$Z16/'A&amp;Rs'!$W16,0))</f>
        <v>0</v>
      </c>
      <c r="CB49" s="56">
        <f>IF('A&amp;Rs'!$R16="","",IF(AND(CB$23&gt;='A&amp;Rs'!$V16,CB$23&lt;'A&amp;Rs'!$X16),-'A&amp;Rs'!$Z16/'A&amp;Rs'!$W16,0))</f>
        <v>0</v>
      </c>
      <c r="CC49" s="56">
        <f>IF('A&amp;Rs'!$R16="","",IF(AND(CC$23&gt;='A&amp;Rs'!$V16,CC$23&lt;'A&amp;Rs'!$X16),-'A&amp;Rs'!$Z16/'A&amp;Rs'!$W16,0))</f>
        <v>0</v>
      </c>
      <c r="CD49" s="56">
        <f>IF('A&amp;Rs'!$R16="","",IF(AND(CD$23&gt;='A&amp;Rs'!$V16,CD$23&lt;'A&amp;Rs'!$X16),-'A&amp;Rs'!$Z16/'A&amp;Rs'!$W16,0))</f>
        <v>0</v>
      </c>
      <c r="CE49" s="56">
        <f>IF('A&amp;Rs'!$R16="","",IF(AND(CE$23&gt;='A&amp;Rs'!$V16,CE$23&lt;'A&amp;Rs'!$X16),-'A&amp;Rs'!$Z16/'A&amp;Rs'!$W16,0))</f>
        <v>0</v>
      </c>
      <c r="CF49" s="56">
        <f>IF('A&amp;Rs'!$R16="","",IF(AND(CF$23&gt;='A&amp;Rs'!$V16,CF$23&lt;'A&amp;Rs'!$X16),-'A&amp;Rs'!$Z16/'A&amp;Rs'!$W16,0))</f>
        <v>0</v>
      </c>
      <c r="CG49" s="56">
        <f>IF('A&amp;Rs'!$R16="","",IF(AND(CG$23&gt;='A&amp;Rs'!$V16,CG$23&lt;'A&amp;Rs'!$X16),-'A&amp;Rs'!$Z16/'A&amp;Rs'!$W16,0))</f>
        <v>0</v>
      </c>
      <c r="CH49" s="56">
        <f>IF('A&amp;Rs'!$R16="","",IF(AND(CH$23&gt;='A&amp;Rs'!$V16,CH$23&lt;'A&amp;Rs'!$X16),-'A&amp;Rs'!$Z16/'A&amp;Rs'!$W16,0))</f>
        <v>0</v>
      </c>
      <c r="CI49" s="56">
        <f>IF('A&amp;Rs'!$R16="","",IF(AND(CI$23&gt;='A&amp;Rs'!$V16,CI$23&lt;'A&amp;Rs'!$X16),-'A&amp;Rs'!$Z16/'A&amp;Rs'!$W16,0))</f>
        <v>0</v>
      </c>
      <c r="CJ49" s="56">
        <f>IF('A&amp;Rs'!$R16="","",IF(AND(CJ$23&gt;='A&amp;Rs'!$V16,CJ$23&lt;'A&amp;Rs'!$X16),-'A&amp;Rs'!$Z16/'A&amp;Rs'!$W16,0))</f>
        <v>0</v>
      </c>
      <c r="CK49" s="56">
        <f>IF('A&amp;Rs'!$R16="","",IF(AND(CK$23&gt;='A&amp;Rs'!$V16,CK$23&lt;'A&amp;Rs'!$X16),-'A&amp;Rs'!$Z16/'A&amp;Rs'!$W16,0))</f>
        <v>0</v>
      </c>
      <c r="CL49" s="56">
        <f>IF('A&amp;Rs'!$R16="","",IF(AND(CL$23&gt;='A&amp;Rs'!$V16,CL$23&lt;'A&amp;Rs'!$X16),-'A&amp;Rs'!$Z16/'A&amp;Rs'!$W16,0))</f>
        <v>0</v>
      </c>
      <c r="CM49" s="56">
        <f>IF('A&amp;Rs'!$R16="","",IF(AND(CM$23&gt;='A&amp;Rs'!$V16,CM$23&lt;'A&amp;Rs'!$X16),-'A&amp;Rs'!$Z16/'A&amp;Rs'!$W16,0))</f>
        <v>0</v>
      </c>
      <c r="CN49" s="56">
        <f>IF('A&amp;Rs'!$R16="","",IF(AND(CN$23&gt;='A&amp;Rs'!$V16,CN$23&lt;'A&amp;Rs'!$X16),-'A&amp;Rs'!$Z16/'A&amp;Rs'!$W16,0))</f>
        <v>0</v>
      </c>
      <c r="CO49" s="56">
        <f>IF('A&amp;Rs'!$R16="","",IF(AND(CO$23&gt;='A&amp;Rs'!$V16,CO$23&lt;'A&amp;Rs'!$X16),-'A&amp;Rs'!$Z16/'A&amp;Rs'!$W16,0))</f>
        <v>0</v>
      </c>
      <c r="CP49" s="56">
        <f>IF('A&amp;Rs'!$R16="","",IF(AND(CP$23&gt;='A&amp;Rs'!$V16,CP$23&lt;'A&amp;Rs'!$X16),-'A&amp;Rs'!$Z16/'A&amp;Rs'!$W16,0))</f>
        <v>0</v>
      </c>
      <c r="CQ49" s="56">
        <f>IF('A&amp;Rs'!$R16="","",IF(AND(CQ$23&gt;='A&amp;Rs'!$V16,CQ$23&lt;'A&amp;Rs'!$X16),-'A&amp;Rs'!$Z16/'A&amp;Rs'!$W16,0))</f>
        <v>0</v>
      </c>
      <c r="CR49" s="56">
        <f>IF('A&amp;Rs'!$R16="","",IF(AND(CR$23&gt;='A&amp;Rs'!$V16,CR$23&lt;'A&amp;Rs'!$X16),-'A&amp;Rs'!$Z16/'A&amp;Rs'!$W16,0))</f>
        <v>0</v>
      </c>
      <c r="CS49" s="56">
        <f>IF('A&amp;Rs'!$R16="","",IF(AND(CS$23&gt;='A&amp;Rs'!$V16,CS$23&lt;'A&amp;Rs'!$X16),-'A&amp;Rs'!$Z16/'A&amp;Rs'!$W16,0))</f>
        <v>0</v>
      </c>
      <c r="CT49" s="56">
        <f>IF('A&amp;Rs'!$R16="","",IF(AND(CT$23&gt;='A&amp;Rs'!$V16,CT$23&lt;'A&amp;Rs'!$X16),-'A&amp;Rs'!$Z16/'A&amp;Rs'!$W16,0))</f>
        <v>0</v>
      </c>
      <c r="CU49" s="56">
        <f>IF('A&amp;Rs'!$R16="","",IF(AND(CU$23&gt;='A&amp;Rs'!$V16,CU$23&lt;'A&amp;Rs'!$X16),-'A&amp;Rs'!$Z16/'A&amp;Rs'!$W16,0))</f>
        <v>0</v>
      </c>
      <c r="CV49" s="56">
        <f>IF('A&amp;Rs'!$R16="","",IF(AND(CV$23&gt;='A&amp;Rs'!$V16,CV$23&lt;'A&amp;Rs'!$X16),-'A&amp;Rs'!$Z16/'A&amp;Rs'!$W16,0))</f>
        <v>0</v>
      </c>
      <c r="CW49" s="56">
        <f>IF('A&amp;Rs'!$R16="","",IF(AND(CW$23&gt;='A&amp;Rs'!$V16,CW$23&lt;'A&amp;Rs'!$X16),-'A&amp;Rs'!$Z16/'A&amp;Rs'!$W16,0))</f>
        <v>0</v>
      </c>
      <c r="CX49" s="56">
        <f>IF('A&amp;Rs'!$R16="","",IF(AND(CX$23&gt;='A&amp;Rs'!$V16,CX$23&lt;'A&amp;Rs'!$X16),-'A&amp;Rs'!$Z16/'A&amp;Rs'!$W16,0))</f>
        <v>0</v>
      </c>
      <c r="CY49" s="56">
        <f>IF('A&amp;Rs'!$R16="","",IF(AND(CY$23&gt;='A&amp;Rs'!$V16,CY$23&lt;'A&amp;Rs'!$X16),-'A&amp;Rs'!$Z16/'A&amp;Rs'!$W16,0))</f>
        <v>0</v>
      </c>
      <c r="CZ49" s="56">
        <f>IF('A&amp;Rs'!$R16="","",IF(AND(CZ$23&gt;='A&amp;Rs'!$V16,CZ$23&lt;'A&amp;Rs'!$X16),-'A&amp;Rs'!$Z16/'A&amp;Rs'!$W16,0))</f>
        <v>0</v>
      </c>
      <c r="DA49" s="56">
        <f>IF('A&amp;Rs'!$R16="","",IF(AND(DA$23&gt;='A&amp;Rs'!$V16,DA$23&lt;'A&amp;Rs'!$X16),-'A&amp;Rs'!$Z16/'A&amp;Rs'!$W16,0))</f>
        <v>0</v>
      </c>
      <c r="DB49" s="56">
        <f>IF('A&amp;Rs'!$R16="","",IF(AND(DB$23&gt;='A&amp;Rs'!$V16,DB$23&lt;'A&amp;Rs'!$X16),-'A&amp;Rs'!$Z16/'A&amp;Rs'!$W16,0))</f>
        <v>0</v>
      </c>
      <c r="DC49" s="56">
        <f>IF('A&amp;Rs'!$R16="","",IF(AND(DC$23&gt;='A&amp;Rs'!$V16,DC$23&lt;'A&amp;Rs'!$X16),-'A&amp;Rs'!$Z16/'A&amp;Rs'!$W16,0))</f>
        <v>0</v>
      </c>
      <c r="DD49" s="56">
        <f>IF('A&amp;Rs'!$R16="","",IF(AND(DD$23&gt;='A&amp;Rs'!$V16,DD$23&lt;'A&amp;Rs'!$X16),-'A&amp;Rs'!$Z16/'A&amp;Rs'!$W16,0))</f>
        <v>0</v>
      </c>
      <c r="DE49" s="56">
        <f>IF('A&amp;Rs'!$R16="","",IF(AND(DE$23&gt;='A&amp;Rs'!$V16,DE$23&lt;'A&amp;Rs'!$X16),-'A&amp;Rs'!$Z16/'A&amp;Rs'!$W16,0))</f>
        <v>0</v>
      </c>
      <c r="DF49" s="56">
        <f>IF('A&amp;Rs'!$R16="","",IF(AND(DF$23&gt;='A&amp;Rs'!$V16,DF$23&lt;'A&amp;Rs'!$X16),-'A&amp;Rs'!$Z16/'A&amp;Rs'!$W16,0))</f>
        <v>0</v>
      </c>
      <c r="DG49" s="56">
        <f>IF('A&amp;Rs'!$R16="","",IF(AND(DG$23&gt;='A&amp;Rs'!$V16,DG$23&lt;'A&amp;Rs'!$X16),-'A&amp;Rs'!$Z16/'A&amp;Rs'!$W16,0))</f>
        <v>0</v>
      </c>
      <c r="DH49" s="56">
        <f>IF('A&amp;Rs'!$R16="","",IF(AND(DH$23&gt;='A&amp;Rs'!$V16,DH$23&lt;'A&amp;Rs'!$X16),-'A&amp;Rs'!$Z16/'A&amp;Rs'!$W16,0))</f>
        <v>0</v>
      </c>
      <c r="DI49" s="56">
        <f>IF('A&amp;Rs'!$R16="","",IF(AND(DI$23&gt;='A&amp;Rs'!$V16,DI$23&lt;'A&amp;Rs'!$X16),-'A&amp;Rs'!$Z16/'A&amp;Rs'!$W16,0))</f>
        <v>0</v>
      </c>
      <c r="DJ49" s="56">
        <f>IF('A&amp;Rs'!$R16="","",IF(AND(DJ$23&gt;='A&amp;Rs'!$V16,DJ$23&lt;'A&amp;Rs'!$X16),-'A&amp;Rs'!$Z16/'A&amp;Rs'!$W16,0))</f>
        <v>0</v>
      </c>
      <c r="DK49" s="56">
        <f>IF('A&amp;Rs'!$R16="","",IF(AND(DK$23&gt;='A&amp;Rs'!$V16,DK$23&lt;'A&amp;Rs'!$X16),-'A&amp;Rs'!$Z16/'A&amp;Rs'!$W16,0))</f>
        <v>0</v>
      </c>
      <c r="DL49" s="56">
        <f>IF('A&amp;Rs'!$R16="","",IF(AND(DL$23&gt;='A&amp;Rs'!$V16,DL$23&lt;'A&amp;Rs'!$X16),-'A&amp;Rs'!$Z16/'A&amp;Rs'!$W16,0))</f>
        <v>0</v>
      </c>
      <c r="DM49" s="56">
        <f>IF('A&amp;Rs'!$R16="","",IF(AND(DM$23&gt;='A&amp;Rs'!$V16,DM$23&lt;'A&amp;Rs'!$X16),-'A&amp;Rs'!$Z16/'A&amp;Rs'!$W16,0))</f>
        <v>0</v>
      </c>
      <c r="DN49" s="56">
        <f>IF('A&amp;Rs'!$R16="","",IF(AND(DN$23&gt;='A&amp;Rs'!$V16,DN$23&lt;'A&amp;Rs'!$X16),-'A&amp;Rs'!$Z16/'A&amp;Rs'!$W16,0))</f>
        <v>0</v>
      </c>
      <c r="DO49" s="56">
        <f>IF('A&amp;Rs'!$R16="","",IF(AND(DO$23&gt;='A&amp;Rs'!$V16,DO$23&lt;'A&amp;Rs'!$X16),-'A&amp;Rs'!$Z16/'A&amp;Rs'!$W16,0))</f>
        <v>0</v>
      </c>
      <c r="DP49" s="56">
        <f>IF('A&amp;Rs'!$R16="","",IF(AND(DP$23&gt;='A&amp;Rs'!$V16,DP$23&lt;'A&amp;Rs'!$X16),-'A&amp;Rs'!$Z16/'A&amp;Rs'!$W16,0))</f>
        <v>0</v>
      </c>
      <c r="DQ49" s="56">
        <f>IF('A&amp;Rs'!$R16="","",IF(AND(DQ$23&gt;='A&amp;Rs'!$V16,DQ$23&lt;'A&amp;Rs'!$X16),-'A&amp;Rs'!$Z16/'A&amp;Rs'!$W16,0))</f>
        <v>0</v>
      </c>
      <c r="DR49" s="56">
        <f>IF('A&amp;Rs'!$R16="","",IF(AND(DR$23&gt;='A&amp;Rs'!$V16,DR$23&lt;'A&amp;Rs'!$X16),-'A&amp;Rs'!$Z16/'A&amp;Rs'!$W16,0))</f>
        <v>0</v>
      </c>
      <c r="DS49" s="56">
        <f>IF('A&amp;Rs'!$R16="","",IF(AND(DS$23&gt;='A&amp;Rs'!$V16,DS$23&lt;'A&amp;Rs'!$X16),-'A&amp;Rs'!$Z16/'A&amp;Rs'!$W16,0))</f>
        <v>0</v>
      </c>
      <c r="DT49" s="56">
        <f>IF('A&amp;Rs'!$R16="","",IF(AND(DT$23&gt;='A&amp;Rs'!$V16,DT$23&lt;'A&amp;Rs'!$X16),-'A&amp;Rs'!$Z16/'A&amp;Rs'!$W16,0))</f>
        <v>0</v>
      </c>
      <c r="DU49" s="56">
        <f>IF('A&amp;Rs'!$R16="","",IF(AND(DU$23&gt;='A&amp;Rs'!$V16,DU$23&lt;'A&amp;Rs'!$X16),-'A&amp;Rs'!$Z16/'A&amp;Rs'!$W16,0))</f>
        <v>0</v>
      </c>
      <c r="DV49" s="56">
        <f>IF('A&amp;Rs'!$R16="","",IF(AND(DV$23&gt;='A&amp;Rs'!$V16,DV$23&lt;'A&amp;Rs'!$X16),-'A&amp;Rs'!$Z16/'A&amp;Rs'!$W16,0))</f>
        <v>0</v>
      </c>
      <c r="DW49" s="56">
        <f>IF('A&amp;Rs'!$R16="","",IF(AND(DW$23&gt;='A&amp;Rs'!$V16,DW$23&lt;'A&amp;Rs'!$X16),-'A&amp;Rs'!$Z16/'A&amp;Rs'!$W16,0))</f>
        <v>0</v>
      </c>
      <c r="DX49" s="56">
        <f>IF('A&amp;Rs'!$R16="","",IF(AND(DX$23&gt;='A&amp;Rs'!$V16,DX$23&lt;'A&amp;Rs'!$X16),-'A&amp;Rs'!$Z16/'A&amp;Rs'!$W16,0))</f>
        <v>0</v>
      </c>
      <c r="DY49" s="56">
        <f>IF('A&amp;Rs'!$R16="","",IF(AND(DY$23&gt;='A&amp;Rs'!$V16,DY$23&lt;'A&amp;Rs'!$X16),-'A&amp;Rs'!$Z16/'A&amp;Rs'!$W16,0))</f>
        <v>0</v>
      </c>
      <c r="DZ49" s="56">
        <f>IF('A&amp;Rs'!$R16="","",IF(AND(DZ$23&gt;='A&amp;Rs'!$V16,DZ$23&lt;'A&amp;Rs'!$X16),-'A&amp;Rs'!$Z16/'A&amp;Rs'!$W16,0))</f>
        <v>0</v>
      </c>
      <c r="EA49" s="56">
        <f>IF('A&amp;Rs'!$R16="","",IF(AND(EA$23&gt;='A&amp;Rs'!$V16,EA$23&lt;'A&amp;Rs'!$X16),-'A&amp;Rs'!$Z16/'A&amp;Rs'!$W16,0))</f>
        <v>0</v>
      </c>
      <c r="EB49" s="56">
        <f>IF('A&amp;Rs'!$R16="","",IF(AND(EB$23&gt;='A&amp;Rs'!$V16,EB$23&lt;'A&amp;Rs'!$X16),-'A&amp;Rs'!$Z16/'A&amp;Rs'!$W16,0))</f>
        <v>0</v>
      </c>
      <c r="EC49" s="56">
        <f>IF('A&amp;Rs'!$R16="","",IF(AND(EC$23&gt;='A&amp;Rs'!$V16,EC$23&lt;'A&amp;Rs'!$X16),-'A&amp;Rs'!$Z16/'A&amp;Rs'!$W16,0))</f>
        <v>0</v>
      </c>
      <c r="ED49" s="56">
        <f>IF('A&amp;Rs'!$R16="","",IF(AND(ED$23&gt;='A&amp;Rs'!$V16,ED$23&lt;'A&amp;Rs'!$X16),-'A&amp;Rs'!$Z16/'A&amp;Rs'!$W16,0))</f>
        <v>0</v>
      </c>
      <c r="EE49" s="56">
        <f>IF('A&amp;Rs'!$R16="","",IF(AND(EE$23&gt;='A&amp;Rs'!$V16,EE$23&lt;'A&amp;Rs'!$X16),-'A&amp;Rs'!$Z16/'A&amp;Rs'!$W16,0))</f>
        <v>0</v>
      </c>
      <c r="EF49" s="56">
        <f>IF('A&amp;Rs'!$R16="","",IF(AND(EF$23&gt;='A&amp;Rs'!$V16,EF$23&lt;'A&amp;Rs'!$X16),-'A&amp;Rs'!$Z16/'A&amp;Rs'!$W16,0))</f>
        <v>0</v>
      </c>
      <c r="EG49" s="56">
        <f>IF('A&amp;Rs'!$R16="","",IF(AND(EG$23&gt;='A&amp;Rs'!$V16,EG$23&lt;'A&amp;Rs'!$X16),-'A&amp;Rs'!$Z16/'A&amp;Rs'!$W16,0))</f>
        <v>0</v>
      </c>
      <c r="EH49" s="56">
        <f>IF('A&amp;Rs'!$R16="","",IF(AND(EH$23&gt;='A&amp;Rs'!$V16,EH$23&lt;'A&amp;Rs'!$X16),-'A&amp;Rs'!$Z16/'A&amp;Rs'!$W16,0))</f>
        <v>0</v>
      </c>
      <c r="EI49" s="56">
        <f>IF('A&amp;Rs'!$R16="","",IF(AND(EI$23&gt;='A&amp;Rs'!$V16,EI$23&lt;'A&amp;Rs'!$X16),-'A&amp;Rs'!$Z16/'A&amp;Rs'!$W16,0))</f>
        <v>0</v>
      </c>
      <c r="EJ49" s="56">
        <f>IF('A&amp;Rs'!$R16="","",IF(AND(EJ$23&gt;='A&amp;Rs'!$V16,EJ$23&lt;'A&amp;Rs'!$X16),-'A&amp;Rs'!$Z16/'A&amp;Rs'!$W16,0))</f>
        <v>0</v>
      </c>
      <c r="EK49" s="56">
        <f>IF('A&amp;Rs'!$R16="","",IF(AND(EK$23&gt;='A&amp;Rs'!$V16,EK$23&lt;'A&amp;Rs'!$X16),-'A&amp;Rs'!$Z16/'A&amp;Rs'!$W16,0))</f>
        <v>0</v>
      </c>
      <c r="EL49" s="56">
        <f>IF('A&amp;Rs'!$R16="","",IF(AND(EL$23&gt;='A&amp;Rs'!$V16,EL$23&lt;'A&amp;Rs'!$X16),-'A&amp;Rs'!$Z16/'A&amp;Rs'!$W16,0))</f>
        <v>0</v>
      </c>
      <c r="EM49" s="56">
        <f>IF('A&amp;Rs'!$R16="","",IF(AND(EM$23&gt;='A&amp;Rs'!$V16,EM$23&lt;'A&amp;Rs'!$X16),-'A&amp;Rs'!$Z16/'A&amp;Rs'!$W16,0))</f>
        <v>0</v>
      </c>
      <c r="EN49" s="56">
        <f>IF('A&amp;Rs'!$R16="","",IF(AND(EN$23&gt;='A&amp;Rs'!$V16,EN$23&lt;'A&amp;Rs'!$X16),-'A&amp;Rs'!$Z16/'A&amp;Rs'!$W16,0))</f>
        <v>0</v>
      </c>
      <c r="EO49" s="56">
        <f>IF('A&amp;Rs'!$R16="","",IF(AND(EO$23&gt;='A&amp;Rs'!$V16,EO$23&lt;'A&amp;Rs'!$X16),-'A&amp;Rs'!$Z16/'A&amp;Rs'!$W16,0))</f>
        <v>0</v>
      </c>
      <c r="EP49" s="56">
        <f>IF('A&amp;Rs'!$R16="","",IF(AND(EP$23&gt;='A&amp;Rs'!$V16,EP$23&lt;'A&amp;Rs'!$X16),-'A&amp;Rs'!$Z16/'A&amp;Rs'!$W16,0))</f>
        <v>0</v>
      </c>
      <c r="EQ49" s="56">
        <f>IF('A&amp;Rs'!$R16="","",IF(AND(EQ$23&gt;='A&amp;Rs'!$V16,EQ$23&lt;'A&amp;Rs'!$X16),-'A&amp;Rs'!$Z16/'A&amp;Rs'!$W16,0))</f>
        <v>0</v>
      </c>
      <c r="ER49" s="56">
        <f>IF('A&amp;Rs'!$R16="","",IF(AND(ER$23&gt;='A&amp;Rs'!$V16,ER$23&lt;'A&amp;Rs'!$X16),-'A&amp;Rs'!$Z16/'A&amp;Rs'!$W16,0))</f>
        <v>0</v>
      </c>
      <c r="ES49" s="56">
        <f>IF('A&amp;Rs'!$R16="","",IF(AND(ES$23&gt;='A&amp;Rs'!$V16,ES$23&lt;'A&amp;Rs'!$X16),-'A&amp;Rs'!$Z16/'A&amp;Rs'!$W16,0))</f>
        <v>0</v>
      </c>
      <c r="ET49" s="56">
        <f>IF('A&amp;Rs'!$R16="","",IF(AND(ET$23&gt;='A&amp;Rs'!$V16,ET$23&lt;'A&amp;Rs'!$X16),-'A&amp;Rs'!$Z16/'A&amp;Rs'!$W16,0))</f>
        <v>0</v>
      </c>
      <c r="EU49" s="56">
        <f>IF('A&amp;Rs'!$R16="","",IF(AND(EU$23&gt;='A&amp;Rs'!$V16,EU$23&lt;'A&amp;Rs'!$X16),-'A&amp;Rs'!$Z16/'A&amp;Rs'!$W16,0))</f>
        <v>0</v>
      </c>
      <c r="EV49" s="56">
        <f>IF('A&amp;Rs'!$R16="","",IF(AND(EV$23&gt;='A&amp;Rs'!$V16,EV$23&lt;'A&amp;Rs'!$X16),-'A&amp;Rs'!$Z16/'A&amp;Rs'!$W16,0))</f>
        <v>0</v>
      </c>
      <c r="EW49" s="56">
        <f>IF('A&amp;Rs'!$R16="","",IF(AND(EW$23&gt;='A&amp;Rs'!$V16,EW$23&lt;'A&amp;Rs'!$X16),-'A&amp;Rs'!$Z16/'A&amp;Rs'!$W16,0))</f>
        <v>0</v>
      </c>
      <c r="EX49" s="56">
        <f>IF('A&amp;Rs'!$R16="","",IF(AND(EX$23&gt;='A&amp;Rs'!$V16,EX$23&lt;'A&amp;Rs'!$X16),-'A&amp;Rs'!$Z16/'A&amp;Rs'!$W16,0))</f>
        <v>0</v>
      </c>
      <c r="EY49" s="56">
        <f>IF('A&amp;Rs'!$R16="","",IF(AND(EY$23&gt;='A&amp;Rs'!$V16,EY$23&lt;'A&amp;Rs'!$X16),-'A&amp;Rs'!$Z16/'A&amp;Rs'!$W16,0))</f>
        <v>0</v>
      </c>
      <c r="EZ49" s="56">
        <f>IF('A&amp;Rs'!$R16="","",IF(AND(EZ$23&gt;='A&amp;Rs'!$V16,EZ$23&lt;'A&amp;Rs'!$X16),-'A&amp;Rs'!$Z16/'A&amp;Rs'!$W16,0))</f>
        <v>0</v>
      </c>
      <c r="FA49" s="56">
        <f>IF('A&amp;Rs'!$R16="","",IF(AND(FA$23&gt;='A&amp;Rs'!$V16,FA$23&lt;'A&amp;Rs'!$X16),-'A&amp;Rs'!$Z16/'A&amp;Rs'!$W16,0))</f>
        <v>0</v>
      </c>
      <c r="FB49" s="56">
        <f>IF('A&amp;Rs'!$R16="","",IF(AND(FB$23&gt;='A&amp;Rs'!$V16,FB$23&lt;'A&amp;Rs'!$X16),-'A&amp;Rs'!$Z16/'A&amp;Rs'!$W16,0))</f>
        <v>0</v>
      </c>
      <c r="FC49" s="56">
        <f>IF('A&amp;Rs'!$R16="","",IF(AND(FC$23&gt;='A&amp;Rs'!$V16,FC$23&lt;'A&amp;Rs'!$X16),-'A&amp;Rs'!$Z16/'A&amp;Rs'!$W16,0))</f>
        <v>0</v>
      </c>
      <c r="FD49" s="56">
        <f>IF('A&amp;Rs'!$R16="","",IF(AND(FD$23&gt;='A&amp;Rs'!$V16,FD$23&lt;'A&amp;Rs'!$X16),-'A&amp;Rs'!$Z16/'A&amp;Rs'!$W16,0))</f>
        <v>0</v>
      </c>
      <c r="FE49" s="56">
        <f>IF('A&amp;Rs'!$R16="","",IF(AND(FE$23&gt;='A&amp;Rs'!$V16,FE$23&lt;'A&amp;Rs'!$X16),-'A&amp;Rs'!$Z16/'A&amp;Rs'!$W16,0))</f>
        <v>0</v>
      </c>
      <c r="FF49" s="1" t="s">
        <v>39</v>
      </c>
      <c r="FG49" s="1"/>
      <c r="FH49" s="1"/>
      <c r="FI49" s="99"/>
    </row>
    <row r="50" spans="1:165" x14ac:dyDescent="0.3">
      <c r="A50" s="150">
        <f>'A&amp;Rs'!Z17</f>
        <v>14100</v>
      </c>
      <c r="B50" s="217">
        <f t="shared" si="12"/>
        <v>-14100</v>
      </c>
      <c r="C50" s="215"/>
      <c r="D50" s="43">
        <v>8</v>
      </c>
      <c r="E50" s="56"/>
      <c r="F50" s="56">
        <f>IF('A&amp;Rs'!$R17="","",IF(AND(F$23&gt;='A&amp;Rs'!$V17,F$23&lt;'A&amp;Rs'!$X17),-'A&amp;Rs'!$Z17/'A&amp;Rs'!$W17,0))</f>
        <v>0</v>
      </c>
      <c r="G50" s="56">
        <f>IF('A&amp;Rs'!$R17="","",IF(AND(G$23&gt;='A&amp;Rs'!$V17,G$23&lt;'A&amp;Rs'!$X17),-'A&amp;Rs'!$Z17/'A&amp;Rs'!$W17,0))</f>
        <v>0</v>
      </c>
      <c r="H50" s="56">
        <f>IF('A&amp;Rs'!$R17="","",IF(AND(H$23&gt;='A&amp;Rs'!$V17,H$23&lt;'A&amp;Rs'!$X17),-'A&amp;Rs'!$Z17/'A&amp;Rs'!$W17,0))</f>
        <v>0</v>
      </c>
      <c r="I50" s="56">
        <f>IF('A&amp;Rs'!$R17="","",IF(AND(I$23&gt;='A&amp;Rs'!$V17,I$23&lt;'A&amp;Rs'!$X17),-'A&amp;Rs'!$Z17/'A&amp;Rs'!$W17,0))</f>
        <v>0</v>
      </c>
      <c r="J50" s="56">
        <f>IF('A&amp;Rs'!$R17="","",IF(AND(J$23&gt;='A&amp;Rs'!$V17,J$23&lt;'A&amp;Rs'!$X17),-'A&amp;Rs'!$Z17/'A&amp;Rs'!$W17,0))</f>
        <v>0</v>
      </c>
      <c r="K50" s="56">
        <f>IF('A&amp;Rs'!$R17="","",IF(AND(K$23&gt;='A&amp;Rs'!$V17,K$23&lt;'A&amp;Rs'!$X17),-'A&amp;Rs'!$Z17/'A&amp;Rs'!$W17,0))</f>
        <v>0</v>
      </c>
      <c r="L50" s="56">
        <f>IF('A&amp;Rs'!$R17="","",IF(AND(L$23&gt;='A&amp;Rs'!$V17,L$23&lt;'A&amp;Rs'!$X17),-'A&amp;Rs'!$Z17/'A&amp;Rs'!$W17,0))</f>
        <v>0</v>
      </c>
      <c r="M50" s="56">
        <f>IF('A&amp;Rs'!$R17="","",IF(AND(M$23&gt;='A&amp;Rs'!$V17,M$23&lt;'A&amp;Rs'!$X17),-'A&amp;Rs'!$Z17/'A&amp;Rs'!$W17,0))</f>
        <v>-3525</v>
      </c>
      <c r="N50" s="56">
        <f>IF('A&amp;Rs'!$R17="","",IF(AND(N$23&gt;='A&amp;Rs'!$V17,N$23&lt;'A&amp;Rs'!$X17),-'A&amp;Rs'!$Z17/'A&amp;Rs'!$W17,0))</f>
        <v>-3525</v>
      </c>
      <c r="O50" s="56">
        <f>IF('A&amp;Rs'!$R17="","",IF(AND(O$23&gt;='A&amp;Rs'!$V17,O$23&lt;'A&amp;Rs'!$X17),-'A&amp;Rs'!$Z17/'A&amp;Rs'!$W17,0))</f>
        <v>-3525</v>
      </c>
      <c r="P50" s="56">
        <f>IF('A&amp;Rs'!$R17="","",IF(AND(P$23&gt;='A&amp;Rs'!$V17,P$23&lt;'A&amp;Rs'!$X17),-'A&amp;Rs'!$Z17/'A&amp;Rs'!$W17,0))</f>
        <v>-3525</v>
      </c>
      <c r="Q50" s="56">
        <f>IF('A&amp;Rs'!$R17="","",IF(AND(Q$23&gt;='A&amp;Rs'!$V17,Q$23&lt;'A&amp;Rs'!$X17),-'A&amp;Rs'!$Z17/'A&amp;Rs'!$W17,0))</f>
        <v>0</v>
      </c>
      <c r="R50" s="56">
        <f>IF('A&amp;Rs'!$R17="","",IF(AND(R$23&gt;='A&amp;Rs'!$V17,R$23&lt;'A&amp;Rs'!$X17),-'A&amp;Rs'!$Z17/'A&amp;Rs'!$W17,0))</f>
        <v>0</v>
      </c>
      <c r="S50" s="56">
        <f>IF('A&amp;Rs'!$R17="","",IF(AND(S$23&gt;='A&amp;Rs'!$V17,S$23&lt;'A&amp;Rs'!$X17),-'A&amp;Rs'!$Z17/'A&amp;Rs'!$W17,0))</f>
        <v>0</v>
      </c>
      <c r="T50" s="56">
        <f>IF('A&amp;Rs'!$R17="","",IF(AND(T$23&gt;='A&amp;Rs'!$V17,T$23&lt;'A&amp;Rs'!$X17),-'A&amp;Rs'!$Z17/'A&amp;Rs'!$W17,0))</f>
        <v>0</v>
      </c>
      <c r="U50" s="56">
        <f>IF('A&amp;Rs'!$R17="","",IF(AND(U$23&gt;='A&amp;Rs'!$V17,U$23&lt;'A&amp;Rs'!$X17),-'A&amp;Rs'!$Z17/'A&amp;Rs'!$W17,0))</f>
        <v>0</v>
      </c>
      <c r="V50" s="56">
        <f>IF('A&amp;Rs'!$R17="","",IF(AND(V$23&gt;='A&amp;Rs'!$V17,V$23&lt;'A&amp;Rs'!$X17),-'A&amp;Rs'!$Z17/'A&amp;Rs'!$W17,0))</f>
        <v>0</v>
      </c>
      <c r="W50" s="56">
        <f>IF('A&amp;Rs'!$R17="","",IF(AND(W$23&gt;='A&amp;Rs'!$V17,W$23&lt;'A&amp;Rs'!$X17),-'A&amp;Rs'!$Z17/'A&amp;Rs'!$W17,0))</f>
        <v>0</v>
      </c>
      <c r="X50" s="56">
        <f>IF('A&amp;Rs'!$R17="","",IF(AND(X$23&gt;='A&amp;Rs'!$V17,X$23&lt;'A&amp;Rs'!$X17),-'A&amp;Rs'!$Z17/'A&amp;Rs'!$W17,0))</f>
        <v>0</v>
      </c>
      <c r="Y50" s="56">
        <f>IF('A&amp;Rs'!$R17="","",IF(AND(Y$23&gt;='A&amp;Rs'!$V17,Y$23&lt;'A&amp;Rs'!$X17),-'A&amp;Rs'!$Z17/'A&amp;Rs'!$W17,0))</f>
        <v>0</v>
      </c>
      <c r="Z50" s="56">
        <f>IF('A&amp;Rs'!$R17="","",IF(AND(Z$23&gt;='A&amp;Rs'!$V17,Z$23&lt;'A&amp;Rs'!$X17),-'A&amp;Rs'!$Z17/'A&amp;Rs'!$W17,0))</f>
        <v>0</v>
      </c>
      <c r="AA50" s="56">
        <f>IF('A&amp;Rs'!$R17="","",IF(AND(AA$23&gt;='A&amp;Rs'!$V17,AA$23&lt;'A&amp;Rs'!$X17),-'A&amp;Rs'!$Z17/'A&amp;Rs'!$W17,0))</f>
        <v>0</v>
      </c>
      <c r="AB50" s="56">
        <f>IF('A&amp;Rs'!$R17="","",IF(AND(AB$23&gt;='A&amp;Rs'!$V17,AB$23&lt;'A&amp;Rs'!$X17),-'A&amp;Rs'!$Z17/'A&amp;Rs'!$W17,0))</f>
        <v>0</v>
      </c>
      <c r="AC50" s="56">
        <f>IF('A&amp;Rs'!$R17="","",IF(AND(AC$23&gt;='A&amp;Rs'!$V17,AC$23&lt;'A&amp;Rs'!$X17),-'A&amp;Rs'!$Z17/'A&amp;Rs'!$W17,0))</f>
        <v>0</v>
      </c>
      <c r="AD50" s="56">
        <f>IF('A&amp;Rs'!$R17="","",IF(AND(AD$23&gt;='A&amp;Rs'!$V17,AD$23&lt;'A&amp;Rs'!$X17),-'A&amp;Rs'!$Z17/'A&amp;Rs'!$W17,0))</f>
        <v>0</v>
      </c>
      <c r="AE50" s="56">
        <f>IF('A&amp;Rs'!$R17="","",IF(AND(AE$23&gt;='A&amp;Rs'!$V17,AE$23&lt;'A&amp;Rs'!$X17),-'A&amp;Rs'!$Z17/'A&amp;Rs'!$W17,0))</f>
        <v>0</v>
      </c>
      <c r="AF50" s="56">
        <f>IF('A&amp;Rs'!$R17="","",IF(AND(AF$23&gt;='A&amp;Rs'!$V17,AF$23&lt;'A&amp;Rs'!$X17),-'A&amp;Rs'!$Z17/'A&amp;Rs'!$W17,0))</f>
        <v>0</v>
      </c>
      <c r="AG50" s="56">
        <f>IF('A&amp;Rs'!$R17="","",IF(AND(AG$23&gt;='A&amp;Rs'!$V17,AG$23&lt;'A&amp;Rs'!$X17),-'A&amp;Rs'!$Z17/'A&amp;Rs'!$W17,0))</f>
        <v>0</v>
      </c>
      <c r="AH50" s="56">
        <f>IF('A&amp;Rs'!$R17="","",IF(AND(AH$23&gt;='A&amp;Rs'!$V17,AH$23&lt;'A&amp;Rs'!$X17),-'A&amp;Rs'!$Z17/'A&amp;Rs'!$W17,0))</f>
        <v>0</v>
      </c>
      <c r="AI50" s="56">
        <f>IF('A&amp;Rs'!$R17="","",IF(AND(AI$23&gt;='A&amp;Rs'!$V17,AI$23&lt;'A&amp;Rs'!$X17),-'A&amp;Rs'!$Z17/'A&amp;Rs'!$W17,0))</f>
        <v>0</v>
      </c>
      <c r="AJ50" s="56">
        <f>IF('A&amp;Rs'!$R17="","",IF(AND(AJ$23&gt;='A&amp;Rs'!$V17,AJ$23&lt;'A&amp;Rs'!$X17),-'A&amp;Rs'!$Z17/'A&amp;Rs'!$W17,0))</f>
        <v>0</v>
      </c>
      <c r="AK50" s="56">
        <f>IF('A&amp;Rs'!$R17="","",IF(AND(AK$23&gt;='A&amp;Rs'!$V17,AK$23&lt;'A&amp;Rs'!$X17),-'A&amp;Rs'!$Z17/'A&amp;Rs'!$W17,0))</f>
        <v>0</v>
      </c>
      <c r="AL50" s="56">
        <f>IF('A&amp;Rs'!$R17="","",IF(AND(AL$23&gt;='A&amp;Rs'!$V17,AL$23&lt;'A&amp;Rs'!$X17),-'A&amp;Rs'!$Z17/'A&amp;Rs'!$W17,0))</f>
        <v>0</v>
      </c>
      <c r="AM50" s="56">
        <f>IF('A&amp;Rs'!$R17="","",IF(AND(AM$23&gt;='A&amp;Rs'!$V17,AM$23&lt;'A&amp;Rs'!$X17),-'A&amp;Rs'!$Z17/'A&amp;Rs'!$W17,0))</f>
        <v>0</v>
      </c>
      <c r="AN50" s="56">
        <f>IF('A&amp;Rs'!$R17="","",IF(AND(AN$23&gt;='A&amp;Rs'!$V17,AN$23&lt;'A&amp;Rs'!$X17),-'A&amp;Rs'!$Z17/'A&amp;Rs'!$W17,0))</f>
        <v>0</v>
      </c>
      <c r="AO50" s="56">
        <f>IF('A&amp;Rs'!$R17="","",IF(AND(AO$23&gt;='A&amp;Rs'!$V17,AO$23&lt;'A&amp;Rs'!$X17),-'A&amp;Rs'!$Z17/'A&amp;Rs'!$W17,0))</f>
        <v>0</v>
      </c>
      <c r="AP50" s="56">
        <f>IF('A&amp;Rs'!$R17="","",IF(AND(AP$23&gt;='A&amp;Rs'!$V17,AP$23&lt;'A&amp;Rs'!$X17),-'A&amp;Rs'!$Z17/'A&amp;Rs'!$W17,0))</f>
        <v>0</v>
      </c>
      <c r="AQ50" s="56">
        <f>IF('A&amp;Rs'!$R17="","",IF(AND(AQ$23&gt;='A&amp;Rs'!$V17,AQ$23&lt;'A&amp;Rs'!$X17),-'A&amp;Rs'!$Z17/'A&amp;Rs'!$W17,0))</f>
        <v>0</v>
      </c>
      <c r="AR50" s="56">
        <f>IF('A&amp;Rs'!$R17="","",IF(AND(AR$23&gt;='A&amp;Rs'!$V17,AR$23&lt;'A&amp;Rs'!$X17),-'A&amp;Rs'!$Z17/'A&amp;Rs'!$W17,0))</f>
        <v>0</v>
      </c>
      <c r="AS50" s="56">
        <f>IF('A&amp;Rs'!$R17="","",IF(AND(AS$23&gt;='A&amp;Rs'!$V17,AS$23&lt;'A&amp;Rs'!$X17),-'A&amp;Rs'!$Z17/'A&amp;Rs'!$W17,0))</f>
        <v>0</v>
      </c>
      <c r="AT50" s="56">
        <f>IF('A&amp;Rs'!$R17="","",IF(AND(AT$23&gt;='A&amp;Rs'!$V17,AT$23&lt;'A&amp;Rs'!$X17),-'A&amp;Rs'!$Z17/'A&amp;Rs'!$W17,0))</f>
        <v>0</v>
      </c>
      <c r="AU50" s="56">
        <f>IF('A&amp;Rs'!$R17="","",IF(AND(AU$23&gt;='A&amp;Rs'!$V17,AU$23&lt;'A&amp;Rs'!$X17),-'A&amp;Rs'!$Z17/'A&amp;Rs'!$W17,0))</f>
        <v>0</v>
      </c>
      <c r="AV50" s="56">
        <f>IF('A&amp;Rs'!$R17="","",IF(AND(AV$23&gt;='A&amp;Rs'!$V17,AV$23&lt;'A&amp;Rs'!$X17),-'A&amp;Rs'!$Z17/'A&amp;Rs'!$W17,0))</f>
        <v>0</v>
      </c>
      <c r="AW50" s="56">
        <f>IF('A&amp;Rs'!$R17="","",IF(AND(AW$23&gt;='A&amp;Rs'!$V17,AW$23&lt;'A&amp;Rs'!$X17),-'A&amp;Rs'!$Z17/'A&amp;Rs'!$W17,0))</f>
        <v>0</v>
      </c>
      <c r="AX50" s="56">
        <f>IF('A&amp;Rs'!$R17="","",IF(AND(AX$23&gt;='A&amp;Rs'!$V17,AX$23&lt;'A&amp;Rs'!$X17),-'A&amp;Rs'!$Z17/'A&amp;Rs'!$W17,0))</f>
        <v>0</v>
      </c>
      <c r="AY50" s="56">
        <f>IF('A&amp;Rs'!$R17="","",IF(AND(AY$23&gt;='A&amp;Rs'!$V17,AY$23&lt;'A&amp;Rs'!$X17),-'A&amp;Rs'!$Z17/'A&amp;Rs'!$W17,0))</f>
        <v>0</v>
      </c>
      <c r="AZ50" s="56">
        <f>IF('A&amp;Rs'!$R17="","",IF(AND(AZ$23&gt;='A&amp;Rs'!$V17,AZ$23&lt;'A&amp;Rs'!$X17),-'A&amp;Rs'!$Z17/'A&amp;Rs'!$W17,0))</f>
        <v>0</v>
      </c>
      <c r="BA50" s="56">
        <f>IF('A&amp;Rs'!$R17="","",IF(AND(BA$23&gt;='A&amp;Rs'!$V17,BA$23&lt;'A&amp;Rs'!$X17),-'A&amp;Rs'!$Z17/'A&amp;Rs'!$W17,0))</f>
        <v>0</v>
      </c>
      <c r="BB50" s="56">
        <f>IF('A&amp;Rs'!$R17="","",IF(AND(BB$23&gt;='A&amp;Rs'!$V17,BB$23&lt;'A&amp;Rs'!$X17),-'A&amp;Rs'!$Z17/'A&amp;Rs'!$W17,0))</f>
        <v>0</v>
      </c>
      <c r="BC50" s="56">
        <f>IF('A&amp;Rs'!$R17="","",IF(AND(BC$23&gt;='A&amp;Rs'!$V17,BC$23&lt;'A&amp;Rs'!$X17),-'A&amp;Rs'!$Z17/'A&amp;Rs'!$W17,0))</f>
        <v>0</v>
      </c>
      <c r="BD50" s="56">
        <f>IF('A&amp;Rs'!$R17="","",IF(AND(BD$23&gt;='A&amp;Rs'!$V17,BD$23&lt;'A&amp;Rs'!$X17),-'A&amp;Rs'!$Z17/'A&amp;Rs'!$W17,0))</f>
        <v>0</v>
      </c>
      <c r="BE50" s="56">
        <f>IF('A&amp;Rs'!$R17="","",IF(AND(BE$23&gt;='A&amp;Rs'!$V17,BE$23&lt;'A&amp;Rs'!$X17),-'A&amp;Rs'!$Z17/'A&amp;Rs'!$W17,0))</f>
        <v>0</v>
      </c>
      <c r="BF50" s="56">
        <f>IF('A&amp;Rs'!$R17="","",IF(AND(BF$23&gt;='A&amp;Rs'!$V17,BF$23&lt;'A&amp;Rs'!$X17),-'A&amp;Rs'!$Z17/'A&amp;Rs'!$W17,0))</f>
        <v>0</v>
      </c>
      <c r="BG50" s="56">
        <f>IF('A&amp;Rs'!$R17="","",IF(AND(BG$23&gt;='A&amp;Rs'!$V17,BG$23&lt;'A&amp;Rs'!$X17),-'A&amp;Rs'!$Z17/'A&amp;Rs'!$W17,0))</f>
        <v>0</v>
      </c>
      <c r="BH50" s="56">
        <f>IF('A&amp;Rs'!$R17="","",IF(AND(BH$23&gt;='A&amp;Rs'!$V17,BH$23&lt;'A&amp;Rs'!$X17),-'A&amp;Rs'!$Z17/'A&amp;Rs'!$W17,0))</f>
        <v>0</v>
      </c>
      <c r="BI50" s="56">
        <f>IF('A&amp;Rs'!$R17="","",IF(AND(BI$23&gt;='A&amp;Rs'!$V17,BI$23&lt;'A&amp;Rs'!$X17),-'A&amp;Rs'!$Z17/'A&amp;Rs'!$W17,0))</f>
        <v>0</v>
      </c>
      <c r="BJ50" s="56">
        <f>IF('A&amp;Rs'!$R17="","",IF(AND(BJ$23&gt;='A&amp;Rs'!$V17,BJ$23&lt;'A&amp;Rs'!$X17),-'A&amp;Rs'!$Z17/'A&amp;Rs'!$W17,0))</f>
        <v>0</v>
      </c>
      <c r="BK50" s="56">
        <f>IF('A&amp;Rs'!$R17="","",IF(AND(BK$23&gt;='A&amp;Rs'!$V17,BK$23&lt;'A&amp;Rs'!$X17),-'A&amp;Rs'!$Z17/'A&amp;Rs'!$W17,0))</f>
        <v>0</v>
      </c>
      <c r="BL50" s="56">
        <f>IF('A&amp;Rs'!$R17="","",IF(AND(BL$23&gt;='A&amp;Rs'!$V17,BL$23&lt;'A&amp;Rs'!$X17),-'A&amp;Rs'!$Z17/'A&amp;Rs'!$W17,0))</f>
        <v>0</v>
      </c>
      <c r="BM50" s="56">
        <f>IF('A&amp;Rs'!$R17="","",IF(AND(BM$23&gt;='A&amp;Rs'!$V17,BM$23&lt;'A&amp;Rs'!$X17),-'A&amp;Rs'!$Z17/'A&amp;Rs'!$W17,0))</f>
        <v>0</v>
      </c>
      <c r="BN50" s="56">
        <f>IF('A&amp;Rs'!$R17="","",IF(AND(BN$23&gt;='A&amp;Rs'!$V17,BN$23&lt;'A&amp;Rs'!$X17),-'A&amp;Rs'!$Z17/'A&amp;Rs'!$W17,0))</f>
        <v>0</v>
      </c>
      <c r="BO50" s="56">
        <f>IF('A&amp;Rs'!$R17="","",IF(AND(BO$23&gt;='A&amp;Rs'!$V17,BO$23&lt;'A&amp;Rs'!$X17),-'A&amp;Rs'!$Z17/'A&amp;Rs'!$W17,0))</f>
        <v>0</v>
      </c>
      <c r="BP50" s="56">
        <f>IF('A&amp;Rs'!$R17="","",IF(AND(BP$23&gt;='A&amp;Rs'!$V17,BP$23&lt;'A&amp;Rs'!$X17),-'A&amp;Rs'!$Z17/'A&amp;Rs'!$W17,0))</f>
        <v>0</v>
      </c>
      <c r="BQ50" s="56">
        <f>IF('A&amp;Rs'!$R17="","",IF(AND(BQ$23&gt;='A&amp;Rs'!$V17,BQ$23&lt;'A&amp;Rs'!$X17),-'A&amp;Rs'!$Z17/'A&amp;Rs'!$W17,0))</f>
        <v>0</v>
      </c>
      <c r="BR50" s="56">
        <f>IF('A&amp;Rs'!$R17="","",IF(AND(BR$23&gt;='A&amp;Rs'!$V17,BR$23&lt;'A&amp;Rs'!$X17),-'A&amp;Rs'!$Z17/'A&amp;Rs'!$W17,0))</f>
        <v>0</v>
      </c>
      <c r="BS50" s="56">
        <f>IF('A&amp;Rs'!$R17="","",IF(AND(BS$23&gt;='A&amp;Rs'!$V17,BS$23&lt;'A&amp;Rs'!$X17),-'A&amp;Rs'!$Z17/'A&amp;Rs'!$W17,0))</f>
        <v>0</v>
      </c>
      <c r="BT50" s="56">
        <f>IF('A&amp;Rs'!$R17="","",IF(AND(BT$23&gt;='A&amp;Rs'!$V17,BT$23&lt;'A&amp;Rs'!$X17),-'A&amp;Rs'!$Z17/'A&amp;Rs'!$W17,0))</f>
        <v>0</v>
      </c>
      <c r="BU50" s="56">
        <f>IF('A&amp;Rs'!$R17="","",IF(AND(BU$23&gt;='A&amp;Rs'!$V17,BU$23&lt;'A&amp;Rs'!$X17),-'A&amp;Rs'!$Z17/'A&amp;Rs'!$W17,0))</f>
        <v>0</v>
      </c>
      <c r="BV50" s="56">
        <f>IF('A&amp;Rs'!$R17="","",IF(AND(BV$23&gt;='A&amp;Rs'!$V17,BV$23&lt;'A&amp;Rs'!$X17),-'A&amp;Rs'!$Z17/'A&amp;Rs'!$W17,0))</f>
        <v>0</v>
      </c>
      <c r="BW50" s="56">
        <f>IF('A&amp;Rs'!$R17="","",IF(AND(BW$23&gt;='A&amp;Rs'!$V17,BW$23&lt;'A&amp;Rs'!$X17),-'A&amp;Rs'!$Z17/'A&amp;Rs'!$W17,0))</f>
        <v>0</v>
      </c>
      <c r="BX50" s="56">
        <f>IF('A&amp;Rs'!$R17="","",IF(AND(BX$23&gt;='A&amp;Rs'!$V17,BX$23&lt;'A&amp;Rs'!$X17),-'A&amp;Rs'!$Z17/'A&amp;Rs'!$W17,0))</f>
        <v>0</v>
      </c>
      <c r="BY50" s="56">
        <f>IF('A&amp;Rs'!$R17="","",IF(AND(BY$23&gt;='A&amp;Rs'!$V17,BY$23&lt;'A&amp;Rs'!$X17),-'A&amp;Rs'!$Z17/'A&amp;Rs'!$W17,0))</f>
        <v>0</v>
      </c>
      <c r="BZ50" s="56">
        <f>IF('A&amp;Rs'!$R17="","",IF(AND(BZ$23&gt;='A&amp;Rs'!$V17,BZ$23&lt;'A&amp;Rs'!$X17),-'A&amp;Rs'!$Z17/'A&amp;Rs'!$W17,0))</f>
        <v>0</v>
      </c>
      <c r="CA50" s="56">
        <f>IF('A&amp;Rs'!$R17="","",IF(AND(CA$23&gt;='A&amp;Rs'!$V17,CA$23&lt;'A&amp;Rs'!$X17),-'A&amp;Rs'!$Z17/'A&amp;Rs'!$W17,0))</f>
        <v>0</v>
      </c>
      <c r="CB50" s="56">
        <f>IF('A&amp;Rs'!$R17="","",IF(AND(CB$23&gt;='A&amp;Rs'!$V17,CB$23&lt;'A&amp;Rs'!$X17),-'A&amp;Rs'!$Z17/'A&amp;Rs'!$W17,0))</f>
        <v>0</v>
      </c>
      <c r="CC50" s="56">
        <f>IF('A&amp;Rs'!$R17="","",IF(AND(CC$23&gt;='A&amp;Rs'!$V17,CC$23&lt;'A&amp;Rs'!$X17),-'A&amp;Rs'!$Z17/'A&amp;Rs'!$W17,0))</f>
        <v>0</v>
      </c>
      <c r="CD50" s="56">
        <f>IF('A&amp;Rs'!$R17="","",IF(AND(CD$23&gt;='A&amp;Rs'!$V17,CD$23&lt;'A&amp;Rs'!$X17),-'A&amp;Rs'!$Z17/'A&amp;Rs'!$W17,0))</f>
        <v>0</v>
      </c>
      <c r="CE50" s="56">
        <f>IF('A&amp;Rs'!$R17="","",IF(AND(CE$23&gt;='A&amp;Rs'!$V17,CE$23&lt;'A&amp;Rs'!$X17),-'A&amp;Rs'!$Z17/'A&amp;Rs'!$W17,0))</f>
        <v>0</v>
      </c>
      <c r="CF50" s="56">
        <f>IF('A&amp;Rs'!$R17="","",IF(AND(CF$23&gt;='A&amp;Rs'!$V17,CF$23&lt;'A&amp;Rs'!$X17),-'A&amp;Rs'!$Z17/'A&amp;Rs'!$W17,0))</f>
        <v>0</v>
      </c>
      <c r="CG50" s="56">
        <f>IF('A&amp;Rs'!$R17="","",IF(AND(CG$23&gt;='A&amp;Rs'!$V17,CG$23&lt;'A&amp;Rs'!$X17),-'A&amp;Rs'!$Z17/'A&amp;Rs'!$W17,0))</f>
        <v>0</v>
      </c>
      <c r="CH50" s="56">
        <f>IF('A&amp;Rs'!$R17="","",IF(AND(CH$23&gt;='A&amp;Rs'!$V17,CH$23&lt;'A&amp;Rs'!$X17),-'A&amp;Rs'!$Z17/'A&amp;Rs'!$W17,0))</f>
        <v>0</v>
      </c>
      <c r="CI50" s="56">
        <f>IF('A&amp;Rs'!$R17="","",IF(AND(CI$23&gt;='A&amp;Rs'!$V17,CI$23&lt;'A&amp;Rs'!$X17),-'A&amp;Rs'!$Z17/'A&amp;Rs'!$W17,0))</f>
        <v>0</v>
      </c>
      <c r="CJ50" s="56">
        <f>IF('A&amp;Rs'!$R17="","",IF(AND(CJ$23&gt;='A&amp;Rs'!$V17,CJ$23&lt;'A&amp;Rs'!$X17),-'A&amp;Rs'!$Z17/'A&amp;Rs'!$W17,0))</f>
        <v>0</v>
      </c>
      <c r="CK50" s="56">
        <f>IF('A&amp;Rs'!$R17="","",IF(AND(CK$23&gt;='A&amp;Rs'!$V17,CK$23&lt;'A&amp;Rs'!$X17),-'A&amp;Rs'!$Z17/'A&amp;Rs'!$W17,0))</f>
        <v>0</v>
      </c>
      <c r="CL50" s="56">
        <f>IF('A&amp;Rs'!$R17="","",IF(AND(CL$23&gt;='A&amp;Rs'!$V17,CL$23&lt;'A&amp;Rs'!$X17),-'A&amp;Rs'!$Z17/'A&amp;Rs'!$W17,0))</f>
        <v>0</v>
      </c>
      <c r="CM50" s="56">
        <f>IF('A&amp;Rs'!$R17="","",IF(AND(CM$23&gt;='A&amp;Rs'!$V17,CM$23&lt;'A&amp;Rs'!$X17),-'A&amp;Rs'!$Z17/'A&amp;Rs'!$W17,0))</f>
        <v>0</v>
      </c>
      <c r="CN50" s="56">
        <f>IF('A&amp;Rs'!$R17="","",IF(AND(CN$23&gt;='A&amp;Rs'!$V17,CN$23&lt;'A&amp;Rs'!$X17),-'A&amp;Rs'!$Z17/'A&amp;Rs'!$W17,0))</f>
        <v>0</v>
      </c>
      <c r="CO50" s="56">
        <f>IF('A&amp;Rs'!$R17="","",IF(AND(CO$23&gt;='A&amp;Rs'!$V17,CO$23&lt;'A&amp;Rs'!$X17),-'A&amp;Rs'!$Z17/'A&amp;Rs'!$W17,0))</f>
        <v>0</v>
      </c>
      <c r="CP50" s="56">
        <f>IF('A&amp;Rs'!$R17="","",IF(AND(CP$23&gt;='A&amp;Rs'!$V17,CP$23&lt;'A&amp;Rs'!$X17),-'A&amp;Rs'!$Z17/'A&amp;Rs'!$W17,0))</f>
        <v>0</v>
      </c>
      <c r="CQ50" s="56">
        <f>IF('A&amp;Rs'!$R17="","",IF(AND(CQ$23&gt;='A&amp;Rs'!$V17,CQ$23&lt;'A&amp;Rs'!$X17),-'A&amp;Rs'!$Z17/'A&amp;Rs'!$W17,0))</f>
        <v>0</v>
      </c>
      <c r="CR50" s="56">
        <f>IF('A&amp;Rs'!$R17="","",IF(AND(CR$23&gt;='A&amp;Rs'!$V17,CR$23&lt;'A&amp;Rs'!$X17),-'A&amp;Rs'!$Z17/'A&amp;Rs'!$W17,0))</f>
        <v>0</v>
      </c>
      <c r="CS50" s="56">
        <f>IF('A&amp;Rs'!$R17="","",IF(AND(CS$23&gt;='A&amp;Rs'!$V17,CS$23&lt;'A&amp;Rs'!$X17),-'A&amp;Rs'!$Z17/'A&amp;Rs'!$W17,0))</f>
        <v>0</v>
      </c>
      <c r="CT50" s="56">
        <f>IF('A&amp;Rs'!$R17="","",IF(AND(CT$23&gt;='A&amp;Rs'!$V17,CT$23&lt;'A&amp;Rs'!$X17),-'A&amp;Rs'!$Z17/'A&amp;Rs'!$W17,0))</f>
        <v>0</v>
      </c>
      <c r="CU50" s="56">
        <f>IF('A&amp;Rs'!$R17="","",IF(AND(CU$23&gt;='A&amp;Rs'!$V17,CU$23&lt;'A&amp;Rs'!$X17),-'A&amp;Rs'!$Z17/'A&amp;Rs'!$W17,0))</f>
        <v>0</v>
      </c>
      <c r="CV50" s="56">
        <f>IF('A&amp;Rs'!$R17="","",IF(AND(CV$23&gt;='A&amp;Rs'!$V17,CV$23&lt;'A&amp;Rs'!$X17),-'A&amp;Rs'!$Z17/'A&amp;Rs'!$W17,0))</f>
        <v>0</v>
      </c>
      <c r="CW50" s="56">
        <f>IF('A&amp;Rs'!$R17="","",IF(AND(CW$23&gt;='A&amp;Rs'!$V17,CW$23&lt;'A&amp;Rs'!$X17),-'A&amp;Rs'!$Z17/'A&amp;Rs'!$W17,0))</f>
        <v>0</v>
      </c>
      <c r="CX50" s="56">
        <f>IF('A&amp;Rs'!$R17="","",IF(AND(CX$23&gt;='A&amp;Rs'!$V17,CX$23&lt;'A&amp;Rs'!$X17),-'A&amp;Rs'!$Z17/'A&amp;Rs'!$W17,0))</f>
        <v>0</v>
      </c>
      <c r="CY50" s="56">
        <f>IF('A&amp;Rs'!$R17="","",IF(AND(CY$23&gt;='A&amp;Rs'!$V17,CY$23&lt;'A&amp;Rs'!$X17),-'A&amp;Rs'!$Z17/'A&amp;Rs'!$W17,0))</f>
        <v>0</v>
      </c>
      <c r="CZ50" s="56">
        <f>IF('A&amp;Rs'!$R17="","",IF(AND(CZ$23&gt;='A&amp;Rs'!$V17,CZ$23&lt;'A&amp;Rs'!$X17),-'A&amp;Rs'!$Z17/'A&amp;Rs'!$W17,0))</f>
        <v>0</v>
      </c>
      <c r="DA50" s="56">
        <f>IF('A&amp;Rs'!$R17="","",IF(AND(DA$23&gt;='A&amp;Rs'!$V17,DA$23&lt;'A&amp;Rs'!$X17),-'A&amp;Rs'!$Z17/'A&amp;Rs'!$W17,0))</f>
        <v>0</v>
      </c>
      <c r="DB50" s="56">
        <f>IF('A&amp;Rs'!$R17="","",IF(AND(DB$23&gt;='A&amp;Rs'!$V17,DB$23&lt;'A&amp;Rs'!$X17),-'A&amp;Rs'!$Z17/'A&amp;Rs'!$W17,0))</f>
        <v>0</v>
      </c>
      <c r="DC50" s="56">
        <f>IF('A&amp;Rs'!$R17="","",IF(AND(DC$23&gt;='A&amp;Rs'!$V17,DC$23&lt;'A&amp;Rs'!$X17),-'A&amp;Rs'!$Z17/'A&amp;Rs'!$W17,0))</f>
        <v>0</v>
      </c>
      <c r="DD50" s="56">
        <f>IF('A&amp;Rs'!$R17="","",IF(AND(DD$23&gt;='A&amp;Rs'!$V17,DD$23&lt;'A&amp;Rs'!$X17),-'A&amp;Rs'!$Z17/'A&amp;Rs'!$W17,0))</f>
        <v>0</v>
      </c>
      <c r="DE50" s="56">
        <f>IF('A&amp;Rs'!$R17="","",IF(AND(DE$23&gt;='A&amp;Rs'!$V17,DE$23&lt;'A&amp;Rs'!$X17),-'A&amp;Rs'!$Z17/'A&amp;Rs'!$W17,0))</f>
        <v>0</v>
      </c>
      <c r="DF50" s="56">
        <f>IF('A&amp;Rs'!$R17="","",IF(AND(DF$23&gt;='A&amp;Rs'!$V17,DF$23&lt;'A&amp;Rs'!$X17),-'A&amp;Rs'!$Z17/'A&amp;Rs'!$W17,0))</f>
        <v>0</v>
      </c>
      <c r="DG50" s="56">
        <f>IF('A&amp;Rs'!$R17="","",IF(AND(DG$23&gt;='A&amp;Rs'!$V17,DG$23&lt;'A&amp;Rs'!$X17),-'A&amp;Rs'!$Z17/'A&amp;Rs'!$W17,0))</f>
        <v>0</v>
      </c>
      <c r="DH50" s="56">
        <f>IF('A&amp;Rs'!$R17="","",IF(AND(DH$23&gt;='A&amp;Rs'!$V17,DH$23&lt;'A&amp;Rs'!$X17),-'A&amp;Rs'!$Z17/'A&amp;Rs'!$W17,0))</f>
        <v>0</v>
      </c>
      <c r="DI50" s="56">
        <f>IF('A&amp;Rs'!$R17="","",IF(AND(DI$23&gt;='A&amp;Rs'!$V17,DI$23&lt;'A&amp;Rs'!$X17),-'A&amp;Rs'!$Z17/'A&amp;Rs'!$W17,0))</f>
        <v>0</v>
      </c>
      <c r="DJ50" s="56">
        <f>IF('A&amp;Rs'!$R17="","",IF(AND(DJ$23&gt;='A&amp;Rs'!$V17,DJ$23&lt;'A&amp;Rs'!$X17),-'A&amp;Rs'!$Z17/'A&amp;Rs'!$W17,0))</f>
        <v>0</v>
      </c>
      <c r="DK50" s="56">
        <f>IF('A&amp;Rs'!$R17="","",IF(AND(DK$23&gt;='A&amp;Rs'!$V17,DK$23&lt;'A&amp;Rs'!$X17),-'A&amp;Rs'!$Z17/'A&amp;Rs'!$W17,0))</f>
        <v>0</v>
      </c>
      <c r="DL50" s="56">
        <f>IF('A&amp;Rs'!$R17="","",IF(AND(DL$23&gt;='A&amp;Rs'!$V17,DL$23&lt;'A&amp;Rs'!$X17),-'A&amp;Rs'!$Z17/'A&amp;Rs'!$W17,0))</f>
        <v>0</v>
      </c>
      <c r="DM50" s="56">
        <f>IF('A&amp;Rs'!$R17="","",IF(AND(DM$23&gt;='A&amp;Rs'!$V17,DM$23&lt;'A&amp;Rs'!$X17),-'A&amp;Rs'!$Z17/'A&amp;Rs'!$W17,0))</f>
        <v>0</v>
      </c>
      <c r="DN50" s="56">
        <f>IF('A&amp;Rs'!$R17="","",IF(AND(DN$23&gt;='A&amp;Rs'!$V17,DN$23&lt;'A&amp;Rs'!$X17),-'A&amp;Rs'!$Z17/'A&amp;Rs'!$W17,0))</f>
        <v>0</v>
      </c>
      <c r="DO50" s="56">
        <f>IF('A&amp;Rs'!$R17="","",IF(AND(DO$23&gt;='A&amp;Rs'!$V17,DO$23&lt;'A&amp;Rs'!$X17),-'A&amp;Rs'!$Z17/'A&amp;Rs'!$W17,0))</f>
        <v>0</v>
      </c>
      <c r="DP50" s="56">
        <f>IF('A&amp;Rs'!$R17="","",IF(AND(DP$23&gt;='A&amp;Rs'!$V17,DP$23&lt;'A&amp;Rs'!$X17),-'A&amp;Rs'!$Z17/'A&amp;Rs'!$W17,0))</f>
        <v>0</v>
      </c>
      <c r="DQ50" s="56">
        <f>IF('A&amp;Rs'!$R17="","",IF(AND(DQ$23&gt;='A&amp;Rs'!$V17,DQ$23&lt;'A&amp;Rs'!$X17),-'A&amp;Rs'!$Z17/'A&amp;Rs'!$W17,0))</f>
        <v>0</v>
      </c>
      <c r="DR50" s="56">
        <f>IF('A&amp;Rs'!$R17="","",IF(AND(DR$23&gt;='A&amp;Rs'!$V17,DR$23&lt;'A&amp;Rs'!$X17),-'A&amp;Rs'!$Z17/'A&amp;Rs'!$W17,0))</f>
        <v>0</v>
      </c>
      <c r="DS50" s="56">
        <f>IF('A&amp;Rs'!$R17="","",IF(AND(DS$23&gt;='A&amp;Rs'!$V17,DS$23&lt;'A&amp;Rs'!$X17),-'A&amp;Rs'!$Z17/'A&amp;Rs'!$W17,0))</f>
        <v>0</v>
      </c>
      <c r="DT50" s="56">
        <f>IF('A&amp;Rs'!$R17="","",IF(AND(DT$23&gt;='A&amp;Rs'!$V17,DT$23&lt;'A&amp;Rs'!$X17),-'A&amp;Rs'!$Z17/'A&amp;Rs'!$W17,0))</f>
        <v>0</v>
      </c>
      <c r="DU50" s="56">
        <f>IF('A&amp;Rs'!$R17="","",IF(AND(DU$23&gt;='A&amp;Rs'!$V17,DU$23&lt;'A&amp;Rs'!$X17),-'A&amp;Rs'!$Z17/'A&amp;Rs'!$W17,0))</f>
        <v>0</v>
      </c>
      <c r="DV50" s="56">
        <f>IF('A&amp;Rs'!$R17="","",IF(AND(DV$23&gt;='A&amp;Rs'!$V17,DV$23&lt;'A&amp;Rs'!$X17),-'A&amp;Rs'!$Z17/'A&amp;Rs'!$W17,0))</f>
        <v>0</v>
      </c>
      <c r="DW50" s="56">
        <f>IF('A&amp;Rs'!$R17="","",IF(AND(DW$23&gt;='A&amp;Rs'!$V17,DW$23&lt;'A&amp;Rs'!$X17),-'A&amp;Rs'!$Z17/'A&amp;Rs'!$W17,0))</f>
        <v>0</v>
      </c>
      <c r="DX50" s="56">
        <f>IF('A&amp;Rs'!$R17="","",IF(AND(DX$23&gt;='A&amp;Rs'!$V17,DX$23&lt;'A&amp;Rs'!$X17),-'A&amp;Rs'!$Z17/'A&amp;Rs'!$W17,0))</f>
        <v>0</v>
      </c>
      <c r="DY50" s="56">
        <f>IF('A&amp;Rs'!$R17="","",IF(AND(DY$23&gt;='A&amp;Rs'!$V17,DY$23&lt;'A&amp;Rs'!$X17),-'A&amp;Rs'!$Z17/'A&amp;Rs'!$W17,0))</f>
        <v>0</v>
      </c>
      <c r="DZ50" s="56">
        <f>IF('A&amp;Rs'!$R17="","",IF(AND(DZ$23&gt;='A&amp;Rs'!$V17,DZ$23&lt;'A&amp;Rs'!$X17),-'A&amp;Rs'!$Z17/'A&amp;Rs'!$W17,0))</f>
        <v>0</v>
      </c>
      <c r="EA50" s="56">
        <f>IF('A&amp;Rs'!$R17="","",IF(AND(EA$23&gt;='A&amp;Rs'!$V17,EA$23&lt;'A&amp;Rs'!$X17),-'A&amp;Rs'!$Z17/'A&amp;Rs'!$W17,0))</f>
        <v>0</v>
      </c>
      <c r="EB50" s="56">
        <f>IF('A&amp;Rs'!$R17="","",IF(AND(EB$23&gt;='A&amp;Rs'!$V17,EB$23&lt;'A&amp;Rs'!$X17),-'A&amp;Rs'!$Z17/'A&amp;Rs'!$W17,0))</f>
        <v>0</v>
      </c>
      <c r="EC50" s="56">
        <f>IF('A&amp;Rs'!$R17="","",IF(AND(EC$23&gt;='A&amp;Rs'!$V17,EC$23&lt;'A&amp;Rs'!$X17),-'A&amp;Rs'!$Z17/'A&amp;Rs'!$W17,0))</f>
        <v>0</v>
      </c>
      <c r="ED50" s="56">
        <f>IF('A&amp;Rs'!$R17="","",IF(AND(ED$23&gt;='A&amp;Rs'!$V17,ED$23&lt;'A&amp;Rs'!$X17),-'A&amp;Rs'!$Z17/'A&amp;Rs'!$W17,0))</f>
        <v>0</v>
      </c>
      <c r="EE50" s="56">
        <f>IF('A&amp;Rs'!$R17="","",IF(AND(EE$23&gt;='A&amp;Rs'!$V17,EE$23&lt;'A&amp;Rs'!$X17),-'A&amp;Rs'!$Z17/'A&amp;Rs'!$W17,0))</f>
        <v>0</v>
      </c>
      <c r="EF50" s="56">
        <f>IF('A&amp;Rs'!$R17="","",IF(AND(EF$23&gt;='A&amp;Rs'!$V17,EF$23&lt;'A&amp;Rs'!$X17),-'A&amp;Rs'!$Z17/'A&amp;Rs'!$W17,0))</f>
        <v>0</v>
      </c>
      <c r="EG50" s="56">
        <f>IF('A&amp;Rs'!$R17="","",IF(AND(EG$23&gt;='A&amp;Rs'!$V17,EG$23&lt;'A&amp;Rs'!$X17),-'A&amp;Rs'!$Z17/'A&amp;Rs'!$W17,0))</f>
        <v>0</v>
      </c>
      <c r="EH50" s="56">
        <f>IF('A&amp;Rs'!$R17="","",IF(AND(EH$23&gt;='A&amp;Rs'!$V17,EH$23&lt;'A&amp;Rs'!$X17),-'A&amp;Rs'!$Z17/'A&amp;Rs'!$W17,0))</f>
        <v>0</v>
      </c>
      <c r="EI50" s="56">
        <f>IF('A&amp;Rs'!$R17="","",IF(AND(EI$23&gt;='A&amp;Rs'!$V17,EI$23&lt;'A&amp;Rs'!$X17),-'A&amp;Rs'!$Z17/'A&amp;Rs'!$W17,0))</f>
        <v>0</v>
      </c>
      <c r="EJ50" s="56">
        <f>IF('A&amp;Rs'!$R17="","",IF(AND(EJ$23&gt;='A&amp;Rs'!$V17,EJ$23&lt;'A&amp;Rs'!$X17),-'A&amp;Rs'!$Z17/'A&amp;Rs'!$W17,0))</f>
        <v>0</v>
      </c>
      <c r="EK50" s="56">
        <f>IF('A&amp;Rs'!$R17="","",IF(AND(EK$23&gt;='A&amp;Rs'!$V17,EK$23&lt;'A&amp;Rs'!$X17),-'A&amp;Rs'!$Z17/'A&amp;Rs'!$W17,0))</f>
        <v>0</v>
      </c>
      <c r="EL50" s="56">
        <f>IF('A&amp;Rs'!$R17="","",IF(AND(EL$23&gt;='A&amp;Rs'!$V17,EL$23&lt;'A&amp;Rs'!$X17),-'A&amp;Rs'!$Z17/'A&amp;Rs'!$W17,0))</f>
        <v>0</v>
      </c>
      <c r="EM50" s="56">
        <f>IF('A&amp;Rs'!$R17="","",IF(AND(EM$23&gt;='A&amp;Rs'!$V17,EM$23&lt;'A&amp;Rs'!$X17),-'A&amp;Rs'!$Z17/'A&amp;Rs'!$W17,0))</f>
        <v>0</v>
      </c>
      <c r="EN50" s="56">
        <f>IF('A&amp;Rs'!$R17="","",IF(AND(EN$23&gt;='A&amp;Rs'!$V17,EN$23&lt;'A&amp;Rs'!$X17),-'A&amp;Rs'!$Z17/'A&amp;Rs'!$W17,0))</f>
        <v>0</v>
      </c>
      <c r="EO50" s="56">
        <f>IF('A&amp;Rs'!$R17="","",IF(AND(EO$23&gt;='A&amp;Rs'!$V17,EO$23&lt;'A&amp;Rs'!$X17),-'A&amp;Rs'!$Z17/'A&amp;Rs'!$W17,0))</f>
        <v>0</v>
      </c>
      <c r="EP50" s="56">
        <f>IF('A&amp;Rs'!$R17="","",IF(AND(EP$23&gt;='A&amp;Rs'!$V17,EP$23&lt;'A&amp;Rs'!$X17),-'A&amp;Rs'!$Z17/'A&amp;Rs'!$W17,0))</f>
        <v>0</v>
      </c>
      <c r="EQ50" s="56">
        <f>IF('A&amp;Rs'!$R17="","",IF(AND(EQ$23&gt;='A&amp;Rs'!$V17,EQ$23&lt;'A&amp;Rs'!$X17),-'A&amp;Rs'!$Z17/'A&amp;Rs'!$W17,0))</f>
        <v>0</v>
      </c>
      <c r="ER50" s="56">
        <f>IF('A&amp;Rs'!$R17="","",IF(AND(ER$23&gt;='A&amp;Rs'!$V17,ER$23&lt;'A&amp;Rs'!$X17),-'A&amp;Rs'!$Z17/'A&amp;Rs'!$W17,0))</f>
        <v>0</v>
      </c>
      <c r="ES50" s="56">
        <f>IF('A&amp;Rs'!$R17="","",IF(AND(ES$23&gt;='A&amp;Rs'!$V17,ES$23&lt;'A&amp;Rs'!$X17),-'A&amp;Rs'!$Z17/'A&amp;Rs'!$W17,0))</f>
        <v>0</v>
      </c>
      <c r="ET50" s="56">
        <f>IF('A&amp;Rs'!$R17="","",IF(AND(ET$23&gt;='A&amp;Rs'!$V17,ET$23&lt;'A&amp;Rs'!$X17),-'A&amp;Rs'!$Z17/'A&amp;Rs'!$W17,0))</f>
        <v>0</v>
      </c>
      <c r="EU50" s="56">
        <f>IF('A&amp;Rs'!$R17="","",IF(AND(EU$23&gt;='A&amp;Rs'!$V17,EU$23&lt;'A&amp;Rs'!$X17),-'A&amp;Rs'!$Z17/'A&amp;Rs'!$W17,0))</f>
        <v>0</v>
      </c>
      <c r="EV50" s="56">
        <f>IF('A&amp;Rs'!$R17="","",IF(AND(EV$23&gt;='A&amp;Rs'!$V17,EV$23&lt;'A&amp;Rs'!$X17),-'A&amp;Rs'!$Z17/'A&amp;Rs'!$W17,0))</f>
        <v>0</v>
      </c>
      <c r="EW50" s="56">
        <f>IF('A&amp;Rs'!$R17="","",IF(AND(EW$23&gt;='A&amp;Rs'!$V17,EW$23&lt;'A&amp;Rs'!$X17),-'A&amp;Rs'!$Z17/'A&amp;Rs'!$W17,0))</f>
        <v>0</v>
      </c>
      <c r="EX50" s="56">
        <f>IF('A&amp;Rs'!$R17="","",IF(AND(EX$23&gt;='A&amp;Rs'!$V17,EX$23&lt;'A&amp;Rs'!$X17),-'A&amp;Rs'!$Z17/'A&amp;Rs'!$W17,0))</f>
        <v>0</v>
      </c>
      <c r="EY50" s="56">
        <f>IF('A&amp;Rs'!$R17="","",IF(AND(EY$23&gt;='A&amp;Rs'!$V17,EY$23&lt;'A&amp;Rs'!$X17),-'A&amp;Rs'!$Z17/'A&amp;Rs'!$W17,0))</f>
        <v>0</v>
      </c>
      <c r="EZ50" s="56">
        <f>IF('A&amp;Rs'!$R17="","",IF(AND(EZ$23&gt;='A&amp;Rs'!$V17,EZ$23&lt;'A&amp;Rs'!$X17),-'A&amp;Rs'!$Z17/'A&amp;Rs'!$W17,0))</f>
        <v>0</v>
      </c>
      <c r="FA50" s="56">
        <f>IF('A&amp;Rs'!$R17="","",IF(AND(FA$23&gt;='A&amp;Rs'!$V17,FA$23&lt;'A&amp;Rs'!$X17),-'A&amp;Rs'!$Z17/'A&amp;Rs'!$W17,0))</f>
        <v>0</v>
      </c>
      <c r="FB50" s="56">
        <f>IF('A&amp;Rs'!$R17="","",IF(AND(FB$23&gt;='A&amp;Rs'!$V17,FB$23&lt;'A&amp;Rs'!$X17),-'A&amp;Rs'!$Z17/'A&amp;Rs'!$W17,0))</f>
        <v>0</v>
      </c>
      <c r="FC50" s="56">
        <f>IF('A&amp;Rs'!$R17="","",IF(AND(FC$23&gt;='A&amp;Rs'!$V17,FC$23&lt;'A&amp;Rs'!$X17),-'A&amp;Rs'!$Z17/'A&amp;Rs'!$W17,0))</f>
        <v>0</v>
      </c>
      <c r="FD50" s="56">
        <f>IF('A&amp;Rs'!$R17="","",IF(AND(FD$23&gt;='A&amp;Rs'!$V17,FD$23&lt;'A&amp;Rs'!$X17),-'A&amp;Rs'!$Z17/'A&amp;Rs'!$W17,0))</f>
        <v>0</v>
      </c>
      <c r="FE50" s="56">
        <f>IF('A&amp;Rs'!$R17="","",IF(AND(FE$23&gt;='A&amp;Rs'!$V17,FE$23&lt;'A&amp;Rs'!$X17),-'A&amp;Rs'!$Z17/'A&amp;Rs'!$W17,0))</f>
        <v>0</v>
      </c>
      <c r="FF50" s="1" t="s">
        <v>39</v>
      </c>
      <c r="FG50" s="1"/>
      <c r="FH50" s="1"/>
      <c r="FI50" s="99"/>
    </row>
    <row r="51" spans="1:165" x14ac:dyDescent="0.3">
      <c r="A51" s="150">
        <f>'A&amp;Rs'!Z18</f>
        <v>14950</v>
      </c>
      <c r="B51" s="217">
        <f t="shared" si="12"/>
        <v>-14950</v>
      </c>
      <c r="C51" s="215"/>
      <c r="D51" s="43">
        <v>9</v>
      </c>
      <c r="E51" s="56"/>
      <c r="F51" s="56">
        <f>IF('A&amp;Rs'!$R18="","",IF(AND(F$23&gt;='A&amp;Rs'!$V18,F$23&lt;'A&amp;Rs'!$X18),-'A&amp;Rs'!$Z18/'A&amp;Rs'!$W18,0))</f>
        <v>0</v>
      </c>
      <c r="G51" s="56">
        <f>IF('A&amp;Rs'!$R18="","",IF(AND(G$23&gt;='A&amp;Rs'!$V18,G$23&lt;'A&amp;Rs'!$X18),-'A&amp;Rs'!$Z18/'A&amp;Rs'!$W18,0))</f>
        <v>0</v>
      </c>
      <c r="H51" s="56">
        <f>IF('A&amp;Rs'!$R18="","",IF(AND(H$23&gt;='A&amp;Rs'!$V18,H$23&lt;'A&amp;Rs'!$X18),-'A&amp;Rs'!$Z18/'A&amp;Rs'!$W18,0))</f>
        <v>0</v>
      </c>
      <c r="I51" s="56">
        <f>IF('A&amp;Rs'!$R18="","",IF(AND(I$23&gt;='A&amp;Rs'!$V18,I$23&lt;'A&amp;Rs'!$X18),-'A&amp;Rs'!$Z18/'A&amp;Rs'!$W18,0))</f>
        <v>0</v>
      </c>
      <c r="J51" s="56">
        <f>IF('A&amp;Rs'!$R18="","",IF(AND(J$23&gt;='A&amp;Rs'!$V18,J$23&lt;'A&amp;Rs'!$X18),-'A&amp;Rs'!$Z18/'A&amp;Rs'!$W18,0))</f>
        <v>0</v>
      </c>
      <c r="K51" s="56">
        <f>IF('A&amp;Rs'!$R18="","",IF(AND(K$23&gt;='A&amp;Rs'!$V18,K$23&lt;'A&amp;Rs'!$X18),-'A&amp;Rs'!$Z18/'A&amp;Rs'!$W18,0))</f>
        <v>0</v>
      </c>
      <c r="L51" s="56">
        <f>IF('A&amp;Rs'!$R18="","",IF(AND(L$23&gt;='A&amp;Rs'!$V18,L$23&lt;'A&amp;Rs'!$X18),-'A&amp;Rs'!$Z18/'A&amp;Rs'!$W18,0))</f>
        <v>0</v>
      </c>
      <c r="M51" s="56">
        <f>IF('A&amp;Rs'!$R18="","",IF(AND(M$23&gt;='A&amp;Rs'!$V18,M$23&lt;'A&amp;Rs'!$X18),-'A&amp;Rs'!$Z18/'A&amp;Rs'!$W18,0))</f>
        <v>0</v>
      </c>
      <c r="N51" s="56">
        <f>IF('A&amp;Rs'!$R18="","",IF(AND(N$23&gt;='A&amp;Rs'!$V18,N$23&lt;'A&amp;Rs'!$X18),-'A&amp;Rs'!$Z18/'A&amp;Rs'!$W18,0))</f>
        <v>-3737.5</v>
      </c>
      <c r="O51" s="56">
        <f>IF('A&amp;Rs'!$R18="","",IF(AND(O$23&gt;='A&amp;Rs'!$V18,O$23&lt;'A&amp;Rs'!$X18),-'A&amp;Rs'!$Z18/'A&amp;Rs'!$W18,0))</f>
        <v>-3737.5</v>
      </c>
      <c r="P51" s="56">
        <f>IF('A&amp;Rs'!$R18="","",IF(AND(P$23&gt;='A&amp;Rs'!$V18,P$23&lt;'A&amp;Rs'!$X18),-'A&amp;Rs'!$Z18/'A&amp;Rs'!$W18,0))</f>
        <v>-3737.5</v>
      </c>
      <c r="Q51" s="56">
        <f>IF('A&amp;Rs'!$R18="","",IF(AND(Q$23&gt;='A&amp;Rs'!$V18,Q$23&lt;'A&amp;Rs'!$X18),-'A&amp;Rs'!$Z18/'A&amp;Rs'!$W18,0))</f>
        <v>-3737.5</v>
      </c>
      <c r="R51" s="56">
        <f>IF('A&amp;Rs'!$R18="","",IF(AND(R$23&gt;='A&amp;Rs'!$V18,R$23&lt;'A&amp;Rs'!$X18),-'A&amp;Rs'!$Z18/'A&amp;Rs'!$W18,0))</f>
        <v>0</v>
      </c>
      <c r="S51" s="56">
        <f>IF('A&amp;Rs'!$R18="","",IF(AND(S$23&gt;='A&amp;Rs'!$V18,S$23&lt;'A&amp;Rs'!$X18),-'A&amp;Rs'!$Z18/'A&amp;Rs'!$W18,0))</f>
        <v>0</v>
      </c>
      <c r="T51" s="56">
        <f>IF('A&amp;Rs'!$R18="","",IF(AND(T$23&gt;='A&amp;Rs'!$V18,T$23&lt;'A&amp;Rs'!$X18),-'A&amp;Rs'!$Z18/'A&amp;Rs'!$W18,0))</f>
        <v>0</v>
      </c>
      <c r="U51" s="56">
        <f>IF('A&amp;Rs'!$R18="","",IF(AND(U$23&gt;='A&amp;Rs'!$V18,U$23&lt;'A&amp;Rs'!$X18),-'A&amp;Rs'!$Z18/'A&amp;Rs'!$W18,0))</f>
        <v>0</v>
      </c>
      <c r="V51" s="56">
        <f>IF('A&amp;Rs'!$R18="","",IF(AND(V$23&gt;='A&amp;Rs'!$V18,V$23&lt;'A&amp;Rs'!$X18),-'A&amp;Rs'!$Z18/'A&amp;Rs'!$W18,0))</f>
        <v>0</v>
      </c>
      <c r="W51" s="56">
        <f>IF('A&amp;Rs'!$R18="","",IF(AND(W$23&gt;='A&amp;Rs'!$V18,W$23&lt;'A&amp;Rs'!$X18),-'A&amp;Rs'!$Z18/'A&amp;Rs'!$W18,0))</f>
        <v>0</v>
      </c>
      <c r="X51" s="56">
        <f>IF('A&amp;Rs'!$R18="","",IF(AND(X$23&gt;='A&amp;Rs'!$V18,X$23&lt;'A&amp;Rs'!$X18),-'A&amp;Rs'!$Z18/'A&amp;Rs'!$W18,0))</f>
        <v>0</v>
      </c>
      <c r="Y51" s="56">
        <f>IF('A&amp;Rs'!$R18="","",IF(AND(Y$23&gt;='A&amp;Rs'!$V18,Y$23&lt;'A&amp;Rs'!$X18),-'A&amp;Rs'!$Z18/'A&amp;Rs'!$W18,0))</f>
        <v>0</v>
      </c>
      <c r="Z51" s="56">
        <f>IF('A&amp;Rs'!$R18="","",IF(AND(Z$23&gt;='A&amp;Rs'!$V18,Z$23&lt;'A&amp;Rs'!$X18),-'A&amp;Rs'!$Z18/'A&amp;Rs'!$W18,0))</f>
        <v>0</v>
      </c>
      <c r="AA51" s="56">
        <f>IF('A&amp;Rs'!$R18="","",IF(AND(AA$23&gt;='A&amp;Rs'!$V18,AA$23&lt;'A&amp;Rs'!$X18),-'A&amp;Rs'!$Z18/'A&amp;Rs'!$W18,0))</f>
        <v>0</v>
      </c>
      <c r="AB51" s="56">
        <f>IF('A&amp;Rs'!$R18="","",IF(AND(AB$23&gt;='A&amp;Rs'!$V18,AB$23&lt;'A&amp;Rs'!$X18),-'A&amp;Rs'!$Z18/'A&amp;Rs'!$W18,0))</f>
        <v>0</v>
      </c>
      <c r="AC51" s="56">
        <f>IF('A&amp;Rs'!$R18="","",IF(AND(AC$23&gt;='A&amp;Rs'!$V18,AC$23&lt;'A&amp;Rs'!$X18),-'A&amp;Rs'!$Z18/'A&amp;Rs'!$W18,0))</f>
        <v>0</v>
      </c>
      <c r="AD51" s="56">
        <f>IF('A&amp;Rs'!$R18="","",IF(AND(AD$23&gt;='A&amp;Rs'!$V18,AD$23&lt;'A&amp;Rs'!$X18),-'A&amp;Rs'!$Z18/'A&amp;Rs'!$W18,0))</f>
        <v>0</v>
      </c>
      <c r="AE51" s="56">
        <f>IF('A&amp;Rs'!$R18="","",IF(AND(AE$23&gt;='A&amp;Rs'!$V18,AE$23&lt;'A&amp;Rs'!$X18),-'A&amp;Rs'!$Z18/'A&amp;Rs'!$W18,0))</f>
        <v>0</v>
      </c>
      <c r="AF51" s="56">
        <f>IF('A&amp;Rs'!$R18="","",IF(AND(AF$23&gt;='A&amp;Rs'!$V18,AF$23&lt;'A&amp;Rs'!$X18),-'A&amp;Rs'!$Z18/'A&amp;Rs'!$W18,0))</f>
        <v>0</v>
      </c>
      <c r="AG51" s="56">
        <f>IF('A&amp;Rs'!$R18="","",IF(AND(AG$23&gt;='A&amp;Rs'!$V18,AG$23&lt;'A&amp;Rs'!$X18),-'A&amp;Rs'!$Z18/'A&amp;Rs'!$W18,0))</f>
        <v>0</v>
      </c>
      <c r="AH51" s="56">
        <f>IF('A&amp;Rs'!$R18="","",IF(AND(AH$23&gt;='A&amp;Rs'!$V18,AH$23&lt;'A&amp;Rs'!$X18),-'A&amp;Rs'!$Z18/'A&amp;Rs'!$W18,0))</f>
        <v>0</v>
      </c>
      <c r="AI51" s="56">
        <f>IF('A&amp;Rs'!$R18="","",IF(AND(AI$23&gt;='A&amp;Rs'!$V18,AI$23&lt;'A&amp;Rs'!$X18),-'A&amp;Rs'!$Z18/'A&amp;Rs'!$W18,0))</f>
        <v>0</v>
      </c>
      <c r="AJ51" s="56">
        <f>IF('A&amp;Rs'!$R18="","",IF(AND(AJ$23&gt;='A&amp;Rs'!$V18,AJ$23&lt;'A&amp;Rs'!$X18),-'A&amp;Rs'!$Z18/'A&amp;Rs'!$W18,0))</f>
        <v>0</v>
      </c>
      <c r="AK51" s="56">
        <f>IF('A&amp;Rs'!$R18="","",IF(AND(AK$23&gt;='A&amp;Rs'!$V18,AK$23&lt;'A&amp;Rs'!$X18),-'A&amp;Rs'!$Z18/'A&amp;Rs'!$W18,0))</f>
        <v>0</v>
      </c>
      <c r="AL51" s="56">
        <f>IF('A&amp;Rs'!$R18="","",IF(AND(AL$23&gt;='A&amp;Rs'!$V18,AL$23&lt;'A&amp;Rs'!$X18),-'A&amp;Rs'!$Z18/'A&amp;Rs'!$W18,0))</f>
        <v>0</v>
      </c>
      <c r="AM51" s="56">
        <f>IF('A&amp;Rs'!$R18="","",IF(AND(AM$23&gt;='A&amp;Rs'!$V18,AM$23&lt;'A&amp;Rs'!$X18),-'A&amp;Rs'!$Z18/'A&amp;Rs'!$W18,0))</f>
        <v>0</v>
      </c>
      <c r="AN51" s="56">
        <f>IF('A&amp;Rs'!$R18="","",IF(AND(AN$23&gt;='A&amp;Rs'!$V18,AN$23&lt;'A&amp;Rs'!$X18),-'A&amp;Rs'!$Z18/'A&amp;Rs'!$W18,0))</f>
        <v>0</v>
      </c>
      <c r="AO51" s="56">
        <f>IF('A&amp;Rs'!$R18="","",IF(AND(AO$23&gt;='A&amp;Rs'!$V18,AO$23&lt;'A&amp;Rs'!$X18),-'A&amp;Rs'!$Z18/'A&amp;Rs'!$W18,0))</f>
        <v>0</v>
      </c>
      <c r="AP51" s="56">
        <f>IF('A&amp;Rs'!$R18="","",IF(AND(AP$23&gt;='A&amp;Rs'!$V18,AP$23&lt;'A&amp;Rs'!$X18),-'A&amp;Rs'!$Z18/'A&amp;Rs'!$W18,0))</f>
        <v>0</v>
      </c>
      <c r="AQ51" s="56">
        <f>IF('A&amp;Rs'!$R18="","",IF(AND(AQ$23&gt;='A&amp;Rs'!$V18,AQ$23&lt;'A&amp;Rs'!$X18),-'A&amp;Rs'!$Z18/'A&amp;Rs'!$W18,0))</f>
        <v>0</v>
      </c>
      <c r="AR51" s="56">
        <f>IF('A&amp;Rs'!$R18="","",IF(AND(AR$23&gt;='A&amp;Rs'!$V18,AR$23&lt;'A&amp;Rs'!$X18),-'A&amp;Rs'!$Z18/'A&amp;Rs'!$W18,0))</f>
        <v>0</v>
      </c>
      <c r="AS51" s="56">
        <f>IF('A&amp;Rs'!$R18="","",IF(AND(AS$23&gt;='A&amp;Rs'!$V18,AS$23&lt;'A&amp;Rs'!$X18),-'A&amp;Rs'!$Z18/'A&amp;Rs'!$W18,0))</f>
        <v>0</v>
      </c>
      <c r="AT51" s="56">
        <f>IF('A&amp;Rs'!$R18="","",IF(AND(AT$23&gt;='A&amp;Rs'!$V18,AT$23&lt;'A&amp;Rs'!$X18),-'A&amp;Rs'!$Z18/'A&amp;Rs'!$W18,0))</f>
        <v>0</v>
      </c>
      <c r="AU51" s="56">
        <f>IF('A&amp;Rs'!$R18="","",IF(AND(AU$23&gt;='A&amp;Rs'!$V18,AU$23&lt;'A&amp;Rs'!$X18),-'A&amp;Rs'!$Z18/'A&amp;Rs'!$W18,0))</f>
        <v>0</v>
      </c>
      <c r="AV51" s="56">
        <f>IF('A&amp;Rs'!$R18="","",IF(AND(AV$23&gt;='A&amp;Rs'!$V18,AV$23&lt;'A&amp;Rs'!$X18),-'A&amp;Rs'!$Z18/'A&amp;Rs'!$W18,0))</f>
        <v>0</v>
      </c>
      <c r="AW51" s="56">
        <f>IF('A&amp;Rs'!$R18="","",IF(AND(AW$23&gt;='A&amp;Rs'!$V18,AW$23&lt;'A&amp;Rs'!$X18),-'A&amp;Rs'!$Z18/'A&amp;Rs'!$W18,0))</f>
        <v>0</v>
      </c>
      <c r="AX51" s="56">
        <f>IF('A&amp;Rs'!$R18="","",IF(AND(AX$23&gt;='A&amp;Rs'!$V18,AX$23&lt;'A&amp;Rs'!$X18),-'A&amp;Rs'!$Z18/'A&amp;Rs'!$W18,0))</f>
        <v>0</v>
      </c>
      <c r="AY51" s="56">
        <f>IF('A&amp;Rs'!$R18="","",IF(AND(AY$23&gt;='A&amp;Rs'!$V18,AY$23&lt;'A&amp;Rs'!$X18),-'A&amp;Rs'!$Z18/'A&amp;Rs'!$W18,0))</f>
        <v>0</v>
      </c>
      <c r="AZ51" s="56">
        <f>IF('A&amp;Rs'!$R18="","",IF(AND(AZ$23&gt;='A&amp;Rs'!$V18,AZ$23&lt;'A&amp;Rs'!$X18),-'A&amp;Rs'!$Z18/'A&amp;Rs'!$W18,0))</f>
        <v>0</v>
      </c>
      <c r="BA51" s="56">
        <f>IF('A&amp;Rs'!$R18="","",IF(AND(BA$23&gt;='A&amp;Rs'!$V18,BA$23&lt;'A&amp;Rs'!$X18),-'A&amp;Rs'!$Z18/'A&amp;Rs'!$W18,0))</f>
        <v>0</v>
      </c>
      <c r="BB51" s="56">
        <f>IF('A&amp;Rs'!$R18="","",IF(AND(BB$23&gt;='A&amp;Rs'!$V18,BB$23&lt;'A&amp;Rs'!$X18),-'A&amp;Rs'!$Z18/'A&amp;Rs'!$W18,0))</f>
        <v>0</v>
      </c>
      <c r="BC51" s="56">
        <f>IF('A&amp;Rs'!$R18="","",IF(AND(BC$23&gt;='A&amp;Rs'!$V18,BC$23&lt;'A&amp;Rs'!$X18),-'A&amp;Rs'!$Z18/'A&amp;Rs'!$W18,0))</f>
        <v>0</v>
      </c>
      <c r="BD51" s="56">
        <f>IF('A&amp;Rs'!$R18="","",IF(AND(BD$23&gt;='A&amp;Rs'!$V18,BD$23&lt;'A&amp;Rs'!$X18),-'A&amp;Rs'!$Z18/'A&amp;Rs'!$W18,0))</f>
        <v>0</v>
      </c>
      <c r="BE51" s="56">
        <f>IF('A&amp;Rs'!$R18="","",IF(AND(BE$23&gt;='A&amp;Rs'!$V18,BE$23&lt;'A&amp;Rs'!$X18),-'A&amp;Rs'!$Z18/'A&amp;Rs'!$W18,0))</f>
        <v>0</v>
      </c>
      <c r="BF51" s="56">
        <f>IF('A&amp;Rs'!$R18="","",IF(AND(BF$23&gt;='A&amp;Rs'!$V18,BF$23&lt;'A&amp;Rs'!$X18),-'A&amp;Rs'!$Z18/'A&amp;Rs'!$W18,0))</f>
        <v>0</v>
      </c>
      <c r="BG51" s="56">
        <f>IF('A&amp;Rs'!$R18="","",IF(AND(BG$23&gt;='A&amp;Rs'!$V18,BG$23&lt;'A&amp;Rs'!$X18),-'A&amp;Rs'!$Z18/'A&amp;Rs'!$W18,0))</f>
        <v>0</v>
      </c>
      <c r="BH51" s="56">
        <f>IF('A&amp;Rs'!$R18="","",IF(AND(BH$23&gt;='A&amp;Rs'!$V18,BH$23&lt;'A&amp;Rs'!$X18),-'A&amp;Rs'!$Z18/'A&amp;Rs'!$W18,0))</f>
        <v>0</v>
      </c>
      <c r="BI51" s="56">
        <f>IF('A&amp;Rs'!$R18="","",IF(AND(BI$23&gt;='A&amp;Rs'!$V18,BI$23&lt;'A&amp;Rs'!$X18),-'A&amp;Rs'!$Z18/'A&amp;Rs'!$W18,0))</f>
        <v>0</v>
      </c>
      <c r="BJ51" s="56">
        <f>IF('A&amp;Rs'!$R18="","",IF(AND(BJ$23&gt;='A&amp;Rs'!$V18,BJ$23&lt;'A&amp;Rs'!$X18),-'A&amp;Rs'!$Z18/'A&amp;Rs'!$W18,0))</f>
        <v>0</v>
      </c>
      <c r="BK51" s="56">
        <f>IF('A&amp;Rs'!$R18="","",IF(AND(BK$23&gt;='A&amp;Rs'!$V18,BK$23&lt;'A&amp;Rs'!$X18),-'A&amp;Rs'!$Z18/'A&amp;Rs'!$W18,0))</f>
        <v>0</v>
      </c>
      <c r="BL51" s="56">
        <f>IF('A&amp;Rs'!$R18="","",IF(AND(BL$23&gt;='A&amp;Rs'!$V18,BL$23&lt;'A&amp;Rs'!$X18),-'A&amp;Rs'!$Z18/'A&amp;Rs'!$W18,0))</f>
        <v>0</v>
      </c>
      <c r="BM51" s="56">
        <f>IF('A&amp;Rs'!$R18="","",IF(AND(BM$23&gt;='A&amp;Rs'!$V18,BM$23&lt;'A&amp;Rs'!$X18),-'A&amp;Rs'!$Z18/'A&amp;Rs'!$W18,0))</f>
        <v>0</v>
      </c>
      <c r="BN51" s="56">
        <f>IF('A&amp;Rs'!$R18="","",IF(AND(BN$23&gt;='A&amp;Rs'!$V18,BN$23&lt;'A&amp;Rs'!$X18),-'A&amp;Rs'!$Z18/'A&amp;Rs'!$W18,0))</f>
        <v>0</v>
      </c>
      <c r="BO51" s="56">
        <f>IF('A&amp;Rs'!$R18="","",IF(AND(BO$23&gt;='A&amp;Rs'!$V18,BO$23&lt;'A&amp;Rs'!$X18),-'A&amp;Rs'!$Z18/'A&amp;Rs'!$W18,0))</f>
        <v>0</v>
      </c>
      <c r="BP51" s="56">
        <f>IF('A&amp;Rs'!$R18="","",IF(AND(BP$23&gt;='A&amp;Rs'!$V18,BP$23&lt;'A&amp;Rs'!$X18),-'A&amp;Rs'!$Z18/'A&amp;Rs'!$W18,0))</f>
        <v>0</v>
      </c>
      <c r="BQ51" s="56">
        <f>IF('A&amp;Rs'!$R18="","",IF(AND(BQ$23&gt;='A&amp;Rs'!$V18,BQ$23&lt;'A&amp;Rs'!$X18),-'A&amp;Rs'!$Z18/'A&amp;Rs'!$W18,0))</f>
        <v>0</v>
      </c>
      <c r="BR51" s="56">
        <f>IF('A&amp;Rs'!$R18="","",IF(AND(BR$23&gt;='A&amp;Rs'!$V18,BR$23&lt;'A&amp;Rs'!$X18),-'A&amp;Rs'!$Z18/'A&amp;Rs'!$W18,0))</f>
        <v>0</v>
      </c>
      <c r="BS51" s="56">
        <f>IF('A&amp;Rs'!$R18="","",IF(AND(BS$23&gt;='A&amp;Rs'!$V18,BS$23&lt;'A&amp;Rs'!$X18),-'A&amp;Rs'!$Z18/'A&amp;Rs'!$W18,0))</f>
        <v>0</v>
      </c>
      <c r="BT51" s="56">
        <f>IF('A&amp;Rs'!$R18="","",IF(AND(BT$23&gt;='A&amp;Rs'!$V18,BT$23&lt;'A&amp;Rs'!$X18),-'A&amp;Rs'!$Z18/'A&amp;Rs'!$W18,0))</f>
        <v>0</v>
      </c>
      <c r="BU51" s="56">
        <f>IF('A&amp;Rs'!$R18="","",IF(AND(BU$23&gt;='A&amp;Rs'!$V18,BU$23&lt;'A&amp;Rs'!$X18),-'A&amp;Rs'!$Z18/'A&amp;Rs'!$W18,0))</f>
        <v>0</v>
      </c>
      <c r="BV51" s="56">
        <f>IF('A&amp;Rs'!$R18="","",IF(AND(BV$23&gt;='A&amp;Rs'!$V18,BV$23&lt;'A&amp;Rs'!$X18),-'A&amp;Rs'!$Z18/'A&amp;Rs'!$W18,0))</f>
        <v>0</v>
      </c>
      <c r="BW51" s="56">
        <f>IF('A&amp;Rs'!$R18="","",IF(AND(BW$23&gt;='A&amp;Rs'!$V18,BW$23&lt;'A&amp;Rs'!$X18),-'A&amp;Rs'!$Z18/'A&amp;Rs'!$W18,0))</f>
        <v>0</v>
      </c>
      <c r="BX51" s="56">
        <f>IF('A&amp;Rs'!$R18="","",IF(AND(BX$23&gt;='A&amp;Rs'!$V18,BX$23&lt;'A&amp;Rs'!$X18),-'A&amp;Rs'!$Z18/'A&amp;Rs'!$W18,0))</f>
        <v>0</v>
      </c>
      <c r="BY51" s="56">
        <f>IF('A&amp;Rs'!$R18="","",IF(AND(BY$23&gt;='A&amp;Rs'!$V18,BY$23&lt;'A&amp;Rs'!$X18),-'A&amp;Rs'!$Z18/'A&amp;Rs'!$W18,0))</f>
        <v>0</v>
      </c>
      <c r="BZ51" s="56">
        <f>IF('A&amp;Rs'!$R18="","",IF(AND(BZ$23&gt;='A&amp;Rs'!$V18,BZ$23&lt;'A&amp;Rs'!$X18),-'A&amp;Rs'!$Z18/'A&amp;Rs'!$W18,0))</f>
        <v>0</v>
      </c>
      <c r="CA51" s="56">
        <f>IF('A&amp;Rs'!$R18="","",IF(AND(CA$23&gt;='A&amp;Rs'!$V18,CA$23&lt;'A&amp;Rs'!$X18),-'A&amp;Rs'!$Z18/'A&amp;Rs'!$W18,0))</f>
        <v>0</v>
      </c>
      <c r="CB51" s="56">
        <f>IF('A&amp;Rs'!$R18="","",IF(AND(CB$23&gt;='A&amp;Rs'!$V18,CB$23&lt;'A&amp;Rs'!$X18),-'A&amp;Rs'!$Z18/'A&amp;Rs'!$W18,0))</f>
        <v>0</v>
      </c>
      <c r="CC51" s="56">
        <f>IF('A&amp;Rs'!$R18="","",IF(AND(CC$23&gt;='A&amp;Rs'!$V18,CC$23&lt;'A&amp;Rs'!$X18),-'A&amp;Rs'!$Z18/'A&amp;Rs'!$W18,0))</f>
        <v>0</v>
      </c>
      <c r="CD51" s="56">
        <f>IF('A&amp;Rs'!$R18="","",IF(AND(CD$23&gt;='A&amp;Rs'!$V18,CD$23&lt;'A&amp;Rs'!$X18),-'A&amp;Rs'!$Z18/'A&amp;Rs'!$W18,0))</f>
        <v>0</v>
      </c>
      <c r="CE51" s="56">
        <f>IF('A&amp;Rs'!$R18="","",IF(AND(CE$23&gt;='A&amp;Rs'!$V18,CE$23&lt;'A&amp;Rs'!$X18),-'A&amp;Rs'!$Z18/'A&amp;Rs'!$W18,0))</f>
        <v>0</v>
      </c>
      <c r="CF51" s="56">
        <f>IF('A&amp;Rs'!$R18="","",IF(AND(CF$23&gt;='A&amp;Rs'!$V18,CF$23&lt;'A&amp;Rs'!$X18),-'A&amp;Rs'!$Z18/'A&amp;Rs'!$W18,0))</f>
        <v>0</v>
      </c>
      <c r="CG51" s="56">
        <f>IF('A&amp;Rs'!$R18="","",IF(AND(CG$23&gt;='A&amp;Rs'!$V18,CG$23&lt;'A&amp;Rs'!$X18),-'A&amp;Rs'!$Z18/'A&amp;Rs'!$W18,0))</f>
        <v>0</v>
      </c>
      <c r="CH51" s="56">
        <f>IF('A&amp;Rs'!$R18="","",IF(AND(CH$23&gt;='A&amp;Rs'!$V18,CH$23&lt;'A&amp;Rs'!$X18),-'A&amp;Rs'!$Z18/'A&amp;Rs'!$W18,0))</f>
        <v>0</v>
      </c>
      <c r="CI51" s="56">
        <f>IF('A&amp;Rs'!$R18="","",IF(AND(CI$23&gt;='A&amp;Rs'!$V18,CI$23&lt;'A&amp;Rs'!$X18),-'A&amp;Rs'!$Z18/'A&amp;Rs'!$W18,0))</f>
        <v>0</v>
      </c>
      <c r="CJ51" s="56">
        <f>IF('A&amp;Rs'!$R18="","",IF(AND(CJ$23&gt;='A&amp;Rs'!$V18,CJ$23&lt;'A&amp;Rs'!$X18),-'A&amp;Rs'!$Z18/'A&amp;Rs'!$W18,0))</f>
        <v>0</v>
      </c>
      <c r="CK51" s="56">
        <f>IF('A&amp;Rs'!$R18="","",IF(AND(CK$23&gt;='A&amp;Rs'!$V18,CK$23&lt;'A&amp;Rs'!$X18),-'A&amp;Rs'!$Z18/'A&amp;Rs'!$W18,0))</f>
        <v>0</v>
      </c>
      <c r="CL51" s="56">
        <f>IF('A&amp;Rs'!$R18="","",IF(AND(CL$23&gt;='A&amp;Rs'!$V18,CL$23&lt;'A&amp;Rs'!$X18),-'A&amp;Rs'!$Z18/'A&amp;Rs'!$W18,0))</f>
        <v>0</v>
      </c>
      <c r="CM51" s="56">
        <f>IF('A&amp;Rs'!$R18="","",IF(AND(CM$23&gt;='A&amp;Rs'!$V18,CM$23&lt;'A&amp;Rs'!$X18),-'A&amp;Rs'!$Z18/'A&amp;Rs'!$W18,0))</f>
        <v>0</v>
      </c>
      <c r="CN51" s="56">
        <f>IF('A&amp;Rs'!$R18="","",IF(AND(CN$23&gt;='A&amp;Rs'!$V18,CN$23&lt;'A&amp;Rs'!$X18),-'A&amp;Rs'!$Z18/'A&amp;Rs'!$W18,0))</f>
        <v>0</v>
      </c>
      <c r="CO51" s="56">
        <f>IF('A&amp;Rs'!$R18="","",IF(AND(CO$23&gt;='A&amp;Rs'!$V18,CO$23&lt;'A&amp;Rs'!$X18),-'A&amp;Rs'!$Z18/'A&amp;Rs'!$W18,0))</f>
        <v>0</v>
      </c>
      <c r="CP51" s="56">
        <f>IF('A&amp;Rs'!$R18="","",IF(AND(CP$23&gt;='A&amp;Rs'!$V18,CP$23&lt;'A&amp;Rs'!$X18),-'A&amp;Rs'!$Z18/'A&amp;Rs'!$W18,0))</f>
        <v>0</v>
      </c>
      <c r="CQ51" s="56">
        <f>IF('A&amp;Rs'!$R18="","",IF(AND(CQ$23&gt;='A&amp;Rs'!$V18,CQ$23&lt;'A&amp;Rs'!$X18),-'A&amp;Rs'!$Z18/'A&amp;Rs'!$W18,0))</f>
        <v>0</v>
      </c>
      <c r="CR51" s="56">
        <f>IF('A&amp;Rs'!$R18="","",IF(AND(CR$23&gt;='A&amp;Rs'!$V18,CR$23&lt;'A&amp;Rs'!$X18),-'A&amp;Rs'!$Z18/'A&amp;Rs'!$W18,0))</f>
        <v>0</v>
      </c>
      <c r="CS51" s="56">
        <f>IF('A&amp;Rs'!$R18="","",IF(AND(CS$23&gt;='A&amp;Rs'!$V18,CS$23&lt;'A&amp;Rs'!$X18),-'A&amp;Rs'!$Z18/'A&amp;Rs'!$W18,0))</f>
        <v>0</v>
      </c>
      <c r="CT51" s="56">
        <f>IF('A&amp;Rs'!$R18="","",IF(AND(CT$23&gt;='A&amp;Rs'!$V18,CT$23&lt;'A&amp;Rs'!$X18),-'A&amp;Rs'!$Z18/'A&amp;Rs'!$W18,0))</f>
        <v>0</v>
      </c>
      <c r="CU51" s="56">
        <f>IF('A&amp;Rs'!$R18="","",IF(AND(CU$23&gt;='A&amp;Rs'!$V18,CU$23&lt;'A&amp;Rs'!$X18),-'A&amp;Rs'!$Z18/'A&amp;Rs'!$W18,0))</f>
        <v>0</v>
      </c>
      <c r="CV51" s="56">
        <f>IF('A&amp;Rs'!$R18="","",IF(AND(CV$23&gt;='A&amp;Rs'!$V18,CV$23&lt;'A&amp;Rs'!$X18),-'A&amp;Rs'!$Z18/'A&amp;Rs'!$W18,0))</f>
        <v>0</v>
      </c>
      <c r="CW51" s="56">
        <f>IF('A&amp;Rs'!$R18="","",IF(AND(CW$23&gt;='A&amp;Rs'!$V18,CW$23&lt;'A&amp;Rs'!$X18),-'A&amp;Rs'!$Z18/'A&amp;Rs'!$W18,0))</f>
        <v>0</v>
      </c>
      <c r="CX51" s="56">
        <f>IF('A&amp;Rs'!$R18="","",IF(AND(CX$23&gt;='A&amp;Rs'!$V18,CX$23&lt;'A&amp;Rs'!$X18),-'A&amp;Rs'!$Z18/'A&amp;Rs'!$W18,0))</f>
        <v>0</v>
      </c>
      <c r="CY51" s="56">
        <f>IF('A&amp;Rs'!$R18="","",IF(AND(CY$23&gt;='A&amp;Rs'!$V18,CY$23&lt;'A&amp;Rs'!$X18),-'A&amp;Rs'!$Z18/'A&amp;Rs'!$W18,0))</f>
        <v>0</v>
      </c>
      <c r="CZ51" s="56">
        <f>IF('A&amp;Rs'!$R18="","",IF(AND(CZ$23&gt;='A&amp;Rs'!$V18,CZ$23&lt;'A&amp;Rs'!$X18),-'A&amp;Rs'!$Z18/'A&amp;Rs'!$W18,0))</f>
        <v>0</v>
      </c>
      <c r="DA51" s="56">
        <f>IF('A&amp;Rs'!$R18="","",IF(AND(DA$23&gt;='A&amp;Rs'!$V18,DA$23&lt;'A&amp;Rs'!$X18),-'A&amp;Rs'!$Z18/'A&amp;Rs'!$W18,0))</f>
        <v>0</v>
      </c>
      <c r="DB51" s="56">
        <f>IF('A&amp;Rs'!$R18="","",IF(AND(DB$23&gt;='A&amp;Rs'!$V18,DB$23&lt;'A&amp;Rs'!$X18),-'A&amp;Rs'!$Z18/'A&amp;Rs'!$W18,0))</f>
        <v>0</v>
      </c>
      <c r="DC51" s="56">
        <f>IF('A&amp;Rs'!$R18="","",IF(AND(DC$23&gt;='A&amp;Rs'!$V18,DC$23&lt;'A&amp;Rs'!$X18),-'A&amp;Rs'!$Z18/'A&amp;Rs'!$W18,0))</f>
        <v>0</v>
      </c>
      <c r="DD51" s="56">
        <f>IF('A&amp;Rs'!$R18="","",IF(AND(DD$23&gt;='A&amp;Rs'!$V18,DD$23&lt;'A&amp;Rs'!$X18),-'A&amp;Rs'!$Z18/'A&amp;Rs'!$W18,0))</f>
        <v>0</v>
      </c>
      <c r="DE51" s="56">
        <f>IF('A&amp;Rs'!$R18="","",IF(AND(DE$23&gt;='A&amp;Rs'!$V18,DE$23&lt;'A&amp;Rs'!$X18),-'A&amp;Rs'!$Z18/'A&amp;Rs'!$W18,0))</f>
        <v>0</v>
      </c>
      <c r="DF51" s="56">
        <f>IF('A&amp;Rs'!$R18="","",IF(AND(DF$23&gt;='A&amp;Rs'!$V18,DF$23&lt;'A&amp;Rs'!$X18),-'A&amp;Rs'!$Z18/'A&amp;Rs'!$W18,0))</f>
        <v>0</v>
      </c>
      <c r="DG51" s="56">
        <f>IF('A&amp;Rs'!$R18="","",IF(AND(DG$23&gt;='A&amp;Rs'!$V18,DG$23&lt;'A&amp;Rs'!$X18),-'A&amp;Rs'!$Z18/'A&amp;Rs'!$W18,0))</f>
        <v>0</v>
      </c>
      <c r="DH51" s="56">
        <f>IF('A&amp;Rs'!$R18="","",IF(AND(DH$23&gt;='A&amp;Rs'!$V18,DH$23&lt;'A&amp;Rs'!$X18),-'A&amp;Rs'!$Z18/'A&amp;Rs'!$W18,0))</f>
        <v>0</v>
      </c>
      <c r="DI51" s="56">
        <f>IF('A&amp;Rs'!$R18="","",IF(AND(DI$23&gt;='A&amp;Rs'!$V18,DI$23&lt;'A&amp;Rs'!$X18),-'A&amp;Rs'!$Z18/'A&amp;Rs'!$W18,0))</f>
        <v>0</v>
      </c>
      <c r="DJ51" s="56">
        <f>IF('A&amp;Rs'!$R18="","",IF(AND(DJ$23&gt;='A&amp;Rs'!$V18,DJ$23&lt;'A&amp;Rs'!$X18),-'A&amp;Rs'!$Z18/'A&amp;Rs'!$W18,0))</f>
        <v>0</v>
      </c>
      <c r="DK51" s="56">
        <f>IF('A&amp;Rs'!$R18="","",IF(AND(DK$23&gt;='A&amp;Rs'!$V18,DK$23&lt;'A&amp;Rs'!$X18),-'A&amp;Rs'!$Z18/'A&amp;Rs'!$W18,0))</f>
        <v>0</v>
      </c>
      <c r="DL51" s="56">
        <f>IF('A&amp;Rs'!$R18="","",IF(AND(DL$23&gt;='A&amp;Rs'!$V18,DL$23&lt;'A&amp;Rs'!$X18),-'A&amp;Rs'!$Z18/'A&amp;Rs'!$W18,0))</f>
        <v>0</v>
      </c>
      <c r="DM51" s="56">
        <f>IF('A&amp;Rs'!$R18="","",IF(AND(DM$23&gt;='A&amp;Rs'!$V18,DM$23&lt;'A&amp;Rs'!$X18),-'A&amp;Rs'!$Z18/'A&amp;Rs'!$W18,0))</f>
        <v>0</v>
      </c>
      <c r="DN51" s="56">
        <f>IF('A&amp;Rs'!$R18="","",IF(AND(DN$23&gt;='A&amp;Rs'!$V18,DN$23&lt;'A&amp;Rs'!$X18),-'A&amp;Rs'!$Z18/'A&amp;Rs'!$W18,0))</f>
        <v>0</v>
      </c>
      <c r="DO51" s="56">
        <f>IF('A&amp;Rs'!$R18="","",IF(AND(DO$23&gt;='A&amp;Rs'!$V18,DO$23&lt;'A&amp;Rs'!$X18),-'A&amp;Rs'!$Z18/'A&amp;Rs'!$W18,0))</f>
        <v>0</v>
      </c>
      <c r="DP51" s="56">
        <f>IF('A&amp;Rs'!$R18="","",IF(AND(DP$23&gt;='A&amp;Rs'!$V18,DP$23&lt;'A&amp;Rs'!$X18),-'A&amp;Rs'!$Z18/'A&amp;Rs'!$W18,0))</f>
        <v>0</v>
      </c>
      <c r="DQ51" s="56">
        <f>IF('A&amp;Rs'!$R18="","",IF(AND(DQ$23&gt;='A&amp;Rs'!$V18,DQ$23&lt;'A&amp;Rs'!$X18),-'A&amp;Rs'!$Z18/'A&amp;Rs'!$W18,0))</f>
        <v>0</v>
      </c>
      <c r="DR51" s="56">
        <f>IF('A&amp;Rs'!$R18="","",IF(AND(DR$23&gt;='A&amp;Rs'!$V18,DR$23&lt;'A&amp;Rs'!$X18),-'A&amp;Rs'!$Z18/'A&amp;Rs'!$W18,0))</f>
        <v>0</v>
      </c>
      <c r="DS51" s="56">
        <f>IF('A&amp;Rs'!$R18="","",IF(AND(DS$23&gt;='A&amp;Rs'!$V18,DS$23&lt;'A&amp;Rs'!$X18),-'A&amp;Rs'!$Z18/'A&amp;Rs'!$W18,0))</f>
        <v>0</v>
      </c>
      <c r="DT51" s="56">
        <f>IF('A&amp;Rs'!$R18="","",IF(AND(DT$23&gt;='A&amp;Rs'!$V18,DT$23&lt;'A&amp;Rs'!$X18),-'A&amp;Rs'!$Z18/'A&amp;Rs'!$W18,0))</f>
        <v>0</v>
      </c>
      <c r="DU51" s="56">
        <f>IF('A&amp;Rs'!$R18="","",IF(AND(DU$23&gt;='A&amp;Rs'!$V18,DU$23&lt;'A&amp;Rs'!$X18),-'A&amp;Rs'!$Z18/'A&amp;Rs'!$W18,0))</f>
        <v>0</v>
      </c>
      <c r="DV51" s="56">
        <f>IF('A&amp;Rs'!$R18="","",IF(AND(DV$23&gt;='A&amp;Rs'!$V18,DV$23&lt;'A&amp;Rs'!$X18),-'A&amp;Rs'!$Z18/'A&amp;Rs'!$W18,0))</f>
        <v>0</v>
      </c>
      <c r="DW51" s="56">
        <f>IF('A&amp;Rs'!$R18="","",IF(AND(DW$23&gt;='A&amp;Rs'!$V18,DW$23&lt;'A&amp;Rs'!$X18),-'A&amp;Rs'!$Z18/'A&amp;Rs'!$W18,0))</f>
        <v>0</v>
      </c>
      <c r="DX51" s="56">
        <f>IF('A&amp;Rs'!$R18="","",IF(AND(DX$23&gt;='A&amp;Rs'!$V18,DX$23&lt;'A&amp;Rs'!$X18),-'A&amp;Rs'!$Z18/'A&amp;Rs'!$W18,0))</f>
        <v>0</v>
      </c>
      <c r="DY51" s="56">
        <f>IF('A&amp;Rs'!$R18="","",IF(AND(DY$23&gt;='A&amp;Rs'!$V18,DY$23&lt;'A&amp;Rs'!$X18),-'A&amp;Rs'!$Z18/'A&amp;Rs'!$W18,0))</f>
        <v>0</v>
      </c>
      <c r="DZ51" s="56">
        <f>IF('A&amp;Rs'!$R18="","",IF(AND(DZ$23&gt;='A&amp;Rs'!$V18,DZ$23&lt;'A&amp;Rs'!$X18),-'A&amp;Rs'!$Z18/'A&amp;Rs'!$W18,0))</f>
        <v>0</v>
      </c>
      <c r="EA51" s="56">
        <f>IF('A&amp;Rs'!$R18="","",IF(AND(EA$23&gt;='A&amp;Rs'!$V18,EA$23&lt;'A&amp;Rs'!$X18),-'A&amp;Rs'!$Z18/'A&amp;Rs'!$W18,0))</f>
        <v>0</v>
      </c>
      <c r="EB51" s="56">
        <f>IF('A&amp;Rs'!$R18="","",IF(AND(EB$23&gt;='A&amp;Rs'!$V18,EB$23&lt;'A&amp;Rs'!$X18),-'A&amp;Rs'!$Z18/'A&amp;Rs'!$W18,0))</f>
        <v>0</v>
      </c>
      <c r="EC51" s="56">
        <f>IF('A&amp;Rs'!$R18="","",IF(AND(EC$23&gt;='A&amp;Rs'!$V18,EC$23&lt;'A&amp;Rs'!$X18),-'A&amp;Rs'!$Z18/'A&amp;Rs'!$W18,0))</f>
        <v>0</v>
      </c>
      <c r="ED51" s="56">
        <f>IF('A&amp;Rs'!$R18="","",IF(AND(ED$23&gt;='A&amp;Rs'!$V18,ED$23&lt;'A&amp;Rs'!$X18),-'A&amp;Rs'!$Z18/'A&amp;Rs'!$W18,0))</f>
        <v>0</v>
      </c>
      <c r="EE51" s="56">
        <f>IF('A&amp;Rs'!$R18="","",IF(AND(EE$23&gt;='A&amp;Rs'!$V18,EE$23&lt;'A&amp;Rs'!$X18),-'A&amp;Rs'!$Z18/'A&amp;Rs'!$W18,0))</f>
        <v>0</v>
      </c>
      <c r="EF51" s="56">
        <f>IF('A&amp;Rs'!$R18="","",IF(AND(EF$23&gt;='A&amp;Rs'!$V18,EF$23&lt;'A&amp;Rs'!$X18),-'A&amp;Rs'!$Z18/'A&amp;Rs'!$W18,0))</f>
        <v>0</v>
      </c>
      <c r="EG51" s="56">
        <f>IF('A&amp;Rs'!$R18="","",IF(AND(EG$23&gt;='A&amp;Rs'!$V18,EG$23&lt;'A&amp;Rs'!$X18),-'A&amp;Rs'!$Z18/'A&amp;Rs'!$W18,0))</f>
        <v>0</v>
      </c>
      <c r="EH51" s="56">
        <f>IF('A&amp;Rs'!$R18="","",IF(AND(EH$23&gt;='A&amp;Rs'!$V18,EH$23&lt;'A&amp;Rs'!$X18),-'A&amp;Rs'!$Z18/'A&amp;Rs'!$W18,0))</f>
        <v>0</v>
      </c>
      <c r="EI51" s="56">
        <f>IF('A&amp;Rs'!$R18="","",IF(AND(EI$23&gt;='A&amp;Rs'!$V18,EI$23&lt;'A&amp;Rs'!$X18),-'A&amp;Rs'!$Z18/'A&amp;Rs'!$W18,0))</f>
        <v>0</v>
      </c>
      <c r="EJ51" s="56">
        <f>IF('A&amp;Rs'!$R18="","",IF(AND(EJ$23&gt;='A&amp;Rs'!$V18,EJ$23&lt;'A&amp;Rs'!$X18),-'A&amp;Rs'!$Z18/'A&amp;Rs'!$W18,0))</f>
        <v>0</v>
      </c>
      <c r="EK51" s="56">
        <f>IF('A&amp;Rs'!$R18="","",IF(AND(EK$23&gt;='A&amp;Rs'!$V18,EK$23&lt;'A&amp;Rs'!$X18),-'A&amp;Rs'!$Z18/'A&amp;Rs'!$W18,0))</f>
        <v>0</v>
      </c>
      <c r="EL51" s="56">
        <f>IF('A&amp;Rs'!$R18="","",IF(AND(EL$23&gt;='A&amp;Rs'!$V18,EL$23&lt;'A&amp;Rs'!$X18),-'A&amp;Rs'!$Z18/'A&amp;Rs'!$W18,0))</f>
        <v>0</v>
      </c>
      <c r="EM51" s="56">
        <f>IF('A&amp;Rs'!$R18="","",IF(AND(EM$23&gt;='A&amp;Rs'!$V18,EM$23&lt;'A&amp;Rs'!$X18),-'A&amp;Rs'!$Z18/'A&amp;Rs'!$W18,0))</f>
        <v>0</v>
      </c>
      <c r="EN51" s="56">
        <f>IF('A&amp;Rs'!$R18="","",IF(AND(EN$23&gt;='A&amp;Rs'!$V18,EN$23&lt;'A&amp;Rs'!$X18),-'A&amp;Rs'!$Z18/'A&amp;Rs'!$W18,0))</f>
        <v>0</v>
      </c>
      <c r="EO51" s="56">
        <f>IF('A&amp;Rs'!$R18="","",IF(AND(EO$23&gt;='A&amp;Rs'!$V18,EO$23&lt;'A&amp;Rs'!$X18),-'A&amp;Rs'!$Z18/'A&amp;Rs'!$W18,0))</f>
        <v>0</v>
      </c>
      <c r="EP51" s="56">
        <f>IF('A&amp;Rs'!$R18="","",IF(AND(EP$23&gt;='A&amp;Rs'!$V18,EP$23&lt;'A&amp;Rs'!$X18),-'A&amp;Rs'!$Z18/'A&amp;Rs'!$W18,0))</f>
        <v>0</v>
      </c>
      <c r="EQ51" s="56">
        <f>IF('A&amp;Rs'!$R18="","",IF(AND(EQ$23&gt;='A&amp;Rs'!$V18,EQ$23&lt;'A&amp;Rs'!$X18),-'A&amp;Rs'!$Z18/'A&amp;Rs'!$W18,0))</f>
        <v>0</v>
      </c>
      <c r="ER51" s="56">
        <f>IF('A&amp;Rs'!$R18="","",IF(AND(ER$23&gt;='A&amp;Rs'!$V18,ER$23&lt;'A&amp;Rs'!$X18),-'A&amp;Rs'!$Z18/'A&amp;Rs'!$W18,0))</f>
        <v>0</v>
      </c>
      <c r="ES51" s="56">
        <f>IF('A&amp;Rs'!$R18="","",IF(AND(ES$23&gt;='A&amp;Rs'!$V18,ES$23&lt;'A&amp;Rs'!$X18),-'A&amp;Rs'!$Z18/'A&amp;Rs'!$W18,0))</f>
        <v>0</v>
      </c>
      <c r="ET51" s="56">
        <f>IF('A&amp;Rs'!$R18="","",IF(AND(ET$23&gt;='A&amp;Rs'!$V18,ET$23&lt;'A&amp;Rs'!$X18),-'A&amp;Rs'!$Z18/'A&amp;Rs'!$W18,0))</f>
        <v>0</v>
      </c>
      <c r="EU51" s="56">
        <f>IF('A&amp;Rs'!$R18="","",IF(AND(EU$23&gt;='A&amp;Rs'!$V18,EU$23&lt;'A&amp;Rs'!$X18),-'A&amp;Rs'!$Z18/'A&amp;Rs'!$W18,0))</f>
        <v>0</v>
      </c>
      <c r="EV51" s="56">
        <f>IF('A&amp;Rs'!$R18="","",IF(AND(EV$23&gt;='A&amp;Rs'!$V18,EV$23&lt;'A&amp;Rs'!$X18),-'A&amp;Rs'!$Z18/'A&amp;Rs'!$W18,0))</f>
        <v>0</v>
      </c>
      <c r="EW51" s="56">
        <f>IF('A&amp;Rs'!$R18="","",IF(AND(EW$23&gt;='A&amp;Rs'!$V18,EW$23&lt;'A&amp;Rs'!$X18),-'A&amp;Rs'!$Z18/'A&amp;Rs'!$W18,0))</f>
        <v>0</v>
      </c>
      <c r="EX51" s="56">
        <f>IF('A&amp;Rs'!$R18="","",IF(AND(EX$23&gt;='A&amp;Rs'!$V18,EX$23&lt;'A&amp;Rs'!$X18),-'A&amp;Rs'!$Z18/'A&amp;Rs'!$W18,0))</f>
        <v>0</v>
      </c>
      <c r="EY51" s="56">
        <f>IF('A&amp;Rs'!$R18="","",IF(AND(EY$23&gt;='A&amp;Rs'!$V18,EY$23&lt;'A&amp;Rs'!$X18),-'A&amp;Rs'!$Z18/'A&amp;Rs'!$W18,0))</f>
        <v>0</v>
      </c>
      <c r="EZ51" s="56">
        <f>IF('A&amp;Rs'!$R18="","",IF(AND(EZ$23&gt;='A&amp;Rs'!$V18,EZ$23&lt;'A&amp;Rs'!$X18),-'A&amp;Rs'!$Z18/'A&amp;Rs'!$W18,0))</f>
        <v>0</v>
      </c>
      <c r="FA51" s="56">
        <f>IF('A&amp;Rs'!$R18="","",IF(AND(FA$23&gt;='A&amp;Rs'!$V18,FA$23&lt;'A&amp;Rs'!$X18),-'A&amp;Rs'!$Z18/'A&amp;Rs'!$W18,0))</f>
        <v>0</v>
      </c>
      <c r="FB51" s="56">
        <f>IF('A&amp;Rs'!$R18="","",IF(AND(FB$23&gt;='A&amp;Rs'!$V18,FB$23&lt;'A&amp;Rs'!$X18),-'A&amp;Rs'!$Z18/'A&amp;Rs'!$W18,0))</f>
        <v>0</v>
      </c>
      <c r="FC51" s="56">
        <f>IF('A&amp;Rs'!$R18="","",IF(AND(FC$23&gt;='A&amp;Rs'!$V18,FC$23&lt;'A&amp;Rs'!$X18),-'A&amp;Rs'!$Z18/'A&amp;Rs'!$W18,0))</f>
        <v>0</v>
      </c>
      <c r="FD51" s="56">
        <f>IF('A&amp;Rs'!$R18="","",IF(AND(FD$23&gt;='A&amp;Rs'!$V18,FD$23&lt;'A&amp;Rs'!$X18),-'A&amp;Rs'!$Z18/'A&amp;Rs'!$W18,0))</f>
        <v>0</v>
      </c>
      <c r="FE51" s="56">
        <f>IF('A&amp;Rs'!$R18="","",IF(AND(FE$23&gt;='A&amp;Rs'!$V18,FE$23&lt;'A&amp;Rs'!$X18),-'A&amp;Rs'!$Z18/'A&amp;Rs'!$W18,0))</f>
        <v>0</v>
      </c>
      <c r="FF51" s="1" t="s">
        <v>39</v>
      </c>
      <c r="FG51" s="1"/>
      <c r="FH51" s="1"/>
      <c r="FI51" s="99"/>
    </row>
    <row r="52" spans="1:165" x14ac:dyDescent="0.3">
      <c r="A52" s="150">
        <f>'A&amp;Rs'!Z19</f>
        <v>14950</v>
      </c>
      <c r="B52" s="217">
        <f t="shared" si="12"/>
        <v>-14950</v>
      </c>
      <c r="C52" s="215"/>
      <c r="D52" s="43">
        <v>10</v>
      </c>
      <c r="E52" s="56"/>
      <c r="F52" s="56">
        <f>IF('A&amp;Rs'!$R19="","",IF(AND(F$23&gt;='A&amp;Rs'!$V19,F$23&lt;'A&amp;Rs'!$X19),-'A&amp;Rs'!$Z19/'A&amp;Rs'!$W19,0))</f>
        <v>0</v>
      </c>
      <c r="G52" s="56">
        <f>IF('A&amp;Rs'!$R19="","",IF(AND(G$23&gt;='A&amp;Rs'!$V19,G$23&lt;'A&amp;Rs'!$X19),-'A&amp;Rs'!$Z19/'A&amp;Rs'!$W19,0))</f>
        <v>0</v>
      </c>
      <c r="H52" s="56">
        <f>IF('A&amp;Rs'!$R19="","",IF(AND(H$23&gt;='A&amp;Rs'!$V19,H$23&lt;'A&amp;Rs'!$X19),-'A&amp;Rs'!$Z19/'A&amp;Rs'!$W19,0))</f>
        <v>0</v>
      </c>
      <c r="I52" s="56">
        <f>IF('A&amp;Rs'!$R19="","",IF(AND(I$23&gt;='A&amp;Rs'!$V19,I$23&lt;'A&amp;Rs'!$X19),-'A&amp;Rs'!$Z19/'A&amp;Rs'!$W19,0))</f>
        <v>0</v>
      </c>
      <c r="J52" s="56">
        <f>IF('A&amp;Rs'!$R19="","",IF(AND(J$23&gt;='A&amp;Rs'!$V19,J$23&lt;'A&amp;Rs'!$X19),-'A&amp;Rs'!$Z19/'A&amp;Rs'!$W19,0))</f>
        <v>0</v>
      </c>
      <c r="K52" s="56">
        <f>IF('A&amp;Rs'!$R19="","",IF(AND(K$23&gt;='A&amp;Rs'!$V19,K$23&lt;'A&amp;Rs'!$X19),-'A&amp;Rs'!$Z19/'A&amp;Rs'!$W19,0))</f>
        <v>0</v>
      </c>
      <c r="L52" s="56">
        <f>IF('A&amp;Rs'!$R19="","",IF(AND(L$23&gt;='A&amp;Rs'!$V19,L$23&lt;'A&amp;Rs'!$X19),-'A&amp;Rs'!$Z19/'A&amp;Rs'!$W19,0))</f>
        <v>0</v>
      </c>
      <c r="M52" s="56">
        <f>IF('A&amp;Rs'!$R19="","",IF(AND(M$23&gt;='A&amp;Rs'!$V19,M$23&lt;'A&amp;Rs'!$X19),-'A&amp;Rs'!$Z19/'A&amp;Rs'!$W19,0))</f>
        <v>0</v>
      </c>
      <c r="N52" s="56">
        <f>IF('A&amp;Rs'!$R19="","",IF(AND(N$23&gt;='A&amp;Rs'!$V19,N$23&lt;'A&amp;Rs'!$X19),-'A&amp;Rs'!$Z19/'A&amp;Rs'!$W19,0))</f>
        <v>-3737.5</v>
      </c>
      <c r="O52" s="56">
        <f>IF('A&amp;Rs'!$R19="","",IF(AND(O$23&gt;='A&amp;Rs'!$V19,O$23&lt;'A&amp;Rs'!$X19),-'A&amp;Rs'!$Z19/'A&amp;Rs'!$W19,0))</f>
        <v>-3737.5</v>
      </c>
      <c r="P52" s="56">
        <f>IF('A&amp;Rs'!$R19="","",IF(AND(P$23&gt;='A&amp;Rs'!$V19,P$23&lt;'A&amp;Rs'!$X19),-'A&amp;Rs'!$Z19/'A&amp;Rs'!$W19,0))</f>
        <v>-3737.5</v>
      </c>
      <c r="Q52" s="56">
        <f>IF('A&amp;Rs'!$R19="","",IF(AND(Q$23&gt;='A&amp;Rs'!$V19,Q$23&lt;'A&amp;Rs'!$X19),-'A&amp;Rs'!$Z19/'A&amp;Rs'!$W19,0))</f>
        <v>-3737.5</v>
      </c>
      <c r="R52" s="56">
        <f>IF('A&amp;Rs'!$R19="","",IF(AND(R$23&gt;='A&amp;Rs'!$V19,R$23&lt;'A&amp;Rs'!$X19),-'A&amp;Rs'!$Z19/'A&amp;Rs'!$W19,0))</f>
        <v>0</v>
      </c>
      <c r="S52" s="56">
        <f>IF('A&amp;Rs'!$R19="","",IF(AND(S$23&gt;='A&amp;Rs'!$V19,S$23&lt;'A&amp;Rs'!$X19),-'A&amp;Rs'!$Z19/'A&amp;Rs'!$W19,0))</f>
        <v>0</v>
      </c>
      <c r="T52" s="56">
        <f>IF('A&amp;Rs'!$R19="","",IF(AND(T$23&gt;='A&amp;Rs'!$V19,T$23&lt;'A&amp;Rs'!$X19),-'A&amp;Rs'!$Z19/'A&amp;Rs'!$W19,0))</f>
        <v>0</v>
      </c>
      <c r="U52" s="56">
        <f>IF('A&amp;Rs'!$R19="","",IF(AND(U$23&gt;='A&amp;Rs'!$V19,U$23&lt;'A&amp;Rs'!$X19),-'A&amp;Rs'!$Z19/'A&amp;Rs'!$W19,0))</f>
        <v>0</v>
      </c>
      <c r="V52" s="56">
        <f>IF('A&amp;Rs'!$R19="","",IF(AND(V$23&gt;='A&amp;Rs'!$V19,V$23&lt;'A&amp;Rs'!$X19),-'A&amp;Rs'!$Z19/'A&amp;Rs'!$W19,0))</f>
        <v>0</v>
      </c>
      <c r="W52" s="56">
        <f>IF('A&amp;Rs'!$R19="","",IF(AND(W$23&gt;='A&amp;Rs'!$V19,W$23&lt;'A&amp;Rs'!$X19),-'A&amp;Rs'!$Z19/'A&amp;Rs'!$W19,0))</f>
        <v>0</v>
      </c>
      <c r="X52" s="56">
        <f>IF('A&amp;Rs'!$R19="","",IF(AND(X$23&gt;='A&amp;Rs'!$V19,X$23&lt;'A&amp;Rs'!$X19),-'A&amp;Rs'!$Z19/'A&amp;Rs'!$W19,0))</f>
        <v>0</v>
      </c>
      <c r="Y52" s="56">
        <f>IF('A&amp;Rs'!$R19="","",IF(AND(Y$23&gt;='A&amp;Rs'!$V19,Y$23&lt;'A&amp;Rs'!$X19),-'A&amp;Rs'!$Z19/'A&amp;Rs'!$W19,0))</f>
        <v>0</v>
      </c>
      <c r="Z52" s="56">
        <f>IF('A&amp;Rs'!$R19="","",IF(AND(Z$23&gt;='A&amp;Rs'!$V19,Z$23&lt;'A&amp;Rs'!$X19),-'A&amp;Rs'!$Z19/'A&amp;Rs'!$W19,0))</f>
        <v>0</v>
      </c>
      <c r="AA52" s="56">
        <f>IF('A&amp;Rs'!$R19="","",IF(AND(AA$23&gt;='A&amp;Rs'!$V19,AA$23&lt;'A&amp;Rs'!$X19),-'A&amp;Rs'!$Z19/'A&amp;Rs'!$W19,0))</f>
        <v>0</v>
      </c>
      <c r="AB52" s="56">
        <f>IF('A&amp;Rs'!$R19="","",IF(AND(AB$23&gt;='A&amp;Rs'!$V19,AB$23&lt;'A&amp;Rs'!$X19),-'A&amp;Rs'!$Z19/'A&amp;Rs'!$W19,0))</f>
        <v>0</v>
      </c>
      <c r="AC52" s="56">
        <f>IF('A&amp;Rs'!$R19="","",IF(AND(AC$23&gt;='A&amp;Rs'!$V19,AC$23&lt;'A&amp;Rs'!$X19),-'A&amp;Rs'!$Z19/'A&amp;Rs'!$W19,0))</f>
        <v>0</v>
      </c>
      <c r="AD52" s="56">
        <f>IF('A&amp;Rs'!$R19="","",IF(AND(AD$23&gt;='A&amp;Rs'!$V19,AD$23&lt;'A&amp;Rs'!$X19),-'A&amp;Rs'!$Z19/'A&amp;Rs'!$W19,0))</f>
        <v>0</v>
      </c>
      <c r="AE52" s="56">
        <f>IF('A&amp;Rs'!$R19="","",IF(AND(AE$23&gt;='A&amp;Rs'!$V19,AE$23&lt;'A&amp;Rs'!$X19),-'A&amp;Rs'!$Z19/'A&amp;Rs'!$W19,0))</f>
        <v>0</v>
      </c>
      <c r="AF52" s="56">
        <f>IF('A&amp;Rs'!$R19="","",IF(AND(AF$23&gt;='A&amp;Rs'!$V19,AF$23&lt;'A&amp;Rs'!$X19),-'A&amp;Rs'!$Z19/'A&amp;Rs'!$W19,0))</f>
        <v>0</v>
      </c>
      <c r="AG52" s="56">
        <f>IF('A&amp;Rs'!$R19="","",IF(AND(AG$23&gt;='A&amp;Rs'!$V19,AG$23&lt;'A&amp;Rs'!$X19),-'A&amp;Rs'!$Z19/'A&amp;Rs'!$W19,0))</f>
        <v>0</v>
      </c>
      <c r="AH52" s="56">
        <f>IF('A&amp;Rs'!$R19="","",IF(AND(AH$23&gt;='A&amp;Rs'!$V19,AH$23&lt;'A&amp;Rs'!$X19),-'A&amp;Rs'!$Z19/'A&amp;Rs'!$W19,0))</f>
        <v>0</v>
      </c>
      <c r="AI52" s="56">
        <f>IF('A&amp;Rs'!$R19="","",IF(AND(AI$23&gt;='A&amp;Rs'!$V19,AI$23&lt;'A&amp;Rs'!$X19),-'A&amp;Rs'!$Z19/'A&amp;Rs'!$W19,0))</f>
        <v>0</v>
      </c>
      <c r="AJ52" s="56">
        <f>IF('A&amp;Rs'!$R19="","",IF(AND(AJ$23&gt;='A&amp;Rs'!$V19,AJ$23&lt;'A&amp;Rs'!$X19),-'A&amp;Rs'!$Z19/'A&amp;Rs'!$W19,0))</f>
        <v>0</v>
      </c>
      <c r="AK52" s="56">
        <f>IF('A&amp;Rs'!$R19="","",IF(AND(AK$23&gt;='A&amp;Rs'!$V19,AK$23&lt;'A&amp;Rs'!$X19),-'A&amp;Rs'!$Z19/'A&amp;Rs'!$W19,0))</f>
        <v>0</v>
      </c>
      <c r="AL52" s="56">
        <f>IF('A&amp;Rs'!$R19="","",IF(AND(AL$23&gt;='A&amp;Rs'!$V19,AL$23&lt;'A&amp;Rs'!$X19),-'A&amp;Rs'!$Z19/'A&amp;Rs'!$W19,0))</f>
        <v>0</v>
      </c>
      <c r="AM52" s="56">
        <f>IF('A&amp;Rs'!$R19="","",IF(AND(AM$23&gt;='A&amp;Rs'!$V19,AM$23&lt;'A&amp;Rs'!$X19),-'A&amp;Rs'!$Z19/'A&amp;Rs'!$W19,0))</f>
        <v>0</v>
      </c>
      <c r="AN52" s="56">
        <f>IF('A&amp;Rs'!$R19="","",IF(AND(AN$23&gt;='A&amp;Rs'!$V19,AN$23&lt;'A&amp;Rs'!$X19),-'A&amp;Rs'!$Z19/'A&amp;Rs'!$W19,0))</f>
        <v>0</v>
      </c>
      <c r="AO52" s="56">
        <f>IF('A&amp;Rs'!$R19="","",IF(AND(AO$23&gt;='A&amp;Rs'!$V19,AO$23&lt;'A&amp;Rs'!$X19),-'A&amp;Rs'!$Z19/'A&amp;Rs'!$W19,0))</f>
        <v>0</v>
      </c>
      <c r="AP52" s="56">
        <f>IF('A&amp;Rs'!$R19="","",IF(AND(AP$23&gt;='A&amp;Rs'!$V19,AP$23&lt;'A&amp;Rs'!$X19),-'A&amp;Rs'!$Z19/'A&amp;Rs'!$W19,0))</f>
        <v>0</v>
      </c>
      <c r="AQ52" s="56">
        <f>IF('A&amp;Rs'!$R19="","",IF(AND(AQ$23&gt;='A&amp;Rs'!$V19,AQ$23&lt;'A&amp;Rs'!$X19),-'A&amp;Rs'!$Z19/'A&amp;Rs'!$W19,0))</f>
        <v>0</v>
      </c>
      <c r="AR52" s="56">
        <f>IF('A&amp;Rs'!$R19="","",IF(AND(AR$23&gt;='A&amp;Rs'!$V19,AR$23&lt;'A&amp;Rs'!$X19),-'A&amp;Rs'!$Z19/'A&amp;Rs'!$W19,0))</f>
        <v>0</v>
      </c>
      <c r="AS52" s="56">
        <f>IF('A&amp;Rs'!$R19="","",IF(AND(AS$23&gt;='A&amp;Rs'!$V19,AS$23&lt;'A&amp;Rs'!$X19),-'A&amp;Rs'!$Z19/'A&amp;Rs'!$W19,0))</f>
        <v>0</v>
      </c>
      <c r="AT52" s="56">
        <f>IF('A&amp;Rs'!$R19="","",IF(AND(AT$23&gt;='A&amp;Rs'!$V19,AT$23&lt;'A&amp;Rs'!$X19),-'A&amp;Rs'!$Z19/'A&amp;Rs'!$W19,0))</f>
        <v>0</v>
      </c>
      <c r="AU52" s="56">
        <f>IF('A&amp;Rs'!$R19="","",IF(AND(AU$23&gt;='A&amp;Rs'!$V19,AU$23&lt;'A&amp;Rs'!$X19),-'A&amp;Rs'!$Z19/'A&amp;Rs'!$W19,0))</f>
        <v>0</v>
      </c>
      <c r="AV52" s="56">
        <f>IF('A&amp;Rs'!$R19="","",IF(AND(AV$23&gt;='A&amp;Rs'!$V19,AV$23&lt;'A&amp;Rs'!$X19),-'A&amp;Rs'!$Z19/'A&amp;Rs'!$W19,0))</f>
        <v>0</v>
      </c>
      <c r="AW52" s="56">
        <f>IF('A&amp;Rs'!$R19="","",IF(AND(AW$23&gt;='A&amp;Rs'!$V19,AW$23&lt;'A&amp;Rs'!$X19),-'A&amp;Rs'!$Z19/'A&amp;Rs'!$W19,0))</f>
        <v>0</v>
      </c>
      <c r="AX52" s="56">
        <f>IF('A&amp;Rs'!$R19="","",IF(AND(AX$23&gt;='A&amp;Rs'!$V19,AX$23&lt;'A&amp;Rs'!$X19),-'A&amp;Rs'!$Z19/'A&amp;Rs'!$W19,0))</f>
        <v>0</v>
      </c>
      <c r="AY52" s="56">
        <f>IF('A&amp;Rs'!$R19="","",IF(AND(AY$23&gt;='A&amp;Rs'!$V19,AY$23&lt;'A&amp;Rs'!$X19),-'A&amp;Rs'!$Z19/'A&amp;Rs'!$W19,0))</f>
        <v>0</v>
      </c>
      <c r="AZ52" s="56">
        <f>IF('A&amp;Rs'!$R19="","",IF(AND(AZ$23&gt;='A&amp;Rs'!$V19,AZ$23&lt;'A&amp;Rs'!$X19),-'A&amp;Rs'!$Z19/'A&amp;Rs'!$W19,0))</f>
        <v>0</v>
      </c>
      <c r="BA52" s="56">
        <f>IF('A&amp;Rs'!$R19="","",IF(AND(BA$23&gt;='A&amp;Rs'!$V19,BA$23&lt;'A&amp;Rs'!$X19),-'A&amp;Rs'!$Z19/'A&amp;Rs'!$W19,0))</f>
        <v>0</v>
      </c>
      <c r="BB52" s="56">
        <f>IF('A&amp;Rs'!$R19="","",IF(AND(BB$23&gt;='A&amp;Rs'!$V19,BB$23&lt;'A&amp;Rs'!$X19),-'A&amp;Rs'!$Z19/'A&amp;Rs'!$W19,0))</f>
        <v>0</v>
      </c>
      <c r="BC52" s="56">
        <f>IF('A&amp;Rs'!$R19="","",IF(AND(BC$23&gt;='A&amp;Rs'!$V19,BC$23&lt;'A&amp;Rs'!$X19),-'A&amp;Rs'!$Z19/'A&amp;Rs'!$W19,0))</f>
        <v>0</v>
      </c>
      <c r="BD52" s="56">
        <f>IF('A&amp;Rs'!$R19="","",IF(AND(BD$23&gt;='A&amp;Rs'!$V19,BD$23&lt;'A&amp;Rs'!$X19),-'A&amp;Rs'!$Z19/'A&amp;Rs'!$W19,0))</f>
        <v>0</v>
      </c>
      <c r="BE52" s="56">
        <f>IF('A&amp;Rs'!$R19="","",IF(AND(BE$23&gt;='A&amp;Rs'!$V19,BE$23&lt;'A&amp;Rs'!$X19),-'A&amp;Rs'!$Z19/'A&amp;Rs'!$W19,0))</f>
        <v>0</v>
      </c>
      <c r="BF52" s="56">
        <f>IF('A&amp;Rs'!$R19="","",IF(AND(BF$23&gt;='A&amp;Rs'!$V19,BF$23&lt;'A&amp;Rs'!$X19),-'A&amp;Rs'!$Z19/'A&amp;Rs'!$W19,0))</f>
        <v>0</v>
      </c>
      <c r="BG52" s="56">
        <f>IF('A&amp;Rs'!$R19="","",IF(AND(BG$23&gt;='A&amp;Rs'!$V19,BG$23&lt;'A&amp;Rs'!$X19),-'A&amp;Rs'!$Z19/'A&amp;Rs'!$W19,0))</f>
        <v>0</v>
      </c>
      <c r="BH52" s="56">
        <f>IF('A&amp;Rs'!$R19="","",IF(AND(BH$23&gt;='A&amp;Rs'!$V19,BH$23&lt;'A&amp;Rs'!$X19),-'A&amp;Rs'!$Z19/'A&amp;Rs'!$W19,0))</f>
        <v>0</v>
      </c>
      <c r="BI52" s="56">
        <f>IF('A&amp;Rs'!$R19="","",IF(AND(BI$23&gt;='A&amp;Rs'!$V19,BI$23&lt;'A&amp;Rs'!$X19),-'A&amp;Rs'!$Z19/'A&amp;Rs'!$W19,0))</f>
        <v>0</v>
      </c>
      <c r="BJ52" s="56">
        <f>IF('A&amp;Rs'!$R19="","",IF(AND(BJ$23&gt;='A&amp;Rs'!$V19,BJ$23&lt;'A&amp;Rs'!$X19),-'A&amp;Rs'!$Z19/'A&amp;Rs'!$W19,0))</f>
        <v>0</v>
      </c>
      <c r="BK52" s="56">
        <f>IF('A&amp;Rs'!$R19="","",IF(AND(BK$23&gt;='A&amp;Rs'!$V19,BK$23&lt;'A&amp;Rs'!$X19),-'A&amp;Rs'!$Z19/'A&amp;Rs'!$W19,0))</f>
        <v>0</v>
      </c>
      <c r="BL52" s="56">
        <f>IF('A&amp;Rs'!$R19="","",IF(AND(BL$23&gt;='A&amp;Rs'!$V19,BL$23&lt;'A&amp;Rs'!$X19),-'A&amp;Rs'!$Z19/'A&amp;Rs'!$W19,0))</f>
        <v>0</v>
      </c>
      <c r="BM52" s="56">
        <f>IF('A&amp;Rs'!$R19="","",IF(AND(BM$23&gt;='A&amp;Rs'!$V19,BM$23&lt;'A&amp;Rs'!$X19),-'A&amp;Rs'!$Z19/'A&amp;Rs'!$W19,0))</f>
        <v>0</v>
      </c>
      <c r="BN52" s="56">
        <f>IF('A&amp;Rs'!$R19="","",IF(AND(BN$23&gt;='A&amp;Rs'!$V19,BN$23&lt;'A&amp;Rs'!$X19),-'A&amp;Rs'!$Z19/'A&amp;Rs'!$W19,0))</f>
        <v>0</v>
      </c>
      <c r="BO52" s="56">
        <f>IF('A&amp;Rs'!$R19="","",IF(AND(BO$23&gt;='A&amp;Rs'!$V19,BO$23&lt;'A&amp;Rs'!$X19),-'A&amp;Rs'!$Z19/'A&amp;Rs'!$W19,0))</f>
        <v>0</v>
      </c>
      <c r="BP52" s="56">
        <f>IF('A&amp;Rs'!$R19="","",IF(AND(BP$23&gt;='A&amp;Rs'!$V19,BP$23&lt;'A&amp;Rs'!$X19),-'A&amp;Rs'!$Z19/'A&amp;Rs'!$W19,0))</f>
        <v>0</v>
      </c>
      <c r="BQ52" s="56">
        <f>IF('A&amp;Rs'!$R19="","",IF(AND(BQ$23&gt;='A&amp;Rs'!$V19,BQ$23&lt;'A&amp;Rs'!$X19),-'A&amp;Rs'!$Z19/'A&amp;Rs'!$W19,0))</f>
        <v>0</v>
      </c>
      <c r="BR52" s="56">
        <f>IF('A&amp;Rs'!$R19="","",IF(AND(BR$23&gt;='A&amp;Rs'!$V19,BR$23&lt;'A&amp;Rs'!$X19),-'A&amp;Rs'!$Z19/'A&amp;Rs'!$W19,0))</f>
        <v>0</v>
      </c>
      <c r="BS52" s="56">
        <f>IF('A&amp;Rs'!$R19="","",IF(AND(BS$23&gt;='A&amp;Rs'!$V19,BS$23&lt;'A&amp;Rs'!$X19),-'A&amp;Rs'!$Z19/'A&amp;Rs'!$W19,0))</f>
        <v>0</v>
      </c>
      <c r="BT52" s="56">
        <f>IF('A&amp;Rs'!$R19="","",IF(AND(BT$23&gt;='A&amp;Rs'!$V19,BT$23&lt;'A&amp;Rs'!$X19),-'A&amp;Rs'!$Z19/'A&amp;Rs'!$W19,0))</f>
        <v>0</v>
      </c>
      <c r="BU52" s="56">
        <f>IF('A&amp;Rs'!$R19="","",IF(AND(BU$23&gt;='A&amp;Rs'!$V19,BU$23&lt;'A&amp;Rs'!$X19),-'A&amp;Rs'!$Z19/'A&amp;Rs'!$W19,0))</f>
        <v>0</v>
      </c>
      <c r="BV52" s="56">
        <f>IF('A&amp;Rs'!$R19="","",IF(AND(BV$23&gt;='A&amp;Rs'!$V19,BV$23&lt;'A&amp;Rs'!$X19),-'A&amp;Rs'!$Z19/'A&amp;Rs'!$W19,0))</f>
        <v>0</v>
      </c>
      <c r="BW52" s="56">
        <f>IF('A&amp;Rs'!$R19="","",IF(AND(BW$23&gt;='A&amp;Rs'!$V19,BW$23&lt;'A&amp;Rs'!$X19),-'A&amp;Rs'!$Z19/'A&amp;Rs'!$W19,0))</f>
        <v>0</v>
      </c>
      <c r="BX52" s="56">
        <f>IF('A&amp;Rs'!$R19="","",IF(AND(BX$23&gt;='A&amp;Rs'!$V19,BX$23&lt;'A&amp;Rs'!$X19),-'A&amp;Rs'!$Z19/'A&amp;Rs'!$W19,0))</f>
        <v>0</v>
      </c>
      <c r="BY52" s="56">
        <f>IF('A&amp;Rs'!$R19="","",IF(AND(BY$23&gt;='A&amp;Rs'!$V19,BY$23&lt;'A&amp;Rs'!$X19),-'A&amp;Rs'!$Z19/'A&amp;Rs'!$W19,0))</f>
        <v>0</v>
      </c>
      <c r="BZ52" s="56">
        <f>IF('A&amp;Rs'!$R19="","",IF(AND(BZ$23&gt;='A&amp;Rs'!$V19,BZ$23&lt;'A&amp;Rs'!$X19),-'A&amp;Rs'!$Z19/'A&amp;Rs'!$W19,0))</f>
        <v>0</v>
      </c>
      <c r="CA52" s="56">
        <f>IF('A&amp;Rs'!$R19="","",IF(AND(CA$23&gt;='A&amp;Rs'!$V19,CA$23&lt;'A&amp;Rs'!$X19),-'A&amp;Rs'!$Z19/'A&amp;Rs'!$W19,0))</f>
        <v>0</v>
      </c>
      <c r="CB52" s="56">
        <f>IF('A&amp;Rs'!$R19="","",IF(AND(CB$23&gt;='A&amp;Rs'!$V19,CB$23&lt;'A&amp;Rs'!$X19),-'A&amp;Rs'!$Z19/'A&amp;Rs'!$W19,0))</f>
        <v>0</v>
      </c>
      <c r="CC52" s="56">
        <f>IF('A&amp;Rs'!$R19="","",IF(AND(CC$23&gt;='A&amp;Rs'!$V19,CC$23&lt;'A&amp;Rs'!$X19),-'A&amp;Rs'!$Z19/'A&amp;Rs'!$W19,0))</f>
        <v>0</v>
      </c>
      <c r="CD52" s="56">
        <f>IF('A&amp;Rs'!$R19="","",IF(AND(CD$23&gt;='A&amp;Rs'!$V19,CD$23&lt;'A&amp;Rs'!$X19),-'A&amp;Rs'!$Z19/'A&amp;Rs'!$W19,0))</f>
        <v>0</v>
      </c>
      <c r="CE52" s="56">
        <f>IF('A&amp;Rs'!$R19="","",IF(AND(CE$23&gt;='A&amp;Rs'!$V19,CE$23&lt;'A&amp;Rs'!$X19),-'A&amp;Rs'!$Z19/'A&amp;Rs'!$W19,0))</f>
        <v>0</v>
      </c>
      <c r="CF52" s="56">
        <f>IF('A&amp;Rs'!$R19="","",IF(AND(CF$23&gt;='A&amp;Rs'!$V19,CF$23&lt;'A&amp;Rs'!$X19),-'A&amp;Rs'!$Z19/'A&amp;Rs'!$W19,0))</f>
        <v>0</v>
      </c>
      <c r="CG52" s="56">
        <f>IF('A&amp;Rs'!$R19="","",IF(AND(CG$23&gt;='A&amp;Rs'!$V19,CG$23&lt;'A&amp;Rs'!$X19),-'A&amp;Rs'!$Z19/'A&amp;Rs'!$W19,0))</f>
        <v>0</v>
      </c>
      <c r="CH52" s="56">
        <f>IF('A&amp;Rs'!$R19="","",IF(AND(CH$23&gt;='A&amp;Rs'!$V19,CH$23&lt;'A&amp;Rs'!$X19),-'A&amp;Rs'!$Z19/'A&amp;Rs'!$W19,0))</f>
        <v>0</v>
      </c>
      <c r="CI52" s="56">
        <f>IF('A&amp;Rs'!$R19="","",IF(AND(CI$23&gt;='A&amp;Rs'!$V19,CI$23&lt;'A&amp;Rs'!$X19),-'A&amp;Rs'!$Z19/'A&amp;Rs'!$W19,0))</f>
        <v>0</v>
      </c>
      <c r="CJ52" s="56">
        <f>IF('A&amp;Rs'!$R19="","",IF(AND(CJ$23&gt;='A&amp;Rs'!$V19,CJ$23&lt;'A&amp;Rs'!$X19),-'A&amp;Rs'!$Z19/'A&amp;Rs'!$W19,0))</f>
        <v>0</v>
      </c>
      <c r="CK52" s="56">
        <f>IF('A&amp;Rs'!$R19="","",IF(AND(CK$23&gt;='A&amp;Rs'!$V19,CK$23&lt;'A&amp;Rs'!$X19),-'A&amp;Rs'!$Z19/'A&amp;Rs'!$W19,0))</f>
        <v>0</v>
      </c>
      <c r="CL52" s="56">
        <f>IF('A&amp;Rs'!$R19="","",IF(AND(CL$23&gt;='A&amp;Rs'!$V19,CL$23&lt;'A&amp;Rs'!$X19),-'A&amp;Rs'!$Z19/'A&amp;Rs'!$W19,0))</f>
        <v>0</v>
      </c>
      <c r="CM52" s="56">
        <f>IF('A&amp;Rs'!$R19="","",IF(AND(CM$23&gt;='A&amp;Rs'!$V19,CM$23&lt;'A&amp;Rs'!$X19),-'A&amp;Rs'!$Z19/'A&amp;Rs'!$W19,0))</f>
        <v>0</v>
      </c>
      <c r="CN52" s="56">
        <f>IF('A&amp;Rs'!$R19="","",IF(AND(CN$23&gt;='A&amp;Rs'!$V19,CN$23&lt;'A&amp;Rs'!$X19),-'A&amp;Rs'!$Z19/'A&amp;Rs'!$W19,0))</f>
        <v>0</v>
      </c>
      <c r="CO52" s="56">
        <f>IF('A&amp;Rs'!$R19="","",IF(AND(CO$23&gt;='A&amp;Rs'!$V19,CO$23&lt;'A&amp;Rs'!$X19),-'A&amp;Rs'!$Z19/'A&amp;Rs'!$W19,0))</f>
        <v>0</v>
      </c>
      <c r="CP52" s="56">
        <f>IF('A&amp;Rs'!$R19="","",IF(AND(CP$23&gt;='A&amp;Rs'!$V19,CP$23&lt;'A&amp;Rs'!$X19),-'A&amp;Rs'!$Z19/'A&amp;Rs'!$W19,0))</f>
        <v>0</v>
      </c>
      <c r="CQ52" s="56">
        <f>IF('A&amp;Rs'!$R19="","",IF(AND(CQ$23&gt;='A&amp;Rs'!$V19,CQ$23&lt;'A&amp;Rs'!$X19),-'A&amp;Rs'!$Z19/'A&amp;Rs'!$W19,0))</f>
        <v>0</v>
      </c>
      <c r="CR52" s="56">
        <f>IF('A&amp;Rs'!$R19="","",IF(AND(CR$23&gt;='A&amp;Rs'!$V19,CR$23&lt;'A&amp;Rs'!$X19),-'A&amp;Rs'!$Z19/'A&amp;Rs'!$W19,0))</f>
        <v>0</v>
      </c>
      <c r="CS52" s="56">
        <f>IF('A&amp;Rs'!$R19="","",IF(AND(CS$23&gt;='A&amp;Rs'!$V19,CS$23&lt;'A&amp;Rs'!$X19),-'A&amp;Rs'!$Z19/'A&amp;Rs'!$W19,0))</f>
        <v>0</v>
      </c>
      <c r="CT52" s="56">
        <f>IF('A&amp;Rs'!$R19="","",IF(AND(CT$23&gt;='A&amp;Rs'!$V19,CT$23&lt;'A&amp;Rs'!$X19),-'A&amp;Rs'!$Z19/'A&amp;Rs'!$W19,0))</f>
        <v>0</v>
      </c>
      <c r="CU52" s="56">
        <f>IF('A&amp;Rs'!$R19="","",IF(AND(CU$23&gt;='A&amp;Rs'!$V19,CU$23&lt;'A&amp;Rs'!$X19),-'A&amp;Rs'!$Z19/'A&amp;Rs'!$W19,0))</f>
        <v>0</v>
      </c>
      <c r="CV52" s="56">
        <f>IF('A&amp;Rs'!$R19="","",IF(AND(CV$23&gt;='A&amp;Rs'!$V19,CV$23&lt;'A&amp;Rs'!$X19),-'A&amp;Rs'!$Z19/'A&amp;Rs'!$W19,0))</f>
        <v>0</v>
      </c>
      <c r="CW52" s="56">
        <f>IF('A&amp;Rs'!$R19="","",IF(AND(CW$23&gt;='A&amp;Rs'!$V19,CW$23&lt;'A&amp;Rs'!$X19),-'A&amp;Rs'!$Z19/'A&amp;Rs'!$W19,0))</f>
        <v>0</v>
      </c>
      <c r="CX52" s="56">
        <f>IF('A&amp;Rs'!$R19="","",IF(AND(CX$23&gt;='A&amp;Rs'!$V19,CX$23&lt;'A&amp;Rs'!$X19),-'A&amp;Rs'!$Z19/'A&amp;Rs'!$W19,0))</f>
        <v>0</v>
      </c>
      <c r="CY52" s="56">
        <f>IF('A&amp;Rs'!$R19="","",IF(AND(CY$23&gt;='A&amp;Rs'!$V19,CY$23&lt;'A&amp;Rs'!$X19),-'A&amp;Rs'!$Z19/'A&amp;Rs'!$W19,0))</f>
        <v>0</v>
      </c>
      <c r="CZ52" s="56">
        <f>IF('A&amp;Rs'!$R19="","",IF(AND(CZ$23&gt;='A&amp;Rs'!$V19,CZ$23&lt;'A&amp;Rs'!$X19),-'A&amp;Rs'!$Z19/'A&amp;Rs'!$W19,0))</f>
        <v>0</v>
      </c>
      <c r="DA52" s="56">
        <f>IF('A&amp;Rs'!$R19="","",IF(AND(DA$23&gt;='A&amp;Rs'!$V19,DA$23&lt;'A&amp;Rs'!$X19),-'A&amp;Rs'!$Z19/'A&amp;Rs'!$W19,0))</f>
        <v>0</v>
      </c>
      <c r="DB52" s="56">
        <f>IF('A&amp;Rs'!$R19="","",IF(AND(DB$23&gt;='A&amp;Rs'!$V19,DB$23&lt;'A&amp;Rs'!$X19),-'A&amp;Rs'!$Z19/'A&amp;Rs'!$W19,0))</f>
        <v>0</v>
      </c>
      <c r="DC52" s="56">
        <f>IF('A&amp;Rs'!$R19="","",IF(AND(DC$23&gt;='A&amp;Rs'!$V19,DC$23&lt;'A&amp;Rs'!$X19),-'A&amp;Rs'!$Z19/'A&amp;Rs'!$W19,0))</f>
        <v>0</v>
      </c>
      <c r="DD52" s="56">
        <f>IF('A&amp;Rs'!$R19="","",IF(AND(DD$23&gt;='A&amp;Rs'!$V19,DD$23&lt;'A&amp;Rs'!$X19),-'A&amp;Rs'!$Z19/'A&amp;Rs'!$W19,0))</f>
        <v>0</v>
      </c>
      <c r="DE52" s="56">
        <f>IF('A&amp;Rs'!$R19="","",IF(AND(DE$23&gt;='A&amp;Rs'!$V19,DE$23&lt;'A&amp;Rs'!$X19),-'A&amp;Rs'!$Z19/'A&amp;Rs'!$W19,0))</f>
        <v>0</v>
      </c>
      <c r="DF52" s="56">
        <f>IF('A&amp;Rs'!$R19="","",IF(AND(DF$23&gt;='A&amp;Rs'!$V19,DF$23&lt;'A&amp;Rs'!$X19),-'A&amp;Rs'!$Z19/'A&amp;Rs'!$W19,0))</f>
        <v>0</v>
      </c>
      <c r="DG52" s="56">
        <f>IF('A&amp;Rs'!$R19="","",IF(AND(DG$23&gt;='A&amp;Rs'!$V19,DG$23&lt;'A&amp;Rs'!$X19),-'A&amp;Rs'!$Z19/'A&amp;Rs'!$W19,0))</f>
        <v>0</v>
      </c>
      <c r="DH52" s="56">
        <f>IF('A&amp;Rs'!$R19="","",IF(AND(DH$23&gt;='A&amp;Rs'!$V19,DH$23&lt;'A&amp;Rs'!$X19),-'A&amp;Rs'!$Z19/'A&amp;Rs'!$W19,0))</f>
        <v>0</v>
      </c>
      <c r="DI52" s="56">
        <f>IF('A&amp;Rs'!$R19="","",IF(AND(DI$23&gt;='A&amp;Rs'!$V19,DI$23&lt;'A&amp;Rs'!$X19),-'A&amp;Rs'!$Z19/'A&amp;Rs'!$W19,0))</f>
        <v>0</v>
      </c>
      <c r="DJ52" s="56">
        <f>IF('A&amp;Rs'!$R19="","",IF(AND(DJ$23&gt;='A&amp;Rs'!$V19,DJ$23&lt;'A&amp;Rs'!$X19),-'A&amp;Rs'!$Z19/'A&amp;Rs'!$W19,0))</f>
        <v>0</v>
      </c>
      <c r="DK52" s="56">
        <f>IF('A&amp;Rs'!$R19="","",IF(AND(DK$23&gt;='A&amp;Rs'!$V19,DK$23&lt;'A&amp;Rs'!$X19),-'A&amp;Rs'!$Z19/'A&amp;Rs'!$W19,0))</f>
        <v>0</v>
      </c>
      <c r="DL52" s="56">
        <f>IF('A&amp;Rs'!$R19="","",IF(AND(DL$23&gt;='A&amp;Rs'!$V19,DL$23&lt;'A&amp;Rs'!$X19),-'A&amp;Rs'!$Z19/'A&amp;Rs'!$W19,0))</f>
        <v>0</v>
      </c>
      <c r="DM52" s="56">
        <f>IF('A&amp;Rs'!$R19="","",IF(AND(DM$23&gt;='A&amp;Rs'!$V19,DM$23&lt;'A&amp;Rs'!$X19),-'A&amp;Rs'!$Z19/'A&amp;Rs'!$W19,0))</f>
        <v>0</v>
      </c>
      <c r="DN52" s="56">
        <f>IF('A&amp;Rs'!$R19="","",IF(AND(DN$23&gt;='A&amp;Rs'!$V19,DN$23&lt;'A&amp;Rs'!$X19),-'A&amp;Rs'!$Z19/'A&amp;Rs'!$W19,0))</f>
        <v>0</v>
      </c>
      <c r="DO52" s="56">
        <f>IF('A&amp;Rs'!$R19="","",IF(AND(DO$23&gt;='A&amp;Rs'!$V19,DO$23&lt;'A&amp;Rs'!$X19),-'A&amp;Rs'!$Z19/'A&amp;Rs'!$W19,0))</f>
        <v>0</v>
      </c>
      <c r="DP52" s="56">
        <f>IF('A&amp;Rs'!$R19="","",IF(AND(DP$23&gt;='A&amp;Rs'!$V19,DP$23&lt;'A&amp;Rs'!$X19),-'A&amp;Rs'!$Z19/'A&amp;Rs'!$W19,0))</f>
        <v>0</v>
      </c>
      <c r="DQ52" s="56">
        <f>IF('A&amp;Rs'!$R19="","",IF(AND(DQ$23&gt;='A&amp;Rs'!$V19,DQ$23&lt;'A&amp;Rs'!$X19),-'A&amp;Rs'!$Z19/'A&amp;Rs'!$W19,0))</f>
        <v>0</v>
      </c>
      <c r="DR52" s="56">
        <f>IF('A&amp;Rs'!$R19="","",IF(AND(DR$23&gt;='A&amp;Rs'!$V19,DR$23&lt;'A&amp;Rs'!$X19),-'A&amp;Rs'!$Z19/'A&amp;Rs'!$W19,0))</f>
        <v>0</v>
      </c>
      <c r="DS52" s="56">
        <f>IF('A&amp;Rs'!$R19="","",IF(AND(DS$23&gt;='A&amp;Rs'!$V19,DS$23&lt;'A&amp;Rs'!$X19),-'A&amp;Rs'!$Z19/'A&amp;Rs'!$W19,0))</f>
        <v>0</v>
      </c>
      <c r="DT52" s="56">
        <f>IF('A&amp;Rs'!$R19="","",IF(AND(DT$23&gt;='A&amp;Rs'!$V19,DT$23&lt;'A&amp;Rs'!$X19),-'A&amp;Rs'!$Z19/'A&amp;Rs'!$W19,0))</f>
        <v>0</v>
      </c>
      <c r="DU52" s="56">
        <f>IF('A&amp;Rs'!$R19="","",IF(AND(DU$23&gt;='A&amp;Rs'!$V19,DU$23&lt;'A&amp;Rs'!$X19),-'A&amp;Rs'!$Z19/'A&amp;Rs'!$W19,0))</f>
        <v>0</v>
      </c>
      <c r="DV52" s="56">
        <f>IF('A&amp;Rs'!$R19="","",IF(AND(DV$23&gt;='A&amp;Rs'!$V19,DV$23&lt;'A&amp;Rs'!$X19),-'A&amp;Rs'!$Z19/'A&amp;Rs'!$W19,0))</f>
        <v>0</v>
      </c>
      <c r="DW52" s="56">
        <f>IF('A&amp;Rs'!$R19="","",IF(AND(DW$23&gt;='A&amp;Rs'!$V19,DW$23&lt;'A&amp;Rs'!$X19),-'A&amp;Rs'!$Z19/'A&amp;Rs'!$W19,0))</f>
        <v>0</v>
      </c>
      <c r="DX52" s="56">
        <f>IF('A&amp;Rs'!$R19="","",IF(AND(DX$23&gt;='A&amp;Rs'!$V19,DX$23&lt;'A&amp;Rs'!$X19),-'A&amp;Rs'!$Z19/'A&amp;Rs'!$W19,0))</f>
        <v>0</v>
      </c>
      <c r="DY52" s="56">
        <f>IF('A&amp;Rs'!$R19="","",IF(AND(DY$23&gt;='A&amp;Rs'!$V19,DY$23&lt;'A&amp;Rs'!$X19),-'A&amp;Rs'!$Z19/'A&amp;Rs'!$W19,0))</f>
        <v>0</v>
      </c>
      <c r="DZ52" s="56">
        <f>IF('A&amp;Rs'!$R19="","",IF(AND(DZ$23&gt;='A&amp;Rs'!$V19,DZ$23&lt;'A&amp;Rs'!$X19),-'A&amp;Rs'!$Z19/'A&amp;Rs'!$W19,0))</f>
        <v>0</v>
      </c>
      <c r="EA52" s="56">
        <f>IF('A&amp;Rs'!$R19="","",IF(AND(EA$23&gt;='A&amp;Rs'!$V19,EA$23&lt;'A&amp;Rs'!$X19),-'A&amp;Rs'!$Z19/'A&amp;Rs'!$W19,0))</f>
        <v>0</v>
      </c>
      <c r="EB52" s="56">
        <f>IF('A&amp;Rs'!$R19="","",IF(AND(EB$23&gt;='A&amp;Rs'!$V19,EB$23&lt;'A&amp;Rs'!$X19),-'A&amp;Rs'!$Z19/'A&amp;Rs'!$W19,0))</f>
        <v>0</v>
      </c>
      <c r="EC52" s="56">
        <f>IF('A&amp;Rs'!$R19="","",IF(AND(EC$23&gt;='A&amp;Rs'!$V19,EC$23&lt;'A&amp;Rs'!$X19),-'A&amp;Rs'!$Z19/'A&amp;Rs'!$W19,0))</f>
        <v>0</v>
      </c>
      <c r="ED52" s="56">
        <f>IF('A&amp;Rs'!$R19="","",IF(AND(ED$23&gt;='A&amp;Rs'!$V19,ED$23&lt;'A&amp;Rs'!$X19),-'A&amp;Rs'!$Z19/'A&amp;Rs'!$W19,0))</f>
        <v>0</v>
      </c>
      <c r="EE52" s="56">
        <f>IF('A&amp;Rs'!$R19="","",IF(AND(EE$23&gt;='A&amp;Rs'!$V19,EE$23&lt;'A&amp;Rs'!$X19),-'A&amp;Rs'!$Z19/'A&amp;Rs'!$W19,0))</f>
        <v>0</v>
      </c>
      <c r="EF52" s="56">
        <f>IF('A&amp;Rs'!$R19="","",IF(AND(EF$23&gt;='A&amp;Rs'!$V19,EF$23&lt;'A&amp;Rs'!$X19),-'A&amp;Rs'!$Z19/'A&amp;Rs'!$W19,0))</f>
        <v>0</v>
      </c>
      <c r="EG52" s="56">
        <f>IF('A&amp;Rs'!$R19="","",IF(AND(EG$23&gt;='A&amp;Rs'!$V19,EG$23&lt;'A&amp;Rs'!$X19),-'A&amp;Rs'!$Z19/'A&amp;Rs'!$W19,0))</f>
        <v>0</v>
      </c>
      <c r="EH52" s="56">
        <f>IF('A&amp;Rs'!$R19="","",IF(AND(EH$23&gt;='A&amp;Rs'!$V19,EH$23&lt;'A&amp;Rs'!$X19),-'A&amp;Rs'!$Z19/'A&amp;Rs'!$W19,0))</f>
        <v>0</v>
      </c>
      <c r="EI52" s="56">
        <f>IF('A&amp;Rs'!$R19="","",IF(AND(EI$23&gt;='A&amp;Rs'!$V19,EI$23&lt;'A&amp;Rs'!$X19),-'A&amp;Rs'!$Z19/'A&amp;Rs'!$W19,0))</f>
        <v>0</v>
      </c>
      <c r="EJ52" s="56">
        <f>IF('A&amp;Rs'!$R19="","",IF(AND(EJ$23&gt;='A&amp;Rs'!$V19,EJ$23&lt;'A&amp;Rs'!$X19),-'A&amp;Rs'!$Z19/'A&amp;Rs'!$W19,0))</f>
        <v>0</v>
      </c>
      <c r="EK52" s="56">
        <f>IF('A&amp;Rs'!$R19="","",IF(AND(EK$23&gt;='A&amp;Rs'!$V19,EK$23&lt;'A&amp;Rs'!$X19),-'A&amp;Rs'!$Z19/'A&amp;Rs'!$W19,0))</f>
        <v>0</v>
      </c>
      <c r="EL52" s="56">
        <f>IF('A&amp;Rs'!$R19="","",IF(AND(EL$23&gt;='A&amp;Rs'!$V19,EL$23&lt;'A&amp;Rs'!$X19),-'A&amp;Rs'!$Z19/'A&amp;Rs'!$W19,0))</f>
        <v>0</v>
      </c>
      <c r="EM52" s="56">
        <f>IF('A&amp;Rs'!$R19="","",IF(AND(EM$23&gt;='A&amp;Rs'!$V19,EM$23&lt;'A&amp;Rs'!$X19),-'A&amp;Rs'!$Z19/'A&amp;Rs'!$W19,0))</f>
        <v>0</v>
      </c>
      <c r="EN52" s="56">
        <f>IF('A&amp;Rs'!$R19="","",IF(AND(EN$23&gt;='A&amp;Rs'!$V19,EN$23&lt;'A&amp;Rs'!$X19),-'A&amp;Rs'!$Z19/'A&amp;Rs'!$W19,0))</f>
        <v>0</v>
      </c>
      <c r="EO52" s="56">
        <f>IF('A&amp;Rs'!$R19="","",IF(AND(EO$23&gt;='A&amp;Rs'!$V19,EO$23&lt;'A&amp;Rs'!$X19),-'A&amp;Rs'!$Z19/'A&amp;Rs'!$W19,0))</f>
        <v>0</v>
      </c>
      <c r="EP52" s="56">
        <f>IF('A&amp;Rs'!$R19="","",IF(AND(EP$23&gt;='A&amp;Rs'!$V19,EP$23&lt;'A&amp;Rs'!$X19),-'A&amp;Rs'!$Z19/'A&amp;Rs'!$W19,0))</f>
        <v>0</v>
      </c>
      <c r="EQ52" s="56">
        <f>IF('A&amp;Rs'!$R19="","",IF(AND(EQ$23&gt;='A&amp;Rs'!$V19,EQ$23&lt;'A&amp;Rs'!$X19),-'A&amp;Rs'!$Z19/'A&amp;Rs'!$W19,0))</f>
        <v>0</v>
      </c>
      <c r="ER52" s="56">
        <f>IF('A&amp;Rs'!$R19="","",IF(AND(ER$23&gt;='A&amp;Rs'!$V19,ER$23&lt;'A&amp;Rs'!$X19),-'A&amp;Rs'!$Z19/'A&amp;Rs'!$W19,0))</f>
        <v>0</v>
      </c>
      <c r="ES52" s="56">
        <f>IF('A&amp;Rs'!$R19="","",IF(AND(ES$23&gt;='A&amp;Rs'!$V19,ES$23&lt;'A&amp;Rs'!$X19),-'A&amp;Rs'!$Z19/'A&amp;Rs'!$W19,0))</f>
        <v>0</v>
      </c>
      <c r="ET52" s="56">
        <f>IF('A&amp;Rs'!$R19="","",IF(AND(ET$23&gt;='A&amp;Rs'!$V19,ET$23&lt;'A&amp;Rs'!$X19),-'A&amp;Rs'!$Z19/'A&amp;Rs'!$W19,0))</f>
        <v>0</v>
      </c>
      <c r="EU52" s="56">
        <f>IF('A&amp;Rs'!$R19="","",IF(AND(EU$23&gt;='A&amp;Rs'!$V19,EU$23&lt;'A&amp;Rs'!$X19),-'A&amp;Rs'!$Z19/'A&amp;Rs'!$W19,0))</f>
        <v>0</v>
      </c>
      <c r="EV52" s="56">
        <f>IF('A&amp;Rs'!$R19="","",IF(AND(EV$23&gt;='A&amp;Rs'!$V19,EV$23&lt;'A&amp;Rs'!$X19),-'A&amp;Rs'!$Z19/'A&amp;Rs'!$W19,0))</f>
        <v>0</v>
      </c>
      <c r="EW52" s="56">
        <f>IF('A&amp;Rs'!$R19="","",IF(AND(EW$23&gt;='A&amp;Rs'!$V19,EW$23&lt;'A&amp;Rs'!$X19),-'A&amp;Rs'!$Z19/'A&amp;Rs'!$W19,0))</f>
        <v>0</v>
      </c>
      <c r="EX52" s="56">
        <f>IF('A&amp;Rs'!$R19="","",IF(AND(EX$23&gt;='A&amp;Rs'!$V19,EX$23&lt;'A&amp;Rs'!$X19),-'A&amp;Rs'!$Z19/'A&amp;Rs'!$W19,0))</f>
        <v>0</v>
      </c>
      <c r="EY52" s="56">
        <f>IF('A&amp;Rs'!$R19="","",IF(AND(EY$23&gt;='A&amp;Rs'!$V19,EY$23&lt;'A&amp;Rs'!$X19),-'A&amp;Rs'!$Z19/'A&amp;Rs'!$W19,0))</f>
        <v>0</v>
      </c>
      <c r="EZ52" s="56">
        <f>IF('A&amp;Rs'!$R19="","",IF(AND(EZ$23&gt;='A&amp;Rs'!$V19,EZ$23&lt;'A&amp;Rs'!$X19),-'A&amp;Rs'!$Z19/'A&amp;Rs'!$W19,0))</f>
        <v>0</v>
      </c>
      <c r="FA52" s="56">
        <f>IF('A&amp;Rs'!$R19="","",IF(AND(FA$23&gt;='A&amp;Rs'!$V19,FA$23&lt;'A&amp;Rs'!$X19),-'A&amp;Rs'!$Z19/'A&amp;Rs'!$W19,0))</f>
        <v>0</v>
      </c>
      <c r="FB52" s="56">
        <f>IF('A&amp;Rs'!$R19="","",IF(AND(FB$23&gt;='A&amp;Rs'!$V19,FB$23&lt;'A&amp;Rs'!$X19),-'A&amp;Rs'!$Z19/'A&amp;Rs'!$W19,0))</f>
        <v>0</v>
      </c>
      <c r="FC52" s="56">
        <f>IF('A&amp;Rs'!$R19="","",IF(AND(FC$23&gt;='A&amp;Rs'!$V19,FC$23&lt;'A&amp;Rs'!$X19),-'A&amp;Rs'!$Z19/'A&amp;Rs'!$W19,0))</f>
        <v>0</v>
      </c>
      <c r="FD52" s="56">
        <f>IF('A&amp;Rs'!$R19="","",IF(AND(FD$23&gt;='A&amp;Rs'!$V19,FD$23&lt;'A&amp;Rs'!$X19),-'A&amp;Rs'!$Z19/'A&amp;Rs'!$W19,0))</f>
        <v>0</v>
      </c>
      <c r="FE52" s="56">
        <f>IF('A&amp;Rs'!$R19="","",IF(AND(FE$23&gt;='A&amp;Rs'!$V19,FE$23&lt;'A&amp;Rs'!$X19),-'A&amp;Rs'!$Z19/'A&amp;Rs'!$W19,0))</f>
        <v>0</v>
      </c>
      <c r="FF52" s="1" t="s">
        <v>39</v>
      </c>
      <c r="FG52" s="1"/>
      <c r="FH52" s="1"/>
      <c r="FI52" s="99"/>
    </row>
    <row r="53" spans="1:165" x14ac:dyDescent="0.3">
      <c r="A53" s="150">
        <f>'A&amp;Rs'!Z20</f>
        <v>14950</v>
      </c>
      <c r="B53" s="217">
        <f t="shared" si="12"/>
        <v>-14950</v>
      </c>
      <c r="C53" s="215"/>
      <c r="D53" s="43">
        <v>11</v>
      </c>
      <c r="E53" s="56"/>
      <c r="F53" s="56">
        <f>IF('A&amp;Rs'!$R20="","",IF(AND(F$23&gt;='A&amp;Rs'!$V20,F$23&lt;'A&amp;Rs'!$X20),-'A&amp;Rs'!$Z20/'A&amp;Rs'!$W20,0))</f>
        <v>0</v>
      </c>
      <c r="G53" s="56">
        <f>IF('A&amp;Rs'!$R20="","",IF(AND(G$23&gt;='A&amp;Rs'!$V20,G$23&lt;'A&amp;Rs'!$X20),-'A&amp;Rs'!$Z20/'A&amp;Rs'!$W20,0))</f>
        <v>0</v>
      </c>
      <c r="H53" s="56">
        <f>IF('A&amp;Rs'!$R20="","",IF(AND(H$23&gt;='A&amp;Rs'!$V20,H$23&lt;'A&amp;Rs'!$X20),-'A&amp;Rs'!$Z20/'A&amp;Rs'!$W20,0))</f>
        <v>0</v>
      </c>
      <c r="I53" s="56">
        <f>IF('A&amp;Rs'!$R20="","",IF(AND(I$23&gt;='A&amp;Rs'!$V20,I$23&lt;'A&amp;Rs'!$X20),-'A&amp;Rs'!$Z20/'A&amp;Rs'!$W20,0))</f>
        <v>0</v>
      </c>
      <c r="J53" s="56">
        <f>IF('A&amp;Rs'!$R20="","",IF(AND(J$23&gt;='A&amp;Rs'!$V20,J$23&lt;'A&amp;Rs'!$X20),-'A&amp;Rs'!$Z20/'A&amp;Rs'!$W20,0))</f>
        <v>0</v>
      </c>
      <c r="K53" s="56">
        <f>IF('A&amp;Rs'!$R20="","",IF(AND(K$23&gt;='A&amp;Rs'!$V20,K$23&lt;'A&amp;Rs'!$X20),-'A&amp;Rs'!$Z20/'A&amp;Rs'!$W20,0))</f>
        <v>0</v>
      </c>
      <c r="L53" s="56">
        <f>IF('A&amp;Rs'!$R20="","",IF(AND(L$23&gt;='A&amp;Rs'!$V20,L$23&lt;'A&amp;Rs'!$X20),-'A&amp;Rs'!$Z20/'A&amp;Rs'!$W20,0))</f>
        <v>0</v>
      </c>
      <c r="M53" s="56">
        <f>IF('A&amp;Rs'!$R20="","",IF(AND(M$23&gt;='A&amp;Rs'!$V20,M$23&lt;'A&amp;Rs'!$X20),-'A&amp;Rs'!$Z20/'A&amp;Rs'!$W20,0))</f>
        <v>0</v>
      </c>
      <c r="N53" s="56">
        <f>IF('A&amp;Rs'!$R20="","",IF(AND(N$23&gt;='A&amp;Rs'!$V20,N$23&lt;'A&amp;Rs'!$X20),-'A&amp;Rs'!$Z20/'A&amp;Rs'!$W20,0))</f>
        <v>0</v>
      </c>
      <c r="O53" s="56">
        <f>IF('A&amp;Rs'!$R20="","",IF(AND(O$23&gt;='A&amp;Rs'!$V20,O$23&lt;'A&amp;Rs'!$X20),-'A&amp;Rs'!$Z20/'A&amp;Rs'!$W20,0))</f>
        <v>0</v>
      </c>
      <c r="P53" s="56">
        <f>IF('A&amp;Rs'!$R20="","",IF(AND(P$23&gt;='A&amp;Rs'!$V20,P$23&lt;'A&amp;Rs'!$X20),-'A&amp;Rs'!$Z20/'A&amp;Rs'!$W20,0))</f>
        <v>0</v>
      </c>
      <c r="Q53" s="56">
        <f>IF('A&amp;Rs'!$R20="","",IF(AND(Q$23&gt;='A&amp;Rs'!$V20,Q$23&lt;'A&amp;Rs'!$X20),-'A&amp;Rs'!$Z20/'A&amp;Rs'!$W20,0))</f>
        <v>0</v>
      </c>
      <c r="R53" s="56">
        <f>IF('A&amp;Rs'!$R20="","",IF(AND(R$23&gt;='A&amp;Rs'!$V20,R$23&lt;'A&amp;Rs'!$X20),-'A&amp;Rs'!$Z20/'A&amp;Rs'!$W20,0))</f>
        <v>-2990</v>
      </c>
      <c r="S53" s="56">
        <f>IF('A&amp;Rs'!$R20="","",IF(AND(S$23&gt;='A&amp;Rs'!$V20,S$23&lt;'A&amp;Rs'!$X20),-'A&amp;Rs'!$Z20/'A&amp;Rs'!$W20,0))</f>
        <v>-2990</v>
      </c>
      <c r="T53" s="56">
        <f>IF('A&amp;Rs'!$R20="","",IF(AND(T$23&gt;='A&amp;Rs'!$V20,T$23&lt;'A&amp;Rs'!$X20),-'A&amp;Rs'!$Z20/'A&amp;Rs'!$W20,0))</f>
        <v>-2990</v>
      </c>
      <c r="U53" s="56">
        <f>IF('A&amp;Rs'!$R20="","",IF(AND(U$23&gt;='A&amp;Rs'!$V20,U$23&lt;'A&amp;Rs'!$X20),-'A&amp;Rs'!$Z20/'A&amp;Rs'!$W20,0))</f>
        <v>-2990</v>
      </c>
      <c r="V53" s="56">
        <f>IF('A&amp;Rs'!$R20="","",IF(AND(V$23&gt;='A&amp;Rs'!$V20,V$23&lt;'A&amp;Rs'!$X20),-'A&amp;Rs'!$Z20/'A&amp;Rs'!$W20,0))</f>
        <v>-2990</v>
      </c>
      <c r="W53" s="56">
        <f>IF('A&amp;Rs'!$R20="","",IF(AND(W$23&gt;='A&amp;Rs'!$V20,W$23&lt;'A&amp;Rs'!$X20),-'A&amp;Rs'!$Z20/'A&amp;Rs'!$W20,0))</f>
        <v>0</v>
      </c>
      <c r="X53" s="56">
        <f>IF('A&amp;Rs'!$R20="","",IF(AND(X$23&gt;='A&amp;Rs'!$V20,X$23&lt;'A&amp;Rs'!$X20),-'A&amp;Rs'!$Z20/'A&amp;Rs'!$W20,0))</f>
        <v>0</v>
      </c>
      <c r="Y53" s="56">
        <f>IF('A&amp;Rs'!$R20="","",IF(AND(Y$23&gt;='A&amp;Rs'!$V20,Y$23&lt;'A&amp;Rs'!$X20),-'A&amp;Rs'!$Z20/'A&amp;Rs'!$W20,0))</f>
        <v>0</v>
      </c>
      <c r="Z53" s="56">
        <f>IF('A&amp;Rs'!$R20="","",IF(AND(Z$23&gt;='A&amp;Rs'!$V20,Z$23&lt;'A&amp;Rs'!$X20),-'A&amp;Rs'!$Z20/'A&amp;Rs'!$W20,0))</f>
        <v>0</v>
      </c>
      <c r="AA53" s="56">
        <f>IF('A&amp;Rs'!$R20="","",IF(AND(AA$23&gt;='A&amp;Rs'!$V20,AA$23&lt;'A&amp;Rs'!$X20),-'A&amp;Rs'!$Z20/'A&amp;Rs'!$W20,0))</f>
        <v>0</v>
      </c>
      <c r="AB53" s="56">
        <f>IF('A&amp;Rs'!$R20="","",IF(AND(AB$23&gt;='A&amp;Rs'!$V20,AB$23&lt;'A&amp;Rs'!$X20),-'A&amp;Rs'!$Z20/'A&amp;Rs'!$W20,0))</f>
        <v>0</v>
      </c>
      <c r="AC53" s="56">
        <f>IF('A&amp;Rs'!$R20="","",IF(AND(AC$23&gt;='A&amp;Rs'!$V20,AC$23&lt;'A&amp;Rs'!$X20),-'A&amp;Rs'!$Z20/'A&amp;Rs'!$W20,0))</f>
        <v>0</v>
      </c>
      <c r="AD53" s="56">
        <f>IF('A&amp;Rs'!$R20="","",IF(AND(AD$23&gt;='A&amp;Rs'!$V20,AD$23&lt;'A&amp;Rs'!$X20),-'A&amp;Rs'!$Z20/'A&amp;Rs'!$W20,0))</f>
        <v>0</v>
      </c>
      <c r="AE53" s="56">
        <f>IF('A&amp;Rs'!$R20="","",IF(AND(AE$23&gt;='A&amp;Rs'!$V20,AE$23&lt;'A&amp;Rs'!$X20),-'A&amp;Rs'!$Z20/'A&amp;Rs'!$W20,0))</f>
        <v>0</v>
      </c>
      <c r="AF53" s="56">
        <f>IF('A&amp;Rs'!$R20="","",IF(AND(AF$23&gt;='A&amp;Rs'!$V20,AF$23&lt;'A&amp;Rs'!$X20),-'A&amp;Rs'!$Z20/'A&amp;Rs'!$W20,0))</f>
        <v>0</v>
      </c>
      <c r="AG53" s="56">
        <f>IF('A&amp;Rs'!$R20="","",IF(AND(AG$23&gt;='A&amp;Rs'!$V20,AG$23&lt;'A&amp;Rs'!$X20),-'A&amp;Rs'!$Z20/'A&amp;Rs'!$W20,0))</f>
        <v>0</v>
      </c>
      <c r="AH53" s="56">
        <f>IF('A&amp;Rs'!$R20="","",IF(AND(AH$23&gt;='A&amp;Rs'!$V20,AH$23&lt;'A&amp;Rs'!$X20),-'A&amp;Rs'!$Z20/'A&amp;Rs'!$W20,0))</f>
        <v>0</v>
      </c>
      <c r="AI53" s="56">
        <f>IF('A&amp;Rs'!$R20="","",IF(AND(AI$23&gt;='A&amp;Rs'!$V20,AI$23&lt;'A&amp;Rs'!$X20),-'A&amp;Rs'!$Z20/'A&amp;Rs'!$W20,0))</f>
        <v>0</v>
      </c>
      <c r="AJ53" s="56">
        <f>IF('A&amp;Rs'!$R20="","",IF(AND(AJ$23&gt;='A&amp;Rs'!$V20,AJ$23&lt;'A&amp;Rs'!$X20),-'A&amp;Rs'!$Z20/'A&amp;Rs'!$W20,0))</f>
        <v>0</v>
      </c>
      <c r="AK53" s="56">
        <f>IF('A&amp;Rs'!$R20="","",IF(AND(AK$23&gt;='A&amp;Rs'!$V20,AK$23&lt;'A&amp;Rs'!$X20),-'A&amp;Rs'!$Z20/'A&amp;Rs'!$W20,0))</f>
        <v>0</v>
      </c>
      <c r="AL53" s="56">
        <f>IF('A&amp;Rs'!$R20="","",IF(AND(AL$23&gt;='A&amp;Rs'!$V20,AL$23&lt;'A&amp;Rs'!$X20),-'A&amp;Rs'!$Z20/'A&amp;Rs'!$W20,0))</f>
        <v>0</v>
      </c>
      <c r="AM53" s="56">
        <f>IF('A&amp;Rs'!$R20="","",IF(AND(AM$23&gt;='A&amp;Rs'!$V20,AM$23&lt;'A&amp;Rs'!$X20),-'A&amp;Rs'!$Z20/'A&amp;Rs'!$W20,0))</f>
        <v>0</v>
      </c>
      <c r="AN53" s="56">
        <f>IF('A&amp;Rs'!$R20="","",IF(AND(AN$23&gt;='A&amp;Rs'!$V20,AN$23&lt;'A&amp;Rs'!$X20),-'A&amp;Rs'!$Z20/'A&amp;Rs'!$W20,0))</f>
        <v>0</v>
      </c>
      <c r="AO53" s="56">
        <f>IF('A&amp;Rs'!$R20="","",IF(AND(AO$23&gt;='A&amp;Rs'!$V20,AO$23&lt;'A&amp;Rs'!$X20),-'A&amp;Rs'!$Z20/'A&amp;Rs'!$W20,0))</f>
        <v>0</v>
      </c>
      <c r="AP53" s="56">
        <f>IF('A&amp;Rs'!$R20="","",IF(AND(AP$23&gt;='A&amp;Rs'!$V20,AP$23&lt;'A&amp;Rs'!$X20),-'A&amp;Rs'!$Z20/'A&amp;Rs'!$W20,0))</f>
        <v>0</v>
      </c>
      <c r="AQ53" s="56">
        <f>IF('A&amp;Rs'!$R20="","",IF(AND(AQ$23&gt;='A&amp;Rs'!$V20,AQ$23&lt;'A&amp;Rs'!$X20),-'A&amp;Rs'!$Z20/'A&amp;Rs'!$W20,0))</f>
        <v>0</v>
      </c>
      <c r="AR53" s="56">
        <f>IF('A&amp;Rs'!$R20="","",IF(AND(AR$23&gt;='A&amp;Rs'!$V20,AR$23&lt;'A&amp;Rs'!$X20),-'A&amp;Rs'!$Z20/'A&amp;Rs'!$W20,0))</f>
        <v>0</v>
      </c>
      <c r="AS53" s="56">
        <f>IF('A&amp;Rs'!$R20="","",IF(AND(AS$23&gt;='A&amp;Rs'!$V20,AS$23&lt;'A&amp;Rs'!$X20),-'A&amp;Rs'!$Z20/'A&amp;Rs'!$W20,0))</f>
        <v>0</v>
      </c>
      <c r="AT53" s="56">
        <f>IF('A&amp;Rs'!$R20="","",IF(AND(AT$23&gt;='A&amp;Rs'!$V20,AT$23&lt;'A&amp;Rs'!$X20),-'A&amp;Rs'!$Z20/'A&amp;Rs'!$W20,0))</f>
        <v>0</v>
      </c>
      <c r="AU53" s="56">
        <f>IF('A&amp;Rs'!$R20="","",IF(AND(AU$23&gt;='A&amp;Rs'!$V20,AU$23&lt;'A&amp;Rs'!$X20),-'A&amp;Rs'!$Z20/'A&amp;Rs'!$W20,0))</f>
        <v>0</v>
      </c>
      <c r="AV53" s="56">
        <f>IF('A&amp;Rs'!$R20="","",IF(AND(AV$23&gt;='A&amp;Rs'!$V20,AV$23&lt;'A&amp;Rs'!$X20),-'A&amp;Rs'!$Z20/'A&amp;Rs'!$W20,0))</f>
        <v>0</v>
      </c>
      <c r="AW53" s="56">
        <f>IF('A&amp;Rs'!$R20="","",IF(AND(AW$23&gt;='A&amp;Rs'!$V20,AW$23&lt;'A&amp;Rs'!$X20),-'A&amp;Rs'!$Z20/'A&amp;Rs'!$W20,0))</f>
        <v>0</v>
      </c>
      <c r="AX53" s="56">
        <f>IF('A&amp;Rs'!$R20="","",IF(AND(AX$23&gt;='A&amp;Rs'!$V20,AX$23&lt;'A&amp;Rs'!$X20),-'A&amp;Rs'!$Z20/'A&amp;Rs'!$W20,0))</f>
        <v>0</v>
      </c>
      <c r="AY53" s="56">
        <f>IF('A&amp;Rs'!$R20="","",IF(AND(AY$23&gt;='A&amp;Rs'!$V20,AY$23&lt;'A&amp;Rs'!$X20),-'A&amp;Rs'!$Z20/'A&amp;Rs'!$W20,0))</f>
        <v>0</v>
      </c>
      <c r="AZ53" s="56">
        <f>IF('A&amp;Rs'!$R20="","",IF(AND(AZ$23&gt;='A&amp;Rs'!$V20,AZ$23&lt;'A&amp;Rs'!$X20),-'A&amp;Rs'!$Z20/'A&amp;Rs'!$W20,0))</f>
        <v>0</v>
      </c>
      <c r="BA53" s="56">
        <f>IF('A&amp;Rs'!$R20="","",IF(AND(BA$23&gt;='A&amp;Rs'!$V20,BA$23&lt;'A&amp;Rs'!$X20),-'A&amp;Rs'!$Z20/'A&amp;Rs'!$W20,0))</f>
        <v>0</v>
      </c>
      <c r="BB53" s="56">
        <f>IF('A&amp;Rs'!$R20="","",IF(AND(BB$23&gt;='A&amp;Rs'!$V20,BB$23&lt;'A&amp;Rs'!$X20),-'A&amp;Rs'!$Z20/'A&amp;Rs'!$W20,0))</f>
        <v>0</v>
      </c>
      <c r="BC53" s="56">
        <f>IF('A&amp;Rs'!$R20="","",IF(AND(BC$23&gt;='A&amp;Rs'!$V20,BC$23&lt;'A&amp;Rs'!$X20),-'A&amp;Rs'!$Z20/'A&amp;Rs'!$W20,0))</f>
        <v>0</v>
      </c>
      <c r="BD53" s="56">
        <f>IF('A&amp;Rs'!$R20="","",IF(AND(BD$23&gt;='A&amp;Rs'!$V20,BD$23&lt;'A&amp;Rs'!$X20),-'A&amp;Rs'!$Z20/'A&amp;Rs'!$W20,0))</f>
        <v>0</v>
      </c>
      <c r="BE53" s="56">
        <f>IF('A&amp;Rs'!$R20="","",IF(AND(BE$23&gt;='A&amp;Rs'!$V20,BE$23&lt;'A&amp;Rs'!$X20),-'A&amp;Rs'!$Z20/'A&amp;Rs'!$W20,0))</f>
        <v>0</v>
      </c>
      <c r="BF53" s="56">
        <f>IF('A&amp;Rs'!$R20="","",IF(AND(BF$23&gt;='A&amp;Rs'!$V20,BF$23&lt;'A&amp;Rs'!$X20),-'A&amp;Rs'!$Z20/'A&amp;Rs'!$W20,0))</f>
        <v>0</v>
      </c>
      <c r="BG53" s="56">
        <f>IF('A&amp;Rs'!$R20="","",IF(AND(BG$23&gt;='A&amp;Rs'!$V20,BG$23&lt;'A&amp;Rs'!$X20),-'A&amp;Rs'!$Z20/'A&amp;Rs'!$W20,0))</f>
        <v>0</v>
      </c>
      <c r="BH53" s="56">
        <f>IF('A&amp;Rs'!$R20="","",IF(AND(BH$23&gt;='A&amp;Rs'!$V20,BH$23&lt;'A&amp;Rs'!$X20),-'A&amp;Rs'!$Z20/'A&amp;Rs'!$W20,0))</f>
        <v>0</v>
      </c>
      <c r="BI53" s="56">
        <f>IF('A&amp;Rs'!$R20="","",IF(AND(BI$23&gt;='A&amp;Rs'!$V20,BI$23&lt;'A&amp;Rs'!$X20),-'A&amp;Rs'!$Z20/'A&amp;Rs'!$W20,0))</f>
        <v>0</v>
      </c>
      <c r="BJ53" s="56">
        <f>IF('A&amp;Rs'!$R20="","",IF(AND(BJ$23&gt;='A&amp;Rs'!$V20,BJ$23&lt;'A&amp;Rs'!$X20),-'A&amp;Rs'!$Z20/'A&amp;Rs'!$W20,0))</f>
        <v>0</v>
      </c>
      <c r="BK53" s="56">
        <f>IF('A&amp;Rs'!$R20="","",IF(AND(BK$23&gt;='A&amp;Rs'!$V20,BK$23&lt;'A&amp;Rs'!$X20),-'A&amp;Rs'!$Z20/'A&amp;Rs'!$W20,0))</f>
        <v>0</v>
      </c>
      <c r="BL53" s="56">
        <f>IF('A&amp;Rs'!$R20="","",IF(AND(BL$23&gt;='A&amp;Rs'!$V20,BL$23&lt;'A&amp;Rs'!$X20),-'A&amp;Rs'!$Z20/'A&amp;Rs'!$W20,0))</f>
        <v>0</v>
      </c>
      <c r="BM53" s="56">
        <f>IF('A&amp;Rs'!$R20="","",IF(AND(BM$23&gt;='A&amp;Rs'!$V20,BM$23&lt;'A&amp;Rs'!$X20),-'A&amp;Rs'!$Z20/'A&amp;Rs'!$W20,0))</f>
        <v>0</v>
      </c>
      <c r="BN53" s="56">
        <f>IF('A&amp;Rs'!$R20="","",IF(AND(BN$23&gt;='A&amp;Rs'!$V20,BN$23&lt;'A&amp;Rs'!$X20),-'A&amp;Rs'!$Z20/'A&amp;Rs'!$W20,0))</f>
        <v>0</v>
      </c>
      <c r="BO53" s="56">
        <f>IF('A&amp;Rs'!$R20="","",IF(AND(BO$23&gt;='A&amp;Rs'!$V20,BO$23&lt;'A&amp;Rs'!$X20),-'A&amp;Rs'!$Z20/'A&amp;Rs'!$W20,0))</f>
        <v>0</v>
      </c>
      <c r="BP53" s="56">
        <f>IF('A&amp;Rs'!$R20="","",IF(AND(BP$23&gt;='A&amp;Rs'!$V20,BP$23&lt;'A&amp;Rs'!$X20),-'A&amp;Rs'!$Z20/'A&amp;Rs'!$W20,0))</f>
        <v>0</v>
      </c>
      <c r="BQ53" s="56">
        <f>IF('A&amp;Rs'!$R20="","",IF(AND(BQ$23&gt;='A&amp;Rs'!$V20,BQ$23&lt;'A&amp;Rs'!$X20),-'A&amp;Rs'!$Z20/'A&amp;Rs'!$W20,0))</f>
        <v>0</v>
      </c>
      <c r="BR53" s="56">
        <f>IF('A&amp;Rs'!$R20="","",IF(AND(BR$23&gt;='A&amp;Rs'!$V20,BR$23&lt;'A&amp;Rs'!$X20),-'A&amp;Rs'!$Z20/'A&amp;Rs'!$W20,0))</f>
        <v>0</v>
      </c>
      <c r="BS53" s="56">
        <f>IF('A&amp;Rs'!$R20="","",IF(AND(BS$23&gt;='A&amp;Rs'!$V20,BS$23&lt;'A&amp;Rs'!$X20),-'A&amp;Rs'!$Z20/'A&amp;Rs'!$W20,0))</f>
        <v>0</v>
      </c>
      <c r="BT53" s="56">
        <f>IF('A&amp;Rs'!$R20="","",IF(AND(BT$23&gt;='A&amp;Rs'!$V20,BT$23&lt;'A&amp;Rs'!$X20),-'A&amp;Rs'!$Z20/'A&amp;Rs'!$W20,0))</f>
        <v>0</v>
      </c>
      <c r="BU53" s="56">
        <f>IF('A&amp;Rs'!$R20="","",IF(AND(BU$23&gt;='A&amp;Rs'!$V20,BU$23&lt;'A&amp;Rs'!$X20),-'A&amp;Rs'!$Z20/'A&amp;Rs'!$W20,0))</f>
        <v>0</v>
      </c>
      <c r="BV53" s="56">
        <f>IF('A&amp;Rs'!$R20="","",IF(AND(BV$23&gt;='A&amp;Rs'!$V20,BV$23&lt;'A&amp;Rs'!$X20),-'A&amp;Rs'!$Z20/'A&amp;Rs'!$W20,0))</f>
        <v>0</v>
      </c>
      <c r="BW53" s="56">
        <f>IF('A&amp;Rs'!$R20="","",IF(AND(BW$23&gt;='A&amp;Rs'!$V20,BW$23&lt;'A&amp;Rs'!$X20),-'A&amp;Rs'!$Z20/'A&amp;Rs'!$W20,0))</f>
        <v>0</v>
      </c>
      <c r="BX53" s="56">
        <f>IF('A&amp;Rs'!$R20="","",IF(AND(BX$23&gt;='A&amp;Rs'!$V20,BX$23&lt;'A&amp;Rs'!$X20),-'A&amp;Rs'!$Z20/'A&amp;Rs'!$W20,0))</f>
        <v>0</v>
      </c>
      <c r="BY53" s="56">
        <f>IF('A&amp;Rs'!$R20="","",IF(AND(BY$23&gt;='A&amp;Rs'!$V20,BY$23&lt;'A&amp;Rs'!$X20),-'A&amp;Rs'!$Z20/'A&amp;Rs'!$W20,0))</f>
        <v>0</v>
      </c>
      <c r="BZ53" s="56">
        <f>IF('A&amp;Rs'!$R20="","",IF(AND(BZ$23&gt;='A&amp;Rs'!$V20,BZ$23&lt;'A&amp;Rs'!$X20),-'A&amp;Rs'!$Z20/'A&amp;Rs'!$W20,0))</f>
        <v>0</v>
      </c>
      <c r="CA53" s="56">
        <f>IF('A&amp;Rs'!$R20="","",IF(AND(CA$23&gt;='A&amp;Rs'!$V20,CA$23&lt;'A&amp;Rs'!$X20),-'A&amp;Rs'!$Z20/'A&amp;Rs'!$W20,0))</f>
        <v>0</v>
      </c>
      <c r="CB53" s="56">
        <f>IF('A&amp;Rs'!$R20="","",IF(AND(CB$23&gt;='A&amp;Rs'!$V20,CB$23&lt;'A&amp;Rs'!$X20),-'A&amp;Rs'!$Z20/'A&amp;Rs'!$W20,0))</f>
        <v>0</v>
      </c>
      <c r="CC53" s="56">
        <f>IF('A&amp;Rs'!$R20="","",IF(AND(CC$23&gt;='A&amp;Rs'!$V20,CC$23&lt;'A&amp;Rs'!$X20),-'A&amp;Rs'!$Z20/'A&amp;Rs'!$W20,0))</f>
        <v>0</v>
      </c>
      <c r="CD53" s="56">
        <f>IF('A&amp;Rs'!$R20="","",IF(AND(CD$23&gt;='A&amp;Rs'!$V20,CD$23&lt;'A&amp;Rs'!$X20),-'A&amp;Rs'!$Z20/'A&amp;Rs'!$W20,0))</f>
        <v>0</v>
      </c>
      <c r="CE53" s="56">
        <f>IF('A&amp;Rs'!$R20="","",IF(AND(CE$23&gt;='A&amp;Rs'!$V20,CE$23&lt;'A&amp;Rs'!$X20),-'A&amp;Rs'!$Z20/'A&amp;Rs'!$W20,0))</f>
        <v>0</v>
      </c>
      <c r="CF53" s="56">
        <f>IF('A&amp;Rs'!$R20="","",IF(AND(CF$23&gt;='A&amp;Rs'!$V20,CF$23&lt;'A&amp;Rs'!$X20),-'A&amp;Rs'!$Z20/'A&amp;Rs'!$W20,0))</f>
        <v>0</v>
      </c>
      <c r="CG53" s="56">
        <f>IF('A&amp;Rs'!$R20="","",IF(AND(CG$23&gt;='A&amp;Rs'!$V20,CG$23&lt;'A&amp;Rs'!$X20),-'A&amp;Rs'!$Z20/'A&amp;Rs'!$W20,0))</f>
        <v>0</v>
      </c>
      <c r="CH53" s="56">
        <f>IF('A&amp;Rs'!$R20="","",IF(AND(CH$23&gt;='A&amp;Rs'!$V20,CH$23&lt;'A&amp;Rs'!$X20),-'A&amp;Rs'!$Z20/'A&amp;Rs'!$W20,0))</f>
        <v>0</v>
      </c>
      <c r="CI53" s="56">
        <f>IF('A&amp;Rs'!$R20="","",IF(AND(CI$23&gt;='A&amp;Rs'!$V20,CI$23&lt;'A&amp;Rs'!$X20),-'A&amp;Rs'!$Z20/'A&amp;Rs'!$W20,0))</f>
        <v>0</v>
      </c>
      <c r="CJ53" s="56">
        <f>IF('A&amp;Rs'!$R20="","",IF(AND(CJ$23&gt;='A&amp;Rs'!$V20,CJ$23&lt;'A&amp;Rs'!$X20),-'A&amp;Rs'!$Z20/'A&amp;Rs'!$W20,0))</f>
        <v>0</v>
      </c>
      <c r="CK53" s="56">
        <f>IF('A&amp;Rs'!$R20="","",IF(AND(CK$23&gt;='A&amp;Rs'!$V20,CK$23&lt;'A&amp;Rs'!$X20),-'A&amp;Rs'!$Z20/'A&amp;Rs'!$W20,0))</f>
        <v>0</v>
      </c>
      <c r="CL53" s="56">
        <f>IF('A&amp;Rs'!$R20="","",IF(AND(CL$23&gt;='A&amp;Rs'!$V20,CL$23&lt;'A&amp;Rs'!$X20),-'A&amp;Rs'!$Z20/'A&amp;Rs'!$W20,0))</f>
        <v>0</v>
      </c>
      <c r="CM53" s="56">
        <f>IF('A&amp;Rs'!$R20="","",IF(AND(CM$23&gt;='A&amp;Rs'!$V20,CM$23&lt;'A&amp;Rs'!$X20),-'A&amp;Rs'!$Z20/'A&amp;Rs'!$W20,0))</f>
        <v>0</v>
      </c>
      <c r="CN53" s="56">
        <f>IF('A&amp;Rs'!$R20="","",IF(AND(CN$23&gt;='A&amp;Rs'!$V20,CN$23&lt;'A&amp;Rs'!$X20),-'A&amp;Rs'!$Z20/'A&amp;Rs'!$W20,0))</f>
        <v>0</v>
      </c>
      <c r="CO53" s="56">
        <f>IF('A&amp;Rs'!$R20="","",IF(AND(CO$23&gt;='A&amp;Rs'!$V20,CO$23&lt;'A&amp;Rs'!$X20),-'A&amp;Rs'!$Z20/'A&amp;Rs'!$W20,0))</f>
        <v>0</v>
      </c>
      <c r="CP53" s="56">
        <f>IF('A&amp;Rs'!$R20="","",IF(AND(CP$23&gt;='A&amp;Rs'!$V20,CP$23&lt;'A&amp;Rs'!$X20),-'A&amp;Rs'!$Z20/'A&amp;Rs'!$W20,0))</f>
        <v>0</v>
      </c>
      <c r="CQ53" s="56">
        <f>IF('A&amp;Rs'!$R20="","",IF(AND(CQ$23&gt;='A&amp;Rs'!$V20,CQ$23&lt;'A&amp;Rs'!$X20),-'A&amp;Rs'!$Z20/'A&amp;Rs'!$W20,0))</f>
        <v>0</v>
      </c>
      <c r="CR53" s="56">
        <f>IF('A&amp;Rs'!$R20="","",IF(AND(CR$23&gt;='A&amp;Rs'!$V20,CR$23&lt;'A&amp;Rs'!$X20),-'A&amp;Rs'!$Z20/'A&amp;Rs'!$W20,0))</f>
        <v>0</v>
      </c>
      <c r="CS53" s="56">
        <f>IF('A&amp;Rs'!$R20="","",IF(AND(CS$23&gt;='A&amp;Rs'!$V20,CS$23&lt;'A&amp;Rs'!$X20),-'A&amp;Rs'!$Z20/'A&amp;Rs'!$W20,0))</f>
        <v>0</v>
      </c>
      <c r="CT53" s="56">
        <f>IF('A&amp;Rs'!$R20="","",IF(AND(CT$23&gt;='A&amp;Rs'!$V20,CT$23&lt;'A&amp;Rs'!$X20),-'A&amp;Rs'!$Z20/'A&amp;Rs'!$W20,0))</f>
        <v>0</v>
      </c>
      <c r="CU53" s="56">
        <f>IF('A&amp;Rs'!$R20="","",IF(AND(CU$23&gt;='A&amp;Rs'!$V20,CU$23&lt;'A&amp;Rs'!$X20),-'A&amp;Rs'!$Z20/'A&amp;Rs'!$W20,0))</f>
        <v>0</v>
      </c>
      <c r="CV53" s="56">
        <f>IF('A&amp;Rs'!$R20="","",IF(AND(CV$23&gt;='A&amp;Rs'!$V20,CV$23&lt;'A&amp;Rs'!$X20),-'A&amp;Rs'!$Z20/'A&amp;Rs'!$W20,0))</f>
        <v>0</v>
      </c>
      <c r="CW53" s="56">
        <f>IF('A&amp;Rs'!$R20="","",IF(AND(CW$23&gt;='A&amp;Rs'!$V20,CW$23&lt;'A&amp;Rs'!$X20),-'A&amp;Rs'!$Z20/'A&amp;Rs'!$W20,0))</f>
        <v>0</v>
      </c>
      <c r="CX53" s="56">
        <f>IF('A&amp;Rs'!$R20="","",IF(AND(CX$23&gt;='A&amp;Rs'!$V20,CX$23&lt;'A&amp;Rs'!$X20),-'A&amp;Rs'!$Z20/'A&amp;Rs'!$W20,0))</f>
        <v>0</v>
      </c>
      <c r="CY53" s="56">
        <f>IF('A&amp;Rs'!$R20="","",IF(AND(CY$23&gt;='A&amp;Rs'!$V20,CY$23&lt;'A&amp;Rs'!$X20),-'A&amp;Rs'!$Z20/'A&amp;Rs'!$W20,0))</f>
        <v>0</v>
      </c>
      <c r="CZ53" s="56">
        <f>IF('A&amp;Rs'!$R20="","",IF(AND(CZ$23&gt;='A&amp;Rs'!$V20,CZ$23&lt;'A&amp;Rs'!$X20),-'A&amp;Rs'!$Z20/'A&amp;Rs'!$W20,0))</f>
        <v>0</v>
      </c>
      <c r="DA53" s="56">
        <f>IF('A&amp;Rs'!$R20="","",IF(AND(DA$23&gt;='A&amp;Rs'!$V20,DA$23&lt;'A&amp;Rs'!$X20),-'A&amp;Rs'!$Z20/'A&amp;Rs'!$W20,0))</f>
        <v>0</v>
      </c>
      <c r="DB53" s="56">
        <f>IF('A&amp;Rs'!$R20="","",IF(AND(DB$23&gt;='A&amp;Rs'!$V20,DB$23&lt;'A&amp;Rs'!$X20),-'A&amp;Rs'!$Z20/'A&amp;Rs'!$W20,0))</f>
        <v>0</v>
      </c>
      <c r="DC53" s="56">
        <f>IF('A&amp;Rs'!$R20="","",IF(AND(DC$23&gt;='A&amp;Rs'!$V20,DC$23&lt;'A&amp;Rs'!$X20),-'A&amp;Rs'!$Z20/'A&amp;Rs'!$W20,0))</f>
        <v>0</v>
      </c>
      <c r="DD53" s="56">
        <f>IF('A&amp;Rs'!$R20="","",IF(AND(DD$23&gt;='A&amp;Rs'!$V20,DD$23&lt;'A&amp;Rs'!$X20),-'A&amp;Rs'!$Z20/'A&amp;Rs'!$W20,0))</f>
        <v>0</v>
      </c>
      <c r="DE53" s="56">
        <f>IF('A&amp;Rs'!$R20="","",IF(AND(DE$23&gt;='A&amp;Rs'!$V20,DE$23&lt;'A&amp;Rs'!$X20),-'A&amp;Rs'!$Z20/'A&amp;Rs'!$W20,0))</f>
        <v>0</v>
      </c>
      <c r="DF53" s="56">
        <f>IF('A&amp;Rs'!$R20="","",IF(AND(DF$23&gt;='A&amp;Rs'!$V20,DF$23&lt;'A&amp;Rs'!$X20),-'A&amp;Rs'!$Z20/'A&amp;Rs'!$W20,0))</f>
        <v>0</v>
      </c>
      <c r="DG53" s="56">
        <f>IF('A&amp;Rs'!$R20="","",IF(AND(DG$23&gt;='A&amp;Rs'!$V20,DG$23&lt;'A&amp;Rs'!$X20),-'A&amp;Rs'!$Z20/'A&amp;Rs'!$W20,0))</f>
        <v>0</v>
      </c>
      <c r="DH53" s="56">
        <f>IF('A&amp;Rs'!$R20="","",IF(AND(DH$23&gt;='A&amp;Rs'!$V20,DH$23&lt;'A&amp;Rs'!$X20),-'A&amp;Rs'!$Z20/'A&amp;Rs'!$W20,0))</f>
        <v>0</v>
      </c>
      <c r="DI53" s="56">
        <f>IF('A&amp;Rs'!$R20="","",IF(AND(DI$23&gt;='A&amp;Rs'!$V20,DI$23&lt;'A&amp;Rs'!$X20),-'A&amp;Rs'!$Z20/'A&amp;Rs'!$W20,0))</f>
        <v>0</v>
      </c>
      <c r="DJ53" s="56">
        <f>IF('A&amp;Rs'!$R20="","",IF(AND(DJ$23&gt;='A&amp;Rs'!$V20,DJ$23&lt;'A&amp;Rs'!$X20),-'A&amp;Rs'!$Z20/'A&amp;Rs'!$W20,0))</f>
        <v>0</v>
      </c>
      <c r="DK53" s="56">
        <f>IF('A&amp;Rs'!$R20="","",IF(AND(DK$23&gt;='A&amp;Rs'!$V20,DK$23&lt;'A&amp;Rs'!$X20),-'A&amp;Rs'!$Z20/'A&amp;Rs'!$W20,0))</f>
        <v>0</v>
      </c>
      <c r="DL53" s="56">
        <f>IF('A&amp;Rs'!$R20="","",IF(AND(DL$23&gt;='A&amp;Rs'!$V20,DL$23&lt;'A&amp;Rs'!$X20),-'A&amp;Rs'!$Z20/'A&amp;Rs'!$W20,0))</f>
        <v>0</v>
      </c>
      <c r="DM53" s="56">
        <f>IF('A&amp;Rs'!$R20="","",IF(AND(DM$23&gt;='A&amp;Rs'!$V20,DM$23&lt;'A&amp;Rs'!$X20),-'A&amp;Rs'!$Z20/'A&amp;Rs'!$W20,0))</f>
        <v>0</v>
      </c>
      <c r="DN53" s="56">
        <f>IF('A&amp;Rs'!$R20="","",IF(AND(DN$23&gt;='A&amp;Rs'!$V20,DN$23&lt;'A&amp;Rs'!$X20),-'A&amp;Rs'!$Z20/'A&amp;Rs'!$W20,0))</f>
        <v>0</v>
      </c>
      <c r="DO53" s="56">
        <f>IF('A&amp;Rs'!$R20="","",IF(AND(DO$23&gt;='A&amp;Rs'!$V20,DO$23&lt;'A&amp;Rs'!$X20),-'A&amp;Rs'!$Z20/'A&amp;Rs'!$W20,0))</f>
        <v>0</v>
      </c>
      <c r="DP53" s="56">
        <f>IF('A&amp;Rs'!$R20="","",IF(AND(DP$23&gt;='A&amp;Rs'!$V20,DP$23&lt;'A&amp;Rs'!$X20),-'A&amp;Rs'!$Z20/'A&amp;Rs'!$W20,0))</f>
        <v>0</v>
      </c>
      <c r="DQ53" s="56">
        <f>IF('A&amp;Rs'!$R20="","",IF(AND(DQ$23&gt;='A&amp;Rs'!$V20,DQ$23&lt;'A&amp;Rs'!$X20),-'A&amp;Rs'!$Z20/'A&amp;Rs'!$W20,0))</f>
        <v>0</v>
      </c>
      <c r="DR53" s="56">
        <f>IF('A&amp;Rs'!$R20="","",IF(AND(DR$23&gt;='A&amp;Rs'!$V20,DR$23&lt;'A&amp;Rs'!$X20),-'A&amp;Rs'!$Z20/'A&amp;Rs'!$W20,0))</f>
        <v>0</v>
      </c>
      <c r="DS53" s="56">
        <f>IF('A&amp;Rs'!$R20="","",IF(AND(DS$23&gt;='A&amp;Rs'!$V20,DS$23&lt;'A&amp;Rs'!$X20),-'A&amp;Rs'!$Z20/'A&amp;Rs'!$W20,0))</f>
        <v>0</v>
      </c>
      <c r="DT53" s="56">
        <f>IF('A&amp;Rs'!$R20="","",IF(AND(DT$23&gt;='A&amp;Rs'!$V20,DT$23&lt;'A&amp;Rs'!$X20),-'A&amp;Rs'!$Z20/'A&amp;Rs'!$W20,0))</f>
        <v>0</v>
      </c>
      <c r="DU53" s="56">
        <f>IF('A&amp;Rs'!$R20="","",IF(AND(DU$23&gt;='A&amp;Rs'!$V20,DU$23&lt;'A&amp;Rs'!$X20),-'A&amp;Rs'!$Z20/'A&amp;Rs'!$W20,0))</f>
        <v>0</v>
      </c>
      <c r="DV53" s="56">
        <f>IF('A&amp;Rs'!$R20="","",IF(AND(DV$23&gt;='A&amp;Rs'!$V20,DV$23&lt;'A&amp;Rs'!$X20),-'A&amp;Rs'!$Z20/'A&amp;Rs'!$W20,0))</f>
        <v>0</v>
      </c>
      <c r="DW53" s="56">
        <f>IF('A&amp;Rs'!$R20="","",IF(AND(DW$23&gt;='A&amp;Rs'!$V20,DW$23&lt;'A&amp;Rs'!$X20),-'A&amp;Rs'!$Z20/'A&amp;Rs'!$W20,0))</f>
        <v>0</v>
      </c>
      <c r="DX53" s="56">
        <f>IF('A&amp;Rs'!$R20="","",IF(AND(DX$23&gt;='A&amp;Rs'!$V20,DX$23&lt;'A&amp;Rs'!$X20),-'A&amp;Rs'!$Z20/'A&amp;Rs'!$W20,0))</f>
        <v>0</v>
      </c>
      <c r="DY53" s="56">
        <f>IF('A&amp;Rs'!$R20="","",IF(AND(DY$23&gt;='A&amp;Rs'!$V20,DY$23&lt;'A&amp;Rs'!$X20),-'A&amp;Rs'!$Z20/'A&amp;Rs'!$W20,0))</f>
        <v>0</v>
      </c>
      <c r="DZ53" s="56">
        <f>IF('A&amp;Rs'!$R20="","",IF(AND(DZ$23&gt;='A&amp;Rs'!$V20,DZ$23&lt;'A&amp;Rs'!$X20),-'A&amp;Rs'!$Z20/'A&amp;Rs'!$W20,0))</f>
        <v>0</v>
      </c>
      <c r="EA53" s="56">
        <f>IF('A&amp;Rs'!$R20="","",IF(AND(EA$23&gt;='A&amp;Rs'!$V20,EA$23&lt;'A&amp;Rs'!$X20),-'A&amp;Rs'!$Z20/'A&amp;Rs'!$W20,0))</f>
        <v>0</v>
      </c>
      <c r="EB53" s="56">
        <f>IF('A&amp;Rs'!$R20="","",IF(AND(EB$23&gt;='A&amp;Rs'!$V20,EB$23&lt;'A&amp;Rs'!$X20),-'A&amp;Rs'!$Z20/'A&amp;Rs'!$W20,0))</f>
        <v>0</v>
      </c>
      <c r="EC53" s="56">
        <f>IF('A&amp;Rs'!$R20="","",IF(AND(EC$23&gt;='A&amp;Rs'!$V20,EC$23&lt;'A&amp;Rs'!$X20),-'A&amp;Rs'!$Z20/'A&amp;Rs'!$W20,0))</f>
        <v>0</v>
      </c>
      <c r="ED53" s="56">
        <f>IF('A&amp;Rs'!$R20="","",IF(AND(ED$23&gt;='A&amp;Rs'!$V20,ED$23&lt;'A&amp;Rs'!$X20),-'A&amp;Rs'!$Z20/'A&amp;Rs'!$W20,0))</f>
        <v>0</v>
      </c>
      <c r="EE53" s="56">
        <f>IF('A&amp;Rs'!$R20="","",IF(AND(EE$23&gt;='A&amp;Rs'!$V20,EE$23&lt;'A&amp;Rs'!$X20),-'A&amp;Rs'!$Z20/'A&amp;Rs'!$W20,0))</f>
        <v>0</v>
      </c>
      <c r="EF53" s="56">
        <f>IF('A&amp;Rs'!$R20="","",IF(AND(EF$23&gt;='A&amp;Rs'!$V20,EF$23&lt;'A&amp;Rs'!$X20),-'A&amp;Rs'!$Z20/'A&amp;Rs'!$W20,0))</f>
        <v>0</v>
      </c>
      <c r="EG53" s="56">
        <f>IF('A&amp;Rs'!$R20="","",IF(AND(EG$23&gt;='A&amp;Rs'!$V20,EG$23&lt;'A&amp;Rs'!$X20),-'A&amp;Rs'!$Z20/'A&amp;Rs'!$W20,0))</f>
        <v>0</v>
      </c>
      <c r="EH53" s="56">
        <f>IF('A&amp;Rs'!$R20="","",IF(AND(EH$23&gt;='A&amp;Rs'!$V20,EH$23&lt;'A&amp;Rs'!$X20),-'A&amp;Rs'!$Z20/'A&amp;Rs'!$W20,0))</f>
        <v>0</v>
      </c>
      <c r="EI53" s="56">
        <f>IF('A&amp;Rs'!$R20="","",IF(AND(EI$23&gt;='A&amp;Rs'!$V20,EI$23&lt;'A&amp;Rs'!$X20),-'A&amp;Rs'!$Z20/'A&amp;Rs'!$W20,0))</f>
        <v>0</v>
      </c>
      <c r="EJ53" s="56">
        <f>IF('A&amp;Rs'!$R20="","",IF(AND(EJ$23&gt;='A&amp;Rs'!$V20,EJ$23&lt;'A&amp;Rs'!$X20),-'A&amp;Rs'!$Z20/'A&amp;Rs'!$W20,0))</f>
        <v>0</v>
      </c>
      <c r="EK53" s="56">
        <f>IF('A&amp;Rs'!$R20="","",IF(AND(EK$23&gt;='A&amp;Rs'!$V20,EK$23&lt;'A&amp;Rs'!$X20),-'A&amp;Rs'!$Z20/'A&amp;Rs'!$W20,0))</f>
        <v>0</v>
      </c>
      <c r="EL53" s="56">
        <f>IF('A&amp;Rs'!$R20="","",IF(AND(EL$23&gt;='A&amp;Rs'!$V20,EL$23&lt;'A&amp;Rs'!$X20),-'A&amp;Rs'!$Z20/'A&amp;Rs'!$W20,0))</f>
        <v>0</v>
      </c>
      <c r="EM53" s="56">
        <f>IF('A&amp;Rs'!$R20="","",IF(AND(EM$23&gt;='A&amp;Rs'!$V20,EM$23&lt;'A&amp;Rs'!$X20),-'A&amp;Rs'!$Z20/'A&amp;Rs'!$W20,0))</f>
        <v>0</v>
      </c>
      <c r="EN53" s="56">
        <f>IF('A&amp;Rs'!$R20="","",IF(AND(EN$23&gt;='A&amp;Rs'!$V20,EN$23&lt;'A&amp;Rs'!$X20),-'A&amp;Rs'!$Z20/'A&amp;Rs'!$W20,0))</f>
        <v>0</v>
      </c>
      <c r="EO53" s="56">
        <f>IF('A&amp;Rs'!$R20="","",IF(AND(EO$23&gt;='A&amp;Rs'!$V20,EO$23&lt;'A&amp;Rs'!$X20),-'A&amp;Rs'!$Z20/'A&amp;Rs'!$W20,0))</f>
        <v>0</v>
      </c>
      <c r="EP53" s="56">
        <f>IF('A&amp;Rs'!$R20="","",IF(AND(EP$23&gt;='A&amp;Rs'!$V20,EP$23&lt;'A&amp;Rs'!$X20),-'A&amp;Rs'!$Z20/'A&amp;Rs'!$W20,0))</f>
        <v>0</v>
      </c>
      <c r="EQ53" s="56">
        <f>IF('A&amp;Rs'!$R20="","",IF(AND(EQ$23&gt;='A&amp;Rs'!$V20,EQ$23&lt;'A&amp;Rs'!$X20),-'A&amp;Rs'!$Z20/'A&amp;Rs'!$W20,0))</f>
        <v>0</v>
      </c>
      <c r="ER53" s="56">
        <f>IF('A&amp;Rs'!$R20="","",IF(AND(ER$23&gt;='A&amp;Rs'!$V20,ER$23&lt;'A&amp;Rs'!$X20),-'A&amp;Rs'!$Z20/'A&amp;Rs'!$W20,0))</f>
        <v>0</v>
      </c>
      <c r="ES53" s="56">
        <f>IF('A&amp;Rs'!$R20="","",IF(AND(ES$23&gt;='A&amp;Rs'!$V20,ES$23&lt;'A&amp;Rs'!$X20),-'A&amp;Rs'!$Z20/'A&amp;Rs'!$W20,0))</f>
        <v>0</v>
      </c>
      <c r="ET53" s="56">
        <f>IF('A&amp;Rs'!$R20="","",IF(AND(ET$23&gt;='A&amp;Rs'!$V20,ET$23&lt;'A&amp;Rs'!$X20),-'A&amp;Rs'!$Z20/'A&amp;Rs'!$W20,0))</f>
        <v>0</v>
      </c>
      <c r="EU53" s="56">
        <f>IF('A&amp;Rs'!$R20="","",IF(AND(EU$23&gt;='A&amp;Rs'!$V20,EU$23&lt;'A&amp;Rs'!$X20),-'A&amp;Rs'!$Z20/'A&amp;Rs'!$W20,0))</f>
        <v>0</v>
      </c>
      <c r="EV53" s="56">
        <f>IF('A&amp;Rs'!$R20="","",IF(AND(EV$23&gt;='A&amp;Rs'!$V20,EV$23&lt;'A&amp;Rs'!$X20),-'A&amp;Rs'!$Z20/'A&amp;Rs'!$W20,0))</f>
        <v>0</v>
      </c>
      <c r="EW53" s="56">
        <f>IF('A&amp;Rs'!$R20="","",IF(AND(EW$23&gt;='A&amp;Rs'!$V20,EW$23&lt;'A&amp;Rs'!$X20),-'A&amp;Rs'!$Z20/'A&amp;Rs'!$W20,0))</f>
        <v>0</v>
      </c>
      <c r="EX53" s="56">
        <f>IF('A&amp;Rs'!$R20="","",IF(AND(EX$23&gt;='A&amp;Rs'!$V20,EX$23&lt;'A&amp;Rs'!$X20),-'A&amp;Rs'!$Z20/'A&amp;Rs'!$W20,0))</f>
        <v>0</v>
      </c>
      <c r="EY53" s="56">
        <f>IF('A&amp;Rs'!$R20="","",IF(AND(EY$23&gt;='A&amp;Rs'!$V20,EY$23&lt;'A&amp;Rs'!$X20),-'A&amp;Rs'!$Z20/'A&amp;Rs'!$W20,0))</f>
        <v>0</v>
      </c>
      <c r="EZ53" s="56">
        <f>IF('A&amp;Rs'!$R20="","",IF(AND(EZ$23&gt;='A&amp;Rs'!$V20,EZ$23&lt;'A&amp;Rs'!$X20),-'A&amp;Rs'!$Z20/'A&amp;Rs'!$W20,0))</f>
        <v>0</v>
      </c>
      <c r="FA53" s="56">
        <f>IF('A&amp;Rs'!$R20="","",IF(AND(FA$23&gt;='A&amp;Rs'!$V20,FA$23&lt;'A&amp;Rs'!$X20),-'A&amp;Rs'!$Z20/'A&amp;Rs'!$W20,0))</f>
        <v>0</v>
      </c>
      <c r="FB53" s="56">
        <f>IF('A&amp;Rs'!$R20="","",IF(AND(FB$23&gt;='A&amp;Rs'!$V20,FB$23&lt;'A&amp;Rs'!$X20),-'A&amp;Rs'!$Z20/'A&amp;Rs'!$W20,0))</f>
        <v>0</v>
      </c>
      <c r="FC53" s="56">
        <f>IF('A&amp;Rs'!$R20="","",IF(AND(FC$23&gt;='A&amp;Rs'!$V20,FC$23&lt;'A&amp;Rs'!$X20),-'A&amp;Rs'!$Z20/'A&amp;Rs'!$W20,0))</f>
        <v>0</v>
      </c>
      <c r="FD53" s="56">
        <f>IF('A&amp;Rs'!$R20="","",IF(AND(FD$23&gt;='A&amp;Rs'!$V20,FD$23&lt;'A&amp;Rs'!$X20),-'A&amp;Rs'!$Z20/'A&amp;Rs'!$W20,0))</f>
        <v>0</v>
      </c>
      <c r="FE53" s="56">
        <f>IF('A&amp;Rs'!$R20="","",IF(AND(FE$23&gt;='A&amp;Rs'!$V20,FE$23&lt;'A&amp;Rs'!$X20),-'A&amp;Rs'!$Z20/'A&amp;Rs'!$W20,0))</f>
        <v>0</v>
      </c>
      <c r="FF53" s="1" t="s">
        <v>39</v>
      </c>
      <c r="FG53" s="1"/>
      <c r="FH53" s="1"/>
      <c r="FI53" s="99"/>
    </row>
    <row r="54" spans="1:165" x14ac:dyDescent="0.3">
      <c r="A54" s="150">
        <f>'A&amp;Rs'!Z21</f>
        <v>14950</v>
      </c>
      <c r="B54" s="217">
        <f t="shared" si="12"/>
        <v>-14950</v>
      </c>
      <c r="C54" s="215"/>
      <c r="D54" s="45">
        <v>12</v>
      </c>
      <c r="E54" s="62"/>
      <c r="F54" s="56">
        <f>IF('A&amp;Rs'!$R21="","",IF(AND(F$23&gt;='A&amp;Rs'!$V21,F$23&lt;'A&amp;Rs'!$X21),-'A&amp;Rs'!$Z21/'A&amp;Rs'!$W21,0))</f>
        <v>0</v>
      </c>
      <c r="G54" s="56">
        <f>IF('A&amp;Rs'!$R21="","",IF(AND(G$23&gt;='A&amp;Rs'!$V21,G$23&lt;'A&amp;Rs'!$X21),-'A&amp;Rs'!$Z21/'A&amp;Rs'!$W21,0))</f>
        <v>0</v>
      </c>
      <c r="H54" s="56">
        <f>IF('A&amp;Rs'!$R21="","",IF(AND(H$23&gt;='A&amp;Rs'!$V21,H$23&lt;'A&amp;Rs'!$X21),-'A&amp;Rs'!$Z21/'A&amp;Rs'!$W21,0))</f>
        <v>0</v>
      </c>
      <c r="I54" s="56">
        <f>IF('A&amp;Rs'!$R21="","",IF(AND(I$23&gt;='A&amp;Rs'!$V21,I$23&lt;'A&amp;Rs'!$X21),-'A&amp;Rs'!$Z21/'A&amp;Rs'!$W21,0))</f>
        <v>0</v>
      </c>
      <c r="J54" s="56">
        <f>IF('A&amp;Rs'!$R21="","",IF(AND(J$23&gt;='A&amp;Rs'!$V21,J$23&lt;'A&amp;Rs'!$X21),-'A&amp;Rs'!$Z21/'A&amp;Rs'!$W21,0))</f>
        <v>0</v>
      </c>
      <c r="K54" s="56">
        <f>IF('A&amp;Rs'!$R21="","",IF(AND(K$23&gt;='A&amp;Rs'!$V21,K$23&lt;'A&amp;Rs'!$X21),-'A&amp;Rs'!$Z21/'A&amp;Rs'!$W21,0))</f>
        <v>0</v>
      </c>
      <c r="L54" s="56">
        <f>IF('A&amp;Rs'!$R21="","",IF(AND(L$23&gt;='A&amp;Rs'!$V21,L$23&lt;'A&amp;Rs'!$X21),-'A&amp;Rs'!$Z21/'A&amp;Rs'!$W21,0))</f>
        <v>0</v>
      </c>
      <c r="M54" s="56">
        <f>IF('A&amp;Rs'!$R21="","",IF(AND(M$23&gt;='A&amp;Rs'!$V21,M$23&lt;'A&amp;Rs'!$X21),-'A&amp;Rs'!$Z21/'A&amp;Rs'!$W21,0))</f>
        <v>0</v>
      </c>
      <c r="N54" s="56">
        <f>IF('A&amp;Rs'!$R21="","",IF(AND(N$23&gt;='A&amp;Rs'!$V21,N$23&lt;'A&amp;Rs'!$X21),-'A&amp;Rs'!$Z21/'A&amp;Rs'!$W21,0))</f>
        <v>0</v>
      </c>
      <c r="O54" s="56">
        <f>IF('A&amp;Rs'!$R21="","",IF(AND(O$23&gt;='A&amp;Rs'!$V21,O$23&lt;'A&amp;Rs'!$X21),-'A&amp;Rs'!$Z21/'A&amp;Rs'!$W21,0))</f>
        <v>0</v>
      </c>
      <c r="P54" s="56">
        <f>IF('A&amp;Rs'!$R21="","",IF(AND(P$23&gt;='A&amp;Rs'!$V21,P$23&lt;'A&amp;Rs'!$X21),-'A&amp;Rs'!$Z21/'A&amp;Rs'!$W21,0))</f>
        <v>0</v>
      </c>
      <c r="Q54" s="56">
        <f>IF('A&amp;Rs'!$R21="","",IF(AND(Q$23&gt;='A&amp;Rs'!$V21,Q$23&lt;'A&amp;Rs'!$X21),-'A&amp;Rs'!$Z21/'A&amp;Rs'!$W21,0))</f>
        <v>0</v>
      </c>
      <c r="R54" s="56">
        <f>IF('A&amp;Rs'!$R21="","",IF(AND(R$23&gt;='A&amp;Rs'!$V21,R$23&lt;'A&amp;Rs'!$X21),-'A&amp;Rs'!$Z21/'A&amp;Rs'!$W21,0))</f>
        <v>-2990</v>
      </c>
      <c r="S54" s="56">
        <f>IF('A&amp;Rs'!$R21="","",IF(AND(S$23&gt;='A&amp;Rs'!$V21,S$23&lt;'A&amp;Rs'!$X21),-'A&amp;Rs'!$Z21/'A&amp;Rs'!$W21,0))</f>
        <v>-2990</v>
      </c>
      <c r="T54" s="56">
        <f>IF('A&amp;Rs'!$R21="","",IF(AND(T$23&gt;='A&amp;Rs'!$V21,T$23&lt;'A&amp;Rs'!$X21),-'A&amp;Rs'!$Z21/'A&amp;Rs'!$W21,0))</f>
        <v>-2990</v>
      </c>
      <c r="U54" s="56">
        <f>IF('A&amp;Rs'!$R21="","",IF(AND(U$23&gt;='A&amp;Rs'!$V21,U$23&lt;'A&amp;Rs'!$X21),-'A&amp;Rs'!$Z21/'A&amp;Rs'!$W21,0))</f>
        <v>-2990</v>
      </c>
      <c r="V54" s="56">
        <f>IF('A&amp;Rs'!$R21="","",IF(AND(V$23&gt;='A&amp;Rs'!$V21,V$23&lt;'A&amp;Rs'!$X21),-'A&amp;Rs'!$Z21/'A&amp;Rs'!$W21,0))</f>
        <v>-2990</v>
      </c>
      <c r="W54" s="56">
        <f>IF('A&amp;Rs'!$R21="","",IF(AND(W$23&gt;='A&amp;Rs'!$V21,W$23&lt;'A&amp;Rs'!$X21),-'A&amp;Rs'!$Z21/'A&amp;Rs'!$W21,0))</f>
        <v>0</v>
      </c>
      <c r="X54" s="56">
        <f>IF('A&amp;Rs'!$R21="","",IF(AND(X$23&gt;='A&amp;Rs'!$V21,X$23&lt;'A&amp;Rs'!$X21),-'A&amp;Rs'!$Z21/'A&amp;Rs'!$W21,0))</f>
        <v>0</v>
      </c>
      <c r="Y54" s="56">
        <f>IF('A&amp;Rs'!$R21="","",IF(AND(Y$23&gt;='A&amp;Rs'!$V21,Y$23&lt;'A&amp;Rs'!$X21),-'A&amp;Rs'!$Z21/'A&amp;Rs'!$W21,0))</f>
        <v>0</v>
      </c>
      <c r="Z54" s="56">
        <f>IF('A&amp;Rs'!$R21="","",IF(AND(Z$23&gt;='A&amp;Rs'!$V21,Z$23&lt;'A&amp;Rs'!$X21),-'A&amp;Rs'!$Z21/'A&amp;Rs'!$W21,0))</f>
        <v>0</v>
      </c>
      <c r="AA54" s="56">
        <f>IF('A&amp;Rs'!$R21="","",IF(AND(AA$23&gt;='A&amp;Rs'!$V21,AA$23&lt;'A&amp;Rs'!$X21),-'A&amp;Rs'!$Z21/'A&amp;Rs'!$W21,0))</f>
        <v>0</v>
      </c>
      <c r="AB54" s="56">
        <f>IF('A&amp;Rs'!$R21="","",IF(AND(AB$23&gt;='A&amp;Rs'!$V21,AB$23&lt;'A&amp;Rs'!$X21),-'A&amp;Rs'!$Z21/'A&amp;Rs'!$W21,0))</f>
        <v>0</v>
      </c>
      <c r="AC54" s="56">
        <f>IF('A&amp;Rs'!$R21="","",IF(AND(AC$23&gt;='A&amp;Rs'!$V21,AC$23&lt;'A&amp;Rs'!$X21),-'A&amp;Rs'!$Z21/'A&amp;Rs'!$W21,0))</f>
        <v>0</v>
      </c>
      <c r="AD54" s="56">
        <f>IF('A&amp;Rs'!$R21="","",IF(AND(AD$23&gt;='A&amp;Rs'!$V21,AD$23&lt;'A&amp;Rs'!$X21),-'A&amp;Rs'!$Z21/'A&amp;Rs'!$W21,0))</f>
        <v>0</v>
      </c>
      <c r="AE54" s="56">
        <f>IF('A&amp;Rs'!$R21="","",IF(AND(AE$23&gt;='A&amp;Rs'!$V21,AE$23&lt;'A&amp;Rs'!$X21),-'A&amp;Rs'!$Z21/'A&amp;Rs'!$W21,0))</f>
        <v>0</v>
      </c>
      <c r="AF54" s="56">
        <f>IF('A&amp;Rs'!$R21="","",IF(AND(AF$23&gt;='A&amp;Rs'!$V21,AF$23&lt;'A&amp;Rs'!$X21),-'A&amp;Rs'!$Z21/'A&amp;Rs'!$W21,0))</f>
        <v>0</v>
      </c>
      <c r="AG54" s="56">
        <f>IF('A&amp;Rs'!$R21="","",IF(AND(AG$23&gt;='A&amp;Rs'!$V21,AG$23&lt;'A&amp;Rs'!$X21),-'A&amp;Rs'!$Z21/'A&amp;Rs'!$W21,0))</f>
        <v>0</v>
      </c>
      <c r="AH54" s="56">
        <f>IF('A&amp;Rs'!$R21="","",IF(AND(AH$23&gt;='A&amp;Rs'!$V21,AH$23&lt;'A&amp;Rs'!$X21),-'A&amp;Rs'!$Z21/'A&amp;Rs'!$W21,0))</f>
        <v>0</v>
      </c>
      <c r="AI54" s="56">
        <f>IF('A&amp;Rs'!$R21="","",IF(AND(AI$23&gt;='A&amp;Rs'!$V21,AI$23&lt;'A&amp;Rs'!$X21),-'A&amp;Rs'!$Z21/'A&amp;Rs'!$W21,0))</f>
        <v>0</v>
      </c>
      <c r="AJ54" s="56">
        <f>IF('A&amp;Rs'!$R21="","",IF(AND(AJ$23&gt;='A&amp;Rs'!$V21,AJ$23&lt;'A&amp;Rs'!$X21),-'A&amp;Rs'!$Z21/'A&amp;Rs'!$W21,0))</f>
        <v>0</v>
      </c>
      <c r="AK54" s="56">
        <f>IF('A&amp;Rs'!$R21="","",IF(AND(AK$23&gt;='A&amp;Rs'!$V21,AK$23&lt;'A&amp;Rs'!$X21),-'A&amp;Rs'!$Z21/'A&amp;Rs'!$W21,0))</f>
        <v>0</v>
      </c>
      <c r="AL54" s="56">
        <f>IF('A&amp;Rs'!$R21="","",IF(AND(AL$23&gt;='A&amp;Rs'!$V21,AL$23&lt;'A&amp;Rs'!$X21),-'A&amp;Rs'!$Z21/'A&amp;Rs'!$W21,0))</f>
        <v>0</v>
      </c>
      <c r="AM54" s="56">
        <f>IF('A&amp;Rs'!$R21="","",IF(AND(AM$23&gt;='A&amp;Rs'!$V21,AM$23&lt;'A&amp;Rs'!$X21),-'A&amp;Rs'!$Z21/'A&amp;Rs'!$W21,0))</f>
        <v>0</v>
      </c>
      <c r="AN54" s="56">
        <f>IF('A&amp;Rs'!$R21="","",IF(AND(AN$23&gt;='A&amp;Rs'!$V21,AN$23&lt;'A&amp;Rs'!$X21),-'A&amp;Rs'!$Z21/'A&amp;Rs'!$W21,0))</f>
        <v>0</v>
      </c>
      <c r="AO54" s="56">
        <f>IF('A&amp;Rs'!$R21="","",IF(AND(AO$23&gt;='A&amp;Rs'!$V21,AO$23&lt;'A&amp;Rs'!$X21),-'A&amp;Rs'!$Z21/'A&amp;Rs'!$W21,0))</f>
        <v>0</v>
      </c>
      <c r="AP54" s="56">
        <f>IF('A&amp;Rs'!$R21="","",IF(AND(AP$23&gt;='A&amp;Rs'!$V21,AP$23&lt;'A&amp;Rs'!$X21),-'A&amp;Rs'!$Z21/'A&amp;Rs'!$W21,0))</f>
        <v>0</v>
      </c>
      <c r="AQ54" s="56">
        <f>IF('A&amp;Rs'!$R21="","",IF(AND(AQ$23&gt;='A&amp;Rs'!$V21,AQ$23&lt;'A&amp;Rs'!$X21),-'A&amp;Rs'!$Z21/'A&amp;Rs'!$W21,0))</f>
        <v>0</v>
      </c>
      <c r="AR54" s="56">
        <f>IF('A&amp;Rs'!$R21="","",IF(AND(AR$23&gt;='A&amp;Rs'!$V21,AR$23&lt;'A&amp;Rs'!$X21),-'A&amp;Rs'!$Z21/'A&amp;Rs'!$W21,0))</f>
        <v>0</v>
      </c>
      <c r="AS54" s="56">
        <f>IF('A&amp;Rs'!$R21="","",IF(AND(AS$23&gt;='A&amp;Rs'!$V21,AS$23&lt;'A&amp;Rs'!$X21),-'A&amp;Rs'!$Z21/'A&amp;Rs'!$W21,0))</f>
        <v>0</v>
      </c>
      <c r="AT54" s="56">
        <f>IF('A&amp;Rs'!$R21="","",IF(AND(AT$23&gt;='A&amp;Rs'!$V21,AT$23&lt;'A&amp;Rs'!$X21),-'A&amp;Rs'!$Z21/'A&amp;Rs'!$W21,0))</f>
        <v>0</v>
      </c>
      <c r="AU54" s="56">
        <f>IF('A&amp;Rs'!$R21="","",IF(AND(AU$23&gt;='A&amp;Rs'!$V21,AU$23&lt;'A&amp;Rs'!$X21),-'A&amp;Rs'!$Z21/'A&amp;Rs'!$W21,0))</f>
        <v>0</v>
      </c>
      <c r="AV54" s="56">
        <f>IF('A&amp;Rs'!$R21="","",IF(AND(AV$23&gt;='A&amp;Rs'!$V21,AV$23&lt;'A&amp;Rs'!$X21),-'A&amp;Rs'!$Z21/'A&amp;Rs'!$W21,0))</f>
        <v>0</v>
      </c>
      <c r="AW54" s="56">
        <f>IF('A&amp;Rs'!$R21="","",IF(AND(AW$23&gt;='A&amp;Rs'!$V21,AW$23&lt;'A&amp;Rs'!$X21),-'A&amp;Rs'!$Z21/'A&amp;Rs'!$W21,0))</f>
        <v>0</v>
      </c>
      <c r="AX54" s="56">
        <f>IF('A&amp;Rs'!$R21="","",IF(AND(AX$23&gt;='A&amp;Rs'!$V21,AX$23&lt;'A&amp;Rs'!$X21),-'A&amp;Rs'!$Z21/'A&amp;Rs'!$W21,0))</f>
        <v>0</v>
      </c>
      <c r="AY54" s="56">
        <f>IF('A&amp;Rs'!$R21="","",IF(AND(AY$23&gt;='A&amp;Rs'!$V21,AY$23&lt;'A&amp;Rs'!$X21),-'A&amp;Rs'!$Z21/'A&amp;Rs'!$W21,0))</f>
        <v>0</v>
      </c>
      <c r="AZ54" s="56">
        <f>IF('A&amp;Rs'!$R21="","",IF(AND(AZ$23&gt;='A&amp;Rs'!$V21,AZ$23&lt;'A&amp;Rs'!$X21),-'A&amp;Rs'!$Z21/'A&amp;Rs'!$W21,0))</f>
        <v>0</v>
      </c>
      <c r="BA54" s="56">
        <f>IF('A&amp;Rs'!$R21="","",IF(AND(BA$23&gt;='A&amp;Rs'!$V21,BA$23&lt;'A&amp;Rs'!$X21),-'A&amp;Rs'!$Z21/'A&amp;Rs'!$W21,0))</f>
        <v>0</v>
      </c>
      <c r="BB54" s="56">
        <f>IF('A&amp;Rs'!$R21="","",IF(AND(BB$23&gt;='A&amp;Rs'!$V21,BB$23&lt;'A&amp;Rs'!$X21),-'A&amp;Rs'!$Z21/'A&amp;Rs'!$W21,0))</f>
        <v>0</v>
      </c>
      <c r="BC54" s="56">
        <f>IF('A&amp;Rs'!$R21="","",IF(AND(BC$23&gt;='A&amp;Rs'!$V21,BC$23&lt;'A&amp;Rs'!$X21),-'A&amp;Rs'!$Z21/'A&amp;Rs'!$W21,0))</f>
        <v>0</v>
      </c>
      <c r="BD54" s="56">
        <f>IF('A&amp;Rs'!$R21="","",IF(AND(BD$23&gt;='A&amp;Rs'!$V21,BD$23&lt;'A&amp;Rs'!$X21),-'A&amp;Rs'!$Z21/'A&amp;Rs'!$W21,0))</f>
        <v>0</v>
      </c>
      <c r="BE54" s="56">
        <f>IF('A&amp;Rs'!$R21="","",IF(AND(BE$23&gt;='A&amp;Rs'!$V21,BE$23&lt;'A&amp;Rs'!$X21),-'A&amp;Rs'!$Z21/'A&amp;Rs'!$W21,0))</f>
        <v>0</v>
      </c>
      <c r="BF54" s="56">
        <f>IF('A&amp;Rs'!$R21="","",IF(AND(BF$23&gt;='A&amp;Rs'!$V21,BF$23&lt;'A&amp;Rs'!$X21),-'A&amp;Rs'!$Z21/'A&amp;Rs'!$W21,0))</f>
        <v>0</v>
      </c>
      <c r="BG54" s="56">
        <f>IF('A&amp;Rs'!$R21="","",IF(AND(BG$23&gt;='A&amp;Rs'!$V21,BG$23&lt;'A&amp;Rs'!$X21),-'A&amp;Rs'!$Z21/'A&amp;Rs'!$W21,0))</f>
        <v>0</v>
      </c>
      <c r="BH54" s="56">
        <f>IF('A&amp;Rs'!$R21="","",IF(AND(BH$23&gt;='A&amp;Rs'!$V21,BH$23&lt;'A&amp;Rs'!$X21),-'A&amp;Rs'!$Z21/'A&amp;Rs'!$W21,0))</f>
        <v>0</v>
      </c>
      <c r="BI54" s="56">
        <f>IF('A&amp;Rs'!$R21="","",IF(AND(BI$23&gt;='A&amp;Rs'!$V21,BI$23&lt;'A&amp;Rs'!$X21),-'A&amp;Rs'!$Z21/'A&amp;Rs'!$W21,0))</f>
        <v>0</v>
      </c>
      <c r="BJ54" s="56">
        <f>IF('A&amp;Rs'!$R21="","",IF(AND(BJ$23&gt;='A&amp;Rs'!$V21,BJ$23&lt;'A&amp;Rs'!$X21),-'A&amp;Rs'!$Z21/'A&amp;Rs'!$W21,0))</f>
        <v>0</v>
      </c>
      <c r="BK54" s="56">
        <f>IF('A&amp;Rs'!$R21="","",IF(AND(BK$23&gt;='A&amp;Rs'!$V21,BK$23&lt;'A&amp;Rs'!$X21),-'A&amp;Rs'!$Z21/'A&amp;Rs'!$W21,0))</f>
        <v>0</v>
      </c>
      <c r="BL54" s="56">
        <f>IF('A&amp;Rs'!$R21="","",IF(AND(BL$23&gt;='A&amp;Rs'!$V21,BL$23&lt;'A&amp;Rs'!$X21),-'A&amp;Rs'!$Z21/'A&amp;Rs'!$W21,0))</f>
        <v>0</v>
      </c>
      <c r="BM54" s="56">
        <f>IF('A&amp;Rs'!$R21="","",IF(AND(BM$23&gt;='A&amp;Rs'!$V21,BM$23&lt;'A&amp;Rs'!$X21),-'A&amp;Rs'!$Z21/'A&amp;Rs'!$W21,0))</f>
        <v>0</v>
      </c>
      <c r="BN54" s="56">
        <f>IF('A&amp;Rs'!$R21="","",IF(AND(BN$23&gt;='A&amp;Rs'!$V21,BN$23&lt;'A&amp;Rs'!$X21),-'A&amp;Rs'!$Z21/'A&amp;Rs'!$W21,0))</f>
        <v>0</v>
      </c>
      <c r="BO54" s="56">
        <f>IF('A&amp;Rs'!$R21="","",IF(AND(BO$23&gt;='A&amp;Rs'!$V21,BO$23&lt;'A&amp;Rs'!$X21),-'A&amp;Rs'!$Z21/'A&amp;Rs'!$W21,0))</f>
        <v>0</v>
      </c>
      <c r="BP54" s="56">
        <f>IF('A&amp;Rs'!$R21="","",IF(AND(BP$23&gt;='A&amp;Rs'!$V21,BP$23&lt;'A&amp;Rs'!$X21),-'A&amp;Rs'!$Z21/'A&amp;Rs'!$W21,0))</f>
        <v>0</v>
      </c>
      <c r="BQ54" s="56">
        <f>IF('A&amp;Rs'!$R21="","",IF(AND(BQ$23&gt;='A&amp;Rs'!$V21,BQ$23&lt;'A&amp;Rs'!$X21),-'A&amp;Rs'!$Z21/'A&amp;Rs'!$W21,0))</f>
        <v>0</v>
      </c>
      <c r="BR54" s="56">
        <f>IF('A&amp;Rs'!$R21="","",IF(AND(BR$23&gt;='A&amp;Rs'!$V21,BR$23&lt;'A&amp;Rs'!$X21),-'A&amp;Rs'!$Z21/'A&amp;Rs'!$W21,0))</f>
        <v>0</v>
      </c>
      <c r="BS54" s="56">
        <f>IF('A&amp;Rs'!$R21="","",IF(AND(BS$23&gt;='A&amp;Rs'!$V21,BS$23&lt;'A&amp;Rs'!$X21),-'A&amp;Rs'!$Z21/'A&amp;Rs'!$W21,0))</f>
        <v>0</v>
      </c>
      <c r="BT54" s="56">
        <f>IF('A&amp;Rs'!$R21="","",IF(AND(BT$23&gt;='A&amp;Rs'!$V21,BT$23&lt;'A&amp;Rs'!$X21),-'A&amp;Rs'!$Z21/'A&amp;Rs'!$W21,0))</f>
        <v>0</v>
      </c>
      <c r="BU54" s="56">
        <f>IF('A&amp;Rs'!$R21="","",IF(AND(BU$23&gt;='A&amp;Rs'!$V21,BU$23&lt;'A&amp;Rs'!$X21),-'A&amp;Rs'!$Z21/'A&amp;Rs'!$W21,0))</f>
        <v>0</v>
      </c>
      <c r="BV54" s="56">
        <f>IF('A&amp;Rs'!$R21="","",IF(AND(BV$23&gt;='A&amp;Rs'!$V21,BV$23&lt;'A&amp;Rs'!$X21),-'A&amp;Rs'!$Z21/'A&amp;Rs'!$W21,0))</f>
        <v>0</v>
      </c>
      <c r="BW54" s="56">
        <f>IF('A&amp;Rs'!$R21="","",IF(AND(BW$23&gt;='A&amp;Rs'!$V21,BW$23&lt;'A&amp;Rs'!$X21),-'A&amp;Rs'!$Z21/'A&amp;Rs'!$W21,0))</f>
        <v>0</v>
      </c>
      <c r="BX54" s="56">
        <f>IF('A&amp;Rs'!$R21="","",IF(AND(BX$23&gt;='A&amp;Rs'!$V21,BX$23&lt;'A&amp;Rs'!$X21),-'A&amp;Rs'!$Z21/'A&amp;Rs'!$W21,0))</f>
        <v>0</v>
      </c>
      <c r="BY54" s="56">
        <f>IF('A&amp;Rs'!$R21="","",IF(AND(BY$23&gt;='A&amp;Rs'!$V21,BY$23&lt;'A&amp;Rs'!$X21),-'A&amp;Rs'!$Z21/'A&amp;Rs'!$W21,0))</f>
        <v>0</v>
      </c>
      <c r="BZ54" s="56">
        <f>IF('A&amp;Rs'!$R21="","",IF(AND(BZ$23&gt;='A&amp;Rs'!$V21,BZ$23&lt;'A&amp;Rs'!$X21),-'A&amp;Rs'!$Z21/'A&amp;Rs'!$W21,0))</f>
        <v>0</v>
      </c>
      <c r="CA54" s="56">
        <f>IF('A&amp;Rs'!$R21="","",IF(AND(CA$23&gt;='A&amp;Rs'!$V21,CA$23&lt;'A&amp;Rs'!$X21),-'A&amp;Rs'!$Z21/'A&amp;Rs'!$W21,0))</f>
        <v>0</v>
      </c>
      <c r="CB54" s="56">
        <f>IF('A&amp;Rs'!$R21="","",IF(AND(CB$23&gt;='A&amp;Rs'!$V21,CB$23&lt;'A&amp;Rs'!$X21),-'A&amp;Rs'!$Z21/'A&amp;Rs'!$W21,0))</f>
        <v>0</v>
      </c>
      <c r="CC54" s="56">
        <f>IF('A&amp;Rs'!$R21="","",IF(AND(CC$23&gt;='A&amp;Rs'!$V21,CC$23&lt;'A&amp;Rs'!$X21),-'A&amp;Rs'!$Z21/'A&amp;Rs'!$W21,0))</f>
        <v>0</v>
      </c>
      <c r="CD54" s="56">
        <f>IF('A&amp;Rs'!$R21="","",IF(AND(CD$23&gt;='A&amp;Rs'!$V21,CD$23&lt;'A&amp;Rs'!$X21),-'A&amp;Rs'!$Z21/'A&amp;Rs'!$W21,0))</f>
        <v>0</v>
      </c>
      <c r="CE54" s="56">
        <f>IF('A&amp;Rs'!$R21="","",IF(AND(CE$23&gt;='A&amp;Rs'!$V21,CE$23&lt;'A&amp;Rs'!$X21),-'A&amp;Rs'!$Z21/'A&amp;Rs'!$W21,0))</f>
        <v>0</v>
      </c>
      <c r="CF54" s="56">
        <f>IF('A&amp;Rs'!$R21="","",IF(AND(CF$23&gt;='A&amp;Rs'!$V21,CF$23&lt;'A&amp;Rs'!$X21),-'A&amp;Rs'!$Z21/'A&amp;Rs'!$W21,0))</f>
        <v>0</v>
      </c>
      <c r="CG54" s="56">
        <f>IF('A&amp;Rs'!$R21="","",IF(AND(CG$23&gt;='A&amp;Rs'!$V21,CG$23&lt;'A&amp;Rs'!$X21),-'A&amp;Rs'!$Z21/'A&amp;Rs'!$W21,0))</f>
        <v>0</v>
      </c>
      <c r="CH54" s="56">
        <f>IF('A&amp;Rs'!$R21="","",IF(AND(CH$23&gt;='A&amp;Rs'!$V21,CH$23&lt;'A&amp;Rs'!$X21),-'A&amp;Rs'!$Z21/'A&amp;Rs'!$W21,0))</f>
        <v>0</v>
      </c>
      <c r="CI54" s="56">
        <f>IF('A&amp;Rs'!$R21="","",IF(AND(CI$23&gt;='A&amp;Rs'!$V21,CI$23&lt;'A&amp;Rs'!$X21),-'A&amp;Rs'!$Z21/'A&amp;Rs'!$W21,0))</f>
        <v>0</v>
      </c>
      <c r="CJ54" s="56">
        <f>IF('A&amp;Rs'!$R21="","",IF(AND(CJ$23&gt;='A&amp;Rs'!$V21,CJ$23&lt;'A&amp;Rs'!$X21),-'A&amp;Rs'!$Z21/'A&amp;Rs'!$W21,0))</f>
        <v>0</v>
      </c>
      <c r="CK54" s="56">
        <f>IF('A&amp;Rs'!$R21="","",IF(AND(CK$23&gt;='A&amp;Rs'!$V21,CK$23&lt;'A&amp;Rs'!$X21),-'A&amp;Rs'!$Z21/'A&amp;Rs'!$W21,0))</f>
        <v>0</v>
      </c>
      <c r="CL54" s="56">
        <f>IF('A&amp;Rs'!$R21="","",IF(AND(CL$23&gt;='A&amp;Rs'!$V21,CL$23&lt;'A&amp;Rs'!$X21),-'A&amp;Rs'!$Z21/'A&amp;Rs'!$W21,0))</f>
        <v>0</v>
      </c>
      <c r="CM54" s="56">
        <f>IF('A&amp;Rs'!$R21="","",IF(AND(CM$23&gt;='A&amp;Rs'!$V21,CM$23&lt;'A&amp;Rs'!$X21),-'A&amp;Rs'!$Z21/'A&amp;Rs'!$W21,0))</f>
        <v>0</v>
      </c>
      <c r="CN54" s="56">
        <f>IF('A&amp;Rs'!$R21="","",IF(AND(CN$23&gt;='A&amp;Rs'!$V21,CN$23&lt;'A&amp;Rs'!$X21),-'A&amp;Rs'!$Z21/'A&amp;Rs'!$W21,0))</f>
        <v>0</v>
      </c>
      <c r="CO54" s="56">
        <f>IF('A&amp;Rs'!$R21="","",IF(AND(CO$23&gt;='A&amp;Rs'!$V21,CO$23&lt;'A&amp;Rs'!$X21),-'A&amp;Rs'!$Z21/'A&amp;Rs'!$W21,0))</f>
        <v>0</v>
      </c>
      <c r="CP54" s="56">
        <f>IF('A&amp;Rs'!$R21="","",IF(AND(CP$23&gt;='A&amp;Rs'!$V21,CP$23&lt;'A&amp;Rs'!$X21),-'A&amp;Rs'!$Z21/'A&amp;Rs'!$W21,0))</f>
        <v>0</v>
      </c>
      <c r="CQ54" s="56">
        <f>IF('A&amp;Rs'!$R21="","",IF(AND(CQ$23&gt;='A&amp;Rs'!$V21,CQ$23&lt;'A&amp;Rs'!$X21),-'A&amp;Rs'!$Z21/'A&amp;Rs'!$W21,0))</f>
        <v>0</v>
      </c>
      <c r="CR54" s="56">
        <f>IF('A&amp;Rs'!$R21="","",IF(AND(CR$23&gt;='A&amp;Rs'!$V21,CR$23&lt;'A&amp;Rs'!$X21),-'A&amp;Rs'!$Z21/'A&amp;Rs'!$W21,0))</f>
        <v>0</v>
      </c>
      <c r="CS54" s="56">
        <f>IF('A&amp;Rs'!$R21="","",IF(AND(CS$23&gt;='A&amp;Rs'!$V21,CS$23&lt;'A&amp;Rs'!$X21),-'A&amp;Rs'!$Z21/'A&amp;Rs'!$W21,0))</f>
        <v>0</v>
      </c>
      <c r="CT54" s="56">
        <f>IF('A&amp;Rs'!$R21="","",IF(AND(CT$23&gt;='A&amp;Rs'!$V21,CT$23&lt;'A&amp;Rs'!$X21),-'A&amp;Rs'!$Z21/'A&amp;Rs'!$W21,0))</f>
        <v>0</v>
      </c>
      <c r="CU54" s="56">
        <f>IF('A&amp;Rs'!$R21="","",IF(AND(CU$23&gt;='A&amp;Rs'!$V21,CU$23&lt;'A&amp;Rs'!$X21),-'A&amp;Rs'!$Z21/'A&amp;Rs'!$W21,0))</f>
        <v>0</v>
      </c>
      <c r="CV54" s="56">
        <f>IF('A&amp;Rs'!$R21="","",IF(AND(CV$23&gt;='A&amp;Rs'!$V21,CV$23&lt;'A&amp;Rs'!$X21),-'A&amp;Rs'!$Z21/'A&amp;Rs'!$W21,0))</f>
        <v>0</v>
      </c>
      <c r="CW54" s="56">
        <f>IF('A&amp;Rs'!$R21="","",IF(AND(CW$23&gt;='A&amp;Rs'!$V21,CW$23&lt;'A&amp;Rs'!$X21),-'A&amp;Rs'!$Z21/'A&amp;Rs'!$W21,0))</f>
        <v>0</v>
      </c>
      <c r="CX54" s="56">
        <f>IF('A&amp;Rs'!$R21="","",IF(AND(CX$23&gt;='A&amp;Rs'!$V21,CX$23&lt;'A&amp;Rs'!$X21),-'A&amp;Rs'!$Z21/'A&amp;Rs'!$W21,0))</f>
        <v>0</v>
      </c>
      <c r="CY54" s="56">
        <f>IF('A&amp;Rs'!$R21="","",IF(AND(CY$23&gt;='A&amp;Rs'!$V21,CY$23&lt;'A&amp;Rs'!$X21),-'A&amp;Rs'!$Z21/'A&amp;Rs'!$W21,0))</f>
        <v>0</v>
      </c>
      <c r="CZ54" s="56">
        <f>IF('A&amp;Rs'!$R21="","",IF(AND(CZ$23&gt;='A&amp;Rs'!$V21,CZ$23&lt;'A&amp;Rs'!$X21),-'A&amp;Rs'!$Z21/'A&amp;Rs'!$W21,0))</f>
        <v>0</v>
      </c>
      <c r="DA54" s="56">
        <f>IF('A&amp;Rs'!$R21="","",IF(AND(DA$23&gt;='A&amp;Rs'!$V21,DA$23&lt;'A&amp;Rs'!$X21),-'A&amp;Rs'!$Z21/'A&amp;Rs'!$W21,0))</f>
        <v>0</v>
      </c>
      <c r="DB54" s="56">
        <f>IF('A&amp;Rs'!$R21="","",IF(AND(DB$23&gt;='A&amp;Rs'!$V21,DB$23&lt;'A&amp;Rs'!$X21),-'A&amp;Rs'!$Z21/'A&amp;Rs'!$W21,0))</f>
        <v>0</v>
      </c>
      <c r="DC54" s="56">
        <f>IF('A&amp;Rs'!$R21="","",IF(AND(DC$23&gt;='A&amp;Rs'!$V21,DC$23&lt;'A&amp;Rs'!$X21),-'A&amp;Rs'!$Z21/'A&amp;Rs'!$W21,0))</f>
        <v>0</v>
      </c>
      <c r="DD54" s="56">
        <f>IF('A&amp;Rs'!$R21="","",IF(AND(DD$23&gt;='A&amp;Rs'!$V21,DD$23&lt;'A&amp;Rs'!$X21),-'A&amp;Rs'!$Z21/'A&amp;Rs'!$W21,0))</f>
        <v>0</v>
      </c>
      <c r="DE54" s="56">
        <f>IF('A&amp;Rs'!$R21="","",IF(AND(DE$23&gt;='A&amp;Rs'!$V21,DE$23&lt;'A&amp;Rs'!$X21),-'A&amp;Rs'!$Z21/'A&amp;Rs'!$W21,0))</f>
        <v>0</v>
      </c>
      <c r="DF54" s="56">
        <f>IF('A&amp;Rs'!$R21="","",IF(AND(DF$23&gt;='A&amp;Rs'!$V21,DF$23&lt;'A&amp;Rs'!$X21),-'A&amp;Rs'!$Z21/'A&amp;Rs'!$W21,0))</f>
        <v>0</v>
      </c>
      <c r="DG54" s="56">
        <f>IF('A&amp;Rs'!$R21="","",IF(AND(DG$23&gt;='A&amp;Rs'!$V21,DG$23&lt;'A&amp;Rs'!$X21),-'A&amp;Rs'!$Z21/'A&amp;Rs'!$W21,0))</f>
        <v>0</v>
      </c>
      <c r="DH54" s="56">
        <f>IF('A&amp;Rs'!$R21="","",IF(AND(DH$23&gt;='A&amp;Rs'!$V21,DH$23&lt;'A&amp;Rs'!$X21),-'A&amp;Rs'!$Z21/'A&amp;Rs'!$W21,0))</f>
        <v>0</v>
      </c>
      <c r="DI54" s="56">
        <f>IF('A&amp;Rs'!$R21="","",IF(AND(DI$23&gt;='A&amp;Rs'!$V21,DI$23&lt;'A&amp;Rs'!$X21),-'A&amp;Rs'!$Z21/'A&amp;Rs'!$W21,0))</f>
        <v>0</v>
      </c>
      <c r="DJ54" s="56">
        <f>IF('A&amp;Rs'!$R21="","",IF(AND(DJ$23&gt;='A&amp;Rs'!$V21,DJ$23&lt;'A&amp;Rs'!$X21),-'A&amp;Rs'!$Z21/'A&amp;Rs'!$W21,0))</f>
        <v>0</v>
      </c>
      <c r="DK54" s="56">
        <f>IF('A&amp;Rs'!$R21="","",IF(AND(DK$23&gt;='A&amp;Rs'!$V21,DK$23&lt;'A&amp;Rs'!$X21),-'A&amp;Rs'!$Z21/'A&amp;Rs'!$W21,0))</f>
        <v>0</v>
      </c>
      <c r="DL54" s="56">
        <f>IF('A&amp;Rs'!$R21="","",IF(AND(DL$23&gt;='A&amp;Rs'!$V21,DL$23&lt;'A&amp;Rs'!$X21),-'A&amp;Rs'!$Z21/'A&amp;Rs'!$W21,0))</f>
        <v>0</v>
      </c>
      <c r="DM54" s="56">
        <f>IF('A&amp;Rs'!$R21="","",IF(AND(DM$23&gt;='A&amp;Rs'!$V21,DM$23&lt;'A&amp;Rs'!$X21),-'A&amp;Rs'!$Z21/'A&amp;Rs'!$W21,0))</f>
        <v>0</v>
      </c>
      <c r="DN54" s="56">
        <f>IF('A&amp;Rs'!$R21="","",IF(AND(DN$23&gt;='A&amp;Rs'!$V21,DN$23&lt;'A&amp;Rs'!$X21),-'A&amp;Rs'!$Z21/'A&amp;Rs'!$W21,0))</f>
        <v>0</v>
      </c>
      <c r="DO54" s="56">
        <f>IF('A&amp;Rs'!$R21="","",IF(AND(DO$23&gt;='A&amp;Rs'!$V21,DO$23&lt;'A&amp;Rs'!$X21),-'A&amp;Rs'!$Z21/'A&amp;Rs'!$W21,0))</f>
        <v>0</v>
      </c>
      <c r="DP54" s="56">
        <f>IF('A&amp;Rs'!$R21="","",IF(AND(DP$23&gt;='A&amp;Rs'!$V21,DP$23&lt;'A&amp;Rs'!$X21),-'A&amp;Rs'!$Z21/'A&amp;Rs'!$W21,0))</f>
        <v>0</v>
      </c>
      <c r="DQ54" s="56">
        <f>IF('A&amp;Rs'!$R21="","",IF(AND(DQ$23&gt;='A&amp;Rs'!$V21,DQ$23&lt;'A&amp;Rs'!$X21),-'A&amp;Rs'!$Z21/'A&amp;Rs'!$W21,0))</f>
        <v>0</v>
      </c>
      <c r="DR54" s="56">
        <f>IF('A&amp;Rs'!$R21="","",IF(AND(DR$23&gt;='A&amp;Rs'!$V21,DR$23&lt;'A&amp;Rs'!$X21),-'A&amp;Rs'!$Z21/'A&amp;Rs'!$W21,0))</f>
        <v>0</v>
      </c>
      <c r="DS54" s="56">
        <f>IF('A&amp;Rs'!$R21="","",IF(AND(DS$23&gt;='A&amp;Rs'!$V21,DS$23&lt;'A&amp;Rs'!$X21),-'A&amp;Rs'!$Z21/'A&amp;Rs'!$W21,0))</f>
        <v>0</v>
      </c>
      <c r="DT54" s="56">
        <f>IF('A&amp;Rs'!$R21="","",IF(AND(DT$23&gt;='A&amp;Rs'!$V21,DT$23&lt;'A&amp;Rs'!$X21),-'A&amp;Rs'!$Z21/'A&amp;Rs'!$W21,0))</f>
        <v>0</v>
      </c>
      <c r="DU54" s="56">
        <f>IF('A&amp;Rs'!$R21="","",IF(AND(DU$23&gt;='A&amp;Rs'!$V21,DU$23&lt;'A&amp;Rs'!$X21),-'A&amp;Rs'!$Z21/'A&amp;Rs'!$W21,0))</f>
        <v>0</v>
      </c>
      <c r="DV54" s="56">
        <f>IF('A&amp;Rs'!$R21="","",IF(AND(DV$23&gt;='A&amp;Rs'!$V21,DV$23&lt;'A&amp;Rs'!$X21),-'A&amp;Rs'!$Z21/'A&amp;Rs'!$W21,0))</f>
        <v>0</v>
      </c>
      <c r="DW54" s="56">
        <f>IF('A&amp;Rs'!$R21="","",IF(AND(DW$23&gt;='A&amp;Rs'!$V21,DW$23&lt;'A&amp;Rs'!$X21),-'A&amp;Rs'!$Z21/'A&amp;Rs'!$W21,0))</f>
        <v>0</v>
      </c>
      <c r="DX54" s="56">
        <f>IF('A&amp;Rs'!$R21="","",IF(AND(DX$23&gt;='A&amp;Rs'!$V21,DX$23&lt;'A&amp;Rs'!$X21),-'A&amp;Rs'!$Z21/'A&amp;Rs'!$W21,0))</f>
        <v>0</v>
      </c>
      <c r="DY54" s="56">
        <f>IF('A&amp;Rs'!$R21="","",IF(AND(DY$23&gt;='A&amp;Rs'!$V21,DY$23&lt;'A&amp;Rs'!$X21),-'A&amp;Rs'!$Z21/'A&amp;Rs'!$W21,0))</f>
        <v>0</v>
      </c>
      <c r="DZ54" s="56">
        <f>IF('A&amp;Rs'!$R21="","",IF(AND(DZ$23&gt;='A&amp;Rs'!$V21,DZ$23&lt;'A&amp;Rs'!$X21),-'A&amp;Rs'!$Z21/'A&amp;Rs'!$W21,0))</f>
        <v>0</v>
      </c>
      <c r="EA54" s="56">
        <f>IF('A&amp;Rs'!$R21="","",IF(AND(EA$23&gt;='A&amp;Rs'!$V21,EA$23&lt;'A&amp;Rs'!$X21),-'A&amp;Rs'!$Z21/'A&amp;Rs'!$W21,0))</f>
        <v>0</v>
      </c>
      <c r="EB54" s="56">
        <f>IF('A&amp;Rs'!$R21="","",IF(AND(EB$23&gt;='A&amp;Rs'!$V21,EB$23&lt;'A&amp;Rs'!$X21),-'A&amp;Rs'!$Z21/'A&amp;Rs'!$W21,0))</f>
        <v>0</v>
      </c>
      <c r="EC54" s="56">
        <f>IF('A&amp;Rs'!$R21="","",IF(AND(EC$23&gt;='A&amp;Rs'!$V21,EC$23&lt;'A&amp;Rs'!$X21),-'A&amp;Rs'!$Z21/'A&amp;Rs'!$W21,0))</f>
        <v>0</v>
      </c>
      <c r="ED54" s="56">
        <f>IF('A&amp;Rs'!$R21="","",IF(AND(ED$23&gt;='A&amp;Rs'!$V21,ED$23&lt;'A&amp;Rs'!$X21),-'A&amp;Rs'!$Z21/'A&amp;Rs'!$W21,0))</f>
        <v>0</v>
      </c>
      <c r="EE54" s="56">
        <f>IF('A&amp;Rs'!$R21="","",IF(AND(EE$23&gt;='A&amp;Rs'!$V21,EE$23&lt;'A&amp;Rs'!$X21),-'A&amp;Rs'!$Z21/'A&amp;Rs'!$W21,0))</f>
        <v>0</v>
      </c>
      <c r="EF54" s="56">
        <f>IF('A&amp;Rs'!$R21="","",IF(AND(EF$23&gt;='A&amp;Rs'!$V21,EF$23&lt;'A&amp;Rs'!$X21),-'A&amp;Rs'!$Z21/'A&amp;Rs'!$W21,0))</f>
        <v>0</v>
      </c>
      <c r="EG54" s="56">
        <f>IF('A&amp;Rs'!$R21="","",IF(AND(EG$23&gt;='A&amp;Rs'!$V21,EG$23&lt;'A&amp;Rs'!$X21),-'A&amp;Rs'!$Z21/'A&amp;Rs'!$W21,0))</f>
        <v>0</v>
      </c>
      <c r="EH54" s="56">
        <f>IF('A&amp;Rs'!$R21="","",IF(AND(EH$23&gt;='A&amp;Rs'!$V21,EH$23&lt;'A&amp;Rs'!$X21),-'A&amp;Rs'!$Z21/'A&amp;Rs'!$W21,0))</f>
        <v>0</v>
      </c>
      <c r="EI54" s="56">
        <f>IF('A&amp;Rs'!$R21="","",IF(AND(EI$23&gt;='A&amp;Rs'!$V21,EI$23&lt;'A&amp;Rs'!$X21),-'A&amp;Rs'!$Z21/'A&amp;Rs'!$W21,0))</f>
        <v>0</v>
      </c>
      <c r="EJ54" s="56">
        <f>IF('A&amp;Rs'!$R21="","",IF(AND(EJ$23&gt;='A&amp;Rs'!$V21,EJ$23&lt;'A&amp;Rs'!$X21),-'A&amp;Rs'!$Z21/'A&amp;Rs'!$W21,0))</f>
        <v>0</v>
      </c>
      <c r="EK54" s="56">
        <f>IF('A&amp;Rs'!$R21="","",IF(AND(EK$23&gt;='A&amp;Rs'!$V21,EK$23&lt;'A&amp;Rs'!$X21),-'A&amp;Rs'!$Z21/'A&amp;Rs'!$W21,0))</f>
        <v>0</v>
      </c>
      <c r="EL54" s="56">
        <f>IF('A&amp;Rs'!$R21="","",IF(AND(EL$23&gt;='A&amp;Rs'!$V21,EL$23&lt;'A&amp;Rs'!$X21),-'A&amp;Rs'!$Z21/'A&amp;Rs'!$W21,0))</f>
        <v>0</v>
      </c>
      <c r="EM54" s="56">
        <f>IF('A&amp;Rs'!$R21="","",IF(AND(EM$23&gt;='A&amp;Rs'!$V21,EM$23&lt;'A&amp;Rs'!$X21),-'A&amp;Rs'!$Z21/'A&amp;Rs'!$W21,0))</f>
        <v>0</v>
      </c>
      <c r="EN54" s="56">
        <f>IF('A&amp;Rs'!$R21="","",IF(AND(EN$23&gt;='A&amp;Rs'!$V21,EN$23&lt;'A&amp;Rs'!$X21),-'A&amp;Rs'!$Z21/'A&amp;Rs'!$W21,0))</f>
        <v>0</v>
      </c>
      <c r="EO54" s="56">
        <f>IF('A&amp;Rs'!$R21="","",IF(AND(EO$23&gt;='A&amp;Rs'!$V21,EO$23&lt;'A&amp;Rs'!$X21),-'A&amp;Rs'!$Z21/'A&amp;Rs'!$W21,0))</f>
        <v>0</v>
      </c>
      <c r="EP54" s="56">
        <f>IF('A&amp;Rs'!$R21="","",IF(AND(EP$23&gt;='A&amp;Rs'!$V21,EP$23&lt;'A&amp;Rs'!$X21),-'A&amp;Rs'!$Z21/'A&amp;Rs'!$W21,0))</f>
        <v>0</v>
      </c>
      <c r="EQ54" s="56">
        <f>IF('A&amp;Rs'!$R21="","",IF(AND(EQ$23&gt;='A&amp;Rs'!$V21,EQ$23&lt;'A&amp;Rs'!$X21),-'A&amp;Rs'!$Z21/'A&amp;Rs'!$W21,0))</f>
        <v>0</v>
      </c>
      <c r="ER54" s="56">
        <f>IF('A&amp;Rs'!$R21="","",IF(AND(ER$23&gt;='A&amp;Rs'!$V21,ER$23&lt;'A&amp;Rs'!$X21),-'A&amp;Rs'!$Z21/'A&amp;Rs'!$W21,0))</f>
        <v>0</v>
      </c>
      <c r="ES54" s="56">
        <f>IF('A&amp;Rs'!$R21="","",IF(AND(ES$23&gt;='A&amp;Rs'!$V21,ES$23&lt;'A&amp;Rs'!$X21),-'A&amp;Rs'!$Z21/'A&amp;Rs'!$W21,0))</f>
        <v>0</v>
      </c>
      <c r="ET54" s="56">
        <f>IF('A&amp;Rs'!$R21="","",IF(AND(ET$23&gt;='A&amp;Rs'!$V21,ET$23&lt;'A&amp;Rs'!$X21),-'A&amp;Rs'!$Z21/'A&amp;Rs'!$W21,0))</f>
        <v>0</v>
      </c>
      <c r="EU54" s="56">
        <f>IF('A&amp;Rs'!$R21="","",IF(AND(EU$23&gt;='A&amp;Rs'!$V21,EU$23&lt;'A&amp;Rs'!$X21),-'A&amp;Rs'!$Z21/'A&amp;Rs'!$W21,0))</f>
        <v>0</v>
      </c>
      <c r="EV54" s="56">
        <f>IF('A&amp;Rs'!$R21="","",IF(AND(EV$23&gt;='A&amp;Rs'!$V21,EV$23&lt;'A&amp;Rs'!$X21),-'A&amp;Rs'!$Z21/'A&amp;Rs'!$W21,0))</f>
        <v>0</v>
      </c>
      <c r="EW54" s="56">
        <f>IF('A&amp;Rs'!$R21="","",IF(AND(EW$23&gt;='A&amp;Rs'!$V21,EW$23&lt;'A&amp;Rs'!$X21),-'A&amp;Rs'!$Z21/'A&amp;Rs'!$W21,0))</f>
        <v>0</v>
      </c>
      <c r="EX54" s="56">
        <f>IF('A&amp;Rs'!$R21="","",IF(AND(EX$23&gt;='A&amp;Rs'!$V21,EX$23&lt;'A&amp;Rs'!$X21),-'A&amp;Rs'!$Z21/'A&amp;Rs'!$W21,0))</f>
        <v>0</v>
      </c>
      <c r="EY54" s="56">
        <f>IF('A&amp;Rs'!$R21="","",IF(AND(EY$23&gt;='A&amp;Rs'!$V21,EY$23&lt;'A&amp;Rs'!$X21),-'A&amp;Rs'!$Z21/'A&amp;Rs'!$W21,0))</f>
        <v>0</v>
      </c>
      <c r="EZ54" s="56">
        <f>IF('A&amp;Rs'!$R21="","",IF(AND(EZ$23&gt;='A&amp;Rs'!$V21,EZ$23&lt;'A&amp;Rs'!$X21),-'A&amp;Rs'!$Z21/'A&amp;Rs'!$W21,0))</f>
        <v>0</v>
      </c>
      <c r="FA54" s="56">
        <f>IF('A&amp;Rs'!$R21="","",IF(AND(FA$23&gt;='A&amp;Rs'!$V21,FA$23&lt;'A&amp;Rs'!$X21),-'A&amp;Rs'!$Z21/'A&amp;Rs'!$W21,0))</f>
        <v>0</v>
      </c>
      <c r="FB54" s="56">
        <f>IF('A&amp;Rs'!$R21="","",IF(AND(FB$23&gt;='A&amp;Rs'!$V21,FB$23&lt;'A&amp;Rs'!$X21),-'A&amp;Rs'!$Z21/'A&amp;Rs'!$W21,0))</f>
        <v>0</v>
      </c>
      <c r="FC54" s="56">
        <f>IF('A&amp;Rs'!$R21="","",IF(AND(FC$23&gt;='A&amp;Rs'!$V21,FC$23&lt;'A&amp;Rs'!$X21),-'A&amp;Rs'!$Z21/'A&amp;Rs'!$W21,0))</f>
        <v>0</v>
      </c>
      <c r="FD54" s="56">
        <f>IF('A&amp;Rs'!$R21="","",IF(AND(FD$23&gt;='A&amp;Rs'!$V21,FD$23&lt;'A&amp;Rs'!$X21),-'A&amp;Rs'!$Z21/'A&amp;Rs'!$W21,0))</f>
        <v>0</v>
      </c>
      <c r="FE54" s="56">
        <f>IF('A&amp;Rs'!$R21="","",IF(AND(FE$23&gt;='A&amp;Rs'!$V21,FE$23&lt;'A&amp;Rs'!$X21),-'A&amp;Rs'!$Z21/'A&amp;Rs'!$W21,0))</f>
        <v>0</v>
      </c>
      <c r="FF54" s="1" t="s">
        <v>39</v>
      </c>
      <c r="FG54" s="1"/>
      <c r="FH54" s="1"/>
      <c r="FI54" s="99"/>
    </row>
    <row r="55" spans="1:165" x14ac:dyDescent="0.3">
      <c r="B55" s="217"/>
      <c r="C55" s="215"/>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t="s">
        <v>39</v>
      </c>
      <c r="FG55" s="1"/>
      <c r="FH55" s="1"/>
      <c r="FI55" s="99"/>
    </row>
    <row r="56" spans="1:165" x14ac:dyDescent="0.3">
      <c r="B56" s="217"/>
      <c r="C56" s="215"/>
      <c r="D56" s="198" t="s">
        <v>75</v>
      </c>
      <c r="E56" s="139">
        <f t="shared" ref="E56:AJ56" si="13">SUM(E42:E54)</f>
        <v>0</v>
      </c>
      <c r="F56" s="139">
        <f t="shared" si="13"/>
        <v>0</v>
      </c>
      <c r="G56" s="139">
        <f t="shared" si="13"/>
        <v>-18000</v>
      </c>
      <c r="H56" s="139">
        <f t="shared" si="13"/>
        <v>-18000</v>
      </c>
      <c r="I56" s="139">
        <f t="shared" si="13"/>
        <v>-8166.6666666666661</v>
      </c>
      <c r="J56" s="139">
        <f t="shared" si="13"/>
        <v>-8166.6666666666661</v>
      </c>
      <c r="K56" s="139">
        <f t="shared" si="13"/>
        <v>-12500</v>
      </c>
      <c r="L56" s="139">
        <f t="shared" si="13"/>
        <v>-4333.333333333333</v>
      </c>
      <c r="M56" s="139">
        <f t="shared" si="13"/>
        <v>-11158.333333333332</v>
      </c>
      <c r="N56" s="139">
        <f t="shared" si="13"/>
        <v>-14300</v>
      </c>
      <c r="O56" s="139">
        <f t="shared" si="13"/>
        <v>-14300</v>
      </c>
      <c r="P56" s="139">
        <f t="shared" si="13"/>
        <v>-14300</v>
      </c>
      <c r="Q56" s="139">
        <f t="shared" si="13"/>
        <v>-7475</v>
      </c>
      <c r="R56" s="139">
        <f t="shared" si="13"/>
        <v>-5980</v>
      </c>
      <c r="S56" s="139">
        <f t="shared" si="13"/>
        <v>-5980</v>
      </c>
      <c r="T56" s="139">
        <f t="shared" si="13"/>
        <v>-5980</v>
      </c>
      <c r="U56" s="139">
        <f t="shared" si="13"/>
        <v>-5980</v>
      </c>
      <c r="V56" s="139">
        <f t="shared" si="13"/>
        <v>-5980</v>
      </c>
      <c r="W56" s="139">
        <f t="shared" si="13"/>
        <v>-10037.5</v>
      </c>
      <c r="X56" s="139">
        <f t="shared" si="13"/>
        <v>-10037.5</v>
      </c>
      <c r="Y56" s="139">
        <f t="shared" si="13"/>
        <v>0</v>
      </c>
      <c r="Z56" s="139">
        <f t="shared" si="13"/>
        <v>0</v>
      </c>
      <c r="AA56" s="139">
        <f t="shared" si="13"/>
        <v>0</v>
      </c>
      <c r="AB56" s="139">
        <f t="shared" si="13"/>
        <v>0</v>
      </c>
      <c r="AC56" s="139">
        <f t="shared" si="13"/>
        <v>0</v>
      </c>
      <c r="AD56" s="139">
        <f t="shared" si="13"/>
        <v>0</v>
      </c>
      <c r="AE56" s="139">
        <f t="shared" si="13"/>
        <v>0</v>
      </c>
      <c r="AF56" s="139">
        <f t="shared" si="13"/>
        <v>0</v>
      </c>
      <c r="AG56" s="139">
        <f t="shared" si="13"/>
        <v>0</v>
      </c>
      <c r="AH56" s="139">
        <f t="shared" si="13"/>
        <v>0</v>
      </c>
      <c r="AI56" s="139">
        <f t="shared" si="13"/>
        <v>0</v>
      </c>
      <c r="AJ56" s="139">
        <f t="shared" si="13"/>
        <v>0</v>
      </c>
      <c r="AK56" s="139">
        <f t="shared" ref="AK56:BP56" si="14">SUM(AK42:AK54)</f>
        <v>0</v>
      </c>
      <c r="AL56" s="139">
        <f t="shared" si="14"/>
        <v>0</v>
      </c>
      <c r="AM56" s="139">
        <f t="shared" si="14"/>
        <v>0</v>
      </c>
      <c r="AN56" s="139">
        <f t="shared" si="14"/>
        <v>0</v>
      </c>
      <c r="AO56" s="139">
        <f t="shared" si="14"/>
        <v>0</v>
      </c>
      <c r="AP56" s="139">
        <f t="shared" si="14"/>
        <v>0</v>
      </c>
      <c r="AQ56" s="139">
        <f t="shared" si="14"/>
        <v>0</v>
      </c>
      <c r="AR56" s="139">
        <f t="shared" si="14"/>
        <v>0</v>
      </c>
      <c r="AS56" s="139">
        <f t="shared" si="14"/>
        <v>0</v>
      </c>
      <c r="AT56" s="139">
        <f t="shared" si="14"/>
        <v>0</v>
      </c>
      <c r="AU56" s="139">
        <f t="shared" si="14"/>
        <v>0</v>
      </c>
      <c r="AV56" s="139">
        <f t="shared" si="14"/>
        <v>0</v>
      </c>
      <c r="AW56" s="139">
        <f t="shared" si="14"/>
        <v>0</v>
      </c>
      <c r="AX56" s="139">
        <f t="shared" si="14"/>
        <v>0</v>
      </c>
      <c r="AY56" s="139">
        <f t="shared" si="14"/>
        <v>0</v>
      </c>
      <c r="AZ56" s="139">
        <f t="shared" si="14"/>
        <v>0</v>
      </c>
      <c r="BA56" s="139">
        <f t="shared" si="14"/>
        <v>0</v>
      </c>
      <c r="BB56" s="139">
        <f t="shared" si="14"/>
        <v>0</v>
      </c>
      <c r="BC56" s="139">
        <f t="shared" si="14"/>
        <v>0</v>
      </c>
      <c r="BD56" s="139">
        <f t="shared" si="14"/>
        <v>0</v>
      </c>
      <c r="BE56" s="139">
        <f t="shared" si="14"/>
        <v>0</v>
      </c>
      <c r="BF56" s="139">
        <f t="shared" si="14"/>
        <v>0</v>
      </c>
      <c r="BG56" s="139">
        <f t="shared" si="14"/>
        <v>0</v>
      </c>
      <c r="BH56" s="139">
        <f t="shared" si="14"/>
        <v>0</v>
      </c>
      <c r="BI56" s="139">
        <f t="shared" si="14"/>
        <v>0</v>
      </c>
      <c r="BJ56" s="139">
        <f t="shared" si="14"/>
        <v>0</v>
      </c>
      <c r="BK56" s="139">
        <f t="shared" si="14"/>
        <v>0</v>
      </c>
      <c r="BL56" s="139">
        <f t="shared" si="14"/>
        <v>0</v>
      </c>
      <c r="BM56" s="139">
        <f t="shared" si="14"/>
        <v>0</v>
      </c>
      <c r="BN56" s="139">
        <f t="shared" si="14"/>
        <v>0</v>
      </c>
      <c r="BO56" s="139">
        <f t="shared" si="14"/>
        <v>0</v>
      </c>
      <c r="BP56" s="139">
        <f t="shared" si="14"/>
        <v>0</v>
      </c>
      <c r="BQ56" s="139">
        <f t="shared" ref="BQ56:CV56" si="15">SUM(BQ42:BQ54)</f>
        <v>0</v>
      </c>
      <c r="BR56" s="139">
        <f t="shared" si="15"/>
        <v>0</v>
      </c>
      <c r="BS56" s="139">
        <f t="shared" si="15"/>
        <v>0</v>
      </c>
      <c r="BT56" s="139">
        <f t="shared" si="15"/>
        <v>0</v>
      </c>
      <c r="BU56" s="139">
        <f t="shared" si="15"/>
        <v>0</v>
      </c>
      <c r="BV56" s="139">
        <f t="shared" si="15"/>
        <v>0</v>
      </c>
      <c r="BW56" s="139">
        <f t="shared" si="15"/>
        <v>0</v>
      </c>
      <c r="BX56" s="139">
        <f t="shared" si="15"/>
        <v>0</v>
      </c>
      <c r="BY56" s="139">
        <f t="shared" si="15"/>
        <v>0</v>
      </c>
      <c r="BZ56" s="139">
        <f t="shared" si="15"/>
        <v>0</v>
      </c>
      <c r="CA56" s="139">
        <f t="shared" si="15"/>
        <v>0</v>
      </c>
      <c r="CB56" s="139">
        <f t="shared" si="15"/>
        <v>0</v>
      </c>
      <c r="CC56" s="139">
        <f t="shared" si="15"/>
        <v>0</v>
      </c>
      <c r="CD56" s="139">
        <f t="shared" si="15"/>
        <v>0</v>
      </c>
      <c r="CE56" s="139">
        <f t="shared" si="15"/>
        <v>0</v>
      </c>
      <c r="CF56" s="139">
        <f t="shared" si="15"/>
        <v>0</v>
      </c>
      <c r="CG56" s="139">
        <f t="shared" si="15"/>
        <v>0</v>
      </c>
      <c r="CH56" s="139">
        <f t="shared" si="15"/>
        <v>0</v>
      </c>
      <c r="CI56" s="139">
        <f t="shared" si="15"/>
        <v>0</v>
      </c>
      <c r="CJ56" s="139">
        <f t="shared" si="15"/>
        <v>0</v>
      </c>
      <c r="CK56" s="139">
        <f t="shared" si="15"/>
        <v>0</v>
      </c>
      <c r="CL56" s="139">
        <f t="shared" si="15"/>
        <v>0</v>
      </c>
      <c r="CM56" s="139">
        <f t="shared" si="15"/>
        <v>0</v>
      </c>
      <c r="CN56" s="139">
        <f t="shared" si="15"/>
        <v>0</v>
      </c>
      <c r="CO56" s="139">
        <f t="shared" si="15"/>
        <v>0</v>
      </c>
      <c r="CP56" s="139">
        <f t="shared" si="15"/>
        <v>0</v>
      </c>
      <c r="CQ56" s="139">
        <f t="shared" si="15"/>
        <v>0</v>
      </c>
      <c r="CR56" s="139">
        <f t="shared" si="15"/>
        <v>0</v>
      </c>
      <c r="CS56" s="139">
        <f t="shared" si="15"/>
        <v>0</v>
      </c>
      <c r="CT56" s="139">
        <f t="shared" si="15"/>
        <v>0</v>
      </c>
      <c r="CU56" s="139">
        <f t="shared" si="15"/>
        <v>0</v>
      </c>
      <c r="CV56" s="139">
        <f t="shared" si="15"/>
        <v>0</v>
      </c>
      <c r="CW56" s="139">
        <f t="shared" ref="CW56:EB56" si="16">SUM(CW42:CW54)</f>
        <v>0</v>
      </c>
      <c r="CX56" s="139">
        <f t="shared" si="16"/>
        <v>0</v>
      </c>
      <c r="CY56" s="139">
        <f t="shared" si="16"/>
        <v>0</v>
      </c>
      <c r="CZ56" s="139">
        <f t="shared" si="16"/>
        <v>0</v>
      </c>
      <c r="DA56" s="139">
        <f t="shared" si="16"/>
        <v>0</v>
      </c>
      <c r="DB56" s="139">
        <f t="shared" si="16"/>
        <v>0</v>
      </c>
      <c r="DC56" s="139">
        <f t="shared" si="16"/>
        <v>0</v>
      </c>
      <c r="DD56" s="139">
        <f t="shared" si="16"/>
        <v>0</v>
      </c>
      <c r="DE56" s="139">
        <f t="shared" si="16"/>
        <v>0</v>
      </c>
      <c r="DF56" s="139">
        <f t="shared" si="16"/>
        <v>0</v>
      </c>
      <c r="DG56" s="139">
        <f t="shared" si="16"/>
        <v>0</v>
      </c>
      <c r="DH56" s="139">
        <f t="shared" si="16"/>
        <v>0</v>
      </c>
      <c r="DI56" s="139">
        <f t="shared" si="16"/>
        <v>0</v>
      </c>
      <c r="DJ56" s="139">
        <f t="shared" si="16"/>
        <v>0</v>
      </c>
      <c r="DK56" s="139">
        <f t="shared" si="16"/>
        <v>0</v>
      </c>
      <c r="DL56" s="139">
        <f t="shared" si="16"/>
        <v>0</v>
      </c>
      <c r="DM56" s="139">
        <f t="shared" si="16"/>
        <v>0</v>
      </c>
      <c r="DN56" s="139">
        <f t="shared" si="16"/>
        <v>0</v>
      </c>
      <c r="DO56" s="139">
        <f t="shared" si="16"/>
        <v>0</v>
      </c>
      <c r="DP56" s="139">
        <f t="shared" si="16"/>
        <v>0</v>
      </c>
      <c r="DQ56" s="139">
        <f t="shared" si="16"/>
        <v>0</v>
      </c>
      <c r="DR56" s="139">
        <f t="shared" si="16"/>
        <v>0</v>
      </c>
      <c r="DS56" s="139">
        <f t="shared" si="16"/>
        <v>0</v>
      </c>
      <c r="DT56" s="139">
        <f t="shared" si="16"/>
        <v>0</v>
      </c>
      <c r="DU56" s="139">
        <f t="shared" si="16"/>
        <v>0</v>
      </c>
      <c r="DV56" s="139">
        <f t="shared" si="16"/>
        <v>0</v>
      </c>
      <c r="DW56" s="139">
        <f t="shared" si="16"/>
        <v>0</v>
      </c>
      <c r="DX56" s="139">
        <f t="shared" si="16"/>
        <v>0</v>
      </c>
      <c r="DY56" s="139">
        <f t="shared" si="16"/>
        <v>0</v>
      </c>
      <c r="DZ56" s="139">
        <f t="shared" si="16"/>
        <v>0</v>
      </c>
      <c r="EA56" s="139">
        <f t="shared" si="16"/>
        <v>0</v>
      </c>
      <c r="EB56" s="139">
        <f t="shared" si="16"/>
        <v>0</v>
      </c>
      <c r="EC56" s="139">
        <f t="shared" ref="EC56:FE56" si="17">SUM(EC42:EC54)</f>
        <v>0</v>
      </c>
      <c r="ED56" s="139">
        <f t="shared" si="17"/>
        <v>0</v>
      </c>
      <c r="EE56" s="139">
        <f t="shared" si="17"/>
        <v>0</v>
      </c>
      <c r="EF56" s="139">
        <f t="shared" si="17"/>
        <v>0</v>
      </c>
      <c r="EG56" s="139">
        <f t="shared" si="17"/>
        <v>0</v>
      </c>
      <c r="EH56" s="139">
        <f t="shared" si="17"/>
        <v>0</v>
      </c>
      <c r="EI56" s="139">
        <f t="shared" si="17"/>
        <v>0</v>
      </c>
      <c r="EJ56" s="139">
        <f t="shared" si="17"/>
        <v>0</v>
      </c>
      <c r="EK56" s="139">
        <f t="shared" si="17"/>
        <v>0</v>
      </c>
      <c r="EL56" s="139">
        <f t="shared" si="17"/>
        <v>0</v>
      </c>
      <c r="EM56" s="139">
        <f t="shared" si="17"/>
        <v>0</v>
      </c>
      <c r="EN56" s="139">
        <f t="shared" si="17"/>
        <v>0</v>
      </c>
      <c r="EO56" s="139">
        <f t="shared" si="17"/>
        <v>0</v>
      </c>
      <c r="EP56" s="139">
        <f t="shared" si="17"/>
        <v>0</v>
      </c>
      <c r="EQ56" s="139">
        <f t="shared" si="17"/>
        <v>0</v>
      </c>
      <c r="ER56" s="139">
        <f t="shared" si="17"/>
        <v>0</v>
      </c>
      <c r="ES56" s="139">
        <f t="shared" si="17"/>
        <v>0</v>
      </c>
      <c r="ET56" s="139">
        <f t="shared" si="17"/>
        <v>0</v>
      </c>
      <c r="EU56" s="139">
        <f t="shared" si="17"/>
        <v>0</v>
      </c>
      <c r="EV56" s="139">
        <f t="shared" si="17"/>
        <v>0</v>
      </c>
      <c r="EW56" s="139">
        <f t="shared" si="17"/>
        <v>0</v>
      </c>
      <c r="EX56" s="139">
        <f t="shared" si="17"/>
        <v>0</v>
      </c>
      <c r="EY56" s="139">
        <f t="shared" si="17"/>
        <v>0</v>
      </c>
      <c r="EZ56" s="139">
        <f t="shared" si="17"/>
        <v>0</v>
      </c>
      <c r="FA56" s="139">
        <f t="shared" si="17"/>
        <v>0</v>
      </c>
      <c r="FB56" s="139">
        <f t="shared" si="17"/>
        <v>0</v>
      </c>
      <c r="FC56" s="139">
        <f t="shared" si="17"/>
        <v>0</v>
      </c>
      <c r="FD56" s="139">
        <f t="shared" si="17"/>
        <v>0</v>
      </c>
      <c r="FE56" s="140">
        <f t="shared" si="17"/>
        <v>0</v>
      </c>
      <c r="FF56" s="1" t="s">
        <v>39</v>
      </c>
      <c r="FG56" s="1"/>
      <c r="FH56" s="73">
        <f>SUM(E56:FE56)</f>
        <v>-180675</v>
      </c>
      <c r="FI56" s="99"/>
    </row>
    <row r="57" spans="1:165" ht="15" thickBot="1" x14ac:dyDescent="0.35">
      <c r="B57" s="217"/>
      <c r="C57" s="216"/>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03"/>
      <c r="BY57" s="103"/>
      <c r="BZ57" s="103"/>
      <c r="CA57" s="103"/>
      <c r="CB57" s="103"/>
      <c r="CC57" s="103"/>
      <c r="CD57" s="103"/>
      <c r="CE57" s="103"/>
      <c r="CF57" s="103"/>
      <c r="CG57" s="103"/>
      <c r="CH57" s="103"/>
      <c r="CI57" s="103"/>
      <c r="CJ57" s="103"/>
      <c r="CK57" s="103"/>
      <c r="CL57" s="103"/>
      <c r="CM57" s="103"/>
      <c r="CN57" s="103"/>
      <c r="CO57" s="103"/>
      <c r="CP57" s="103"/>
      <c r="CQ57" s="103"/>
      <c r="CR57" s="103"/>
      <c r="CS57" s="103"/>
      <c r="CT57" s="103"/>
      <c r="CU57" s="103"/>
      <c r="CV57" s="103"/>
      <c r="CW57" s="103"/>
      <c r="CX57" s="103"/>
      <c r="CY57" s="103"/>
      <c r="CZ57" s="103"/>
      <c r="DA57" s="103"/>
      <c r="DB57" s="103"/>
      <c r="DC57" s="103"/>
      <c r="DD57" s="103"/>
      <c r="DE57" s="103"/>
      <c r="DF57" s="103"/>
      <c r="DG57" s="103"/>
      <c r="DH57" s="103"/>
      <c r="DI57" s="103"/>
      <c r="DJ57" s="103"/>
      <c r="DK57" s="103"/>
      <c r="DL57" s="103"/>
      <c r="DM57" s="103"/>
      <c r="DN57" s="103"/>
      <c r="DO57" s="103"/>
      <c r="DP57" s="103"/>
      <c r="DQ57" s="103"/>
      <c r="DR57" s="103"/>
      <c r="DS57" s="103"/>
      <c r="DT57" s="103"/>
      <c r="DU57" s="103"/>
      <c r="DV57" s="103"/>
      <c r="DW57" s="103"/>
      <c r="DX57" s="103"/>
      <c r="DY57" s="103"/>
      <c r="DZ57" s="103"/>
      <c r="EA57" s="103"/>
      <c r="EB57" s="103"/>
      <c r="EC57" s="103"/>
      <c r="ED57" s="103"/>
      <c r="EE57" s="103"/>
      <c r="EF57" s="103"/>
      <c r="EG57" s="103"/>
      <c r="EH57" s="103"/>
      <c r="EI57" s="103"/>
      <c r="EJ57" s="103"/>
      <c r="EK57" s="103"/>
      <c r="EL57" s="103"/>
      <c r="EM57" s="103"/>
      <c r="EN57" s="103"/>
      <c r="EO57" s="103"/>
      <c r="EP57" s="103"/>
      <c r="EQ57" s="103"/>
      <c r="ER57" s="103"/>
      <c r="ES57" s="103"/>
      <c r="ET57" s="103"/>
      <c r="EU57" s="103"/>
      <c r="EV57" s="103"/>
      <c r="EW57" s="103"/>
      <c r="EX57" s="103"/>
      <c r="EY57" s="103"/>
      <c r="EZ57" s="103"/>
      <c r="FA57" s="103"/>
      <c r="FB57" s="103"/>
      <c r="FC57" s="103"/>
      <c r="FD57" s="103"/>
      <c r="FE57" s="103"/>
      <c r="FF57" s="103" t="s">
        <v>39</v>
      </c>
      <c r="FG57" s="103"/>
      <c r="FH57" s="103"/>
      <c r="FI57" s="104"/>
    </row>
    <row r="58" spans="1:165" x14ac:dyDescent="0.3">
      <c r="B58" s="217"/>
      <c r="C58" s="217"/>
      <c r="FF58" s="93" t="s">
        <v>39</v>
      </c>
    </row>
    <row r="59" spans="1:165" x14ac:dyDescent="0.3">
      <c r="B59" s="217"/>
      <c r="C59" s="217"/>
      <c r="FF59" s="93" t="s">
        <v>39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59999389629810485"/>
  </sheetPr>
  <dimension ref="A2:IS89"/>
  <sheetViews>
    <sheetView topLeftCell="J1" zoomScale="90" zoomScaleNormal="90" zoomScaleSheetLayoutView="30" workbookViewId="0">
      <selection activeCell="J1" sqref="J1"/>
    </sheetView>
  </sheetViews>
  <sheetFormatPr defaultColWidth="9.109375" defaultRowHeight="14.4" x14ac:dyDescent="0.3"/>
  <cols>
    <col min="1" max="5" width="9.109375" style="1" hidden="1" customWidth="1"/>
    <col min="6" max="6" width="11.5546875" style="1" hidden="1" customWidth="1"/>
    <col min="7" max="7" width="2.6640625" style="1" hidden="1" customWidth="1"/>
    <col min="8" max="8" width="47.109375" style="1" hidden="1" customWidth="1"/>
    <col min="9" max="9" width="14.88671875" style="1" hidden="1" customWidth="1"/>
    <col min="10" max="10" width="12.88671875" style="93" customWidth="1"/>
    <col min="11" max="11" width="2.6640625" style="93" customWidth="1"/>
    <col min="12" max="12" width="36" style="93" bestFit="1" customWidth="1"/>
    <col min="13" max="13" width="36" style="93" customWidth="1"/>
    <col min="14" max="14" width="14.109375" style="93" bestFit="1" customWidth="1"/>
    <col min="15" max="73" width="12.88671875" style="93" customWidth="1"/>
    <col min="74" max="74" width="14.88671875" style="93" bestFit="1" customWidth="1"/>
    <col min="75" max="133" width="12.88671875" style="93" customWidth="1"/>
    <col min="134" max="134" width="14.88671875" style="93" bestFit="1" customWidth="1"/>
    <col min="135" max="135" width="9.109375" style="93"/>
    <col min="136" max="136" width="23.44140625" style="93" bestFit="1" customWidth="1"/>
    <col min="137" max="137" width="11.44140625" style="93" bestFit="1" customWidth="1"/>
    <col min="138" max="138" width="13.44140625" style="93" bestFit="1" customWidth="1"/>
    <col min="139" max="16384" width="9.109375" style="93"/>
  </cols>
  <sheetData>
    <row r="2" spans="8:253" x14ac:dyDescent="0.3">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row>
    <row r="3" spans="8:253" x14ac:dyDescent="0.3">
      <c r="H3" s="292"/>
      <c r="I3" s="292"/>
      <c r="K3" s="1"/>
      <c r="L3" s="199"/>
      <c r="M3" s="183"/>
      <c r="N3" s="200">
        <v>0</v>
      </c>
      <c r="O3" s="200">
        <v>1</v>
      </c>
      <c r="P3" s="200">
        <v>1</v>
      </c>
      <c r="Q3" s="200">
        <v>1</v>
      </c>
      <c r="R3" s="200">
        <v>1</v>
      </c>
      <c r="S3" s="200">
        <v>1</v>
      </c>
      <c r="T3" s="200">
        <v>1</v>
      </c>
      <c r="U3" s="200">
        <v>1</v>
      </c>
      <c r="V3" s="200">
        <v>1</v>
      </c>
      <c r="W3" s="200">
        <v>1</v>
      </c>
      <c r="X3" s="200">
        <v>1</v>
      </c>
      <c r="Y3" s="200">
        <v>1</v>
      </c>
      <c r="Z3" s="200">
        <v>1</v>
      </c>
      <c r="AA3" s="200">
        <f>1+O3</f>
        <v>2</v>
      </c>
      <c r="AB3" s="200">
        <f t="shared" ref="AB3:CM3" si="0">1+P3</f>
        <v>2</v>
      </c>
      <c r="AC3" s="200">
        <f t="shared" si="0"/>
        <v>2</v>
      </c>
      <c r="AD3" s="200">
        <f t="shared" si="0"/>
        <v>2</v>
      </c>
      <c r="AE3" s="200">
        <f t="shared" si="0"/>
        <v>2</v>
      </c>
      <c r="AF3" s="200">
        <f t="shared" si="0"/>
        <v>2</v>
      </c>
      <c r="AG3" s="200">
        <f t="shared" si="0"/>
        <v>2</v>
      </c>
      <c r="AH3" s="200">
        <f t="shared" si="0"/>
        <v>2</v>
      </c>
      <c r="AI3" s="200">
        <f t="shared" si="0"/>
        <v>2</v>
      </c>
      <c r="AJ3" s="200">
        <f t="shared" si="0"/>
        <v>2</v>
      </c>
      <c r="AK3" s="200">
        <f t="shared" si="0"/>
        <v>2</v>
      </c>
      <c r="AL3" s="200">
        <f t="shared" si="0"/>
        <v>2</v>
      </c>
      <c r="AM3" s="200">
        <f t="shared" si="0"/>
        <v>3</v>
      </c>
      <c r="AN3" s="200">
        <f t="shared" si="0"/>
        <v>3</v>
      </c>
      <c r="AO3" s="200">
        <f t="shared" si="0"/>
        <v>3</v>
      </c>
      <c r="AP3" s="200">
        <f t="shared" si="0"/>
        <v>3</v>
      </c>
      <c r="AQ3" s="200">
        <f t="shared" si="0"/>
        <v>3</v>
      </c>
      <c r="AR3" s="200">
        <f t="shared" si="0"/>
        <v>3</v>
      </c>
      <c r="AS3" s="200">
        <f t="shared" si="0"/>
        <v>3</v>
      </c>
      <c r="AT3" s="200">
        <f t="shared" si="0"/>
        <v>3</v>
      </c>
      <c r="AU3" s="200">
        <f t="shared" si="0"/>
        <v>3</v>
      </c>
      <c r="AV3" s="200">
        <f t="shared" si="0"/>
        <v>3</v>
      </c>
      <c r="AW3" s="200">
        <f t="shared" si="0"/>
        <v>3</v>
      </c>
      <c r="AX3" s="200">
        <f t="shared" si="0"/>
        <v>3</v>
      </c>
      <c r="AY3" s="200">
        <f t="shared" si="0"/>
        <v>4</v>
      </c>
      <c r="AZ3" s="200">
        <f t="shared" si="0"/>
        <v>4</v>
      </c>
      <c r="BA3" s="200">
        <f t="shared" si="0"/>
        <v>4</v>
      </c>
      <c r="BB3" s="200">
        <f t="shared" si="0"/>
        <v>4</v>
      </c>
      <c r="BC3" s="200">
        <f t="shared" si="0"/>
        <v>4</v>
      </c>
      <c r="BD3" s="200">
        <f t="shared" si="0"/>
        <v>4</v>
      </c>
      <c r="BE3" s="200">
        <f t="shared" si="0"/>
        <v>4</v>
      </c>
      <c r="BF3" s="200">
        <f t="shared" si="0"/>
        <v>4</v>
      </c>
      <c r="BG3" s="200">
        <f t="shared" si="0"/>
        <v>4</v>
      </c>
      <c r="BH3" s="200">
        <f t="shared" si="0"/>
        <v>4</v>
      </c>
      <c r="BI3" s="200">
        <f t="shared" si="0"/>
        <v>4</v>
      </c>
      <c r="BJ3" s="200">
        <f t="shared" si="0"/>
        <v>4</v>
      </c>
      <c r="BK3" s="200">
        <f t="shared" si="0"/>
        <v>5</v>
      </c>
      <c r="BL3" s="200">
        <f t="shared" si="0"/>
        <v>5</v>
      </c>
      <c r="BM3" s="200">
        <f t="shared" si="0"/>
        <v>5</v>
      </c>
      <c r="BN3" s="200">
        <f t="shared" si="0"/>
        <v>5</v>
      </c>
      <c r="BO3" s="200">
        <f t="shared" si="0"/>
        <v>5</v>
      </c>
      <c r="BP3" s="200">
        <f t="shared" si="0"/>
        <v>5</v>
      </c>
      <c r="BQ3" s="200">
        <f t="shared" si="0"/>
        <v>5</v>
      </c>
      <c r="BR3" s="200">
        <f t="shared" si="0"/>
        <v>5</v>
      </c>
      <c r="BS3" s="200">
        <f t="shared" si="0"/>
        <v>5</v>
      </c>
      <c r="BT3" s="200">
        <f t="shared" si="0"/>
        <v>5</v>
      </c>
      <c r="BU3" s="200">
        <f t="shared" si="0"/>
        <v>5</v>
      </c>
      <c r="BV3" s="200">
        <f t="shared" si="0"/>
        <v>5</v>
      </c>
      <c r="BW3" s="200">
        <f t="shared" si="0"/>
        <v>6</v>
      </c>
      <c r="BX3" s="200">
        <f t="shared" si="0"/>
        <v>6</v>
      </c>
      <c r="BY3" s="200">
        <f t="shared" si="0"/>
        <v>6</v>
      </c>
      <c r="BZ3" s="200">
        <f t="shared" si="0"/>
        <v>6</v>
      </c>
      <c r="CA3" s="200">
        <f t="shared" si="0"/>
        <v>6</v>
      </c>
      <c r="CB3" s="200">
        <f t="shared" si="0"/>
        <v>6</v>
      </c>
      <c r="CC3" s="200">
        <f t="shared" si="0"/>
        <v>6</v>
      </c>
      <c r="CD3" s="200">
        <f t="shared" si="0"/>
        <v>6</v>
      </c>
      <c r="CE3" s="200">
        <f t="shared" si="0"/>
        <v>6</v>
      </c>
      <c r="CF3" s="200">
        <f t="shared" si="0"/>
        <v>6</v>
      </c>
      <c r="CG3" s="200">
        <f t="shared" si="0"/>
        <v>6</v>
      </c>
      <c r="CH3" s="200">
        <f t="shared" si="0"/>
        <v>6</v>
      </c>
      <c r="CI3" s="200">
        <f t="shared" si="0"/>
        <v>7</v>
      </c>
      <c r="CJ3" s="200">
        <f t="shared" si="0"/>
        <v>7</v>
      </c>
      <c r="CK3" s="200">
        <f t="shared" si="0"/>
        <v>7</v>
      </c>
      <c r="CL3" s="200">
        <f t="shared" si="0"/>
        <v>7</v>
      </c>
      <c r="CM3" s="200">
        <f t="shared" si="0"/>
        <v>7</v>
      </c>
      <c r="CN3" s="200">
        <f t="shared" ref="CN3:ED3" si="1">1+CB3</f>
        <v>7</v>
      </c>
      <c r="CO3" s="200">
        <f t="shared" si="1"/>
        <v>7</v>
      </c>
      <c r="CP3" s="200">
        <f t="shared" si="1"/>
        <v>7</v>
      </c>
      <c r="CQ3" s="200">
        <f t="shared" si="1"/>
        <v>7</v>
      </c>
      <c r="CR3" s="200">
        <f t="shared" si="1"/>
        <v>7</v>
      </c>
      <c r="CS3" s="200">
        <f t="shared" si="1"/>
        <v>7</v>
      </c>
      <c r="CT3" s="200">
        <f t="shared" si="1"/>
        <v>7</v>
      </c>
      <c r="CU3" s="200">
        <f t="shared" si="1"/>
        <v>8</v>
      </c>
      <c r="CV3" s="200">
        <f t="shared" si="1"/>
        <v>8</v>
      </c>
      <c r="CW3" s="200">
        <f t="shared" si="1"/>
        <v>8</v>
      </c>
      <c r="CX3" s="200">
        <f t="shared" si="1"/>
        <v>8</v>
      </c>
      <c r="CY3" s="200">
        <f t="shared" si="1"/>
        <v>8</v>
      </c>
      <c r="CZ3" s="200">
        <f t="shared" si="1"/>
        <v>8</v>
      </c>
      <c r="DA3" s="200">
        <f t="shared" si="1"/>
        <v>8</v>
      </c>
      <c r="DB3" s="200">
        <f t="shared" si="1"/>
        <v>8</v>
      </c>
      <c r="DC3" s="200">
        <f t="shared" si="1"/>
        <v>8</v>
      </c>
      <c r="DD3" s="200">
        <f t="shared" si="1"/>
        <v>8</v>
      </c>
      <c r="DE3" s="200">
        <f t="shared" si="1"/>
        <v>8</v>
      </c>
      <c r="DF3" s="200">
        <f t="shared" si="1"/>
        <v>8</v>
      </c>
      <c r="DG3" s="200">
        <f t="shared" si="1"/>
        <v>9</v>
      </c>
      <c r="DH3" s="200">
        <f t="shared" si="1"/>
        <v>9</v>
      </c>
      <c r="DI3" s="200">
        <f t="shared" si="1"/>
        <v>9</v>
      </c>
      <c r="DJ3" s="200">
        <f t="shared" si="1"/>
        <v>9</v>
      </c>
      <c r="DK3" s="200">
        <f t="shared" si="1"/>
        <v>9</v>
      </c>
      <c r="DL3" s="200">
        <f t="shared" si="1"/>
        <v>9</v>
      </c>
      <c r="DM3" s="200">
        <f t="shared" si="1"/>
        <v>9</v>
      </c>
      <c r="DN3" s="200">
        <f t="shared" si="1"/>
        <v>9</v>
      </c>
      <c r="DO3" s="200">
        <f t="shared" si="1"/>
        <v>9</v>
      </c>
      <c r="DP3" s="200">
        <f t="shared" si="1"/>
        <v>9</v>
      </c>
      <c r="DQ3" s="200">
        <f t="shared" si="1"/>
        <v>9</v>
      </c>
      <c r="DR3" s="200">
        <f t="shared" si="1"/>
        <v>9</v>
      </c>
      <c r="DS3" s="200">
        <f t="shared" si="1"/>
        <v>10</v>
      </c>
      <c r="DT3" s="200">
        <f t="shared" si="1"/>
        <v>10</v>
      </c>
      <c r="DU3" s="200">
        <f t="shared" si="1"/>
        <v>10</v>
      </c>
      <c r="DV3" s="200">
        <f t="shared" si="1"/>
        <v>10</v>
      </c>
      <c r="DW3" s="200">
        <f t="shared" si="1"/>
        <v>10</v>
      </c>
      <c r="DX3" s="200">
        <f t="shared" si="1"/>
        <v>10</v>
      </c>
      <c r="DY3" s="200">
        <f t="shared" si="1"/>
        <v>10</v>
      </c>
      <c r="DZ3" s="200">
        <f t="shared" si="1"/>
        <v>10</v>
      </c>
      <c r="EA3" s="200">
        <f t="shared" si="1"/>
        <v>10</v>
      </c>
      <c r="EB3" s="200">
        <f t="shared" si="1"/>
        <v>10</v>
      </c>
      <c r="EC3" s="200">
        <f t="shared" si="1"/>
        <v>10</v>
      </c>
      <c r="ED3" s="201">
        <f t="shared" si="1"/>
        <v>10</v>
      </c>
      <c r="EE3" s="1"/>
      <c r="EF3" s="1"/>
    </row>
    <row r="4" spans="8:253" x14ac:dyDescent="0.3">
      <c r="H4" s="92"/>
      <c r="I4" s="92"/>
      <c r="K4" s="1"/>
      <c r="L4" s="184"/>
      <c r="M4" s="175"/>
      <c r="N4" s="202">
        <v>0</v>
      </c>
      <c r="O4" s="202">
        <f>N4+1</f>
        <v>1</v>
      </c>
      <c r="P4" s="202">
        <f t="shared" ref="P4:CA4" si="2">O4+1</f>
        <v>2</v>
      </c>
      <c r="Q4" s="202">
        <f t="shared" si="2"/>
        <v>3</v>
      </c>
      <c r="R4" s="202">
        <f t="shared" si="2"/>
        <v>4</v>
      </c>
      <c r="S4" s="202">
        <f t="shared" si="2"/>
        <v>5</v>
      </c>
      <c r="T4" s="202">
        <f t="shared" si="2"/>
        <v>6</v>
      </c>
      <c r="U4" s="202">
        <f t="shared" si="2"/>
        <v>7</v>
      </c>
      <c r="V4" s="202">
        <f t="shared" si="2"/>
        <v>8</v>
      </c>
      <c r="W4" s="202">
        <f t="shared" si="2"/>
        <v>9</v>
      </c>
      <c r="X4" s="202">
        <f t="shared" si="2"/>
        <v>10</v>
      </c>
      <c r="Y4" s="202">
        <f t="shared" si="2"/>
        <v>11</v>
      </c>
      <c r="Z4" s="202">
        <f t="shared" si="2"/>
        <v>12</v>
      </c>
      <c r="AA4" s="202">
        <f t="shared" si="2"/>
        <v>13</v>
      </c>
      <c r="AB4" s="202">
        <f t="shared" si="2"/>
        <v>14</v>
      </c>
      <c r="AC4" s="202">
        <f t="shared" si="2"/>
        <v>15</v>
      </c>
      <c r="AD4" s="202">
        <f t="shared" si="2"/>
        <v>16</v>
      </c>
      <c r="AE4" s="202">
        <f t="shared" si="2"/>
        <v>17</v>
      </c>
      <c r="AF4" s="202">
        <f t="shared" si="2"/>
        <v>18</v>
      </c>
      <c r="AG4" s="202">
        <f t="shared" si="2"/>
        <v>19</v>
      </c>
      <c r="AH4" s="202">
        <f t="shared" si="2"/>
        <v>20</v>
      </c>
      <c r="AI4" s="202">
        <f t="shared" si="2"/>
        <v>21</v>
      </c>
      <c r="AJ4" s="202">
        <f t="shared" si="2"/>
        <v>22</v>
      </c>
      <c r="AK4" s="202">
        <f t="shared" si="2"/>
        <v>23</v>
      </c>
      <c r="AL4" s="202">
        <f t="shared" si="2"/>
        <v>24</v>
      </c>
      <c r="AM4" s="202">
        <f t="shared" si="2"/>
        <v>25</v>
      </c>
      <c r="AN4" s="202">
        <f t="shared" si="2"/>
        <v>26</v>
      </c>
      <c r="AO4" s="202">
        <f t="shared" si="2"/>
        <v>27</v>
      </c>
      <c r="AP4" s="202">
        <f t="shared" si="2"/>
        <v>28</v>
      </c>
      <c r="AQ4" s="202">
        <f t="shared" si="2"/>
        <v>29</v>
      </c>
      <c r="AR4" s="202">
        <f t="shared" si="2"/>
        <v>30</v>
      </c>
      <c r="AS4" s="202">
        <f t="shared" si="2"/>
        <v>31</v>
      </c>
      <c r="AT4" s="202">
        <f t="shared" si="2"/>
        <v>32</v>
      </c>
      <c r="AU4" s="202">
        <f t="shared" si="2"/>
        <v>33</v>
      </c>
      <c r="AV4" s="202">
        <f t="shared" si="2"/>
        <v>34</v>
      </c>
      <c r="AW4" s="202">
        <f t="shared" si="2"/>
        <v>35</v>
      </c>
      <c r="AX4" s="202">
        <f>AW4+1</f>
        <v>36</v>
      </c>
      <c r="AY4" s="202">
        <f t="shared" si="2"/>
        <v>37</v>
      </c>
      <c r="AZ4" s="202">
        <f t="shared" si="2"/>
        <v>38</v>
      </c>
      <c r="BA4" s="202">
        <f t="shared" si="2"/>
        <v>39</v>
      </c>
      <c r="BB4" s="202">
        <f t="shared" si="2"/>
        <v>40</v>
      </c>
      <c r="BC4" s="202">
        <f t="shared" si="2"/>
        <v>41</v>
      </c>
      <c r="BD4" s="202">
        <f t="shared" si="2"/>
        <v>42</v>
      </c>
      <c r="BE4" s="202">
        <f t="shared" si="2"/>
        <v>43</v>
      </c>
      <c r="BF4" s="202">
        <f t="shared" si="2"/>
        <v>44</v>
      </c>
      <c r="BG4" s="202">
        <f t="shared" si="2"/>
        <v>45</v>
      </c>
      <c r="BH4" s="202">
        <f t="shared" si="2"/>
        <v>46</v>
      </c>
      <c r="BI4" s="202">
        <f t="shared" si="2"/>
        <v>47</v>
      </c>
      <c r="BJ4" s="202">
        <f t="shared" si="2"/>
        <v>48</v>
      </c>
      <c r="BK4" s="202">
        <f t="shared" si="2"/>
        <v>49</v>
      </c>
      <c r="BL4" s="202">
        <f t="shared" si="2"/>
        <v>50</v>
      </c>
      <c r="BM4" s="202">
        <f t="shared" si="2"/>
        <v>51</v>
      </c>
      <c r="BN4" s="202">
        <f t="shared" si="2"/>
        <v>52</v>
      </c>
      <c r="BO4" s="202">
        <f t="shared" si="2"/>
        <v>53</v>
      </c>
      <c r="BP4" s="202">
        <f t="shared" si="2"/>
        <v>54</v>
      </c>
      <c r="BQ4" s="202">
        <f t="shared" si="2"/>
        <v>55</v>
      </c>
      <c r="BR4" s="202">
        <f t="shared" si="2"/>
        <v>56</v>
      </c>
      <c r="BS4" s="202">
        <f t="shared" si="2"/>
        <v>57</v>
      </c>
      <c r="BT4" s="202">
        <f t="shared" si="2"/>
        <v>58</v>
      </c>
      <c r="BU4" s="202">
        <f>BT4+1</f>
        <v>59</v>
      </c>
      <c r="BV4" s="202">
        <f t="shared" si="2"/>
        <v>60</v>
      </c>
      <c r="BW4" s="202">
        <f t="shared" si="2"/>
        <v>61</v>
      </c>
      <c r="BX4" s="202">
        <f t="shared" si="2"/>
        <v>62</v>
      </c>
      <c r="BY4" s="202">
        <f t="shared" si="2"/>
        <v>63</v>
      </c>
      <c r="BZ4" s="202">
        <f t="shared" si="2"/>
        <v>64</v>
      </c>
      <c r="CA4" s="202">
        <f t="shared" si="2"/>
        <v>65</v>
      </c>
      <c r="CB4" s="202">
        <f t="shared" ref="CB4:ED4" si="3">CA4+1</f>
        <v>66</v>
      </c>
      <c r="CC4" s="202">
        <f t="shared" si="3"/>
        <v>67</v>
      </c>
      <c r="CD4" s="202">
        <f t="shared" si="3"/>
        <v>68</v>
      </c>
      <c r="CE4" s="202">
        <f t="shared" si="3"/>
        <v>69</v>
      </c>
      <c r="CF4" s="202">
        <f t="shared" si="3"/>
        <v>70</v>
      </c>
      <c r="CG4" s="202">
        <f t="shared" si="3"/>
        <v>71</v>
      </c>
      <c r="CH4" s="202">
        <f t="shared" si="3"/>
        <v>72</v>
      </c>
      <c r="CI4" s="202">
        <f t="shared" si="3"/>
        <v>73</v>
      </c>
      <c r="CJ4" s="202">
        <f t="shared" si="3"/>
        <v>74</v>
      </c>
      <c r="CK4" s="202">
        <f t="shared" si="3"/>
        <v>75</v>
      </c>
      <c r="CL4" s="202">
        <f t="shared" si="3"/>
        <v>76</v>
      </c>
      <c r="CM4" s="202">
        <f t="shared" si="3"/>
        <v>77</v>
      </c>
      <c r="CN4" s="202">
        <f t="shared" si="3"/>
        <v>78</v>
      </c>
      <c r="CO4" s="202">
        <f t="shared" si="3"/>
        <v>79</v>
      </c>
      <c r="CP4" s="202">
        <f t="shared" si="3"/>
        <v>80</v>
      </c>
      <c r="CQ4" s="202">
        <f t="shared" si="3"/>
        <v>81</v>
      </c>
      <c r="CR4" s="202">
        <f t="shared" si="3"/>
        <v>82</v>
      </c>
      <c r="CS4" s="202">
        <f t="shared" si="3"/>
        <v>83</v>
      </c>
      <c r="CT4" s="202">
        <f t="shared" si="3"/>
        <v>84</v>
      </c>
      <c r="CU4" s="202">
        <f t="shared" si="3"/>
        <v>85</v>
      </c>
      <c r="CV4" s="202">
        <f t="shared" si="3"/>
        <v>86</v>
      </c>
      <c r="CW4" s="202">
        <f t="shared" si="3"/>
        <v>87</v>
      </c>
      <c r="CX4" s="202">
        <f t="shared" si="3"/>
        <v>88</v>
      </c>
      <c r="CY4" s="202">
        <f t="shared" si="3"/>
        <v>89</v>
      </c>
      <c r="CZ4" s="202">
        <f t="shared" si="3"/>
        <v>90</v>
      </c>
      <c r="DA4" s="202">
        <f t="shared" si="3"/>
        <v>91</v>
      </c>
      <c r="DB4" s="202">
        <f t="shared" si="3"/>
        <v>92</v>
      </c>
      <c r="DC4" s="202">
        <f t="shared" si="3"/>
        <v>93</v>
      </c>
      <c r="DD4" s="202">
        <f t="shared" si="3"/>
        <v>94</v>
      </c>
      <c r="DE4" s="202">
        <f t="shared" si="3"/>
        <v>95</v>
      </c>
      <c r="DF4" s="202">
        <f t="shared" si="3"/>
        <v>96</v>
      </c>
      <c r="DG4" s="202">
        <f t="shared" si="3"/>
        <v>97</v>
      </c>
      <c r="DH4" s="202">
        <f t="shared" si="3"/>
        <v>98</v>
      </c>
      <c r="DI4" s="202">
        <f t="shared" si="3"/>
        <v>99</v>
      </c>
      <c r="DJ4" s="202">
        <f t="shared" si="3"/>
        <v>100</v>
      </c>
      <c r="DK4" s="202">
        <f t="shared" si="3"/>
        <v>101</v>
      </c>
      <c r="DL4" s="202">
        <f t="shared" si="3"/>
        <v>102</v>
      </c>
      <c r="DM4" s="202">
        <f t="shared" si="3"/>
        <v>103</v>
      </c>
      <c r="DN4" s="202">
        <f t="shared" si="3"/>
        <v>104</v>
      </c>
      <c r="DO4" s="202">
        <f t="shared" si="3"/>
        <v>105</v>
      </c>
      <c r="DP4" s="202">
        <f t="shared" si="3"/>
        <v>106</v>
      </c>
      <c r="DQ4" s="202">
        <f t="shared" si="3"/>
        <v>107</v>
      </c>
      <c r="DR4" s="202">
        <f t="shared" si="3"/>
        <v>108</v>
      </c>
      <c r="DS4" s="202">
        <f t="shared" si="3"/>
        <v>109</v>
      </c>
      <c r="DT4" s="202">
        <f t="shared" si="3"/>
        <v>110</v>
      </c>
      <c r="DU4" s="202">
        <f t="shared" si="3"/>
        <v>111</v>
      </c>
      <c r="DV4" s="202">
        <f t="shared" si="3"/>
        <v>112</v>
      </c>
      <c r="DW4" s="202">
        <f t="shared" si="3"/>
        <v>113</v>
      </c>
      <c r="DX4" s="202">
        <f t="shared" si="3"/>
        <v>114</v>
      </c>
      <c r="DY4" s="202">
        <f t="shared" si="3"/>
        <v>115</v>
      </c>
      <c r="DZ4" s="202">
        <f t="shared" si="3"/>
        <v>116</v>
      </c>
      <c r="EA4" s="202">
        <f t="shared" si="3"/>
        <v>117</v>
      </c>
      <c r="EB4" s="202">
        <f t="shared" si="3"/>
        <v>118</v>
      </c>
      <c r="EC4" s="202">
        <f t="shared" si="3"/>
        <v>119</v>
      </c>
      <c r="ED4" s="203">
        <f t="shared" si="3"/>
        <v>120</v>
      </c>
      <c r="EE4" s="1"/>
      <c r="EF4" s="1"/>
    </row>
    <row r="5" spans="8:253" x14ac:dyDescent="0.3">
      <c r="K5" s="1"/>
      <c r="L5" s="23"/>
      <c r="M5" s="1"/>
      <c r="N5" s="14">
        <f>'A&amp;Rs'!K10</f>
        <v>46174</v>
      </c>
      <c r="O5" s="14">
        <f t="shared" ref="O5:AT5" si="4">EOMONTH(N5,0)+1</f>
        <v>46204</v>
      </c>
      <c r="P5" s="14">
        <f t="shared" si="4"/>
        <v>46235</v>
      </c>
      <c r="Q5" s="14">
        <f t="shared" si="4"/>
        <v>46266</v>
      </c>
      <c r="R5" s="14">
        <f t="shared" si="4"/>
        <v>46296</v>
      </c>
      <c r="S5" s="14">
        <f t="shared" si="4"/>
        <v>46327</v>
      </c>
      <c r="T5" s="14">
        <f t="shared" si="4"/>
        <v>46357</v>
      </c>
      <c r="U5" s="14">
        <f t="shared" si="4"/>
        <v>46388</v>
      </c>
      <c r="V5" s="14">
        <f t="shared" si="4"/>
        <v>46419</v>
      </c>
      <c r="W5" s="14">
        <f t="shared" si="4"/>
        <v>46447</v>
      </c>
      <c r="X5" s="14">
        <f t="shared" si="4"/>
        <v>46478</v>
      </c>
      <c r="Y5" s="14">
        <f t="shared" si="4"/>
        <v>46508</v>
      </c>
      <c r="Z5" s="14">
        <f t="shared" si="4"/>
        <v>46539</v>
      </c>
      <c r="AA5" s="14">
        <f t="shared" si="4"/>
        <v>46569</v>
      </c>
      <c r="AB5" s="14">
        <f t="shared" si="4"/>
        <v>46600</v>
      </c>
      <c r="AC5" s="14">
        <f t="shared" si="4"/>
        <v>46631</v>
      </c>
      <c r="AD5" s="14">
        <f t="shared" si="4"/>
        <v>46661</v>
      </c>
      <c r="AE5" s="14">
        <f t="shared" si="4"/>
        <v>46692</v>
      </c>
      <c r="AF5" s="14">
        <f t="shared" si="4"/>
        <v>46722</v>
      </c>
      <c r="AG5" s="14">
        <f t="shared" si="4"/>
        <v>46753</v>
      </c>
      <c r="AH5" s="14">
        <f t="shared" si="4"/>
        <v>46784</v>
      </c>
      <c r="AI5" s="14">
        <f t="shared" si="4"/>
        <v>46813</v>
      </c>
      <c r="AJ5" s="14">
        <f t="shared" si="4"/>
        <v>46844</v>
      </c>
      <c r="AK5" s="14">
        <f t="shared" si="4"/>
        <v>46874</v>
      </c>
      <c r="AL5" s="14">
        <f t="shared" si="4"/>
        <v>46905</v>
      </c>
      <c r="AM5" s="14">
        <f t="shared" si="4"/>
        <v>46935</v>
      </c>
      <c r="AN5" s="14">
        <f t="shared" si="4"/>
        <v>46966</v>
      </c>
      <c r="AO5" s="14">
        <f t="shared" si="4"/>
        <v>46997</v>
      </c>
      <c r="AP5" s="14">
        <f t="shared" si="4"/>
        <v>47027</v>
      </c>
      <c r="AQ5" s="14">
        <f t="shared" si="4"/>
        <v>47058</v>
      </c>
      <c r="AR5" s="14">
        <f t="shared" si="4"/>
        <v>47088</v>
      </c>
      <c r="AS5" s="14">
        <f t="shared" si="4"/>
        <v>47119</v>
      </c>
      <c r="AT5" s="14">
        <f t="shared" si="4"/>
        <v>47150</v>
      </c>
      <c r="AU5" s="14">
        <f t="shared" ref="AU5:BZ5" si="5">EOMONTH(AT5,0)+1</f>
        <v>47178</v>
      </c>
      <c r="AV5" s="14">
        <f t="shared" si="5"/>
        <v>47209</v>
      </c>
      <c r="AW5" s="14">
        <f t="shared" si="5"/>
        <v>47239</v>
      </c>
      <c r="AX5" s="14">
        <f t="shared" si="5"/>
        <v>47270</v>
      </c>
      <c r="AY5" s="14">
        <f t="shared" si="5"/>
        <v>47300</v>
      </c>
      <c r="AZ5" s="14">
        <f t="shared" si="5"/>
        <v>47331</v>
      </c>
      <c r="BA5" s="14">
        <f t="shared" si="5"/>
        <v>47362</v>
      </c>
      <c r="BB5" s="14">
        <f t="shared" si="5"/>
        <v>47392</v>
      </c>
      <c r="BC5" s="14">
        <f t="shared" si="5"/>
        <v>47423</v>
      </c>
      <c r="BD5" s="14">
        <f t="shared" si="5"/>
        <v>47453</v>
      </c>
      <c r="BE5" s="14">
        <f t="shared" si="5"/>
        <v>47484</v>
      </c>
      <c r="BF5" s="14">
        <f t="shared" si="5"/>
        <v>47515</v>
      </c>
      <c r="BG5" s="14">
        <f t="shared" si="5"/>
        <v>47543</v>
      </c>
      <c r="BH5" s="14">
        <f t="shared" si="5"/>
        <v>47574</v>
      </c>
      <c r="BI5" s="14">
        <f t="shared" si="5"/>
        <v>47604</v>
      </c>
      <c r="BJ5" s="14">
        <f t="shared" si="5"/>
        <v>47635</v>
      </c>
      <c r="BK5" s="14">
        <f t="shared" si="5"/>
        <v>47665</v>
      </c>
      <c r="BL5" s="14">
        <f t="shared" si="5"/>
        <v>47696</v>
      </c>
      <c r="BM5" s="14">
        <f t="shared" si="5"/>
        <v>47727</v>
      </c>
      <c r="BN5" s="14">
        <f t="shared" si="5"/>
        <v>47757</v>
      </c>
      <c r="BO5" s="14">
        <f t="shared" si="5"/>
        <v>47788</v>
      </c>
      <c r="BP5" s="14">
        <f t="shared" si="5"/>
        <v>47818</v>
      </c>
      <c r="BQ5" s="14">
        <f t="shared" si="5"/>
        <v>47849</v>
      </c>
      <c r="BR5" s="14">
        <f t="shared" si="5"/>
        <v>47880</v>
      </c>
      <c r="BS5" s="14">
        <f t="shared" si="5"/>
        <v>47908</v>
      </c>
      <c r="BT5" s="14">
        <f t="shared" si="5"/>
        <v>47939</v>
      </c>
      <c r="BU5" s="14">
        <f t="shared" si="5"/>
        <v>47969</v>
      </c>
      <c r="BV5" s="14">
        <f t="shared" si="5"/>
        <v>48000</v>
      </c>
      <c r="BW5" s="14">
        <f t="shared" si="5"/>
        <v>48030</v>
      </c>
      <c r="BX5" s="14">
        <f t="shared" si="5"/>
        <v>48061</v>
      </c>
      <c r="BY5" s="14">
        <f t="shared" si="5"/>
        <v>48092</v>
      </c>
      <c r="BZ5" s="14">
        <f t="shared" si="5"/>
        <v>48122</v>
      </c>
      <c r="CA5" s="14">
        <f t="shared" ref="CA5:DF5" si="6">EOMONTH(BZ5,0)+1</f>
        <v>48153</v>
      </c>
      <c r="CB5" s="14">
        <f t="shared" si="6"/>
        <v>48183</v>
      </c>
      <c r="CC5" s="14">
        <f t="shared" si="6"/>
        <v>48214</v>
      </c>
      <c r="CD5" s="14">
        <f t="shared" si="6"/>
        <v>48245</v>
      </c>
      <c r="CE5" s="14">
        <f t="shared" si="6"/>
        <v>48274</v>
      </c>
      <c r="CF5" s="14">
        <f t="shared" si="6"/>
        <v>48305</v>
      </c>
      <c r="CG5" s="14">
        <f t="shared" si="6"/>
        <v>48335</v>
      </c>
      <c r="CH5" s="14">
        <f t="shared" si="6"/>
        <v>48366</v>
      </c>
      <c r="CI5" s="14">
        <f t="shared" si="6"/>
        <v>48396</v>
      </c>
      <c r="CJ5" s="14">
        <f t="shared" si="6"/>
        <v>48427</v>
      </c>
      <c r="CK5" s="14">
        <f t="shared" si="6"/>
        <v>48458</v>
      </c>
      <c r="CL5" s="14">
        <f t="shared" si="6"/>
        <v>48488</v>
      </c>
      <c r="CM5" s="14">
        <f t="shared" si="6"/>
        <v>48519</v>
      </c>
      <c r="CN5" s="14">
        <f t="shared" si="6"/>
        <v>48549</v>
      </c>
      <c r="CO5" s="14">
        <f t="shared" si="6"/>
        <v>48580</v>
      </c>
      <c r="CP5" s="14">
        <f t="shared" si="6"/>
        <v>48611</v>
      </c>
      <c r="CQ5" s="14">
        <f t="shared" si="6"/>
        <v>48639</v>
      </c>
      <c r="CR5" s="14">
        <f t="shared" si="6"/>
        <v>48670</v>
      </c>
      <c r="CS5" s="14">
        <f t="shared" si="6"/>
        <v>48700</v>
      </c>
      <c r="CT5" s="14">
        <f t="shared" si="6"/>
        <v>48731</v>
      </c>
      <c r="CU5" s="14">
        <f t="shared" si="6"/>
        <v>48761</v>
      </c>
      <c r="CV5" s="14">
        <f t="shared" si="6"/>
        <v>48792</v>
      </c>
      <c r="CW5" s="14">
        <f t="shared" si="6"/>
        <v>48823</v>
      </c>
      <c r="CX5" s="14">
        <f t="shared" si="6"/>
        <v>48853</v>
      </c>
      <c r="CY5" s="14">
        <f t="shared" si="6"/>
        <v>48884</v>
      </c>
      <c r="CZ5" s="14">
        <f t="shared" si="6"/>
        <v>48914</v>
      </c>
      <c r="DA5" s="14">
        <f t="shared" si="6"/>
        <v>48945</v>
      </c>
      <c r="DB5" s="14">
        <f t="shared" si="6"/>
        <v>48976</v>
      </c>
      <c r="DC5" s="14">
        <f t="shared" si="6"/>
        <v>49004</v>
      </c>
      <c r="DD5" s="14">
        <f t="shared" si="6"/>
        <v>49035</v>
      </c>
      <c r="DE5" s="14">
        <f t="shared" si="6"/>
        <v>49065</v>
      </c>
      <c r="DF5" s="14">
        <f t="shared" si="6"/>
        <v>49096</v>
      </c>
      <c r="DG5" s="14">
        <f t="shared" ref="DG5:ED5" si="7">EOMONTH(DF5,0)+1</f>
        <v>49126</v>
      </c>
      <c r="DH5" s="14">
        <f t="shared" si="7"/>
        <v>49157</v>
      </c>
      <c r="DI5" s="14">
        <f t="shared" si="7"/>
        <v>49188</v>
      </c>
      <c r="DJ5" s="14">
        <f t="shared" si="7"/>
        <v>49218</v>
      </c>
      <c r="DK5" s="14">
        <f t="shared" si="7"/>
        <v>49249</v>
      </c>
      <c r="DL5" s="14">
        <f t="shared" si="7"/>
        <v>49279</v>
      </c>
      <c r="DM5" s="14">
        <f t="shared" si="7"/>
        <v>49310</v>
      </c>
      <c r="DN5" s="14">
        <f t="shared" si="7"/>
        <v>49341</v>
      </c>
      <c r="DO5" s="14">
        <f t="shared" si="7"/>
        <v>49369</v>
      </c>
      <c r="DP5" s="14">
        <f t="shared" si="7"/>
        <v>49400</v>
      </c>
      <c r="DQ5" s="14">
        <f t="shared" si="7"/>
        <v>49430</v>
      </c>
      <c r="DR5" s="14">
        <f t="shared" si="7"/>
        <v>49461</v>
      </c>
      <c r="DS5" s="14">
        <f t="shared" si="7"/>
        <v>49491</v>
      </c>
      <c r="DT5" s="14">
        <f t="shared" si="7"/>
        <v>49522</v>
      </c>
      <c r="DU5" s="14">
        <f t="shared" si="7"/>
        <v>49553</v>
      </c>
      <c r="DV5" s="14">
        <f t="shared" si="7"/>
        <v>49583</v>
      </c>
      <c r="DW5" s="14">
        <f t="shared" si="7"/>
        <v>49614</v>
      </c>
      <c r="DX5" s="14">
        <f t="shared" si="7"/>
        <v>49644</v>
      </c>
      <c r="DY5" s="14">
        <f t="shared" si="7"/>
        <v>49675</v>
      </c>
      <c r="DZ5" s="14">
        <f t="shared" si="7"/>
        <v>49706</v>
      </c>
      <c r="EA5" s="14">
        <f t="shared" si="7"/>
        <v>49735</v>
      </c>
      <c r="EB5" s="14">
        <f t="shared" si="7"/>
        <v>49766</v>
      </c>
      <c r="EC5" s="14">
        <f t="shared" si="7"/>
        <v>49796</v>
      </c>
      <c r="ED5" s="15">
        <f t="shared" si="7"/>
        <v>49827</v>
      </c>
      <c r="EE5" s="1" t="s">
        <v>39</v>
      </c>
      <c r="EF5" s="1"/>
    </row>
    <row r="6" spans="8:253" x14ac:dyDescent="0.3">
      <c r="H6" s="293"/>
      <c r="I6" s="293"/>
      <c r="K6" s="1"/>
      <c r="L6" s="23" t="s">
        <v>0</v>
      </c>
      <c r="M6" s="1"/>
      <c r="N6" s="169">
        <f>-'A&amp;Rs'!K27</f>
        <v>-614304.45714285714</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c r="CY6" s="170"/>
      <c r="CZ6" s="170"/>
      <c r="DA6" s="170"/>
      <c r="DB6" s="170"/>
      <c r="DC6" s="170"/>
      <c r="DD6" s="170"/>
      <c r="DE6" s="170"/>
      <c r="DF6" s="170"/>
      <c r="DG6" s="170"/>
      <c r="DH6" s="170"/>
      <c r="DI6" s="170"/>
      <c r="DJ6" s="170"/>
      <c r="DK6" s="170"/>
      <c r="DL6" s="170"/>
      <c r="DM6" s="170"/>
      <c r="DN6" s="170"/>
      <c r="DO6" s="170"/>
      <c r="DP6" s="170"/>
      <c r="DQ6" s="170"/>
      <c r="DR6" s="170"/>
      <c r="DS6" s="170"/>
      <c r="DT6" s="170"/>
      <c r="DU6" s="170"/>
      <c r="DV6" s="170"/>
      <c r="DW6" s="170"/>
      <c r="DX6" s="170"/>
      <c r="DY6" s="170"/>
      <c r="DZ6" s="170"/>
      <c r="EA6" s="170"/>
      <c r="EB6" s="170"/>
      <c r="EC6" s="170"/>
      <c r="ED6" s="171"/>
      <c r="EE6" s="1" t="s">
        <v>39</v>
      </c>
      <c r="EF6" s="1"/>
    </row>
    <row r="7" spans="8:253" x14ac:dyDescent="0.3">
      <c r="K7" s="1"/>
      <c r="L7" s="23" t="s">
        <v>45</v>
      </c>
      <c r="M7" s="1"/>
      <c r="N7" s="59"/>
      <c r="O7" s="170">
        <f>IF(O3&lt;='A&amp;Rs'!$K$9,UnitsBreakdown!F37,0)</f>
        <v>17413</v>
      </c>
      <c r="P7" s="170">
        <f>IF(P3&lt;='A&amp;Rs'!$K$9,UnitsBreakdown!G37,0)</f>
        <v>13873</v>
      </c>
      <c r="Q7" s="170">
        <f>IF(Q3&lt;='A&amp;Rs'!$K$9,UnitsBreakdown!H37,0)</f>
        <v>13873</v>
      </c>
      <c r="R7" s="170">
        <f>IF(R3&lt;='A&amp;Rs'!$K$9,UnitsBreakdown!I37,0)</f>
        <v>15641</v>
      </c>
      <c r="S7" s="170">
        <f>IF(S3&lt;='A&amp;Rs'!$K$9,UnitsBreakdown!J37,0)</f>
        <v>15641</v>
      </c>
      <c r="T7" s="170">
        <f>IF(T3&lt;='A&amp;Rs'!$K$9,UnitsBreakdown!K37,0)</f>
        <v>14295</v>
      </c>
      <c r="U7" s="170">
        <f>IF(U3&lt;='A&amp;Rs'!$K$9,UnitsBreakdown!L37,0)</f>
        <v>17387</v>
      </c>
      <c r="V7" s="170">
        <f>IF(V3&lt;='A&amp;Rs'!$K$9,UnitsBreakdown!M37,0)</f>
        <v>14494</v>
      </c>
      <c r="W7" s="170">
        <f>IF(W3&lt;='A&amp;Rs'!$K$9,UnitsBreakdown!N37,0)</f>
        <v>12822</v>
      </c>
      <c r="X7" s="170">
        <f>IF(X3&lt;='A&amp;Rs'!$K$9,UnitsBreakdown!O37,0)</f>
        <v>12822</v>
      </c>
      <c r="Y7" s="170">
        <f>IF(Y3&lt;='A&amp;Rs'!$K$9,UnitsBreakdown!P37,0)</f>
        <v>12822</v>
      </c>
      <c r="Z7" s="170">
        <f>IF(Z3&lt;='A&amp;Rs'!$K$9,UnitsBreakdown!Q37,0)</f>
        <v>16255</v>
      </c>
      <c r="AA7" s="170">
        <f>IF(AA3&lt;='A&amp;Rs'!$K$9,UnitsBreakdown!R37,0)</f>
        <v>16842.07</v>
      </c>
      <c r="AB7" s="170">
        <f>IF(AB3&lt;='A&amp;Rs'!$K$9,UnitsBreakdown!S37,0)</f>
        <v>16842.07</v>
      </c>
      <c r="AC7" s="170">
        <f>IF(AC3&lt;='A&amp;Rs'!$K$9,UnitsBreakdown!T37,0)</f>
        <v>16842.07</v>
      </c>
      <c r="AD7" s="170">
        <f>IF(AD3&lt;='A&amp;Rs'!$K$9,UnitsBreakdown!U37,0)</f>
        <v>16842.07</v>
      </c>
      <c r="AE7" s="170">
        <f>IF(AE3&lt;='A&amp;Rs'!$K$9,UnitsBreakdown!V37,0)</f>
        <v>16842.07</v>
      </c>
      <c r="AF7" s="170">
        <f>IF(AF3&lt;='A&amp;Rs'!$K$9,UnitsBreakdown!W37,0)</f>
        <v>21339.59</v>
      </c>
      <c r="AG7" s="170">
        <f>IF(AG3&lt;='A&amp;Rs'!$K$9,UnitsBreakdown!X37,0)</f>
        <v>21339.59</v>
      </c>
      <c r="AH7" s="170">
        <f>IF(AH3&lt;='A&amp;Rs'!$K$9,UnitsBreakdown!Y37,0)</f>
        <v>21339.59</v>
      </c>
      <c r="AI7" s="170">
        <f>IF(AI3&lt;='A&amp;Rs'!$K$9,UnitsBreakdown!Z37,0)</f>
        <v>21339.59</v>
      </c>
      <c r="AJ7" s="170">
        <f>IF(AJ3&lt;='A&amp;Rs'!$K$9,UnitsBreakdown!AA37,0)</f>
        <v>21339.59</v>
      </c>
      <c r="AK7" s="170">
        <f>IF(AK3&lt;='A&amp;Rs'!$K$9,UnitsBreakdown!AB37,0)</f>
        <v>21339.59</v>
      </c>
      <c r="AL7" s="170">
        <f>IF(AL3&lt;='A&amp;Rs'!$K$9,UnitsBreakdown!AC37,0)</f>
        <v>21339.59</v>
      </c>
      <c r="AM7" s="170">
        <f>IF(AM3&lt;='A&amp;Rs'!$K$9,UnitsBreakdown!AD37,0)</f>
        <v>21766.381799999999</v>
      </c>
      <c r="AN7" s="170">
        <f>IF(AN3&lt;='A&amp;Rs'!$K$9,UnitsBreakdown!AE37,0)</f>
        <v>21766.381799999999</v>
      </c>
      <c r="AO7" s="170">
        <f>IF(AO3&lt;='A&amp;Rs'!$K$9,UnitsBreakdown!AF37,0)</f>
        <v>21766.381799999999</v>
      </c>
      <c r="AP7" s="170">
        <f>IF(AP3&lt;='A&amp;Rs'!$K$9,UnitsBreakdown!AG37,0)</f>
        <v>21766.381799999999</v>
      </c>
      <c r="AQ7" s="170">
        <f>IF(AQ3&lt;='A&amp;Rs'!$K$9,UnitsBreakdown!AH37,0)</f>
        <v>21766.381799999999</v>
      </c>
      <c r="AR7" s="170">
        <f>IF(AR3&lt;='A&amp;Rs'!$K$9,UnitsBreakdown!AI37,0)</f>
        <v>21766.381799999999</v>
      </c>
      <c r="AS7" s="170">
        <f>IF(AS3&lt;='A&amp;Rs'!$K$9,UnitsBreakdown!AJ37,0)</f>
        <v>21766.381799999999</v>
      </c>
      <c r="AT7" s="170">
        <f>IF(AT3&lt;='A&amp;Rs'!$K$9,UnitsBreakdown!AK37,0)</f>
        <v>21766.381799999999</v>
      </c>
      <c r="AU7" s="170">
        <f>IF(AU3&lt;='A&amp;Rs'!$K$9,UnitsBreakdown!AL37,0)</f>
        <v>21766.381799999999</v>
      </c>
      <c r="AV7" s="170">
        <f>IF(AV3&lt;='A&amp;Rs'!$K$9,UnitsBreakdown!AM37,0)</f>
        <v>21766.381799999999</v>
      </c>
      <c r="AW7" s="170">
        <f>IF(AW3&lt;='A&amp;Rs'!$K$9,UnitsBreakdown!AN37,0)</f>
        <v>21766.381799999999</v>
      </c>
      <c r="AX7" s="170">
        <f>IF(AX3&lt;='A&amp;Rs'!$K$9,UnitsBreakdown!AO37,0)</f>
        <v>21766.381799999999</v>
      </c>
      <c r="AY7" s="170">
        <f>IF(AY3&lt;='A&amp;Rs'!$K$9,UnitsBreakdown!AP37,0)</f>
        <v>22419.373253999998</v>
      </c>
      <c r="AZ7" s="170">
        <f>IF(AZ3&lt;='A&amp;Rs'!$K$9,UnitsBreakdown!AQ37,0)</f>
        <v>22419.373253999998</v>
      </c>
      <c r="BA7" s="170">
        <f>IF(BA3&lt;='A&amp;Rs'!$K$9,UnitsBreakdown!AR37,0)</f>
        <v>22419.373253999998</v>
      </c>
      <c r="BB7" s="170">
        <f>IF(BB3&lt;='A&amp;Rs'!$K$9,UnitsBreakdown!AS37,0)</f>
        <v>22419.373253999998</v>
      </c>
      <c r="BC7" s="170">
        <f>IF(BC3&lt;='A&amp;Rs'!$K$9,UnitsBreakdown!AT37,0)</f>
        <v>22419.373253999998</v>
      </c>
      <c r="BD7" s="170">
        <f>IF(BD3&lt;='A&amp;Rs'!$K$9,UnitsBreakdown!AU37,0)</f>
        <v>22419.373253999998</v>
      </c>
      <c r="BE7" s="170">
        <f>IF(BE3&lt;='A&amp;Rs'!$K$9,UnitsBreakdown!AV37,0)</f>
        <v>22419.373253999998</v>
      </c>
      <c r="BF7" s="170">
        <f>IF(BF3&lt;='A&amp;Rs'!$K$9,UnitsBreakdown!AW37,0)</f>
        <v>22419.373253999998</v>
      </c>
      <c r="BG7" s="170">
        <f>IF(BG3&lt;='A&amp;Rs'!$K$9,UnitsBreakdown!AX37,0)</f>
        <v>22419.373253999998</v>
      </c>
      <c r="BH7" s="170">
        <f>IF(BH3&lt;='A&amp;Rs'!$K$9,UnitsBreakdown!AY37,0)</f>
        <v>22419.373253999998</v>
      </c>
      <c r="BI7" s="170">
        <f>IF(BI3&lt;='A&amp;Rs'!$K$9,UnitsBreakdown!AZ37,0)</f>
        <v>22419.373253999998</v>
      </c>
      <c r="BJ7" s="170">
        <f>IF(BJ3&lt;='A&amp;Rs'!$K$9,UnitsBreakdown!BA37,0)</f>
        <v>22419.373253999998</v>
      </c>
      <c r="BK7" s="170">
        <f>IF(BK3&lt;='A&amp;Rs'!$K$9,UnitsBreakdown!BB37,0)</f>
        <v>23091.954451620004</v>
      </c>
      <c r="BL7" s="170">
        <f>IF(BL3&lt;='A&amp;Rs'!$K$9,UnitsBreakdown!BC37,0)</f>
        <v>23091.954451620004</v>
      </c>
      <c r="BM7" s="170">
        <f>IF(BM3&lt;='A&amp;Rs'!$K$9,UnitsBreakdown!BD37,0)</f>
        <v>23091.954451620004</v>
      </c>
      <c r="BN7" s="170">
        <f>IF(BN3&lt;='A&amp;Rs'!$K$9,UnitsBreakdown!BE37,0)</f>
        <v>23091.954451620004</v>
      </c>
      <c r="BO7" s="170">
        <f>IF(BO3&lt;='A&amp;Rs'!$K$9,UnitsBreakdown!BF37,0)</f>
        <v>23091.954451620004</v>
      </c>
      <c r="BP7" s="170">
        <f>IF(BP3&lt;='A&amp;Rs'!$K$9,UnitsBreakdown!BG37,0)</f>
        <v>23091.954451620004</v>
      </c>
      <c r="BQ7" s="170">
        <f>IF(BQ3&lt;='A&amp;Rs'!$K$9,UnitsBreakdown!BH37,0)</f>
        <v>23091.954451620004</v>
      </c>
      <c r="BR7" s="170">
        <f>IF(BR3&lt;='A&amp;Rs'!$K$9,UnitsBreakdown!BI37,0)</f>
        <v>23091.954451620004</v>
      </c>
      <c r="BS7" s="170">
        <f>IF(BS3&lt;='A&amp;Rs'!$K$9,UnitsBreakdown!BJ37,0)</f>
        <v>23091.954451620004</v>
      </c>
      <c r="BT7" s="170">
        <f>IF(BT3&lt;='A&amp;Rs'!$K$9,UnitsBreakdown!BK37,0)</f>
        <v>23091.954451620004</v>
      </c>
      <c r="BU7" s="170">
        <f>IF(BU3&lt;='A&amp;Rs'!$K$9,UnitsBreakdown!BL37,0)</f>
        <v>23091.954451620004</v>
      </c>
      <c r="BV7" s="170">
        <f>IF(BV3&lt;='A&amp;Rs'!$K$9,UnitsBreakdown!BM37,0)</f>
        <v>23091.954451620004</v>
      </c>
      <c r="BW7" s="170">
        <f>IF(BW3&lt;='A&amp;Rs'!$K$9,UnitsBreakdown!BN37,0)</f>
        <v>0</v>
      </c>
      <c r="BX7" s="170">
        <f>IF(BX3&lt;='A&amp;Rs'!$K$9,UnitsBreakdown!BO37,0)</f>
        <v>0</v>
      </c>
      <c r="BY7" s="170">
        <f>IF(BY3&lt;='A&amp;Rs'!$K$9,UnitsBreakdown!BP37,0)</f>
        <v>0</v>
      </c>
      <c r="BZ7" s="170">
        <f>IF(BZ3&lt;='A&amp;Rs'!$K$9,UnitsBreakdown!BQ37,0)</f>
        <v>0</v>
      </c>
      <c r="CA7" s="170">
        <f>IF(CA3&lt;='A&amp;Rs'!$K$9,UnitsBreakdown!BR37,0)</f>
        <v>0</v>
      </c>
      <c r="CB7" s="170">
        <f>IF(CB3&lt;='A&amp;Rs'!$K$9,UnitsBreakdown!BS37,0)</f>
        <v>0</v>
      </c>
      <c r="CC7" s="170">
        <f>IF(CC3&lt;='A&amp;Rs'!$K$9,UnitsBreakdown!BT37,0)</f>
        <v>0</v>
      </c>
      <c r="CD7" s="170">
        <f>IF(CD3&lt;='A&amp;Rs'!$K$9,UnitsBreakdown!BU37,0)</f>
        <v>0</v>
      </c>
      <c r="CE7" s="170">
        <f>IF(CE3&lt;='A&amp;Rs'!$K$9,UnitsBreakdown!BV37,0)</f>
        <v>0</v>
      </c>
      <c r="CF7" s="170">
        <f>IF(CF3&lt;='A&amp;Rs'!$K$9,UnitsBreakdown!BW37,0)</f>
        <v>0</v>
      </c>
      <c r="CG7" s="170">
        <f>IF(CG3&lt;='A&amp;Rs'!$K$9,UnitsBreakdown!BX37,0)</f>
        <v>0</v>
      </c>
      <c r="CH7" s="170">
        <f>IF(CH3&lt;='A&amp;Rs'!$K$9,UnitsBreakdown!BY37,0)</f>
        <v>0</v>
      </c>
      <c r="CI7" s="170">
        <f>IF(CI3&lt;='A&amp;Rs'!$K$9,UnitsBreakdown!BZ37,0)</f>
        <v>0</v>
      </c>
      <c r="CJ7" s="170">
        <f>IF(CJ3&lt;='A&amp;Rs'!$K$9,UnitsBreakdown!CA37,0)</f>
        <v>0</v>
      </c>
      <c r="CK7" s="170">
        <f>IF(CK3&lt;='A&amp;Rs'!$K$9,UnitsBreakdown!CB37,0)</f>
        <v>0</v>
      </c>
      <c r="CL7" s="170">
        <f>IF(CL3&lt;='A&amp;Rs'!$K$9,UnitsBreakdown!CC37,0)</f>
        <v>0</v>
      </c>
      <c r="CM7" s="170">
        <f>IF(CM3&lt;='A&amp;Rs'!$K$9,UnitsBreakdown!CD37,0)</f>
        <v>0</v>
      </c>
      <c r="CN7" s="170">
        <f>IF(CN3&lt;='A&amp;Rs'!$K$9,UnitsBreakdown!CE37,0)</f>
        <v>0</v>
      </c>
      <c r="CO7" s="170">
        <f>IF(CO3&lt;='A&amp;Rs'!$K$9,UnitsBreakdown!CF37,0)</f>
        <v>0</v>
      </c>
      <c r="CP7" s="170">
        <f>IF(CP3&lt;='A&amp;Rs'!$K$9,UnitsBreakdown!CG37,0)</f>
        <v>0</v>
      </c>
      <c r="CQ7" s="170">
        <f>IF(CQ3&lt;='A&amp;Rs'!$K$9,UnitsBreakdown!CH37,0)</f>
        <v>0</v>
      </c>
      <c r="CR7" s="170">
        <f>IF(CR3&lt;='A&amp;Rs'!$K$9,UnitsBreakdown!CI37,0)</f>
        <v>0</v>
      </c>
      <c r="CS7" s="170">
        <f>IF(CS3&lt;='A&amp;Rs'!$K$9,UnitsBreakdown!CJ37,0)</f>
        <v>0</v>
      </c>
      <c r="CT7" s="170">
        <f>IF(CT3&lt;='A&amp;Rs'!$K$9,UnitsBreakdown!CK37,0)</f>
        <v>0</v>
      </c>
      <c r="CU7" s="170">
        <f>IF(CU3&lt;='A&amp;Rs'!$K$9,UnitsBreakdown!CL37,0)</f>
        <v>0</v>
      </c>
      <c r="CV7" s="170">
        <f>IF(CV3&lt;='A&amp;Rs'!$K$9,UnitsBreakdown!CM37,0)</f>
        <v>0</v>
      </c>
      <c r="CW7" s="170">
        <f>IF(CW3&lt;='A&amp;Rs'!$K$9,UnitsBreakdown!CN37,0)</f>
        <v>0</v>
      </c>
      <c r="CX7" s="170">
        <f>IF(CX3&lt;='A&amp;Rs'!$K$9,UnitsBreakdown!CO37,0)</f>
        <v>0</v>
      </c>
      <c r="CY7" s="170">
        <f>IF(CY3&lt;='A&amp;Rs'!$K$9,UnitsBreakdown!CP37,0)</f>
        <v>0</v>
      </c>
      <c r="CZ7" s="170">
        <f>IF(CZ3&lt;='A&amp;Rs'!$K$9,UnitsBreakdown!CQ37,0)</f>
        <v>0</v>
      </c>
      <c r="DA7" s="170">
        <f>IF(DA3&lt;='A&amp;Rs'!$K$9,UnitsBreakdown!CR37,0)</f>
        <v>0</v>
      </c>
      <c r="DB7" s="170">
        <f>IF(DB3&lt;='A&amp;Rs'!$K$9,UnitsBreakdown!CS37,0)</f>
        <v>0</v>
      </c>
      <c r="DC7" s="170">
        <f>IF(DC3&lt;='A&amp;Rs'!$K$9,UnitsBreakdown!CT37,0)</f>
        <v>0</v>
      </c>
      <c r="DD7" s="170">
        <f>IF(DD3&lt;='A&amp;Rs'!$K$9,UnitsBreakdown!CU37,0)</f>
        <v>0</v>
      </c>
      <c r="DE7" s="170">
        <f>IF(DE3&lt;='A&amp;Rs'!$K$9,UnitsBreakdown!CV37,0)</f>
        <v>0</v>
      </c>
      <c r="DF7" s="170">
        <f>IF(DF3&lt;='A&amp;Rs'!$K$9,UnitsBreakdown!CW37,0)</f>
        <v>0</v>
      </c>
      <c r="DG7" s="170">
        <f>IF(DG3&lt;='A&amp;Rs'!$K$9,UnitsBreakdown!CX37,0)</f>
        <v>0</v>
      </c>
      <c r="DH7" s="170">
        <f>IF(DH3&lt;='A&amp;Rs'!$K$9,UnitsBreakdown!CY37,0)</f>
        <v>0</v>
      </c>
      <c r="DI7" s="170">
        <f>IF(DI3&lt;='A&amp;Rs'!$K$9,UnitsBreakdown!CZ37,0)</f>
        <v>0</v>
      </c>
      <c r="DJ7" s="170">
        <f>IF(DJ3&lt;='A&amp;Rs'!$K$9,UnitsBreakdown!DA37,0)</f>
        <v>0</v>
      </c>
      <c r="DK7" s="170">
        <f>IF(DK3&lt;='A&amp;Rs'!$K$9,UnitsBreakdown!DB37,0)</f>
        <v>0</v>
      </c>
      <c r="DL7" s="170">
        <f>IF(DL3&lt;='A&amp;Rs'!$K$9,UnitsBreakdown!DC37,0)</f>
        <v>0</v>
      </c>
      <c r="DM7" s="170">
        <f>IF(DM3&lt;='A&amp;Rs'!$K$9,UnitsBreakdown!DD37,0)</f>
        <v>0</v>
      </c>
      <c r="DN7" s="170">
        <f>IF(DN3&lt;='A&amp;Rs'!$K$9,UnitsBreakdown!DE37,0)</f>
        <v>0</v>
      </c>
      <c r="DO7" s="170">
        <f>IF(DO3&lt;='A&amp;Rs'!$K$9,UnitsBreakdown!DF37,0)</f>
        <v>0</v>
      </c>
      <c r="DP7" s="170">
        <f>IF(DP3&lt;='A&amp;Rs'!$K$9,UnitsBreakdown!DG37,0)</f>
        <v>0</v>
      </c>
      <c r="DQ7" s="170">
        <f>IF(DQ3&lt;='A&amp;Rs'!$K$9,UnitsBreakdown!DH37,0)</f>
        <v>0</v>
      </c>
      <c r="DR7" s="170">
        <f>IF(DR3&lt;='A&amp;Rs'!$K$9,UnitsBreakdown!DI37,0)</f>
        <v>0</v>
      </c>
      <c r="DS7" s="170">
        <f>IF(DS3&lt;='A&amp;Rs'!$K$9,UnitsBreakdown!DJ37,0)</f>
        <v>0</v>
      </c>
      <c r="DT7" s="170">
        <f>IF(DT3&lt;='A&amp;Rs'!$K$9,UnitsBreakdown!DK37,0)</f>
        <v>0</v>
      </c>
      <c r="DU7" s="170">
        <f>IF(DU3&lt;='A&amp;Rs'!$K$9,UnitsBreakdown!DL37,0)</f>
        <v>0</v>
      </c>
      <c r="DV7" s="170">
        <f>IF(DV3&lt;='A&amp;Rs'!$K$9,UnitsBreakdown!DM37,0)</f>
        <v>0</v>
      </c>
      <c r="DW7" s="170">
        <f>IF(DW3&lt;='A&amp;Rs'!$K$9,UnitsBreakdown!DN37,0)</f>
        <v>0</v>
      </c>
      <c r="DX7" s="170">
        <f>IF(DX3&lt;='A&amp;Rs'!$K$9,UnitsBreakdown!DO37,0)</f>
        <v>0</v>
      </c>
      <c r="DY7" s="170">
        <f>IF(DY3&lt;='A&amp;Rs'!$K$9,UnitsBreakdown!DP37,0)</f>
        <v>0</v>
      </c>
      <c r="DZ7" s="170">
        <f>IF(DZ3&lt;='A&amp;Rs'!$K$9,UnitsBreakdown!DQ37,0)</f>
        <v>0</v>
      </c>
      <c r="EA7" s="170">
        <f>IF(EA3&lt;='A&amp;Rs'!$K$9,UnitsBreakdown!DR37,0)</f>
        <v>0</v>
      </c>
      <c r="EB7" s="170">
        <f>IF(EB3&lt;='A&amp;Rs'!$K$9,UnitsBreakdown!DS37,0)</f>
        <v>0</v>
      </c>
      <c r="EC7" s="170">
        <f>IF(EC3&lt;='A&amp;Rs'!$K$9,UnitsBreakdown!DT37,0)</f>
        <v>0</v>
      </c>
      <c r="ED7" s="171">
        <f>IF(ED3&lt;='A&amp;Rs'!$K$9,UnitsBreakdown!DU37,0)</f>
        <v>0</v>
      </c>
      <c r="EE7" s="1" t="s">
        <v>39</v>
      </c>
      <c r="EF7" s="1"/>
      <c r="EK7" s="143"/>
      <c r="EL7" s="143"/>
      <c r="EM7" s="143"/>
      <c r="EN7" s="143"/>
      <c r="EO7" s="143"/>
      <c r="EP7" s="143"/>
      <c r="EQ7" s="143"/>
      <c r="ER7" s="143"/>
      <c r="ES7" s="143"/>
      <c r="ET7" s="143"/>
      <c r="EU7" s="143"/>
      <c r="EV7" s="143"/>
      <c r="EW7" s="143"/>
      <c r="EX7" s="143"/>
      <c r="EY7" s="143"/>
      <c r="EZ7" s="143"/>
      <c r="FA7" s="143"/>
      <c r="FB7" s="143"/>
      <c r="FC7" s="143"/>
      <c r="FD7" s="143"/>
      <c r="FE7" s="143"/>
      <c r="FF7" s="143"/>
      <c r="FG7" s="143"/>
      <c r="FH7" s="143"/>
      <c r="FI7" s="143"/>
      <c r="FJ7" s="143"/>
      <c r="FK7" s="143"/>
      <c r="FL7" s="143"/>
      <c r="FM7" s="143"/>
      <c r="FN7" s="143"/>
      <c r="FO7" s="143"/>
      <c r="FP7" s="143"/>
      <c r="FQ7" s="143"/>
      <c r="FR7" s="143"/>
      <c r="FS7" s="143"/>
      <c r="FT7" s="143"/>
      <c r="FU7" s="143"/>
      <c r="FV7" s="143"/>
      <c r="FW7" s="143"/>
      <c r="FX7" s="143"/>
      <c r="FY7" s="143"/>
      <c r="FZ7" s="143"/>
      <c r="GA7" s="143"/>
      <c r="GB7" s="143"/>
      <c r="GC7" s="143"/>
      <c r="GD7" s="143"/>
      <c r="GE7" s="143"/>
      <c r="GF7" s="143"/>
      <c r="GG7" s="143"/>
      <c r="GH7" s="143"/>
      <c r="GI7" s="143"/>
      <c r="GJ7" s="143"/>
      <c r="GK7" s="143"/>
      <c r="GL7" s="143"/>
      <c r="GM7" s="143"/>
      <c r="GN7" s="143"/>
      <c r="GO7" s="143"/>
      <c r="GP7" s="143"/>
      <c r="GQ7" s="143"/>
      <c r="GR7" s="143"/>
      <c r="GS7" s="143"/>
      <c r="GT7" s="143"/>
      <c r="GU7" s="143"/>
      <c r="GV7" s="143"/>
      <c r="GW7" s="143"/>
      <c r="GX7" s="143"/>
      <c r="GY7" s="143"/>
      <c r="GZ7" s="143"/>
      <c r="HA7" s="143"/>
      <c r="HB7" s="143"/>
      <c r="HC7" s="143"/>
      <c r="HD7" s="143"/>
      <c r="HE7" s="143"/>
      <c r="HF7" s="143"/>
      <c r="HG7" s="143"/>
      <c r="HH7" s="143"/>
      <c r="HI7" s="143"/>
      <c r="HJ7" s="143"/>
      <c r="HK7" s="143"/>
      <c r="HL7" s="143"/>
      <c r="HM7" s="143"/>
      <c r="HN7" s="143"/>
      <c r="HO7" s="143"/>
      <c r="HP7" s="143"/>
      <c r="HQ7" s="143"/>
      <c r="HR7" s="143"/>
      <c r="HS7" s="143"/>
      <c r="HT7" s="143"/>
      <c r="HU7" s="143"/>
      <c r="HV7" s="143"/>
      <c r="HW7" s="143"/>
      <c r="HX7" s="143"/>
      <c r="HY7" s="143"/>
      <c r="HZ7" s="143"/>
      <c r="IA7" s="143"/>
      <c r="IB7" s="143"/>
      <c r="IC7" s="143"/>
      <c r="ID7" s="143"/>
      <c r="IE7" s="143"/>
      <c r="IF7" s="143"/>
      <c r="IG7" s="143"/>
      <c r="IH7" s="143"/>
      <c r="II7" s="143"/>
      <c r="IJ7" s="143"/>
      <c r="IK7" s="143"/>
      <c r="IL7" s="143"/>
      <c r="IM7" s="143"/>
      <c r="IN7" s="143"/>
      <c r="IO7" s="143"/>
      <c r="IP7" s="143"/>
      <c r="IQ7" s="143"/>
      <c r="IR7" s="143"/>
      <c r="IS7" s="144"/>
    </row>
    <row r="8" spans="8:253" x14ac:dyDescent="0.3">
      <c r="K8" s="1"/>
      <c r="L8" s="23" t="s">
        <v>44</v>
      </c>
      <c r="M8" s="1"/>
      <c r="N8" s="59"/>
      <c r="O8" s="170">
        <f>IF(O3&lt;='A&amp;Rs'!$K$9,O7*'A&amp;Rs'!$N$25,0)</f>
        <v>870.65000000000009</v>
      </c>
      <c r="P8" s="170">
        <f>IF(P3&lt;='A&amp;Rs'!$K$9,P7*'A&amp;Rs'!$N$25,0)</f>
        <v>693.65000000000009</v>
      </c>
      <c r="Q8" s="170">
        <f>IF(Q3&lt;='A&amp;Rs'!$K$9,Q7*'A&amp;Rs'!$N$25,0)</f>
        <v>693.65000000000009</v>
      </c>
      <c r="R8" s="170">
        <f>IF(R3&lt;='A&amp;Rs'!$K$9,R7*'A&amp;Rs'!$N$25,0)</f>
        <v>782.05000000000007</v>
      </c>
      <c r="S8" s="170">
        <f>IF(S3&lt;='A&amp;Rs'!$K$9,S7*'A&amp;Rs'!$N$25,0)</f>
        <v>782.05000000000007</v>
      </c>
      <c r="T8" s="170">
        <f>IF(T3&lt;='A&amp;Rs'!$K$9,T7*'A&amp;Rs'!$N$25,0)</f>
        <v>714.75</v>
      </c>
      <c r="U8" s="170">
        <f>IF(U3&lt;='A&amp;Rs'!$K$9,U7*'A&amp;Rs'!$N$25,0)</f>
        <v>869.35</v>
      </c>
      <c r="V8" s="170">
        <f>IF(V3&lt;='A&amp;Rs'!$K$9,V7*'A&amp;Rs'!$N$25,0)</f>
        <v>724.7</v>
      </c>
      <c r="W8" s="170">
        <f>IF(W3&lt;='A&amp;Rs'!$K$9,W7*'A&amp;Rs'!$N$25,0)</f>
        <v>641.1</v>
      </c>
      <c r="X8" s="170">
        <f>IF(X3&lt;='A&amp;Rs'!$K$9,X7*'A&amp;Rs'!$N$25,0)</f>
        <v>641.1</v>
      </c>
      <c r="Y8" s="170">
        <f>IF(Y3&lt;='A&amp;Rs'!$K$9,Y7*'A&amp;Rs'!$N$25,0)</f>
        <v>641.1</v>
      </c>
      <c r="Z8" s="170">
        <f>IF(Z3&lt;='A&amp;Rs'!$K$9,Z7*'A&amp;Rs'!$N$25,0)</f>
        <v>812.75</v>
      </c>
      <c r="AA8" s="170">
        <f>IF(AA3&lt;='A&amp;Rs'!$K$9,AA7*'A&amp;Rs'!$N$25,0)</f>
        <v>842.10350000000005</v>
      </c>
      <c r="AB8" s="170">
        <f>IF(AB3&lt;='A&amp;Rs'!$K$9,AB7*'A&amp;Rs'!$N$25,0)</f>
        <v>842.10350000000005</v>
      </c>
      <c r="AC8" s="170">
        <f>IF(AC3&lt;='A&amp;Rs'!$K$9,AC7*'A&amp;Rs'!$N$25,0)</f>
        <v>842.10350000000005</v>
      </c>
      <c r="AD8" s="170">
        <f>IF(AD3&lt;='A&amp;Rs'!$K$9,AD7*'A&amp;Rs'!$N$25,0)</f>
        <v>842.10350000000005</v>
      </c>
      <c r="AE8" s="170">
        <f>IF(AE3&lt;='A&amp;Rs'!$K$9,AE7*'A&amp;Rs'!$N$25,0)</f>
        <v>842.10350000000005</v>
      </c>
      <c r="AF8" s="170">
        <f>IF(AF3&lt;='A&amp;Rs'!$K$9,AF7*'A&amp;Rs'!$N$25,0)</f>
        <v>1066.9795000000001</v>
      </c>
      <c r="AG8" s="170">
        <f>IF(AG3&lt;='A&amp;Rs'!$K$9,AG7*'A&amp;Rs'!$N$25,0)</f>
        <v>1066.9795000000001</v>
      </c>
      <c r="AH8" s="170">
        <f>IF(AH3&lt;='A&amp;Rs'!$K$9,AH7*'A&amp;Rs'!$N$25,0)</f>
        <v>1066.9795000000001</v>
      </c>
      <c r="AI8" s="170">
        <f>IF(AI3&lt;='A&amp;Rs'!$K$9,AI7*'A&amp;Rs'!$N$25,0)</f>
        <v>1066.9795000000001</v>
      </c>
      <c r="AJ8" s="170">
        <f>IF(AJ3&lt;='A&amp;Rs'!$K$9,AJ7*'A&amp;Rs'!$N$25,0)</f>
        <v>1066.9795000000001</v>
      </c>
      <c r="AK8" s="170">
        <f>IF(AK3&lt;='A&amp;Rs'!$K$9,AK7*'A&amp;Rs'!$N$25,0)</f>
        <v>1066.9795000000001</v>
      </c>
      <c r="AL8" s="170">
        <f>IF(AL3&lt;='A&amp;Rs'!$K$9,AL7*'A&amp;Rs'!$N$25,0)</f>
        <v>1066.9795000000001</v>
      </c>
      <c r="AM8" s="170">
        <f>IF(AM3&lt;='A&amp;Rs'!$K$9,AM7*'A&amp;Rs'!$N$25,0)</f>
        <v>1088.31909</v>
      </c>
      <c r="AN8" s="170">
        <f>IF(AN3&lt;='A&amp;Rs'!$K$9,AN7*'A&amp;Rs'!$N$25,0)</f>
        <v>1088.31909</v>
      </c>
      <c r="AO8" s="170">
        <f>IF(AO3&lt;='A&amp;Rs'!$K$9,AO7*'A&amp;Rs'!$N$25,0)</f>
        <v>1088.31909</v>
      </c>
      <c r="AP8" s="170">
        <f>IF(AP3&lt;='A&amp;Rs'!$K$9,AP7*'A&amp;Rs'!$N$25,0)</f>
        <v>1088.31909</v>
      </c>
      <c r="AQ8" s="170">
        <f>IF(AQ3&lt;='A&amp;Rs'!$K$9,AQ7*'A&amp;Rs'!$N$25,0)</f>
        <v>1088.31909</v>
      </c>
      <c r="AR8" s="170">
        <f>IF(AR3&lt;='A&amp;Rs'!$K$9,AR7*'A&amp;Rs'!$N$25,0)</f>
        <v>1088.31909</v>
      </c>
      <c r="AS8" s="170">
        <f>IF(AS3&lt;='A&amp;Rs'!$K$9,AS7*'A&amp;Rs'!$N$25,0)</f>
        <v>1088.31909</v>
      </c>
      <c r="AT8" s="170">
        <f>IF(AT3&lt;='A&amp;Rs'!$K$9,AT7*'A&amp;Rs'!$N$25,0)</f>
        <v>1088.31909</v>
      </c>
      <c r="AU8" s="170">
        <f>IF(AU3&lt;='A&amp;Rs'!$K$9,AU7*'A&amp;Rs'!$N$25,0)</f>
        <v>1088.31909</v>
      </c>
      <c r="AV8" s="170">
        <f>IF(AV3&lt;='A&amp;Rs'!$K$9,AV7*'A&amp;Rs'!$N$25,0)</f>
        <v>1088.31909</v>
      </c>
      <c r="AW8" s="170">
        <f>IF(AW3&lt;='A&amp;Rs'!$K$9,AW7*'A&amp;Rs'!$N$25,0)</f>
        <v>1088.31909</v>
      </c>
      <c r="AX8" s="170">
        <f>IF(AX3&lt;='A&amp;Rs'!$K$9,AX7*'A&amp;Rs'!$N$25,0)</f>
        <v>1088.31909</v>
      </c>
      <c r="AY8" s="170">
        <f>IF(AY3&lt;='A&amp;Rs'!$K$9,AY7*'A&amp;Rs'!$N$25,0)</f>
        <v>1120.9686626999999</v>
      </c>
      <c r="AZ8" s="170">
        <f>IF(AZ3&lt;='A&amp;Rs'!$K$9,AZ7*'A&amp;Rs'!$N$25,0)</f>
        <v>1120.9686626999999</v>
      </c>
      <c r="BA8" s="170">
        <f>IF(BA3&lt;='A&amp;Rs'!$K$9,BA7*'A&amp;Rs'!$N$25,0)</f>
        <v>1120.9686626999999</v>
      </c>
      <c r="BB8" s="170">
        <f>IF(BB3&lt;='A&amp;Rs'!$K$9,BB7*'A&amp;Rs'!$N$25,0)</f>
        <v>1120.9686626999999</v>
      </c>
      <c r="BC8" s="170">
        <f>IF(BC3&lt;='A&amp;Rs'!$K$9,BC7*'A&amp;Rs'!$N$25,0)</f>
        <v>1120.9686626999999</v>
      </c>
      <c r="BD8" s="170">
        <f>IF(BD3&lt;='A&amp;Rs'!$K$9,BD7*'A&amp;Rs'!$N$25,0)</f>
        <v>1120.9686626999999</v>
      </c>
      <c r="BE8" s="170">
        <f>IF(BE3&lt;='A&amp;Rs'!$K$9,BE7*'A&amp;Rs'!$N$25,0)</f>
        <v>1120.9686626999999</v>
      </c>
      <c r="BF8" s="170">
        <f>IF(BF3&lt;='A&amp;Rs'!$K$9,BF7*'A&amp;Rs'!$N$25,0)</f>
        <v>1120.9686626999999</v>
      </c>
      <c r="BG8" s="170">
        <f>IF(BG3&lt;='A&amp;Rs'!$K$9,BG7*'A&amp;Rs'!$N$25,0)</f>
        <v>1120.9686626999999</v>
      </c>
      <c r="BH8" s="170">
        <f>IF(BH3&lt;='A&amp;Rs'!$K$9,BH7*'A&amp;Rs'!$N$25,0)</f>
        <v>1120.9686626999999</v>
      </c>
      <c r="BI8" s="170">
        <f>IF(BI3&lt;='A&amp;Rs'!$K$9,BI7*'A&amp;Rs'!$N$25,0)</f>
        <v>1120.9686626999999</v>
      </c>
      <c r="BJ8" s="170">
        <f>IF(BJ3&lt;='A&amp;Rs'!$K$9,BJ7*'A&amp;Rs'!$N$25,0)</f>
        <v>1120.9686626999999</v>
      </c>
      <c r="BK8" s="170">
        <f>IF(BK3&lt;='A&amp;Rs'!$K$9,BK7*'A&amp;Rs'!$N$25,0)</f>
        <v>1154.5977225810002</v>
      </c>
      <c r="BL8" s="170">
        <f>IF(BL3&lt;='A&amp;Rs'!$K$9,BL7*'A&amp;Rs'!$N$25,0)</f>
        <v>1154.5977225810002</v>
      </c>
      <c r="BM8" s="170">
        <f>IF(BM3&lt;='A&amp;Rs'!$K$9,BM7*'A&amp;Rs'!$N$25,0)</f>
        <v>1154.5977225810002</v>
      </c>
      <c r="BN8" s="170">
        <f>IF(BN3&lt;='A&amp;Rs'!$K$9,BN7*'A&amp;Rs'!$N$25,0)</f>
        <v>1154.5977225810002</v>
      </c>
      <c r="BO8" s="170">
        <f>IF(BO3&lt;='A&amp;Rs'!$K$9,BO7*'A&amp;Rs'!$N$25,0)</f>
        <v>1154.5977225810002</v>
      </c>
      <c r="BP8" s="170">
        <f>IF(BP3&lt;='A&amp;Rs'!$K$9,BP7*'A&amp;Rs'!$N$25,0)</f>
        <v>1154.5977225810002</v>
      </c>
      <c r="BQ8" s="170">
        <f>IF(BQ3&lt;='A&amp;Rs'!$K$9,BQ7*'A&amp;Rs'!$N$25,0)</f>
        <v>1154.5977225810002</v>
      </c>
      <c r="BR8" s="170">
        <f>IF(BR3&lt;='A&amp;Rs'!$K$9,BR7*'A&amp;Rs'!$N$25,0)</f>
        <v>1154.5977225810002</v>
      </c>
      <c r="BS8" s="170">
        <f>IF(BS3&lt;='A&amp;Rs'!$K$9,BS7*'A&amp;Rs'!$N$25,0)</f>
        <v>1154.5977225810002</v>
      </c>
      <c r="BT8" s="170">
        <f>IF(BT3&lt;='A&amp;Rs'!$K$9,BT7*'A&amp;Rs'!$N$25,0)</f>
        <v>1154.5977225810002</v>
      </c>
      <c r="BU8" s="170">
        <f>IF(BU3&lt;='A&amp;Rs'!$K$9,BU7*'A&amp;Rs'!$N$25,0)</f>
        <v>1154.5977225810002</v>
      </c>
      <c r="BV8" s="170">
        <f>IF(BV3&lt;='A&amp;Rs'!$K$9,BV7*'A&amp;Rs'!$N$25,0)</f>
        <v>1154.5977225810002</v>
      </c>
      <c r="BW8" s="170">
        <f>IF(BW3&lt;='A&amp;Rs'!$K$9,BW7*'A&amp;Rs'!$N$25,0)</f>
        <v>0</v>
      </c>
      <c r="BX8" s="170">
        <f>IF(BX3&lt;='A&amp;Rs'!$K$9,BX7*'A&amp;Rs'!$N$25,0)</f>
        <v>0</v>
      </c>
      <c r="BY8" s="170">
        <f>IF(BY3&lt;='A&amp;Rs'!$K$9,BY7*'A&amp;Rs'!$N$25,0)</f>
        <v>0</v>
      </c>
      <c r="BZ8" s="170">
        <f>IF(BZ3&lt;='A&amp;Rs'!$K$9,BZ7*'A&amp;Rs'!$N$25,0)</f>
        <v>0</v>
      </c>
      <c r="CA8" s="170">
        <f>IF(CA3&lt;='A&amp;Rs'!$K$9,CA7*'A&amp;Rs'!$N$25,0)</f>
        <v>0</v>
      </c>
      <c r="CB8" s="170">
        <f>IF(CB3&lt;='A&amp;Rs'!$K$9,CB7*'A&amp;Rs'!$N$25,0)</f>
        <v>0</v>
      </c>
      <c r="CC8" s="170">
        <f>IF(CC3&lt;='A&amp;Rs'!$K$9,CC7*'A&amp;Rs'!$N$25,0)</f>
        <v>0</v>
      </c>
      <c r="CD8" s="170">
        <f>IF(CD3&lt;='A&amp;Rs'!$K$9,CD7*'A&amp;Rs'!$N$25,0)</f>
        <v>0</v>
      </c>
      <c r="CE8" s="170">
        <f>IF(CE3&lt;='A&amp;Rs'!$K$9,CE7*'A&amp;Rs'!$N$25,0)</f>
        <v>0</v>
      </c>
      <c r="CF8" s="170">
        <f>IF(CF3&lt;='A&amp;Rs'!$K$9,CF7*'A&amp;Rs'!$N$25,0)</f>
        <v>0</v>
      </c>
      <c r="CG8" s="170">
        <f>IF(CG3&lt;='A&amp;Rs'!$K$9,CG7*'A&amp;Rs'!$N$25,0)</f>
        <v>0</v>
      </c>
      <c r="CH8" s="170">
        <f>IF(CH3&lt;='A&amp;Rs'!$K$9,CH7*'A&amp;Rs'!$N$25,0)</f>
        <v>0</v>
      </c>
      <c r="CI8" s="170">
        <f>IF(CI3&lt;='A&amp;Rs'!$K$9,CI7*'A&amp;Rs'!$N$25,0)</f>
        <v>0</v>
      </c>
      <c r="CJ8" s="170">
        <f>IF(CJ3&lt;='A&amp;Rs'!$K$9,CJ7*'A&amp;Rs'!$N$25,0)</f>
        <v>0</v>
      </c>
      <c r="CK8" s="170">
        <f>IF(CK3&lt;='A&amp;Rs'!$K$9,CK7*'A&amp;Rs'!$N$25,0)</f>
        <v>0</v>
      </c>
      <c r="CL8" s="170">
        <f>IF(CL3&lt;='A&amp;Rs'!$K$9,CL7*'A&amp;Rs'!$N$25,0)</f>
        <v>0</v>
      </c>
      <c r="CM8" s="170">
        <f>IF(CM3&lt;='A&amp;Rs'!$K$9,CM7*'A&amp;Rs'!$N$25,0)</f>
        <v>0</v>
      </c>
      <c r="CN8" s="170">
        <f>IF(CN3&lt;='A&amp;Rs'!$K$9,CN7*'A&amp;Rs'!$N$25,0)</f>
        <v>0</v>
      </c>
      <c r="CO8" s="170">
        <f>IF(CO3&lt;='A&amp;Rs'!$K$9,CO7*'A&amp;Rs'!$N$25,0)</f>
        <v>0</v>
      </c>
      <c r="CP8" s="170">
        <f>IF(CP3&lt;='A&amp;Rs'!$K$9,CP7*'A&amp;Rs'!$N$25,0)</f>
        <v>0</v>
      </c>
      <c r="CQ8" s="170">
        <f>IF(CQ3&lt;='A&amp;Rs'!$K$9,CQ7*'A&amp;Rs'!$N$25,0)</f>
        <v>0</v>
      </c>
      <c r="CR8" s="170">
        <f>IF(CR3&lt;='A&amp;Rs'!$K$9,CR7*'A&amp;Rs'!$N$25,0)</f>
        <v>0</v>
      </c>
      <c r="CS8" s="170">
        <f>IF(CS3&lt;='A&amp;Rs'!$K$9,CS7*'A&amp;Rs'!$N$25,0)</f>
        <v>0</v>
      </c>
      <c r="CT8" s="170">
        <f>IF(CT3&lt;='A&amp;Rs'!$K$9,CT7*'A&amp;Rs'!$N$25,0)</f>
        <v>0</v>
      </c>
      <c r="CU8" s="170">
        <f>IF(CU3&lt;='A&amp;Rs'!$K$9,CU7*'A&amp;Rs'!$N$25,0)</f>
        <v>0</v>
      </c>
      <c r="CV8" s="170">
        <f>IF(CV3&lt;='A&amp;Rs'!$K$9,CV7*'A&amp;Rs'!$N$25,0)</f>
        <v>0</v>
      </c>
      <c r="CW8" s="170">
        <f>IF(CW3&lt;='A&amp;Rs'!$K$9,CW7*'A&amp;Rs'!$N$25,0)</f>
        <v>0</v>
      </c>
      <c r="CX8" s="170">
        <f>IF(CX3&lt;='A&amp;Rs'!$K$9,CX7*'A&amp;Rs'!$N$25,0)</f>
        <v>0</v>
      </c>
      <c r="CY8" s="170">
        <f>IF(CY3&lt;='A&amp;Rs'!$K$9,CY7*'A&amp;Rs'!$N$25,0)</f>
        <v>0</v>
      </c>
      <c r="CZ8" s="170">
        <f>IF(CZ3&lt;='A&amp;Rs'!$K$9,CZ7*'A&amp;Rs'!$N$25,0)</f>
        <v>0</v>
      </c>
      <c r="DA8" s="170">
        <f>IF(DA3&lt;='A&amp;Rs'!$K$9,DA7*'A&amp;Rs'!$N$25,0)</f>
        <v>0</v>
      </c>
      <c r="DB8" s="170">
        <f>IF(DB3&lt;='A&amp;Rs'!$K$9,DB7*'A&amp;Rs'!$N$25,0)</f>
        <v>0</v>
      </c>
      <c r="DC8" s="170">
        <f>IF(DC3&lt;='A&amp;Rs'!$K$9,DC7*'A&amp;Rs'!$N$25,0)</f>
        <v>0</v>
      </c>
      <c r="DD8" s="170">
        <f>IF(DD3&lt;='A&amp;Rs'!$K$9,DD7*'A&amp;Rs'!$N$25,0)</f>
        <v>0</v>
      </c>
      <c r="DE8" s="170">
        <f>IF(DE3&lt;='A&amp;Rs'!$K$9,DE7*'A&amp;Rs'!$N$25,0)</f>
        <v>0</v>
      </c>
      <c r="DF8" s="170">
        <f>IF(DF3&lt;='A&amp;Rs'!$K$9,DF7*'A&amp;Rs'!$N$25,0)</f>
        <v>0</v>
      </c>
      <c r="DG8" s="170">
        <f>IF(DG3&lt;='A&amp;Rs'!$K$9,DG7*'A&amp;Rs'!$N$25,0)</f>
        <v>0</v>
      </c>
      <c r="DH8" s="170">
        <f>IF(DH3&lt;='A&amp;Rs'!$K$9,DH7*'A&amp;Rs'!$N$25,0)</f>
        <v>0</v>
      </c>
      <c r="DI8" s="170">
        <f>IF(DI3&lt;='A&amp;Rs'!$K$9,DI7*'A&amp;Rs'!$N$25,0)</f>
        <v>0</v>
      </c>
      <c r="DJ8" s="170">
        <f>IF(DJ3&lt;='A&amp;Rs'!$K$9,DJ7*'A&amp;Rs'!$N$25,0)</f>
        <v>0</v>
      </c>
      <c r="DK8" s="170">
        <f>IF(DK3&lt;='A&amp;Rs'!$K$9,DK7*'A&amp;Rs'!$N$25,0)</f>
        <v>0</v>
      </c>
      <c r="DL8" s="170">
        <f>IF(DL3&lt;='A&amp;Rs'!$K$9,DL7*'A&amp;Rs'!$N$25,0)</f>
        <v>0</v>
      </c>
      <c r="DM8" s="170">
        <f>IF(DM3&lt;='A&amp;Rs'!$K$9,DM7*'A&amp;Rs'!$N$25,0)</f>
        <v>0</v>
      </c>
      <c r="DN8" s="170">
        <f>IF(DN3&lt;='A&amp;Rs'!$K$9,DN7*'A&amp;Rs'!$N$25,0)</f>
        <v>0</v>
      </c>
      <c r="DO8" s="170">
        <f>IF(DO3&lt;='A&amp;Rs'!$K$9,DO7*'A&amp;Rs'!$N$25,0)</f>
        <v>0</v>
      </c>
      <c r="DP8" s="170">
        <f>IF(DP3&lt;='A&amp;Rs'!$K$9,DP7*'A&amp;Rs'!$N$25,0)</f>
        <v>0</v>
      </c>
      <c r="DQ8" s="170">
        <f>IF(DQ3&lt;='A&amp;Rs'!$K$9,DQ7*'A&amp;Rs'!$N$25,0)</f>
        <v>0</v>
      </c>
      <c r="DR8" s="170">
        <f>IF(DR3&lt;='A&amp;Rs'!$K$9,DR7*'A&amp;Rs'!$N$25,0)</f>
        <v>0</v>
      </c>
      <c r="DS8" s="170">
        <f>IF(DS3&lt;='A&amp;Rs'!$K$9,DS7*'A&amp;Rs'!$N$25,0)</f>
        <v>0</v>
      </c>
      <c r="DT8" s="170">
        <f>IF(DT3&lt;='A&amp;Rs'!$K$9,DT7*'A&amp;Rs'!$N$25,0)</f>
        <v>0</v>
      </c>
      <c r="DU8" s="170">
        <f>IF(DU3&lt;='A&amp;Rs'!$K$9,DU7*'A&amp;Rs'!$N$25,0)</f>
        <v>0</v>
      </c>
      <c r="DV8" s="170">
        <f>IF(DV3&lt;='A&amp;Rs'!$K$9,DV7*'A&amp;Rs'!$N$25,0)</f>
        <v>0</v>
      </c>
      <c r="DW8" s="170">
        <f>IF(DW3&lt;='A&amp;Rs'!$K$9,DW7*'A&amp;Rs'!$N$25,0)</f>
        <v>0</v>
      </c>
      <c r="DX8" s="170">
        <f>IF(DX3&lt;='A&amp;Rs'!$K$9,DX7*'A&amp;Rs'!$N$25,0)</f>
        <v>0</v>
      </c>
      <c r="DY8" s="170">
        <f>IF(DY3&lt;='A&amp;Rs'!$K$9,DY7*'A&amp;Rs'!$N$25,0)</f>
        <v>0</v>
      </c>
      <c r="DZ8" s="170">
        <f>IF(DZ3&lt;='A&amp;Rs'!$K$9,DZ7*'A&amp;Rs'!$N$25,0)</f>
        <v>0</v>
      </c>
      <c r="EA8" s="170">
        <f>IF(EA3&lt;='A&amp;Rs'!$K$9,EA7*'A&amp;Rs'!$N$25,0)</f>
        <v>0</v>
      </c>
      <c r="EB8" s="170">
        <f>IF(EB3&lt;='A&amp;Rs'!$K$9,EB7*'A&amp;Rs'!$N$25,0)</f>
        <v>0</v>
      </c>
      <c r="EC8" s="170">
        <f>IF(EC3&lt;='A&amp;Rs'!$K$9,EC7*'A&amp;Rs'!$N$25,0)</f>
        <v>0</v>
      </c>
      <c r="ED8" s="171">
        <f>IF(ED3&lt;='A&amp;Rs'!$K$9,ED7*'A&amp;Rs'!$N$25,0)</f>
        <v>0</v>
      </c>
      <c r="EE8" s="1" t="s">
        <v>39</v>
      </c>
      <c r="EF8" s="1"/>
      <c r="EK8" s="143"/>
      <c r="EL8" s="143"/>
      <c r="EM8" s="143"/>
      <c r="EN8" s="143"/>
      <c r="EO8" s="143"/>
      <c r="EP8" s="143"/>
      <c r="EQ8" s="143"/>
      <c r="ER8" s="143"/>
      <c r="ES8" s="143"/>
      <c r="ET8" s="143"/>
      <c r="EU8" s="143"/>
      <c r="EV8" s="143"/>
      <c r="EW8" s="143"/>
      <c r="EX8" s="143"/>
      <c r="EY8" s="143"/>
      <c r="EZ8" s="143"/>
      <c r="FA8" s="143"/>
      <c r="FB8" s="143"/>
      <c r="FC8" s="143"/>
      <c r="FD8" s="143"/>
      <c r="FE8" s="143"/>
      <c r="FF8" s="143"/>
      <c r="FG8" s="143"/>
      <c r="FH8" s="143"/>
      <c r="FI8" s="143"/>
      <c r="FJ8" s="143"/>
      <c r="FK8" s="143"/>
      <c r="FL8" s="143"/>
      <c r="FM8" s="143"/>
      <c r="FN8" s="143"/>
      <c r="FO8" s="143"/>
      <c r="FP8" s="143"/>
      <c r="FQ8" s="143"/>
      <c r="FR8" s="143"/>
      <c r="FS8" s="143"/>
      <c r="FT8" s="143"/>
      <c r="FU8" s="143"/>
      <c r="FV8" s="143"/>
      <c r="FW8" s="143"/>
      <c r="FX8" s="143"/>
      <c r="FY8" s="143"/>
      <c r="FZ8" s="143"/>
      <c r="GA8" s="143"/>
      <c r="GB8" s="143"/>
      <c r="GC8" s="143"/>
      <c r="GD8" s="143"/>
      <c r="GE8" s="143"/>
      <c r="GF8" s="143"/>
      <c r="GG8" s="143"/>
      <c r="GH8" s="143"/>
      <c r="GI8" s="143"/>
      <c r="GJ8" s="143"/>
      <c r="GK8" s="143"/>
      <c r="GL8" s="143"/>
      <c r="GM8" s="143"/>
      <c r="GN8" s="143"/>
      <c r="GO8" s="143"/>
      <c r="GP8" s="143"/>
      <c r="GQ8" s="143"/>
      <c r="GR8" s="143"/>
      <c r="GS8" s="143"/>
      <c r="GT8" s="143"/>
      <c r="GU8" s="143"/>
      <c r="GV8" s="143"/>
      <c r="GW8" s="143"/>
      <c r="GX8" s="143"/>
      <c r="GY8" s="143"/>
      <c r="GZ8" s="143"/>
      <c r="HA8" s="143"/>
      <c r="HB8" s="143"/>
      <c r="HC8" s="143"/>
      <c r="HD8" s="143"/>
      <c r="HE8" s="143"/>
      <c r="HF8" s="143"/>
      <c r="HG8" s="143"/>
      <c r="HH8" s="143"/>
      <c r="HI8" s="143"/>
      <c r="HJ8" s="143"/>
      <c r="HK8" s="143"/>
      <c r="HL8" s="143"/>
      <c r="HM8" s="143"/>
      <c r="HN8" s="143"/>
      <c r="HO8" s="143"/>
      <c r="HP8" s="143"/>
      <c r="HQ8" s="143"/>
      <c r="HR8" s="143"/>
      <c r="HS8" s="143"/>
      <c r="HT8" s="143"/>
      <c r="HU8" s="143"/>
      <c r="HV8" s="143"/>
      <c r="HW8" s="143"/>
      <c r="HX8" s="143"/>
      <c r="HY8" s="143"/>
      <c r="HZ8" s="143"/>
      <c r="IA8" s="143"/>
      <c r="IB8" s="143"/>
      <c r="IC8" s="143"/>
      <c r="ID8" s="143"/>
      <c r="IE8" s="143"/>
      <c r="IF8" s="143"/>
      <c r="IG8" s="143"/>
      <c r="IH8" s="143"/>
      <c r="II8" s="143"/>
      <c r="IJ8" s="143"/>
      <c r="IK8" s="143"/>
      <c r="IL8" s="143"/>
      <c r="IM8" s="143"/>
      <c r="IN8" s="143"/>
      <c r="IO8" s="143"/>
      <c r="IP8" s="143"/>
      <c r="IQ8" s="143"/>
      <c r="IR8" s="143"/>
      <c r="IS8" s="143"/>
    </row>
    <row r="9" spans="8:253" x14ac:dyDescent="0.3">
      <c r="K9" s="1"/>
      <c r="L9" s="31" t="s">
        <v>46</v>
      </c>
      <c r="M9" s="111"/>
      <c r="N9" s="59"/>
      <c r="O9" s="169">
        <f t="shared" ref="O9:AT9" si="8">O7-O8</f>
        <v>16542.349999999999</v>
      </c>
      <c r="P9" s="169">
        <f t="shared" si="8"/>
        <v>13179.35</v>
      </c>
      <c r="Q9" s="169">
        <f t="shared" si="8"/>
        <v>13179.35</v>
      </c>
      <c r="R9" s="169">
        <f t="shared" si="8"/>
        <v>14858.95</v>
      </c>
      <c r="S9" s="169">
        <f t="shared" si="8"/>
        <v>14858.95</v>
      </c>
      <c r="T9" s="169">
        <f t="shared" si="8"/>
        <v>13580.25</v>
      </c>
      <c r="U9" s="169">
        <f t="shared" si="8"/>
        <v>16517.650000000001</v>
      </c>
      <c r="V9" s="169">
        <f t="shared" si="8"/>
        <v>13769.3</v>
      </c>
      <c r="W9" s="169">
        <f t="shared" si="8"/>
        <v>12180.9</v>
      </c>
      <c r="X9" s="169">
        <f t="shared" si="8"/>
        <v>12180.9</v>
      </c>
      <c r="Y9" s="169">
        <f t="shared" si="8"/>
        <v>12180.9</v>
      </c>
      <c r="Z9" s="169">
        <f t="shared" si="8"/>
        <v>15442.25</v>
      </c>
      <c r="AA9" s="169">
        <f t="shared" si="8"/>
        <v>15999.9665</v>
      </c>
      <c r="AB9" s="169">
        <f t="shared" si="8"/>
        <v>15999.9665</v>
      </c>
      <c r="AC9" s="169">
        <f t="shared" si="8"/>
        <v>15999.9665</v>
      </c>
      <c r="AD9" s="169">
        <f t="shared" si="8"/>
        <v>15999.9665</v>
      </c>
      <c r="AE9" s="169">
        <f t="shared" si="8"/>
        <v>15999.9665</v>
      </c>
      <c r="AF9" s="169">
        <f t="shared" si="8"/>
        <v>20272.610499999999</v>
      </c>
      <c r="AG9" s="169">
        <f t="shared" si="8"/>
        <v>20272.610499999999</v>
      </c>
      <c r="AH9" s="169">
        <f t="shared" si="8"/>
        <v>20272.610499999999</v>
      </c>
      <c r="AI9" s="169">
        <f t="shared" si="8"/>
        <v>20272.610499999999</v>
      </c>
      <c r="AJ9" s="169">
        <f t="shared" si="8"/>
        <v>20272.610499999999</v>
      </c>
      <c r="AK9" s="169">
        <f t="shared" si="8"/>
        <v>20272.610499999999</v>
      </c>
      <c r="AL9" s="169">
        <f t="shared" si="8"/>
        <v>20272.610499999999</v>
      </c>
      <c r="AM9" s="169">
        <f t="shared" si="8"/>
        <v>20678.062709999998</v>
      </c>
      <c r="AN9" s="169">
        <f t="shared" si="8"/>
        <v>20678.062709999998</v>
      </c>
      <c r="AO9" s="169">
        <f t="shared" si="8"/>
        <v>20678.062709999998</v>
      </c>
      <c r="AP9" s="169">
        <f t="shared" si="8"/>
        <v>20678.062709999998</v>
      </c>
      <c r="AQ9" s="169">
        <f t="shared" si="8"/>
        <v>20678.062709999998</v>
      </c>
      <c r="AR9" s="169">
        <f t="shared" si="8"/>
        <v>20678.062709999998</v>
      </c>
      <c r="AS9" s="169">
        <f t="shared" si="8"/>
        <v>20678.062709999998</v>
      </c>
      <c r="AT9" s="169">
        <f t="shared" si="8"/>
        <v>20678.062709999998</v>
      </c>
      <c r="AU9" s="169">
        <f t="shared" ref="AU9:BZ9" si="9">AU7-AU8</f>
        <v>20678.062709999998</v>
      </c>
      <c r="AV9" s="169">
        <f t="shared" si="9"/>
        <v>20678.062709999998</v>
      </c>
      <c r="AW9" s="169">
        <f t="shared" si="9"/>
        <v>20678.062709999998</v>
      </c>
      <c r="AX9" s="169">
        <f t="shared" si="9"/>
        <v>20678.062709999998</v>
      </c>
      <c r="AY9" s="169">
        <f t="shared" si="9"/>
        <v>21298.404591299997</v>
      </c>
      <c r="AZ9" s="169">
        <f t="shared" si="9"/>
        <v>21298.404591299997</v>
      </c>
      <c r="BA9" s="169">
        <f t="shared" si="9"/>
        <v>21298.404591299997</v>
      </c>
      <c r="BB9" s="169">
        <f t="shared" si="9"/>
        <v>21298.404591299997</v>
      </c>
      <c r="BC9" s="169">
        <f t="shared" si="9"/>
        <v>21298.404591299997</v>
      </c>
      <c r="BD9" s="169">
        <f t="shared" si="9"/>
        <v>21298.404591299997</v>
      </c>
      <c r="BE9" s="169">
        <f t="shared" si="9"/>
        <v>21298.404591299997</v>
      </c>
      <c r="BF9" s="169">
        <f t="shared" si="9"/>
        <v>21298.404591299997</v>
      </c>
      <c r="BG9" s="169">
        <f t="shared" si="9"/>
        <v>21298.404591299997</v>
      </c>
      <c r="BH9" s="169">
        <f t="shared" si="9"/>
        <v>21298.404591299997</v>
      </c>
      <c r="BI9" s="169">
        <f t="shared" si="9"/>
        <v>21298.404591299997</v>
      </c>
      <c r="BJ9" s="169">
        <f t="shared" si="9"/>
        <v>21298.404591299997</v>
      </c>
      <c r="BK9" s="169">
        <f t="shared" si="9"/>
        <v>21937.356729039006</v>
      </c>
      <c r="BL9" s="169">
        <f t="shared" si="9"/>
        <v>21937.356729039006</v>
      </c>
      <c r="BM9" s="169">
        <f t="shared" si="9"/>
        <v>21937.356729039006</v>
      </c>
      <c r="BN9" s="169">
        <f t="shared" si="9"/>
        <v>21937.356729039006</v>
      </c>
      <c r="BO9" s="169">
        <f t="shared" si="9"/>
        <v>21937.356729039006</v>
      </c>
      <c r="BP9" s="169">
        <f t="shared" si="9"/>
        <v>21937.356729039006</v>
      </c>
      <c r="BQ9" s="169">
        <f t="shared" si="9"/>
        <v>21937.356729039006</v>
      </c>
      <c r="BR9" s="169">
        <f t="shared" si="9"/>
        <v>21937.356729039006</v>
      </c>
      <c r="BS9" s="169">
        <f t="shared" si="9"/>
        <v>21937.356729039006</v>
      </c>
      <c r="BT9" s="169">
        <f t="shared" si="9"/>
        <v>21937.356729039006</v>
      </c>
      <c r="BU9" s="169">
        <f t="shared" si="9"/>
        <v>21937.356729039006</v>
      </c>
      <c r="BV9" s="169">
        <f t="shared" si="9"/>
        <v>21937.356729039006</v>
      </c>
      <c r="BW9" s="169">
        <f t="shared" si="9"/>
        <v>0</v>
      </c>
      <c r="BX9" s="169">
        <f t="shared" si="9"/>
        <v>0</v>
      </c>
      <c r="BY9" s="169">
        <f t="shared" si="9"/>
        <v>0</v>
      </c>
      <c r="BZ9" s="169">
        <f t="shared" si="9"/>
        <v>0</v>
      </c>
      <c r="CA9" s="169">
        <f t="shared" ref="CA9:DF9" si="10">CA7-CA8</f>
        <v>0</v>
      </c>
      <c r="CB9" s="169">
        <f t="shared" si="10"/>
        <v>0</v>
      </c>
      <c r="CC9" s="169">
        <f t="shared" si="10"/>
        <v>0</v>
      </c>
      <c r="CD9" s="169">
        <f t="shared" si="10"/>
        <v>0</v>
      </c>
      <c r="CE9" s="169">
        <f t="shared" si="10"/>
        <v>0</v>
      </c>
      <c r="CF9" s="169">
        <f t="shared" si="10"/>
        <v>0</v>
      </c>
      <c r="CG9" s="169">
        <f t="shared" si="10"/>
        <v>0</v>
      </c>
      <c r="CH9" s="169">
        <f t="shared" si="10"/>
        <v>0</v>
      </c>
      <c r="CI9" s="169">
        <f t="shared" si="10"/>
        <v>0</v>
      </c>
      <c r="CJ9" s="169">
        <f t="shared" si="10"/>
        <v>0</v>
      </c>
      <c r="CK9" s="169">
        <f t="shared" si="10"/>
        <v>0</v>
      </c>
      <c r="CL9" s="169">
        <f t="shared" si="10"/>
        <v>0</v>
      </c>
      <c r="CM9" s="169">
        <f t="shared" si="10"/>
        <v>0</v>
      </c>
      <c r="CN9" s="169">
        <f t="shared" si="10"/>
        <v>0</v>
      </c>
      <c r="CO9" s="169">
        <f t="shared" si="10"/>
        <v>0</v>
      </c>
      <c r="CP9" s="169">
        <f t="shared" si="10"/>
        <v>0</v>
      </c>
      <c r="CQ9" s="169">
        <f t="shared" si="10"/>
        <v>0</v>
      </c>
      <c r="CR9" s="169">
        <f t="shared" si="10"/>
        <v>0</v>
      </c>
      <c r="CS9" s="169">
        <f t="shared" si="10"/>
        <v>0</v>
      </c>
      <c r="CT9" s="169">
        <f t="shared" si="10"/>
        <v>0</v>
      </c>
      <c r="CU9" s="169">
        <f t="shared" si="10"/>
        <v>0</v>
      </c>
      <c r="CV9" s="169">
        <f t="shared" si="10"/>
        <v>0</v>
      </c>
      <c r="CW9" s="169">
        <f t="shared" si="10"/>
        <v>0</v>
      </c>
      <c r="CX9" s="169">
        <f t="shared" si="10"/>
        <v>0</v>
      </c>
      <c r="CY9" s="169">
        <f t="shared" si="10"/>
        <v>0</v>
      </c>
      <c r="CZ9" s="169">
        <f t="shared" si="10"/>
        <v>0</v>
      </c>
      <c r="DA9" s="169">
        <f t="shared" si="10"/>
        <v>0</v>
      </c>
      <c r="DB9" s="169">
        <f t="shared" si="10"/>
        <v>0</v>
      </c>
      <c r="DC9" s="169">
        <f t="shared" si="10"/>
        <v>0</v>
      </c>
      <c r="DD9" s="169">
        <f t="shared" si="10"/>
        <v>0</v>
      </c>
      <c r="DE9" s="169">
        <f t="shared" si="10"/>
        <v>0</v>
      </c>
      <c r="DF9" s="169">
        <f t="shared" si="10"/>
        <v>0</v>
      </c>
      <c r="DG9" s="169">
        <f t="shared" ref="DG9:ED9" si="11">DG7-DG8</f>
        <v>0</v>
      </c>
      <c r="DH9" s="169">
        <f t="shared" si="11"/>
        <v>0</v>
      </c>
      <c r="DI9" s="169">
        <f t="shared" si="11"/>
        <v>0</v>
      </c>
      <c r="DJ9" s="169">
        <f t="shared" si="11"/>
        <v>0</v>
      </c>
      <c r="DK9" s="169">
        <f t="shared" si="11"/>
        <v>0</v>
      </c>
      <c r="DL9" s="169">
        <f t="shared" si="11"/>
        <v>0</v>
      </c>
      <c r="DM9" s="169">
        <f t="shared" si="11"/>
        <v>0</v>
      </c>
      <c r="DN9" s="169">
        <f t="shared" si="11"/>
        <v>0</v>
      </c>
      <c r="DO9" s="169">
        <f t="shared" si="11"/>
        <v>0</v>
      </c>
      <c r="DP9" s="169">
        <f t="shared" si="11"/>
        <v>0</v>
      </c>
      <c r="DQ9" s="169">
        <f t="shared" si="11"/>
        <v>0</v>
      </c>
      <c r="DR9" s="169">
        <f t="shared" si="11"/>
        <v>0</v>
      </c>
      <c r="DS9" s="169">
        <f t="shared" si="11"/>
        <v>0</v>
      </c>
      <c r="DT9" s="169">
        <f t="shared" si="11"/>
        <v>0</v>
      </c>
      <c r="DU9" s="169">
        <f t="shared" si="11"/>
        <v>0</v>
      </c>
      <c r="DV9" s="169">
        <f t="shared" si="11"/>
        <v>0</v>
      </c>
      <c r="DW9" s="169">
        <f t="shared" si="11"/>
        <v>0</v>
      </c>
      <c r="DX9" s="169">
        <f t="shared" si="11"/>
        <v>0</v>
      </c>
      <c r="DY9" s="169">
        <f t="shared" si="11"/>
        <v>0</v>
      </c>
      <c r="DZ9" s="169">
        <f t="shared" si="11"/>
        <v>0</v>
      </c>
      <c r="EA9" s="169">
        <f t="shared" si="11"/>
        <v>0</v>
      </c>
      <c r="EB9" s="169">
        <f t="shared" si="11"/>
        <v>0</v>
      </c>
      <c r="EC9" s="169">
        <f t="shared" si="11"/>
        <v>0</v>
      </c>
      <c r="ED9" s="172">
        <f t="shared" si="11"/>
        <v>0</v>
      </c>
      <c r="EE9" s="1" t="s">
        <v>39</v>
      </c>
      <c r="EF9" s="1"/>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row>
    <row r="10" spans="8:253" x14ac:dyDescent="0.3">
      <c r="K10" s="1"/>
      <c r="L10" s="23"/>
      <c r="M10" s="1"/>
      <c r="N10" s="59"/>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c r="BU10" s="170"/>
      <c r="BV10" s="170"/>
      <c r="BW10" s="170"/>
      <c r="BX10" s="170"/>
      <c r="BY10" s="170"/>
      <c r="BZ10" s="170"/>
      <c r="CA10" s="170"/>
      <c r="CB10" s="170"/>
      <c r="CC10" s="170"/>
      <c r="CD10" s="170"/>
      <c r="CE10" s="170"/>
      <c r="CF10" s="170"/>
      <c r="CG10" s="170"/>
      <c r="CH10" s="170"/>
      <c r="CI10" s="170"/>
      <c r="CJ10" s="170"/>
      <c r="CK10" s="170"/>
      <c r="CL10" s="170"/>
      <c r="CM10" s="170"/>
      <c r="CN10" s="170"/>
      <c r="CO10" s="170"/>
      <c r="CP10" s="170"/>
      <c r="CQ10" s="170"/>
      <c r="CR10" s="170"/>
      <c r="CS10" s="170"/>
      <c r="CT10" s="170"/>
      <c r="CU10" s="170"/>
      <c r="CV10" s="170"/>
      <c r="CW10" s="170"/>
      <c r="CX10" s="170"/>
      <c r="CY10" s="170"/>
      <c r="CZ10" s="170"/>
      <c r="DA10" s="170"/>
      <c r="DB10" s="170"/>
      <c r="DC10" s="170"/>
      <c r="DD10" s="170"/>
      <c r="DE10" s="170"/>
      <c r="DF10" s="170"/>
      <c r="DG10" s="170"/>
      <c r="DH10" s="170"/>
      <c r="DI10" s="170"/>
      <c r="DJ10" s="170"/>
      <c r="DK10" s="170"/>
      <c r="DL10" s="170"/>
      <c r="DM10" s="170"/>
      <c r="DN10" s="170"/>
      <c r="DO10" s="170"/>
      <c r="DP10" s="170"/>
      <c r="DQ10" s="170"/>
      <c r="DR10" s="170"/>
      <c r="DS10" s="170"/>
      <c r="DT10" s="170"/>
      <c r="DU10" s="170"/>
      <c r="DV10" s="170"/>
      <c r="DW10" s="170"/>
      <c r="DX10" s="170"/>
      <c r="DY10" s="170"/>
      <c r="DZ10" s="170"/>
      <c r="EA10" s="170"/>
      <c r="EB10" s="170"/>
      <c r="EC10" s="170"/>
      <c r="ED10" s="171"/>
      <c r="EE10" s="1" t="s">
        <v>39</v>
      </c>
      <c r="EF10" s="1"/>
      <c r="EK10" s="143"/>
      <c r="EL10" s="143"/>
      <c r="EM10" s="143"/>
      <c r="EN10" s="143"/>
      <c r="EO10" s="143"/>
      <c r="EP10" s="143"/>
      <c r="EQ10" s="143"/>
      <c r="ER10" s="143"/>
      <c r="ES10" s="143"/>
      <c r="ET10" s="143"/>
      <c r="EU10" s="143"/>
      <c r="EV10" s="143"/>
      <c r="EW10" s="143"/>
      <c r="EX10" s="143"/>
      <c r="EY10" s="143"/>
      <c r="EZ10" s="143"/>
      <c r="FA10" s="143"/>
      <c r="FB10" s="143"/>
      <c r="FC10" s="143"/>
      <c r="FD10" s="143"/>
      <c r="FE10" s="143"/>
      <c r="FF10" s="143"/>
      <c r="FG10" s="143"/>
      <c r="FH10" s="143"/>
      <c r="FI10" s="143"/>
      <c r="FJ10" s="143"/>
      <c r="FK10" s="143"/>
      <c r="FL10" s="143"/>
      <c r="FM10" s="143"/>
      <c r="FN10" s="143"/>
      <c r="FO10" s="143"/>
      <c r="FP10" s="143"/>
      <c r="FQ10" s="143"/>
      <c r="FR10" s="143"/>
      <c r="FS10" s="143"/>
      <c r="FT10" s="143"/>
      <c r="FU10" s="143"/>
      <c r="FV10" s="143"/>
      <c r="FW10" s="143"/>
      <c r="FX10" s="143"/>
      <c r="FY10" s="143"/>
      <c r="FZ10" s="143"/>
      <c r="GA10" s="143"/>
      <c r="GB10" s="143"/>
      <c r="GC10" s="143"/>
      <c r="GD10" s="143"/>
      <c r="GE10" s="143"/>
      <c r="GF10" s="143"/>
      <c r="GG10" s="143"/>
      <c r="GH10" s="143"/>
      <c r="GI10" s="143"/>
      <c r="GJ10" s="143"/>
      <c r="GK10" s="143"/>
      <c r="GL10" s="143"/>
      <c r="GM10" s="143"/>
      <c r="GN10" s="143"/>
      <c r="GO10" s="143"/>
      <c r="GP10" s="143"/>
      <c r="GQ10" s="143"/>
      <c r="GR10" s="143"/>
      <c r="GS10" s="143"/>
      <c r="GT10" s="143"/>
      <c r="GU10" s="143"/>
      <c r="GV10" s="143"/>
      <c r="GW10" s="143"/>
      <c r="GX10" s="143"/>
      <c r="GY10" s="143"/>
      <c r="GZ10" s="143"/>
      <c r="HA10" s="143"/>
      <c r="HB10" s="143"/>
      <c r="HC10" s="143"/>
      <c r="HD10" s="143"/>
      <c r="HE10" s="143"/>
      <c r="HF10" s="143"/>
      <c r="HG10" s="143"/>
      <c r="HH10" s="143"/>
      <c r="HI10" s="143"/>
      <c r="HJ10" s="143"/>
      <c r="HK10" s="143"/>
      <c r="HL10" s="143"/>
      <c r="HM10" s="143"/>
      <c r="HN10" s="143"/>
      <c r="HO10" s="143"/>
      <c r="HP10" s="143"/>
      <c r="HQ10" s="143"/>
      <c r="HR10" s="143"/>
      <c r="HS10" s="143"/>
      <c r="HT10" s="143"/>
      <c r="HU10" s="143"/>
      <c r="HV10" s="143"/>
      <c r="HW10" s="143"/>
      <c r="HX10" s="143"/>
      <c r="HY10" s="143"/>
      <c r="HZ10" s="143"/>
      <c r="IA10" s="143"/>
      <c r="IB10" s="143"/>
      <c r="IC10" s="143"/>
      <c r="ID10" s="143"/>
      <c r="IE10" s="143"/>
      <c r="IF10" s="143"/>
      <c r="IG10" s="143"/>
      <c r="IH10" s="143"/>
      <c r="II10" s="143"/>
      <c r="IJ10" s="143"/>
      <c r="IK10" s="143"/>
      <c r="IL10" s="143"/>
      <c r="IM10" s="143"/>
      <c r="IN10" s="143"/>
      <c r="IO10" s="143"/>
      <c r="IP10" s="143"/>
      <c r="IQ10" s="143"/>
      <c r="IR10" s="143"/>
      <c r="IS10" s="143"/>
    </row>
    <row r="11" spans="8:253" x14ac:dyDescent="0.3">
      <c r="K11" s="1"/>
      <c r="L11" s="23" t="s">
        <v>49</v>
      </c>
      <c r="M11" s="1"/>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60"/>
      <c r="EE11" s="1"/>
      <c r="EF11" s="1"/>
    </row>
    <row r="12" spans="8:253" x14ac:dyDescent="0.3">
      <c r="K12" s="1"/>
      <c r="L12" s="108" t="str">
        <f>'A&amp;Rs'!M28</f>
        <v>One time unexpected cost in year 1</v>
      </c>
      <c r="M12" s="112"/>
      <c r="N12" s="59"/>
      <c r="O12" s="59"/>
      <c r="P12" s="59"/>
      <c r="Q12" s="170">
        <f>-'A&amp;Rs'!O28</f>
        <v>-5300</v>
      </c>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60"/>
      <c r="EE12" s="1"/>
      <c r="EF12" s="1"/>
    </row>
    <row r="13" spans="8:253" x14ac:dyDescent="0.3">
      <c r="K13" s="1"/>
      <c r="L13" s="108" t="str">
        <f>'A&amp;Rs'!M29</f>
        <v>Monthly Tax Payments</v>
      </c>
      <c r="M13" s="112"/>
      <c r="N13" s="59"/>
      <c r="O13" s="170">
        <f>IF(O3&lt;='A&amp;Rs'!$K$9,-'A&amp;Rs'!$O29*(1+'A&amp;Rs'!$N29)^B$3,0)</f>
        <v>-404</v>
      </c>
      <c r="P13" s="170">
        <f>IF(P3&lt;='A&amp;Rs'!$K$9,-'A&amp;Rs'!$O29*(1+'A&amp;Rs'!$N29)^C$3,0)</f>
        <v>-404</v>
      </c>
      <c r="Q13" s="170">
        <f>IF(Q3&lt;='A&amp;Rs'!$K$9,-'A&amp;Rs'!$O29*(1+'A&amp;Rs'!$N29)^D$3,0)</f>
        <v>-404</v>
      </c>
      <c r="R13" s="170">
        <f>IF(R3&lt;='A&amp;Rs'!$K$9,-'A&amp;Rs'!$O29*(1+'A&amp;Rs'!$N29)^E$3,0)</f>
        <v>-404</v>
      </c>
      <c r="S13" s="170">
        <f>IF(S3&lt;='A&amp;Rs'!$K$9,-'A&amp;Rs'!$O29*(1+'A&amp;Rs'!$N29)^F$3,0)</f>
        <v>-404</v>
      </c>
      <c r="T13" s="170">
        <f>IF(T3&lt;='A&amp;Rs'!$K$9,-'A&amp;Rs'!$O29*(1+'A&amp;Rs'!$N29)^G$3,0)</f>
        <v>-404</v>
      </c>
      <c r="U13" s="170">
        <f>IF(U3&lt;='A&amp;Rs'!$K$9,-'A&amp;Rs'!$O29*(1+'A&amp;Rs'!$N29)^H$3,0)</f>
        <v>-404</v>
      </c>
      <c r="V13" s="170">
        <f>IF(V3&lt;='A&amp;Rs'!$K$9,-'A&amp;Rs'!$O29*(1+'A&amp;Rs'!$N29)^I$3,0)</f>
        <v>-404</v>
      </c>
      <c r="W13" s="170">
        <f>IF(W3&lt;='A&amp;Rs'!$K$9,-'A&amp;Rs'!$O29*(1+'A&amp;Rs'!$N29)^J$3,0)</f>
        <v>-404</v>
      </c>
      <c r="X13" s="170">
        <f>IF(X3&lt;='A&amp;Rs'!$K$9,-'A&amp;Rs'!$O29*(1+'A&amp;Rs'!$N29)^K$3,0)</f>
        <v>-404</v>
      </c>
      <c r="Y13" s="170">
        <f>IF(Y3&lt;='A&amp;Rs'!$K$9,-'A&amp;Rs'!$O29*(1+'A&amp;Rs'!$N29)^L$3,0)</f>
        <v>-404</v>
      </c>
      <c r="Z13" s="170">
        <f>IF(Z3&lt;='A&amp;Rs'!$K$9,-'A&amp;Rs'!$O29*(1+'A&amp;Rs'!$N29)^N$3,0)</f>
        <v>-404</v>
      </c>
      <c r="AA13" s="170">
        <f>IF(AA3&lt;='A&amp;Rs'!$K$9,-'A&amp;Rs'!$O29*(1+'A&amp;Rs'!$N29)^O$3,0)</f>
        <v>-416.12</v>
      </c>
      <c r="AB13" s="170">
        <f>IF(AB3&lt;='A&amp;Rs'!$K$9,-'A&amp;Rs'!$O29*(1+'A&amp;Rs'!$N29)^P$3,0)</f>
        <v>-416.12</v>
      </c>
      <c r="AC13" s="170">
        <f>IF(AC3&lt;='A&amp;Rs'!$K$9,-'A&amp;Rs'!$O29*(1+'A&amp;Rs'!$N29)^Q$3,0)</f>
        <v>-416.12</v>
      </c>
      <c r="AD13" s="170">
        <f>IF(AD3&lt;='A&amp;Rs'!$K$9,-'A&amp;Rs'!$O29*(1+'A&amp;Rs'!$N29)^R$3,0)</f>
        <v>-416.12</v>
      </c>
      <c r="AE13" s="170">
        <f>IF(AE3&lt;='A&amp;Rs'!$K$9,-'A&amp;Rs'!$O29*(1+'A&amp;Rs'!$N29)^S$3,0)</f>
        <v>-416.12</v>
      </c>
      <c r="AF13" s="170">
        <f>IF(AF3&lt;='A&amp;Rs'!$K$9,-'A&amp;Rs'!$O29*(1+'A&amp;Rs'!$N29)^T$3,0)</f>
        <v>-416.12</v>
      </c>
      <c r="AG13" s="170">
        <f>IF(AG3&lt;='A&amp;Rs'!$K$9,-'A&amp;Rs'!$O29*(1+'A&amp;Rs'!$N29)^U$3,0)</f>
        <v>-416.12</v>
      </c>
      <c r="AH13" s="170">
        <f>IF(AH3&lt;='A&amp;Rs'!$K$9,-'A&amp;Rs'!$O29*(1+'A&amp;Rs'!$N29)^V$3,0)</f>
        <v>-416.12</v>
      </c>
      <c r="AI13" s="170">
        <f>IF(AI3&lt;='A&amp;Rs'!$K$9,-'A&amp;Rs'!$O29*(1+'A&amp;Rs'!$N29)^W$3,0)</f>
        <v>-416.12</v>
      </c>
      <c r="AJ13" s="170">
        <f>IF(AJ3&lt;='A&amp;Rs'!$K$9,-'A&amp;Rs'!$O29*(1+'A&amp;Rs'!$N29)^X$3,0)</f>
        <v>-416.12</v>
      </c>
      <c r="AK13" s="170">
        <f>IF(AK3&lt;='A&amp;Rs'!$K$9,-'A&amp;Rs'!$O29*(1+'A&amp;Rs'!$N29)^Y$3,0)</f>
        <v>-416.12</v>
      </c>
      <c r="AL13" s="170">
        <f>IF(AL3&lt;='A&amp;Rs'!$K$9,-'A&amp;Rs'!$O29*(1+'A&amp;Rs'!$N29)^Z$3,0)</f>
        <v>-416.12</v>
      </c>
      <c r="AM13" s="170">
        <f>IF(AM3&lt;='A&amp;Rs'!$K$9,-'A&amp;Rs'!$O29*(1+'A&amp;Rs'!$N29)^AA$3,0)</f>
        <v>-428.60359999999997</v>
      </c>
      <c r="AN13" s="170">
        <f>IF(AN3&lt;='A&amp;Rs'!$K$9,-'A&amp;Rs'!$O29*(1+'A&amp;Rs'!$N29)^AB$3,0)</f>
        <v>-428.60359999999997</v>
      </c>
      <c r="AO13" s="170">
        <f>IF(AO3&lt;='A&amp;Rs'!$K$9,-'A&amp;Rs'!$O29*(1+'A&amp;Rs'!$N29)^AC$3,0)</f>
        <v>-428.60359999999997</v>
      </c>
      <c r="AP13" s="170">
        <f>IF(AP3&lt;='A&amp;Rs'!$K$9,-'A&amp;Rs'!$O29*(1+'A&amp;Rs'!$N29)^AD$3,0)</f>
        <v>-428.60359999999997</v>
      </c>
      <c r="AQ13" s="170">
        <f>IF(AQ3&lt;='A&amp;Rs'!$K$9,-'A&amp;Rs'!$O29*(1+'A&amp;Rs'!$N29)^AE$3,0)</f>
        <v>-428.60359999999997</v>
      </c>
      <c r="AR13" s="170">
        <f>IF(AR3&lt;='A&amp;Rs'!$K$9,-'A&amp;Rs'!$O29*(1+'A&amp;Rs'!$N29)^AF$3,0)</f>
        <v>-428.60359999999997</v>
      </c>
      <c r="AS13" s="170">
        <f>IF(AS3&lt;='A&amp;Rs'!$K$9,-'A&amp;Rs'!$O29*(1+'A&amp;Rs'!$N29)^AG$3,0)</f>
        <v>-428.60359999999997</v>
      </c>
      <c r="AT13" s="170">
        <f>IF(AT3&lt;='A&amp;Rs'!$K$9,-'A&amp;Rs'!$O29*(1+'A&amp;Rs'!$N29)^AH$3,0)</f>
        <v>-428.60359999999997</v>
      </c>
      <c r="AU13" s="170">
        <f>IF(AU3&lt;='A&amp;Rs'!$K$9,-'A&amp;Rs'!$O29*(1+'A&amp;Rs'!$N29)^AI$3,0)</f>
        <v>-428.60359999999997</v>
      </c>
      <c r="AV13" s="170">
        <f>IF(AV3&lt;='A&amp;Rs'!$K$9,-'A&amp;Rs'!$O29*(1+'A&amp;Rs'!$N29)^AJ$3,0)</f>
        <v>-428.60359999999997</v>
      </c>
      <c r="AW13" s="170">
        <f>IF(AW3&lt;='A&amp;Rs'!$K$9,-'A&amp;Rs'!$O29*(1+'A&amp;Rs'!$N29)^AK$3,0)</f>
        <v>-428.60359999999997</v>
      </c>
      <c r="AX13" s="170">
        <f>IF(AX3&lt;='A&amp;Rs'!$K$9,-'A&amp;Rs'!$O29*(1+'A&amp;Rs'!$N29)^AL$3,0)</f>
        <v>-428.60359999999997</v>
      </c>
      <c r="AY13" s="170">
        <f>IF(AY3&lt;='A&amp;Rs'!$K$9,-'A&amp;Rs'!$O29*(1+'A&amp;Rs'!$N29)^AM$3,0)</f>
        <v>-441.46170799999999</v>
      </c>
      <c r="AZ13" s="170">
        <f>IF(AZ3&lt;='A&amp;Rs'!$K$9,-'A&amp;Rs'!$O29*(1+'A&amp;Rs'!$N29)^AN$3,0)</f>
        <v>-441.46170799999999</v>
      </c>
      <c r="BA13" s="170">
        <f>IF(BA3&lt;='A&amp;Rs'!$K$9,-'A&amp;Rs'!$O29*(1+'A&amp;Rs'!$N29)^AO$3,0)</f>
        <v>-441.46170799999999</v>
      </c>
      <c r="BB13" s="170">
        <f>IF(BB3&lt;='A&amp;Rs'!$K$9,-'A&amp;Rs'!$O29*(1+'A&amp;Rs'!$N29)^AP$3,0)</f>
        <v>-441.46170799999999</v>
      </c>
      <c r="BC13" s="170">
        <f>IF(BC3&lt;='A&amp;Rs'!$K$9,-'A&amp;Rs'!$O29*(1+'A&amp;Rs'!$N29)^AQ$3,0)</f>
        <v>-441.46170799999999</v>
      </c>
      <c r="BD13" s="170">
        <f>IF(BD3&lt;='A&amp;Rs'!$K$9,-'A&amp;Rs'!$O29*(1+'A&amp;Rs'!$N29)^AR$3,0)</f>
        <v>-441.46170799999999</v>
      </c>
      <c r="BE13" s="170">
        <f>IF(BE3&lt;='A&amp;Rs'!$K$9,-'A&amp;Rs'!$O29*(1+'A&amp;Rs'!$N29)^AS$3,0)</f>
        <v>-441.46170799999999</v>
      </c>
      <c r="BF13" s="170">
        <f>IF(BF3&lt;='A&amp;Rs'!$K$9,-'A&amp;Rs'!$O29*(1+'A&amp;Rs'!$N29)^AT$3,0)</f>
        <v>-441.46170799999999</v>
      </c>
      <c r="BG13" s="170">
        <f>IF(BG3&lt;='A&amp;Rs'!$K$9,-'A&amp;Rs'!$O29*(1+'A&amp;Rs'!$N29)^AU$3,0)</f>
        <v>-441.46170799999999</v>
      </c>
      <c r="BH13" s="170">
        <f>IF(BH3&lt;='A&amp;Rs'!$K$9,-'A&amp;Rs'!$O29*(1+'A&amp;Rs'!$N29)^AV$3,0)</f>
        <v>-441.46170799999999</v>
      </c>
      <c r="BI13" s="170">
        <f>IF(BI3&lt;='A&amp;Rs'!$K$9,-'A&amp;Rs'!$O29*(1+'A&amp;Rs'!$N29)^AW$3,0)</f>
        <v>-441.46170799999999</v>
      </c>
      <c r="BJ13" s="170">
        <f>IF(BJ3&lt;='A&amp;Rs'!$K$9,-'A&amp;Rs'!$O29*(1+'A&amp;Rs'!$N29)^AX$3,0)</f>
        <v>-441.46170799999999</v>
      </c>
      <c r="BK13" s="170">
        <f>IF(BK3&lt;='A&amp;Rs'!$K$9,-'A&amp;Rs'!$O29*(1+'A&amp;Rs'!$N29)^AY$3,0)</f>
        <v>-454.70555923999996</v>
      </c>
      <c r="BL13" s="170">
        <f>IF(BL3&lt;='A&amp;Rs'!$K$9,-'A&amp;Rs'!$O29*(1+'A&amp;Rs'!$N29)^AZ$3,0)</f>
        <v>-454.70555923999996</v>
      </c>
      <c r="BM13" s="170">
        <f>IF(BM3&lt;='A&amp;Rs'!$K$9,-'A&amp;Rs'!$O29*(1+'A&amp;Rs'!$N29)^BA$3,0)</f>
        <v>-454.70555923999996</v>
      </c>
      <c r="BN13" s="170">
        <f>IF(BN3&lt;='A&amp;Rs'!$K$9,-'A&amp;Rs'!$O29*(1+'A&amp;Rs'!$N29)^BB$3,0)</f>
        <v>-454.70555923999996</v>
      </c>
      <c r="BO13" s="170">
        <f>IF(BO3&lt;='A&amp;Rs'!$K$9,-'A&amp;Rs'!$O29*(1+'A&amp;Rs'!$N29)^BC$3,0)</f>
        <v>-454.70555923999996</v>
      </c>
      <c r="BP13" s="170">
        <f>IF(BP3&lt;='A&amp;Rs'!$K$9,-'A&amp;Rs'!$O29*(1+'A&amp;Rs'!$N29)^BD$3,0)</f>
        <v>-454.70555923999996</v>
      </c>
      <c r="BQ13" s="170">
        <f>IF(BQ3&lt;='A&amp;Rs'!$K$9,-'A&amp;Rs'!$O29*(1+'A&amp;Rs'!$N29)^BE$3,0)</f>
        <v>-454.70555923999996</v>
      </c>
      <c r="BR13" s="170">
        <f>IF(BR3&lt;='A&amp;Rs'!$K$9,-'A&amp;Rs'!$O29*(1+'A&amp;Rs'!$N29)^BF$3,0)</f>
        <v>-454.70555923999996</v>
      </c>
      <c r="BS13" s="170">
        <f>IF(BS3&lt;='A&amp;Rs'!$K$9,-'A&amp;Rs'!$O29*(1+'A&amp;Rs'!$N29)^BG$3,0)</f>
        <v>-454.70555923999996</v>
      </c>
      <c r="BT13" s="170">
        <f>IF(BT3&lt;='A&amp;Rs'!$K$9,-'A&amp;Rs'!$O29*(1+'A&amp;Rs'!$N29)^BH$3,0)</f>
        <v>-454.70555923999996</v>
      </c>
      <c r="BU13" s="170">
        <f>IF(BU3&lt;='A&amp;Rs'!$K$9,-'A&amp;Rs'!$O29*(1+'A&amp;Rs'!$N29)^BI$3,0)</f>
        <v>-454.70555923999996</v>
      </c>
      <c r="BV13" s="170">
        <f>IF(BV3&lt;='A&amp;Rs'!$K$9,-'A&amp;Rs'!$O29*(1+'A&amp;Rs'!$N29)^BJ$3,0)</f>
        <v>-454.70555923999996</v>
      </c>
      <c r="BW13" s="170">
        <f>IF(BW3&lt;='A&amp;Rs'!$K$9,-'A&amp;Rs'!$O29*(1+'A&amp;Rs'!$N29)^BK$3,0)</f>
        <v>0</v>
      </c>
      <c r="BX13" s="170">
        <f>IF(BX3&lt;='A&amp;Rs'!$K$9,-'A&amp;Rs'!$O29*(1+'A&amp;Rs'!$N29)^BL$3,0)</f>
        <v>0</v>
      </c>
      <c r="BY13" s="170">
        <f>IF(BY3&lt;='A&amp;Rs'!$K$9,-'A&amp;Rs'!$O29*(1+'A&amp;Rs'!$N29)^BM$3,0)</f>
        <v>0</v>
      </c>
      <c r="BZ13" s="170">
        <f>IF(BZ3&lt;='A&amp;Rs'!$K$9,-'A&amp;Rs'!$O29*(1+'A&amp;Rs'!$N29)^BN$3,0)</f>
        <v>0</v>
      </c>
      <c r="CA13" s="170">
        <f>IF(CA3&lt;='A&amp;Rs'!$K$9,-'A&amp;Rs'!$O29*(1+'A&amp;Rs'!$N29)^BO$3,0)</f>
        <v>0</v>
      </c>
      <c r="CB13" s="170">
        <f>IF(CB3&lt;='A&amp;Rs'!$K$9,-'A&amp;Rs'!$O29*(1+'A&amp;Rs'!$N29)^BP$3,0)</f>
        <v>0</v>
      </c>
      <c r="CC13" s="170">
        <f>IF(CC3&lt;='A&amp;Rs'!$K$9,-'A&amp;Rs'!$O29*(1+'A&amp;Rs'!$N29)^BQ$3,0)</f>
        <v>0</v>
      </c>
      <c r="CD13" s="170">
        <f>IF(CD3&lt;='A&amp;Rs'!$K$9,-'A&amp;Rs'!$O29*(1+'A&amp;Rs'!$N29)^BR$3,0)</f>
        <v>0</v>
      </c>
      <c r="CE13" s="170">
        <f>IF(CE3&lt;='A&amp;Rs'!$K$9,-'A&amp;Rs'!$O29*(1+'A&amp;Rs'!$N29)^BS$3,0)</f>
        <v>0</v>
      </c>
      <c r="CF13" s="170">
        <f>IF(CF3&lt;='A&amp;Rs'!$K$9,-'A&amp;Rs'!$O29*(1+'A&amp;Rs'!$N29)^BT$3,0)</f>
        <v>0</v>
      </c>
      <c r="CG13" s="170">
        <f>IF(CG3&lt;='A&amp;Rs'!$K$9,-'A&amp;Rs'!$O29*(1+'A&amp;Rs'!$N29)^BU$3,0)</f>
        <v>0</v>
      </c>
      <c r="CH13" s="170">
        <f>IF(CH3&lt;='A&amp;Rs'!$K$9,-'A&amp;Rs'!$O29*(1+'A&amp;Rs'!$N29)^BV$3,0)</f>
        <v>0</v>
      </c>
      <c r="CI13" s="170">
        <f>IF(CI3&lt;='A&amp;Rs'!$K$9,-'A&amp;Rs'!$O29*(1+'A&amp;Rs'!$N29)^BW$3,0)</f>
        <v>0</v>
      </c>
      <c r="CJ13" s="170">
        <f>IF(CJ3&lt;='A&amp;Rs'!$K$9,-'A&amp;Rs'!$O29*(1+'A&amp;Rs'!$N29)^BX$3,0)</f>
        <v>0</v>
      </c>
      <c r="CK13" s="170">
        <f>IF(CK3&lt;='A&amp;Rs'!$K$9,-'A&amp;Rs'!$O29*(1+'A&amp;Rs'!$N29)^BY$3,0)</f>
        <v>0</v>
      </c>
      <c r="CL13" s="170">
        <f>IF(CL3&lt;='A&amp;Rs'!$K$9,-'A&amp;Rs'!$O29*(1+'A&amp;Rs'!$N29)^BZ$3,0)</f>
        <v>0</v>
      </c>
      <c r="CM13" s="170">
        <f>IF(CM3&lt;='A&amp;Rs'!$K$9,-'A&amp;Rs'!$O29*(1+'A&amp;Rs'!$N29)^CA$3,0)</f>
        <v>0</v>
      </c>
      <c r="CN13" s="170">
        <f>IF(CN3&lt;='A&amp;Rs'!$K$9,-'A&amp;Rs'!$O29*(1+'A&amp;Rs'!$N29)^CB$3,0)</f>
        <v>0</v>
      </c>
      <c r="CO13" s="170">
        <f>IF(CO3&lt;='A&amp;Rs'!$K$9,-'A&amp;Rs'!$O29*(1+'A&amp;Rs'!$N29)^CC$3,0)</f>
        <v>0</v>
      </c>
      <c r="CP13" s="170">
        <f>IF(CP3&lt;='A&amp;Rs'!$K$9,-'A&amp;Rs'!$O29*(1+'A&amp;Rs'!$N29)^CD$3,0)</f>
        <v>0</v>
      </c>
      <c r="CQ13" s="170">
        <f>IF(CQ3&lt;='A&amp;Rs'!$K$9,-'A&amp;Rs'!$O29*(1+'A&amp;Rs'!$N29)^CE$3,0)</f>
        <v>0</v>
      </c>
      <c r="CR13" s="170">
        <f>IF(CR3&lt;='A&amp;Rs'!$K$9,-'A&amp;Rs'!$O29*(1+'A&amp;Rs'!$N29)^CF$3,0)</f>
        <v>0</v>
      </c>
      <c r="CS13" s="170">
        <f>IF(CS3&lt;='A&amp;Rs'!$K$9,-'A&amp;Rs'!$O29*(1+'A&amp;Rs'!$N29)^CG$3,0)</f>
        <v>0</v>
      </c>
      <c r="CT13" s="170">
        <f>IF(CT3&lt;='A&amp;Rs'!$K$9,-'A&amp;Rs'!$O29*(1+'A&amp;Rs'!$N29)^CH$3,0)</f>
        <v>0</v>
      </c>
      <c r="CU13" s="170">
        <f>IF(CU3&lt;='A&amp;Rs'!$K$9,-'A&amp;Rs'!$O29*(1+'A&amp;Rs'!$N29)^CI$3,0)</f>
        <v>0</v>
      </c>
      <c r="CV13" s="170">
        <f>IF(CV3&lt;='A&amp;Rs'!$K$9,-'A&amp;Rs'!$O29*(1+'A&amp;Rs'!$N29)^CJ$3,0)</f>
        <v>0</v>
      </c>
      <c r="CW13" s="170">
        <f>IF(CW3&lt;='A&amp;Rs'!$K$9,-'A&amp;Rs'!$O29*(1+'A&amp;Rs'!$N29)^CK$3,0)</f>
        <v>0</v>
      </c>
      <c r="CX13" s="170">
        <f>IF(CX3&lt;='A&amp;Rs'!$K$9,-'A&amp;Rs'!$O29*(1+'A&amp;Rs'!$N29)^CL$3,0)</f>
        <v>0</v>
      </c>
      <c r="CY13" s="170">
        <f>IF(CY3&lt;='A&amp;Rs'!$K$9,-'A&amp;Rs'!$O29*(1+'A&amp;Rs'!$N29)^CM$3,0)</f>
        <v>0</v>
      </c>
      <c r="CZ13" s="170">
        <f>IF(CZ3&lt;='A&amp;Rs'!$K$9,-'A&amp;Rs'!$O29*(1+'A&amp;Rs'!$N29)^CN$3,0)</f>
        <v>0</v>
      </c>
      <c r="DA13" s="170">
        <f>IF(DA3&lt;='A&amp;Rs'!$K$9,-'A&amp;Rs'!$O29*(1+'A&amp;Rs'!$N29)^CO$3,0)</f>
        <v>0</v>
      </c>
      <c r="DB13" s="170">
        <f>IF(DB3&lt;='A&amp;Rs'!$K$9,-'A&amp;Rs'!$O29*(1+'A&amp;Rs'!$N29)^CP$3,0)</f>
        <v>0</v>
      </c>
      <c r="DC13" s="170">
        <f>IF(DC3&lt;='A&amp;Rs'!$K$9,-'A&amp;Rs'!$O29*(1+'A&amp;Rs'!$N29)^CQ$3,0)</f>
        <v>0</v>
      </c>
      <c r="DD13" s="170">
        <f>IF(DD3&lt;='A&amp;Rs'!$K$9,-'A&amp;Rs'!$O29*(1+'A&amp;Rs'!$N29)^CR$3,0)</f>
        <v>0</v>
      </c>
      <c r="DE13" s="170">
        <f>IF(DE3&lt;='A&amp;Rs'!$K$9,-'A&amp;Rs'!$O29*(1+'A&amp;Rs'!$N29)^CS$3,0)</f>
        <v>0</v>
      </c>
      <c r="DF13" s="170">
        <f>IF(DF3&lt;='A&amp;Rs'!$K$9,-'A&amp;Rs'!$O29*(1+'A&amp;Rs'!$N29)^CT$3,0)</f>
        <v>0</v>
      </c>
      <c r="DG13" s="170">
        <f>IF(DG3&lt;='A&amp;Rs'!$K$9,-'A&amp;Rs'!$O29*(1+'A&amp;Rs'!$N29)^CU$3,0)</f>
        <v>0</v>
      </c>
      <c r="DH13" s="170">
        <f>IF(DH3&lt;='A&amp;Rs'!$K$9,-'A&amp;Rs'!$O29*(1+'A&amp;Rs'!$N29)^CV$3,0)</f>
        <v>0</v>
      </c>
      <c r="DI13" s="170">
        <f>IF(DI3&lt;='A&amp;Rs'!$K$9,-'A&amp;Rs'!$O29*(1+'A&amp;Rs'!$N29)^CW$3,0)</f>
        <v>0</v>
      </c>
      <c r="DJ13" s="170">
        <f>IF(DJ3&lt;='A&amp;Rs'!$K$9,-'A&amp;Rs'!$O29*(1+'A&amp;Rs'!$N29)^CX$3,0)</f>
        <v>0</v>
      </c>
      <c r="DK13" s="170">
        <f>IF(DK3&lt;='A&amp;Rs'!$K$9,-'A&amp;Rs'!$O29*(1+'A&amp;Rs'!$N29)^CY$3,0)</f>
        <v>0</v>
      </c>
      <c r="DL13" s="170">
        <f>IF(DL3&lt;='A&amp;Rs'!$K$9,-'A&amp;Rs'!$O29*(1+'A&amp;Rs'!$N29)^CZ$3,0)</f>
        <v>0</v>
      </c>
      <c r="DM13" s="170">
        <f>IF(DM3&lt;='A&amp;Rs'!$K$9,-'A&amp;Rs'!$O29*(1+'A&amp;Rs'!$N29)^DA$3,0)</f>
        <v>0</v>
      </c>
      <c r="DN13" s="170">
        <f>IF(DN3&lt;='A&amp;Rs'!$K$9,-'A&amp;Rs'!$O29*(1+'A&amp;Rs'!$N29)^DB$3,0)</f>
        <v>0</v>
      </c>
      <c r="DO13" s="170">
        <f>IF(DO3&lt;='A&amp;Rs'!$K$9,-'A&amp;Rs'!$O29*(1+'A&amp;Rs'!$N29)^DC$3,0)</f>
        <v>0</v>
      </c>
      <c r="DP13" s="170">
        <f>IF(DP3&lt;='A&amp;Rs'!$K$9,-'A&amp;Rs'!$O29*(1+'A&amp;Rs'!$N29)^DD$3,0)</f>
        <v>0</v>
      </c>
      <c r="DQ13" s="170">
        <f>IF(DQ3&lt;='A&amp;Rs'!$K$9,-'A&amp;Rs'!$O29*(1+'A&amp;Rs'!$N29)^DE$3,0)</f>
        <v>0</v>
      </c>
      <c r="DR13" s="170">
        <f>IF(DR3&lt;='A&amp;Rs'!$K$9,-'A&amp;Rs'!$O29*(1+'A&amp;Rs'!$N29)^DF$3,0)</f>
        <v>0</v>
      </c>
      <c r="DS13" s="170">
        <f>IF(DS3&lt;='A&amp;Rs'!$K$9,-'A&amp;Rs'!$O29*(1+'A&amp;Rs'!$N29)^DG$3,0)</f>
        <v>0</v>
      </c>
      <c r="DT13" s="170">
        <f>IF(DT3&lt;='A&amp;Rs'!$K$9,-'A&amp;Rs'!$O29*(1+'A&amp;Rs'!$N29)^DH$3,0)</f>
        <v>0</v>
      </c>
      <c r="DU13" s="170">
        <f>IF(DU3&lt;='A&amp;Rs'!$K$9,-'A&amp;Rs'!$O29*(1+'A&amp;Rs'!$N29)^DI$3,0)</f>
        <v>0</v>
      </c>
      <c r="DV13" s="170">
        <f>IF(DV3&lt;='A&amp;Rs'!$K$9,-'A&amp;Rs'!$O29*(1+'A&amp;Rs'!$N29)^DJ$3,0)</f>
        <v>0</v>
      </c>
      <c r="DW13" s="170">
        <f>IF(DW3&lt;='A&amp;Rs'!$K$9,-'A&amp;Rs'!$O29*(1+'A&amp;Rs'!$N29)^DK$3,0)</f>
        <v>0</v>
      </c>
      <c r="DX13" s="170">
        <f>IF(DX3&lt;='A&amp;Rs'!$K$9,-'A&amp;Rs'!$O29*(1+'A&amp;Rs'!$N29)^DL$3,0)</f>
        <v>0</v>
      </c>
      <c r="DY13" s="170">
        <f>IF(DY3&lt;='A&amp;Rs'!$K$9,-'A&amp;Rs'!$O29*(1+'A&amp;Rs'!$N29)^DM$3,0)</f>
        <v>0</v>
      </c>
      <c r="DZ13" s="170">
        <f>IF(DZ3&lt;='A&amp;Rs'!$K$9,-'A&amp;Rs'!$O29*(1+'A&amp;Rs'!$N29)^DN$3,0)</f>
        <v>0</v>
      </c>
      <c r="EA13" s="170">
        <f>IF(EA3&lt;='A&amp;Rs'!$K$9,-'A&amp;Rs'!$O29*(1+'A&amp;Rs'!$N29)^DO$3,0)</f>
        <v>0</v>
      </c>
      <c r="EB13" s="170">
        <f>IF(EB3&lt;='A&amp;Rs'!$K$9,-'A&amp;Rs'!$O29*(1+'A&amp;Rs'!$N29)^DP$3,0)</f>
        <v>0</v>
      </c>
      <c r="EC13" s="170">
        <f>IF(EC3&lt;='A&amp;Rs'!$K$9,-'A&amp;Rs'!$O29*(1+'A&amp;Rs'!$N29)^DQ$3,0)</f>
        <v>0</v>
      </c>
      <c r="ED13" s="171">
        <f>IF(ED3&lt;='A&amp;Rs'!$K$9,-'A&amp;Rs'!$O29*(1+'A&amp;Rs'!$N29)^DR$3,0)</f>
        <v>0</v>
      </c>
      <c r="EE13" s="1" t="s">
        <v>39</v>
      </c>
      <c r="EF13" s="1"/>
    </row>
    <row r="14" spans="8:253" x14ac:dyDescent="0.3">
      <c r="K14" s="1"/>
      <c r="L14" s="108" t="str">
        <f>'A&amp;Rs'!M30</f>
        <v xml:space="preserve">Insurance </v>
      </c>
      <c r="M14" s="112"/>
      <c r="N14" s="59"/>
      <c r="O14" s="170">
        <f>IF(O3&lt;='A&amp;Rs'!$K$9,-'A&amp;Rs'!$O30*(1+'A&amp;Rs'!$N30)^B$3,0)</f>
        <v>-1615</v>
      </c>
      <c r="P14" s="170">
        <f>IF(P3&lt;='A&amp;Rs'!$K$9,-'A&amp;Rs'!$O30*(1+'A&amp;Rs'!$N30)^C$3,0)</f>
        <v>-1615</v>
      </c>
      <c r="Q14" s="170">
        <f>IF(Q3&lt;='A&amp;Rs'!$K$9,-'A&amp;Rs'!$O30*(1+'A&amp;Rs'!$N30)^D$3,0)</f>
        <v>-1615</v>
      </c>
      <c r="R14" s="170">
        <f>IF(R3&lt;='A&amp;Rs'!$K$9,-'A&amp;Rs'!$O30*(1+'A&amp;Rs'!$N30)^E$3,0)</f>
        <v>-1615</v>
      </c>
      <c r="S14" s="170">
        <f>IF(S3&lt;='A&amp;Rs'!$K$9,-'A&amp;Rs'!$O30*(1+'A&amp;Rs'!$N30)^F$3,0)</f>
        <v>-1615</v>
      </c>
      <c r="T14" s="170">
        <f>IF(T3&lt;='A&amp;Rs'!$K$9,-'A&amp;Rs'!$O30*(1+'A&amp;Rs'!$N30)^G$3,0)</f>
        <v>-1615</v>
      </c>
      <c r="U14" s="170">
        <f>IF(U3&lt;='A&amp;Rs'!$K$9,-'A&amp;Rs'!$O30*(1+'A&amp;Rs'!$N30)^H$3,0)</f>
        <v>-1615</v>
      </c>
      <c r="V14" s="170">
        <f>IF(V3&lt;='A&amp;Rs'!$K$9,-'A&amp;Rs'!$O30*(1+'A&amp;Rs'!$N30)^I$3,0)</f>
        <v>-1615</v>
      </c>
      <c r="W14" s="170">
        <f>IF(W3&lt;='A&amp;Rs'!$K$9,-'A&amp;Rs'!$O30*(1+'A&amp;Rs'!$N30)^J$3,0)</f>
        <v>-1615</v>
      </c>
      <c r="X14" s="170">
        <f>IF(X3&lt;='A&amp;Rs'!$K$9,-'A&amp;Rs'!$O30*(1+'A&amp;Rs'!$N30)^K$3,0)</f>
        <v>-1615</v>
      </c>
      <c r="Y14" s="170">
        <f>IF(Y3&lt;='A&amp;Rs'!$K$9,-'A&amp;Rs'!$O30*(1+'A&amp;Rs'!$N30)^L$3,0)</f>
        <v>-1615</v>
      </c>
      <c r="Z14" s="170">
        <f>IF(Z3&lt;='A&amp;Rs'!$K$9,-'A&amp;Rs'!$O30*(1+'A&amp;Rs'!$N30)^N$3,0)</f>
        <v>-1615</v>
      </c>
      <c r="AA14" s="170">
        <f>IF(AA3&lt;='A&amp;Rs'!$K$9,-'A&amp;Rs'!$O30*(1+'A&amp;Rs'!$N30)^O$3,0)</f>
        <v>-1663.45</v>
      </c>
      <c r="AB14" s="170">
        <f>IF(AB3&lt;='A&amp;Rs'!$K$9,-'A&amp;Rs'!$O30*(1+'A&amp;Rs'!$N30)^P$3,0)</f>
        <v>-1663.45</v>
      </c>
      <c r="AC14" s="170">
        <f>IF(AC3&lt;='A&amp;Rs'!$K$9,-'A&amp;Rs'!$O30*(1+'A&amp;Rs'!$N30)^Q$3,0)</f>
        <v>-1663.45</v>
      </c>
      <c r="AD14" s="170">
        <f>IF(AD3&lt;='A&amp;Rs'!$K$9,-'A&amp;Rs'!$O30*(1+'A&amp;Rs'!$N30)^R$3,0)</f>
        <v>-1663.45</v>
      </c>
      <c r="AE14" s="170">
        <f>IF(AE3&lt;='A&amp;Rs'!$K$9,-'A&amp;Rs'!$O30*(1+'A&amp;Rs'!$N30)^S$3,0)</f>
        <v>-1663.45</v>
      </c>
      <c r="AF14" s="170">
        <f>IF(AF3&lt;='A&amp;Rs'!$K$9,-'A&amp;Rs'!$O30*(1+'A&amp;Rs'!$N30)^T$3,0)</f>
        <v>-1663.45</v>
      </c>
      <c r="AG14" s="170">
        <f>IF(AG3&lt;='A&amp;Rs'!$K$9,-'A&amp;Rs'!$O30*(1+'A&amp;Rs'!$N30)^U$3,0)</f>
        <v>-1663.45</v>
      </c>
      <c r="AH14" s="170">
        <f>IF(AH3&lt;='A&amp;Rs'!$K$9,-'A&amp;Rs'!$O30*(1+'A&amp;Rs'!$N30)^V$3,0)</f>
        <v>-1663.45</v>
      </c>
      <c r="AI14" s="170">
        <f>IF(AI3&lt;='A&amp;Rs'!$K$9,-'A&amp;Rs'!$O30*(1+'A&amp;Rs'!$N30)^W$3,0)</f>
        <v>-1663.45</v>
      </c>
      <c r="AJ14" s="170">
        <f>IF(AJ3&lt;='A&amp;Rs'!$K$9,-'A&amp;Rs'!$O30*(1+'A&amp;Rs'!$N30)^X$3,0)</f>
        <v>-1663.45</v>
      </c>
      <c r="AK14" s="170">
        <f>IF(AK3&lt;='A&amp;Rs'!$K$9,-'A&amp;Rs'!$O30*(1+'A&amp;Rs'!$N30)^Y$3,0)</f>
        <v>-1663.45</v>
      </c>
      <c r="AL14" s="170">
        <f>IF(AL3&lt;='A&amp;Rs'!$K$9,-'A&amp;Rs'!$O30*(1+'A&amp;Rs'!$N30)^Z$3,0)</f>
        <v>-1663.45</v>
      </c>
      <c r="AM14" s="170">
        <f>IF(AM3&lt;='A&amp;Rs'!$K$9,-'A&amp;Rs'!$O30*(1+'A&amp;Rs'!$N30)^AA$3,0)</f>
        <v>-1713.3534999999999</v>
      </c>
      <c r="AN14" s="170">
        <f>IF(AN3&lt;='A&amp;Rs'!$K$9,-'A&amp;Rs'!$O30*(1+'A&amp;Rs'!$N30)^AB$3,0)</f>
        <v>-1713.3534999999999</v>
      </c>
      <c r="AO14" s="170">
        <f>IF(AO3&lt;='A&amp;Rs'!$K$9,-'A&amp;Rs'!$O30*(1+'A&amp;Rs'!$N30)^AC$3,0)</f>
        <v>-1713.3534999999999</v>
      </c>
      <c r="AP14" s="170">
        <f>IF(AP3&lt;='A&amp;Rs'!$K$9,-'A&amp;Rs'!$O30*(1+'A&amp;Rs'!$N30)^AD$3,0)</f>
        <v>-1713.3534999999999</v>
      </c>
      <c r="AQ14" s="170">
        <f>IF(AQ3&lt;='A&amp;Rs'!$K$9,-'A&amp;Rs'!$O30*(1+'A&amp;Rs'!$N30)^AE$3,0)</f>
        <v>-1713.3534999999999</v>
      </c>
      <c r="AR14" s="170">
        <f>IF(AR3&lt;='A&amp;Rs'!$K$9,-'A&amp;Rs'!$O30*(1+'A&amp;Rs'!$N30)^AF$3,0)</f>
        <v>-1713.3534999999999</v>
      </c>
      <c r="AS14" s="170">
        <f>IF(AS3&lt;='A&amp;Rs'!$K$9,-'A&amp;Rs'!$O30*(1+'A&amp;Rs'!$N30)^AG$3,0)</f>
        <v>-1713.3534999999999</v>
      </c>
      <c r="AT14" s="170">
        <f>IF(AT3&lt;='A&amp;Rs'!$K$9,-'A&amp;Rs'!$O30*(1+'A&amp;Rs'!$N30)^AH$3,0)</f>
        <v>-1713.3534999999999</v>
      </c>
      <c r="AU14" s="170">
        <f>IF(AU3&lt;='A&amp;Rs'!$K$9,-'A&amp;Rs'!$O30*(1+'A&amp;Rs'!$N30)^AI$3,0)</f>
        <v>-1713.3534999999999</v>
      </c>
      <c r="AV14" s="170">
        <f>IF(AV3&lt;='A&amp;Rs'!$K$9,-'A&amp;Rs'!$O30*(1+'A&amp;Rs'!$N30)^AJ$3,0)</f>
        <v>-1713.3534999999999</v>
      </c>
      <c r="AW14" s="170">
        <f>IF(AW3&lt;='A&amp;Rs'!$K$9,-'A&amp;Rs'!$O30*(1+'A&amp;Rs'!$N30)^AK$3,0)</f>
        <v>-1713.3534999999999</v>
      </c>
      <c r="AX14" s="170">
        <f>IF(AX3&lt;='A&amp;Rs'!$K$9,-'A&amp;Rs'!$O30*(1+'A&amp;Rs'!$N30)^AL$3,0)</f>
        <v>-1713.3534999999999</v>
      </c>
      <c r="AY14" s="170">
        <f>IF(AY3&lt;='A&amp;Rs'!$K$9,-'A&amp;Rs'!$O30*(1+'A&amp;Rs'!$N30)^AM$3,0)</f>
        <v>-1764.754105</v>
      </c>
      <c r="AZ14" s="170">
        <f>IF(AZ3&lt;='A&amp;Rs'!$K$9,-'A&amp;Rs'!$O30*(1+'A&amp;Rs'!$N30)^AN$3,0)</f>
        <v>-1764.754105</v>
      </c>
      <c r="BA14" s="170">
        <f>IF(BA3&lt;='A&amp;Rs'!$K$9,-'A&amp;Rs'!$O30*(1+'A&amp;Rs'!$N30)^AO$3,0)</f>
        <v>-1764.754105</v>
      </c>
      <c r="BB14" s="170">
        <f>IF(BB3&lt;='A&amp;Rs'!$K$9,-'A&amp;Rs'!$O30*(1+'A&amp;Rs'!$N30)^AP$3,0)</f>
        <v>-1764.754105</v>
      </c>
      <c r="BC14" s="170">
        <f>IF(BC3&lt;='A&amp;Rs'!$K$9,-'A&amp;Rs'!$O30*(1+'A&amp;Rs'!$N30)^AQ$3,0)</f>
        <v>-1764.754105</v>
      </c>
      <c r="BD14" s="170">
        <f>IF(BD3&lt;='A&amp;Rs'!$K$9,-'A&amp;Rs'!$O30*(1+'A&amp;Rs'!$N30)^AR$3,0)</f>
        <v>-1764.754105</v>
      </c>
      <c r="BE14" s="170">
        <f>IF(BE3&lt;='A&amp;Rs'!$K$9,-'A&amp;Rs'!$O30*(1+'A&amp;Rs'!$N30)^AS$3,0)</f>
        <v>-1764.754105</v>
      </c>
      <c r="BF14" s="170">
        <f>IF(BF3&lt;='A&amp;Rs'!$K$9,-'A&amp;Rs'!$O30*(1+'A&amp;Rs'!$N30)^AT$3,0)</f>
        <v>-1764.754105</v>
      </c>
      <c r="BG14" s="170">
        <f>IF(BG3&lt;='A&amp;Rs'!$K$9,-'A&amp;Rs'!$O30*(1+'A&amp;Rs'!$N30)^AU$3,0)</f>
        <v>-1764.754105</v>
      </c>
      <c r="BH14" s="170">
        <f>IF(BH3&lt;='A&amp;Rs'!$K$9,-'A&amp;Rs'!$O30*(1+'A&amp;Rs'!$N30)^AV$3,0)</f>
        <v>-1764.754105</v>
      </c>
      <c r="BI14" s="170">
        <f>IF(BI3&lt;='A&amp;Rs'!$K$9,-'A&amp;Rs'!$O30*(1+'A&amp;Rs'!$N30)^AW$3,0)</f>
        <v>-1764.754105</v>
      </c>
      <c r="BJ14" s="170">
        <f>IF(BJ3&lt;='A&amp;Rs'!$K$9,-'A&amp;Rs'!$O30*(1+'A&amp;Rs'!$N30)^AX$3,0)</f>
        <v>-1764.754105</v>
      </c>
      <c r="BK14" s="170">
        <f>IF(BK3&lt;='A&amp;Rs'!$K$9,-'A&amp;Rs'!$O30*(1+'A&amp;Rs'!$N30)^AY$3,0)</f>
        <v>-1817.6967281499999</v>
      </c>
      <c r="BL14" s="170">
        <f>IF(BL3&lt;='A&amp;Rs'!$K$9,-'A&amp;Rs'!$O30*(1+'A&amp;Rs'!$N30)^AZ$3,0)</f>
        <v>-1817.6967281499999</v>
      </c>
      <c r="BM14" s="170">
        <f>IF(BM3&lt;='A&amp;Rs'!$K$9,-'A&amp;Rs'!$O30*(1+'A&amp;Rs'!$N30)^BA$3,0)</f>
        <v>-1817.6967281499999</v>
      </c>
      <c r="BN14" s="170">
        <f>IF(BN3&lt;='A&amp;Rs'!$K$9,-'A&amp;Rs'!$O30*(1+'A&amp;Rs'!$N30)^BB$3,0)</f>
        <v>-1817.6967281499999</v>
      </c>
      <c r="BO14" s="170">
        <f>IF(BO3&lt;='A&amp;Rs'!$K$9,-'A&amp;Rs'!$O30*(1+'A&amp;Rs'!$N30)^BC$3,0)</f>
        <v>-1817.6967281499999</v>
      </c>
      <c r="BP14" s="170">
        <f>IF(BP3&lt;='A&amp;Rs'!$K$9,-'A&amp;Rs'!$O30*(1+'A&amp;Rs'!$N30)^BD$3,0)</f>
        <v>-1817.6967281499999</v>
      </c>
      <c r="BQ14" s="170">
        <f>IF(BQ3&lt;='A&amp;Rs'!$K$9,-'A&amp;Rs'!$O30*(1+'A&amp;Rs'!$N30)^BE$3,0)</f>
        <v>-1817.6967281499999</v>
      </c>
      <c r="BR14" s="170">
        <f>IF(BR3&lt;='A&amp;Rs'!$K$9,-'A&amp;Rs'!$O30*(1+'A&amp;Rs'!$N30)^BF$3,0)</f>
        <v>-1817.6967281499999</v>
      </c>
      <c r="BS14" s="170">
        <f>IF(BS3&lt;='A&amp;Rs'!$K$9,-'A&amp;Rs'!$O30*(1+'A&amp;Rs'!$N30)^BG$3,0)</f>
        <v>-1817.6967281499999</v>
      </c>
      <c r="BT14" s="170">
        <f>IF(BT3&lt;='A&amp;Rs'!$K$9,-'A&amp;Rs'!$O30*(1+'A&amp;Rs'!$N30)^BH$3,0)</f>
        <v>-1817.6967281499999</v>
      </c>
      <c r="BU14" s="170">
        <f>IF(BU3&lt;='A&amp;Rs'!$K$9,-'A&amp;Rs'!$O30*(1+'A&amp;Rs'!$N30)^BI$3,0)</f>
        <v>-1817.6967281499999</v>
      </c>
      <c r="BV14" s="170">
        <f>IF(BV3&lt;='A&amp;Rs'!$K$9,-'A&amp;Rs'!$O30*(1+'A&amp;Rs'!$N30)^BJ$3,0)</f>
        <v>-1817.6967281499999</v>
      </c>
      <c r="BW14" s="170">
        <f>IF(BW3&lt;='A&amp;Rs'!$K$9,-'A&amp;Rs'!$O30*(1+'A&amp;Rs'!$N30)^BK$3,0)</f>
        <v>0</v>
      </c>
      <c r="BX14" s="170">
        <f>IF(BX3&lt;='A&amp;Rs'!$K$9,-'A&amp;Rs'!$O30*(1+'A&amp;Rs'!$N30)^BL$3,0)</f>
        <v>0</v>
      </c>
      <c r="BY14" s="170">
        <f>IF(BY3&lt;='A&amp;Rs'!$K$9,-'A&amp;Rs'!$O30*(1+'A&amp;Rs'!$N30)^BM$3,0)</f>
        <v>0</v>
      </c>
      <c r="BZ14" s="170">
        <f>IF(BZ3&lt;='A&amp;Rs'!$K$9,-'A&amp;Rs'!$O30*(1+'A&amp;Rs'!$N30)^BN$3,0)</f>
        <v>0</v>
      </c>
      <c r="CA14" s="170">
        <f>IF(CA3&lt;='A&amp;Rs'!$K$9,-'A&amp;Rs'!$O30*(1+'A&amp;Rs'!$N30)^BO$3,0)</f>
        <v>0</v>
      </c>
      <c r="CB14" s="170">
        <f>IF(CB3&lt;='A&amp;Rs'!$K$9,-'A&amp;Rs'!$O30*(1+'A&amp;Rs'!$N30)^BP$3,0)</f>
        <v>0</v>
      </c>
      <c r="CC14" s="170">
        <f>IF(CC3&lt;='A&amp;Rs'!$K$9,-'A&amp;Rs'!$O30*(1+'A&amp;Rs'!$N30)^BQ$3,0)</f>
        <v>0</v>
      </c>
      <c r="CD14" s="170">
        <f>IF(CD3&lt;='A&amp;Rs'!$K$9,-'A&amp;Rs'!$O30*(1+'A&amp;Rs'!$N30)^BR$3,0)</f>
        <v>0</v>
      </c>
      <c r="CE14" s="170">
        <f>IF(CE3&lt;='A&amp;Rs'!$K$9,-'A&amp;Rs'!$O30*(1+'A&amp;Rs'!$N30)^BS$3,0)</f>
        <v>0</v>
      </c>
      <c r="CF14" s="170">
        <f>IF(CF3&lt;='A&amp;Rs'!$K$9,-'A&amp;Rs'!$O30*(1+'A&amp;Rs'!$N30)^BT$3,0)</f>
        <v>0</v>
      </c>
      <c r="CG14" s="170">
        <f>IF(CG3&lt;='A&amp;Rs'!$K$9,-'A&amp;Rs'!$O30*(1+'A&amp;Rs'!$N30)^BU$3,0)</f>
        <v>0</v>
      </c>
      <c r="CH14" s="170">
        <f>IF(CH3&lt;='A&amp;Rs'!$K$9,-'A&amp;Rs'!$O30*(1+'A&amp;Rs'!$N30)^BV$3,0)</f>
        <v>0</v>
      </c>
      <c r="CI14" s="170">
        <f>IF(CI3&lt;='A&amp;Rs'!$K$9,-'A&amp;Rs'!$O30*(1+'A&amp;Rs'!$N30)^BW$3,0)</f>
        <v>0</v>
      </c>
      <c r="CJ14" s="170">
        <f>IF(CJ3&lt;='A&amp;Rs'!$K$9,-'A&amp;Rs'!$O30*(1+'A&amp;Rs'!$N30)^BX$3,0)</f>
        <v>0</v>
      </c>
      <c r="CK14" s="170">
        <f>IF(CK3&lt;='A&amp;Rs'!$K$9,-'A&amp;Rs'!$O30*(1+'A&amp;Rs'!$N30)^BY$3,0)</f>
        <v>0</v>
      </c>
      <c r="CL14" s="170">
        <f>IF(CL3&lt;='A&amp;Rs'!$K$9,-'A&amp;Rs'!$O30*(1+'A&amp;Rs'!$N30)^BZ$3,0)</f>
        <v>0</v>
      </c>
      <c r="CM14" s="170">
        <f>IF(CM3&lt;='A&amp;Rs'!$K$9,-'A&amp;Rs'!$O30*(1+'A&amp;Rs'!$N30)^CA$3,0)</f>
        <v>0</v>
      </c>
      <c r="CN14" s="170">
        <f>IF(CN3&lt;='A&amp;Rs'!$K$9,-'A&amp;Rs'!$O30*(1+'A&amp;Rs'!$N30)^CB$3,0)</f>
        <v>0</v>
      </c>
      <c r="CO14" s="170">
        <f>IF(CO3&lt;='A&amp;Rs'!$K$9,-'A&amp;Rs'!$O30*(1+'A&amp;Rs'!$N30)^CC$3,0)</f>
        <v>0</v>
      </c>
      <c r="CP14" s="170">
        <f>IF(CP3&lt;='A&amp;Rs'!$K$9,-'A&amp;Rs'!$O30*(1+'A&amp;Rs'!$N30)^CD$3,0)</f>
        <v>0</v>
      </c>
      <c r="CQ14" s="170">
        <f>IF(CQ3&lt;='A&amp;Rs'!$K$9,-'A&amp;Rs'!$O30*(1+'A&amp;Rs'!$N30)^CE$3,0)</f>
        <v>0</v>
      </c>
      <c r="CR14" s="170">
        <f>IF(CR3&lt;='A&amp;Rs'!$K$9,-'A&amp;Rs'!$O30*(1+'A&amp;Rs'!$N30)^CF$3,0)</f>
        <v>0</v>
      </c>
      <c r="CS14" s="170">
        <f>IF(CS3&lt;='A&amp;Rs'!$K$9,-'A&amp;Rs'!$O30*(1+'A&amp;Rs'!$N30)^CG$3,0)</f>
        <v>0</v>
      </c>
      <c r="CT14" s="170">
        <f>IF(CT3&lt;='A&amp;Rs'!$K$9,-'A&amp;Rs'!$O30*(1+'A&amp;Rs'!$N30)^CH$3,0)</f>
        <v>0</v>
      </c>
      <c r="CU14" s="170">
        <f>IF(CU3&lt;='A&amp;Rs'!$K$9,-'A&amp;Rs'!$O30*(1+'A&amp;Rs'!$N30)^CI$3,0)</f>
        <v>0</v>
      </c>
      <c r="CV14" s="170">
        <f>IF(CV3&lt;='A&amp;Rs'!$K$9,-'A&amp;Rs'!$O30*(1+'A&amp;Rs'!$N30)^CJ$3,0)</f>
        <v>0</v>
      </c>
      <c r="CW14" s="170">
        <f>IF(CW3&lt;='A&amp;Rs'!$K$9,-'A&amp;Rs'!$O30*(1+'A&amp;Rs'!$N30)^CK$3,0)</f>
        <v>0</v>
      </c>
      <c r="CX14" s="170">
        <f>IF(CX3&lt;='A&amp;Rs'!$K$9,-'A&amp;Rs'!$O30*(1+'A&amp;Rs'!$N30)^CL$3,0)</f>
        <v>0</v>
      </c>
      <c r="CY14" s="170">
        <f>IF(CY3&lt;='A&amp;Rs'!$K$9,-'A&amp;Rs'!$O30*(1+'A&amp;Rs'!$N30)^CM$3,0)</f>
        <v>0</v>
      </c>
      <c r="CZ14" s="170">
        <f>IF(CZ3&lt;='A&amp;Rs'!$K$9,-'A&amp;Rs'!$O30*(1+'A&amp;Rs'!$N30)^CN$3,0)</f>
        <v>0</v>
      </c>
      <c r="DA14" s="170">
        <f>IF(DA3&lt;='A&amp;Rs'!$K$9,-'A&amp;Rs'!$O30*(1+'A&amp;Rs'!$N30)^CO$3,0)</f>
        <v>0</v>
      </c>
      <c r="DB14" s="170">
        <f>IF(DB3&lt;='A&amp;Rs'!$K$9,-'A&amp;Rs'!$O30*(1+'A&amp;Rs'!$N30)^CP$3,0)</f>
        <v>0</v>
      </c>
      <c r="DC14" s="170">
        <f>IF(DC3&lt;='A&amp;Rs'!$K$9,-'A&amp;Rs'!$O30*(1+'A&amp;Rs'!$N30)^CQ$3,0)</f>
        <v>0</v>
      </c>
      <c r="DD14" s="170">
        <f>IF(DD3&lt;='A&amp;Rs'!$K$9,-'A&amp;Rs'!$O30*(1+'A&amp;Rs'!$N30)^CR$3,0)</f>
        <v>0</v>
      </c>
      <c r="DE14" s="170">
        <f>IF(DE3&lt;='A&amp;Rs'!$K$9,-'A&amp;Rs'!$O30*(1+'A&amp;Rs'!$N30)^CS$3,0)</f>
        <v>0</v>
      </c>
      <c r="DF14" s="170">
        <f>IF(DF3&lt;='A&amp;Rs'!$K$9,-'A&amp;Rs'!$O30*(1+'A&amp;Rs'!$N30)^CT$3,0)</f>
        <v>0</v>
      </c>
      <c r="DG14" s="170">
        <f>IF(DG3&lt;='A&amp;Rs'!$K$9,-'A&amp;Rs'!$O30*(1+'A&amp;Rs'!$N30)^CU$3,0)</f>
        <v>0</v>
      </c>
      <c r="DH14" s="170">
        <f>IF(DH3&lt;='A&amp;Rs'!$K$9,-'A&amp;Rs'!$O30*(1+'A&amp;Rs'!$N30)^CV$3,0)</f>
        <v>0</v>
      </c>
      <c r="DI14" s="170">
        <f>IF(DI3&lt;='A&amp;Rs'!$K$9,-'A&amp;Rs'!$O30*(1+'A&amp;Rs'!$N30)^CW$3,0)</f>
        <v>0</v>
      </c>
      <c r="DJ14" s="170">
        <f>IF(DJ3&lt;='A&amp;Rs'!$K$9,-'A&amp;Rs'!$O30*(1+'A&amp;Rs'!$N30)^CX$3,0)</f>
        <v>0</v>
      </c>
      <c r="DK14" s="170">
        <f>IF(DK3&lt;='A&amp;Rs'!$K$9,-'A&amp;Rs'!$O30*(1+'A&amp;Rs'!$N30)^CY$3,0)</f>
        <v>0</v>
      </c>
      <c r="DL14" s="170">
        <f>IF(DL3&lt;='A&amp;Rs'!$K$9,-'A&amp;Rs'!$O30*(1+'A&amp;Rs'!$N30)^CZ$3,0)</f>
        <v>0</v>
      </c>
      <c r="DM14" s="170">
        <f>IF(DM3&lt;='A&amp;Rs'!$K$9,-'A&amp;Rs'!$O30*(1+'A&amp;Rs'!$N30)^DA$3,0)</f>
        <v>0</v>
      </c>
      <c r="DN14" s="170">
        <f>IF(DN3&lt;='A&amp;Rs'!$K$9,-'A&amp;Rs'!$O30*(1+'A&amp;Rs'!$N30)^DB$3,0)</f>
        <v>0</v>
      </c>
      <c r="DO14" s="170">
        <f>IF(DO3&lt;='A&amp;Rs'!$K$9,-'A&amp;Rs'!$O30*(1+'A&amp;Rs'!$N30)^DC$3,0)</f>
        <v>0</v>
      </c>
      <c r="DP14" s="170">
        <f>IF(DP3&lt;='A&amp;Rs'!$K$9,-'A&amp;Rs'!$O30*(1+'A&amp;Rs'!$N30)^DD$3,0)</f>
        <v>0</v>
      </c>
      <c r="DQ14" s="170">
        <f>IF(DQ3&lt;='A&amp;Rs'!$K$9,-'A&amp;Rs'!$O30*(1+'A&amp;Rs'!$N30)^DE$3,0)</f>
        <v>0</v>
      </c>
      <c r="DR14" s="170">
        <f>IF(DR3&lt;='A&amp;Rs'!$K$9,-'A&amp;Rs'!$O30*(1+'A&amp;Rs'!$N30)^DF$3,0)</f>
        <v>0</v>
      </c>
      <c r="DS14" s="170">
        <f>IF(DS3&lt;='A&amp;Rs'!$K$9,-'A&amp;Rs'!$O30*(1+'A&amp;Rs'!$N30)^DG$3,0)</f>
        <v>0</v>
      </c>
      <c r="DT14" s="170">
        <f>IF(DT3&lt;='A&amp;Rs'!$K$9,-'A&amp;Rs'!$O30*(1+'A&amp;Rs'!$N30)^DH$3,0)</f>
        <v>0</v>
      </c>
      <c r="DU14" s="170">
        <f>IF(DU3&lt;='A&amp;Rs'!$K$9,-'A&amp;Rs'!$O30*(1+'A&amp;Rs'!$N30)^DI$3,0)</f>
        <v>0</v>
      </c>
      <c r="DV14" s="170">
        <f>IF(DV3&lt;='A&amp;Rs'!$K$9,-'A&amp;Rs'!$O30*(1+'A&amp;Rs'!$N30)^DJ$3,0)</f>
        <v>0</v>
      </c>
      <c r="DW14" s="170">
        <f>IF(DW3&lt;='A&amp;Rs'!$K$9,-'A&amp;Rs'!$O30*(1+'A&amp;Rs'!$N30)^DK$3,0)</f>
        <v>0</v>
      </c>
      <c r="DX14" s="170">
        <f>IF(DX3&lt;='A&amp;Rs'!$K$9,-'A&amp;Rs'!$O30*(1+'A&amp;Rs'!$N30)^DL$3,0)</f>
        <v>0</v>
      </c>
      <c r="DY14" s="170">
        <f>IF(DY3&lt;='A&amp;Rs'!$K$9,-'A&amp;Rs'!$O30*(1+'A&amp;Rs'!$N30)^DM$3,0)</f>
        <v>0</v>
      </c>
      <c r="DZ14" s="170">
        <f>IF(DZ3&lt;='A&amp;Rs'!$K$9,-'A&amp;Rs'!$O30*(1+'A&amp;Rs'!$N30)^DN$3,0)</f>
        <v>0</v>
      </c>
      <c r="EA14" s="170">
        <f>IF(EA3&lt;='A&amp;Rs'!$K$9,-'A&amp;Rs'!$O30*(1+'A&amp;Rs'!$N30)^DO$3,0)</f>
        <v>0</v>
      </c>
      <c r="EB14" s="170">
        <f>IF(EB3&lt;='A&amp;Rs'!$K$9,-'A&amp;Rs'!$O30*(1+'A&amp;Rs'!$N30)^DP$3,0)</f>
        <v>0</v>
      </c>
      <c r="EC14" s="170">
        <f>IF(EC3&lt;='A&amp;Rs'!$K$9,-'A&amp;Rs'!$O30*(1+'A&amp;Rs'!$N30)^DQ$3,0)</f>
        <v>0</v>
      </c>
      <c r="ED14" s="171">
        <f>IF(ED3&lt;='A&amp;Rs'!$K$9,-'A&amp;Rs'!$O30*(1+'A&amp;Rs'!$N30)^DR$3,0)</f>
        <v>0</v>
      </c>
      <c r="EE14" s="1"/>
      <c r="EF14" s="1"/>
    </row>
    <row r="15" spans="8:253" x14ac:dyDescent="0.3">
      <c r="K15" s="1"/>
      <c r="L15" s="108" t="str">
        <f>'A&amp;Rs'!M31</f>
        <v>Utilities</v>
      </c>
      <c r="M15" s="112"/>
      <c r="N15" s="59"/>
      <c r="O15" s="170">
        <f>IF(O3&lt;='A&amp;Rs'!$K$9,-'A&amp;Rs'!$O31*(1+'A&amp;Rs'!$N31)^B$3,0)</f>
        <v>-572</v>
      </c>
      <c r="P15" s="170">
        <f>IF(P3&lt;='A&amp;Rs'!$K$9,-'A&amp;Rs'!$O31*(1+'A&amp;Rs'!$N31)^C$3,0)</f>
        <v>-572</v>
      </c>
      <c r="Q15" s="170">
        <f>IF(Q3&lt;='A&amp;Rs'!$K$9,-'A&amp;Rs'!$O31*(1+'A&amp;Rs'!$N31)^D$3,0)</f>
        <v>-572</v>
      </c>
      <c r="R15" s="170">
        <f>IF(R3&lt;='A&amp;Rs'!$K$9,-'A&amp;Rs'!$O31*(1+'A&amp;Rs'!$N31)^E$3,0)</f>
        <v>-572</v>
      </c>
      <c r="S15" s="170">
        <f>IF(S3&lt;='A&amp;Rs'!$K$9,-'A&amp;Rs'!$O31*(1+'A&amp;Rs'!$N31)^F$3,0)</f>
        <v>-572</v>
      </c>
      <c r="T15" s="170">
        <f>IF(T3&lt;='A&amp;Rs'!$K$9,-'A&amp;Rs'!$O31*(1+'A&amp;Rs'!$N31)^G$3,0)</f>
        <v>-572</v>
      </c>
      <c r="U15" s="170">
        <f>IF(U3&lt;='A&amp;Rs'!$K$9,-'A&amp;Rs'!$O31*(1+'A&amp;Rs'!$N31)^H$3,0)</f>
        <v>-572</v>
      </c>
      <c r="V15" s="170">
        <f>IF(V3&lt;='A&amp;Rs'!$K$9,-'A&amp;Rs'!$O31*(1+'A&amp;Rs'!$N31)^I$3,0)</f>
        <v>-572</v>
      </c>
      <c r="W15" s="170">
        <f>IF(W3&lt;='A&amp;Rs'!$K$9,-'A&amp;Rs'!$O31*(1+'A&amp;Rs'!$N31)^J$3,0)</f>
        <v>-572</v>
      </c>
      <c r="X15" s="170">
        <f>IF(X3&lt;='A&amp;Rs'!$K$9,-'A&amp;Rs'!$O31*(1+'A&amp;Rs'!$N31)^K$3,0)</f>
        <v>-572</v>
      </c>
      <c r="Y15" s="170">
        <f>IF(Y3&lt;='A&amp;Rs'!$K$9,-'A&amp;Rs'!$O31*(1+'A&amp;Rs'!$N31)^L$3,0)</f>
        <v>-572</v>
      </c>
      <c r="Z15" s="170">
        <f>IF(Z3&lt;='A&amp;Rs'!$K$9,-'A&amp;Rs'!$O31*(1+'A&amp;Rs'!$N31)^N$3,0)</f>
        <v>-572</v>
      </c>
      <c r="AA15" s="170">
        <f>IF(AA3&lt;='A&amp;Rs'!$K$9,-'A&amp;Rs'!$O31*(1+'A&amp;Rs'!$N31)^O$3,0)</f>
        <v>-589.16</v>
      </c>
      <c r="AB15" s="170">
        <f>IF(AB3&lt;='A&amp;Rs'!$K$9,-'A&amp;Rs'!$O31*(1+'A&amp;Rs'!$N31)^P$3,0)</f>
        <v>-589.16</v>
      </c>
      <c r="AC15" s="170">
        <f>IF(AC3&lt;='A&amp;Rs'!$K$9,-'A&amp;Rs'!$O31*(1+'A&amp;Rs'!$N31)^Q$3,0)</f>
        <v>-589.16</v>
      </c>
      <c r="AD15" s="170">
        <f>IF(AD3&lt;='A&amp;Rs'!$K$9,-'A&amp;Rs'!$O31*(1+'A&amp;Rs'!$N31)^R$3,0)</f>
        <v>-589.16</v>
      </c>
      <c r="AE15" s="170">
        <f>IF(AE3&lt;='A&amp;Rs'!$K$9,-'A&amp;Rs'!$O31*(1+'A&amp;Rs'!$N31)^S$3,0)</f>
        <v>-589.16</v>
      </c>
      <c r="AF15" s="170">
        <f>IF(AF3&lt;='A&amp;Rs'!$K$9,-'A&amp;Rs'!$O31*(1+'A&amp;Rs'!$N31)^T$3,0)</f>
        <v>-589.16</v>
      </c>
      <c r="AG15" s="170">
        <f>IF(AG3&lt;='A&amp;Rs'!$K$9,-'A&amp;Rs'!$O31*(1+'A&amp;Rs'!$N31)^U$3,0)</f>
        <v>-589.16</v>
      </c>
      <c r="AH15" s="170">
        <f>IF(AH3&lt;='A&amp;Rs'!$K$9,-'A&amp;Rs'!$O31*(1+'A&amp;Rs'!$N31)^V$3,0)</f>
        <v>-589.16</v>
      </c>
      <c r="AI15" s="170">
        <f>IF(AI3&lt;='A&amp;Rs'!$K$9,-'A&amp;Rs'!$O31*(1+'A&amp;Rs'!$N31)^W$3,0)</f>
        <v>-589.16</v>
      </c>
      <c r="AJ15" s="170">
        <f>IF(AJ3&lt;='A&amp;Rs'!$K$9,-'A&amp;Rs'!$O31*(1+'A&amp;Rs'!$N31)^X$3,0)</f>
        <v>-589.16</v>
      </c>
      <c r="AK15" s="170">
        <f>IF(AK3&lt;='A&amp;Rs'!$K$9,-'A&amp;Rs'!$O31*(1+'A&amp;Rs'!$N31)^Y$3,0)</f>
        <v>-589.16</v>
      </c>
      <c r="AL15" s="170">
        <f>IF(AL3&lt;='A&amp;Rs'!$K$9,-'A&amp;Rs'!$O31*(1+'A&amp;Rs'!$N31)^Z$3,0)</f>
        <v>-589.16</v>
      </c>
      <c r="AM15" s="170">
        <f>IF(AM3&lt;='A&amp;Rs'!$K$9,-'A&amp;Rs'!$O31*(1+'A&amp;Rs'!$N31)^AA$3,0)</f>
        <v>-606.83479999999997</v>
      </c>
      <c r="AN15" s="170">
        <f>IF(AN3&lt;='A&amp;Rs'!$K$9,-'A&amp;Rs'!$O31*(1+'A&amp;Rs'!$N31)^AB$3,0)</f>
        <v>-606.83479999999997</v>
      </c>
      <c r="AO15" s="170">
        <f>IF(AO3&lt;='A&amp;Rs'!$K$9,-'A&amp;Rs'!$O31*(1+'A&amp;Rs'!$N31)^AC$3,0)</f>
        <v>-606.83479999999997</v>
      </c>
      <c r="AP15" s="170">
        <f>IF(AP3&lt;='A&amp;Rs'!$K$9,-'A&amp;Rs'!$O31*(1+'A&amp;Rs'!$N31)^AD$3,0)</f>
        <v>-606.83479999999997</v>
      </c>
      <c r="AQ15" s="170">
        <f>IF(AQ3&lt;='A&amp;Rs'!$K$9,-'A&amp;Rs'!$O31*(1+'A&amp;Rs'!$N31)^AE$3,0)</f>
        <v>-606.83479999999997</v>
      </c>
      <c r="AR15" s="170">
        <f>IF(AR3&lt;='A&amp;Rs'!$K$9,-'A&amp;Rs'!$O31*(1+'A&amp;Rs'!$N31)^AF$3,0)</f>
        <v>-606.83479999999997</v>
      </c>
      <c r="AS15" s="170">
        <f>IF(AS3&lt;='A&amp;Rs'!$K$9,-'A&amp;Rs'!$O31*(1+'A&amp;Rs'!$N31)^AG$3,0)</f>
        <v>-606.83479999999997</v>
      </c>
      <c r="AT15" s="170">
        <f>IF(AT3&lt;='A&amp;Rs'!$K$9,-'A&amp;Rs'!$O31*(1+'A&amp;Rs'!$N31)^AH$3,0)</f>
        <v>-606.83479999999997</v>
      </c>
      <c r="AU15" s="170">
        <f>IF(AU3&lt;='A&amp;Rs'!$K$9,-'A&amp;Rs'!$O31*(1+'A&amp;Rs'!$N31)^AI$3,0)</f>
        <v>-606.83479999999997</v>
      </c>
      <c r="AV15" s="170">
        <f>IF(AV3&lt;='A&amp;Rs'!$K$9,-'A&amp;Rs'!$O31*(1+'A&amp;Rs'!$N31)^AJ$3,0)</f>
        <v>-606.83479999999997</v>
      </c>
      <c r="AW15" s="170">
        <f>IF(AW3&lt;='A&amp;Rs'!$K$9,-'A&amp;Rs'!$O31*(1+'A&amp;Rs'!$N31)^AK$3,0)</f>
        <v>-606.83479999999997</v>
      </c>
      <c r="AX15" s="170">
        <f>IF(AX3&lt;='A&amp;Rs'!$K$9,-'A&amp;Rs'!$O31*(1+'A&amp;Rs'!$N31)^AL$3,0)</f>
        <v>-606.83479999999997</v>
      </c>
      <c r="AY15" s="170">
        <f>IF(AY3&lt;='A&amp;Rs'!$K$9,-'A&amp;Rs'!$O31*(1+'A&amp;Rs'!$N31)^AM$3,0)</f>
        <v>-625.03984400000002</v>
      </c>
      <c r="AZ15" s="170">
        <f>IF(AZ3&lt;='A&amp;Rs'!$K$9,-'A&amp;Rs'!$O31*(1+'A&amp;Rs'!$N31)^AN$3,0)</f>
        <v>-625.03984400000002</v>
      </c>
      <c r="BA15" s="170">
        <f>IF(BA3&lt;='A&amp;Rs'!$K$9,-'A&amp;Rs'!$O31*(1+'A&amp;Rs'!$N31)^AO$3,0)</f>
        <v>-625.03984400000002</v>
      </c>
      <c r="BB15" s="170">
        <f>IF(BB3&lt;='A&amp;Rs'!$K$9,-'A&amp;Rs'!$O31*(1+'A&amp;Rs'!$N31)^AP$3,0)</f>
        <v>-625.03984400000002</v>
      </c>
      <c r="BC15" s="170">
        <f>IF(BC3&lt;='A&amp;Rs'!$K$9,-'A&amp;Rs'!$O31*(1+'A&amp;Rs'!$N31)^AQ$3,0)</f>
        <v>-625.03984400000002</v>
      </c>
      <c r="BD15" s="170">
        <f>IF(BD3&lt;='A&amp;Rs'!$K$9,-'A&amp;Rs'!$O31*(1+'A&amp;Rs'!$N31)^AR$3,0)</f>
        <v>-625.03984400000002</v>
      </c>
      <c r="BE15" s="170">
        <f>IF(BE3&lt;='A&amp;Rs'!$K$9,-'A&amp;Rs'!$O31*(1+'A&amp;Rs'!$N31)^AS$3,0)</f>
        <v>-625.03984400000002</v>
      </c>
      <c r="BF15" s="170">
        <f>IF(BF3&lt;='A&amp;Rs'!$K$9,-'A&amp;Rs'!$O31*(1+'A&amp;Rs'!$N31)^AT$3,0)</f>
        <v>-625.03984400000002</v>
      </c>
      <c r="BG15" s="170">
        <f>IF(BG3&lt;='A&amp;Rs'!$K$9,-'A&amp;Rs'!$O31*(1+'A&amp;Rs'!$N31)^AU$3,0)</f>
        <v>-625.03984400000002</v>
      </c>
      <c r="BH15" s="170">
        <f>IF(BH3&lt;='A&amp;Rs'!$K$9,-'A&amp;Rs'!$O31*(1+'A&amp;Rs'!$N31)^AV$3,0)</f>
        <v>-625.03984400000002</v>
      </c>
      <c r="BI15" s="170">
        <f>IF(BI3&lt;='A&amp;Rs'!$K$9,-'A&amp;Rs'!$O31*(1+'A&amp;Rs'!$N31)^AW$3,0)</f>
        <v>-625.03984400000002</v>
      </c>
      <c r="BJ15" s="170">
        <f>IF(BJ3&lt;='A&amp;Rs'!$K$9,-'A&amp;Rs'!$O31*(1+'A&amp;Rs'!$N31)^AX$3,0)</f>
        <v>-625.03984400000002</v>
      </c>
      <c r="BK15" s="170">
        <f>IF(BK3&lt;='A&amp;Rs'!$K$9,-'A&amp;Rs'!$O31*(1+'A&amp;Rs'!$N31)^AY$3,0)</f>
        <v>-643.79103931999998</v>
      </c>
      <c r="BL15" s="170">
        <f>IF(BL3&lt;='A&amp;Rs'!$K$9,-'A&amp;Rs'!$O31*(1+'A&amp;Rs'!$N31)^AZ$3,0)</f>
        <v>-643.79103931999998</v>
      </c>
      <c r="BM15" s="170">
        <f>IF(BM3&lt;='A&amp;Rs'!$K$9,-'A&amp;Rs'!$O31*(1+'A&amp;Rs'!$N31)^BA$3,0)</f>
        <v>-643.79103931999998</v>
      </c>
      <c r="BN15" s="170">
        <f>IF(BN3&lt;='A&amp;Rs'!$K$9,-'A&amp;Rs'!$O31*(1+'A&amp;Rs'!$N31)^BB$3,0)</f>
        <v>-643.79103931999998</v>
      </c>
      <c r="BO15" s="170">
        <f>IF(BO3&lt;='A&amp;Rs'!$K$9,-'A&amp;Rs'!$O31*(1+'A&amp;Rs'!$N31)^BC$3,0)</f>
        <v>-643.79103931999998</v>
      </c>
      <c r="BP15" s="170">
        <f>IF(BP3&lt;='A&amp;Rs'!$K$9,-'A&amp;Rs'!$O31*(1+'A&amp;Rs'!$N31)^BD$3,0)</f>
        <v>-643.79103931999998</v>
      </c>
      <c r="BQ15" s="170">
        <f>IF(BQ3&lt;='A&amp;Rs'!$K$9,-'A&amp;Rs'!$O31*(1+'A&amp;Rs'!$N31)^BE$3,0)</f>
        <v>-643.79103931999998</v>
      </c>
      <c r="BR15" s="170">
        <f>IF(BR3&lt;='A&amp;Rs'!$K$9,-'A&amp;Rs'!$O31*(1+'A&amp;Rs'!$N31)^BF$3,0)</f>
        <v>-643.79103931999998</v>
      </c>
      <c r="BS15" s="170">
        <f>IF(BS3&lt;='A&amp;Rs'!$K$9,-'A&amp;Rs'!$O31*(1+'A&amp;Rs'!$N31)^BG$3,0)</f>
        <v>-643.79103931999998</v>
      </c>
      <c r="BT15" s="170">
        <f>IF(BT3&lt;='A&amp;Rs'!$K$9,-'A&amp;Rs'!$O31*(1+'A&amp;Rs'!$N31)^BH$3,0)</f>
        <v>-643.79103931999998</v>
      </c>
      <c r="BU15" s="170">
        <f>IF(BU3&lt;='A&amp;Rs'!$K$9,-'A&amp;Rs'!$O31*(1+'A&amp;Rs'!$N31)^BI$3,0)</f>
        <v>-643.79103931999998</v>
      </c>
      <c r="BV15" s="170">
        <f>IF(BV3&lt;='A&amp;Rs'!$K$9,-'A&amp;Rs'!$O31*(1+'A&amp;Rs'!$N31)^BJ$3,0)</f>
        <v>-643.79103931999998</v>
      </c>
      <c r="BW15" s="170">
        <f>IF(BW3&lt;='A&amp;Rs'!$K$9,-'A&amp;Rs'!$O31*(1+'A&amp;Rs'!$N31)^BK$3,0)</f>
        <v>0</v>
      </c>
      <c r="BX15" s="170">
        <f>IF(BX3&lt;='A&amp;Rs'!$K$9,-'A&amp;Rs'!$O31*(1+'A&amp;Rs'!$N31)^BL$3,0)</f>
        <v>0</v>
      </c>
      <c r="BY15" s="170">
        <f>IF(BY3&lt;='A&amp;Rs'!$K$9,-'A&amp;Rs'!$O31*(1+'A&amp;Rs'!$N31)^BM$3,0)</f>
        <v>0</v>
      </c>
      <c r="BZ15" s="170">
        <f>IF(BZ3&lt;='A&amp;Rs'!$K$9,-'A&amp;Rs'!$O31*(1+'A&amp;Rs'!$N31)^BN$3,0)</f>
        <v>0</v>
      </c>
      <c r="CA15" s="170">
        <f>IF(CA3&lt;='A&amp;Rs'!$K$9,-'A&amp;Rs'!$O31*(1+'A&amp;Rs'!$N31)^BO$3,0)</f>
        <v>0</v>
      </c>
      <c r="CB15" s="170">
        <f>IF(CB3&lt;='A&amp;Rs'!$K$9,-'A&amp;Rs'!$O31*(1+'A&amp;Rs'!$N31)^BP$3,0)</f>
        <v>0</v>
      </c>
      <c r="CC15" s="170">
        <f>IF(CC3&lt;='A&amp;Rs'!$K$9,-'A&amp;Rs'!$O31*(1+'A&amp;Rs'!$N31)^BQ$3,0)</f>
        <v>0</v>
      </c>
      <c r="CD15" s="170">
        <f>IF(CD3&lt;='A&amp;Rs'!$K$9,-'A&amp;Rs'!$O31*(1+'A&amp;Rs'!$N31)^BR$3,0)</f>
        <v>0</v>
      </c>
      <c r="CE15" s="170">
        <f>IF(CE3&lt;='A&amp;Rs'!$K$9,-'A&amp;Rs'!$O31*(1+'A&amp;Rs'!$N31)^BS$3,0)</f>
        <v>0</v>
      </c>
      <c r="CF15" s="170">
        <f>IF(CF3&lt;='A&amp;Rs'!$K$9,-'A&amp;Rs'!$O31*(1+'A&amp;Rs'!$N31)^BT$3,0)</f>
        <v>0</v>
      </c>
      <c r="CG15" s="170">
        <f>IF(CG3&lt;='A&amp;Rs'!$K$9,-'A&amp;Rs'!$O31*(1+'A&amp;Rs'!$N31)^BU$3,0)</f>
        <v>0</v>
      </c>
      <c r="CH15" s="170">
        <f>IF(CH3&lt;='A&amp;Rs'!$K$9,-'A&amp;Rs'!$O31*(1+'A&amp;Rs'!$N31)^BV$3,0)</f>
        <v>0</v>
      </c>
      <c r="CI15" s="170">
        <f>IF(CI3&lt;='A&amp;Rs'!$K$9,-'A&amp;Rs'!$O31*(1+'A&amp;Rs'!$N31)^BW$3,0)</f>
        <v>0</v>
      </c>
      <c r="CJ15" s="170">
        <f>IF(CJ3&lt;='A&amp;Rs'!$K$9,-'A&amp;Rs'!$O31*(1+'A&amp;Rs'!$N31)^BX$3,0)</f>
        <v>0</v>
      </c>
      <c r="CK15" s="170">
        <f>IF(CK3&lt;='A&amp;Rs'!$K$9,-'A&amp;Rs'!$O31*(1+'A&amp;Rs'!$N31)^BY$3,0)</f>
        <v>0</v>
      </c>
      <c r="CL15" s="170">
        <f>IF(CL3&lt;='A&amp;Rs'!$K$9,-'A&amp;Rs'!$O31*(1+'A&amp;Rs'!$N31)^BZ$3,0)</f>
        <v>0</v>
      </c>
      <c r="CM15" s="170">
        <f>IF(CM3&lt;='A&amp;Rs'!$K$9,-'A&amp;Rs'!$O31*(1+'A&amp;Rs'!$N31)^CA$3,0)</f>
        <v>0</v>
      </c>
      <c r="CN15" s="170">
        <f>IF(CN3&lt;='A&amp;Rs'!$K$9,-'A&amp;Rs'!$O31*(1+'A&amp;Rs'!$N31)^CB$3,0)</f>
        <v>0</v>
      </c>
      <c r="CO15" s="170">
        <f>IF(CO3&lt;='A&amp;Rs'!$K$9,-'A&amp;Rs'!$O31*(1+'A&amp;Rs'!$N31)^CC$3,0)</f>
        <v>0</v>
      </c>
      <c r="CP15" s="170">
        <f>IF(CP3&lt;='A&amp;Rs'!$K$9,-'A&amp;Rs'!$O31*(1+'A&amp;Rs'!$N31)^CD$3,0)</f>
        <v>0</v>
      </c>
      <c r="CQ15" s="170">
        <f>IF(CQ3&lt;='A&amp;Rs'!$K$9,-'A&amp;Rs'!$O31*(1+'A&amp;Rs'!$N31)^CE$3,0)</f>
        <v>0</v>
      </c>
      <c r="CR15" s="170">
        <f>IF(CR3&lt;='A&amp;Rs'!$K$9,-'A&amp;Rs'!$O31*(1+'A&amp;Rs'!$N31)^CF$3,0)</f>
        <v>0</v>
      </c>
      <c r="CS15" s="170">
        <f>IF(CS3&lt;='A&amp;Rs'!$K$9,-'A&amp;Rs'!$O31*(1+'A&amp;Rs'!$N31)^CG$3,0)</f>
        <v>0</v>
      </c>
      <c r="CT15" s="170">
        <f>IF(CT3&lt;='A&amp;Rs'!$K$9,-'A&amp;Rs'!$O31*(1+'A&amp;Rs'!$N31)^CH$3,0)</f>
        <v>0</v>
      </c>
      <c r="CU15" s="170">
        <f>IF(CU3&lt;='A&amp;Rs'!$K$9,-'A&amp;Rs'!$O31*(1+'A&amp;Rs'!$N31)^CI$3,0)</f>
        <v>0</v>
      </c>
      <c r="CV15" s="170">
        <f>IF(CV3&lt;='A&amp;Rs'!$K$9,-'A&amp;Rs'!$O31*(1+'A&amp;Rs'!$N31)^CJ$3,0)</f>
        <v>0</v>
      </c>
      <c r="CW15" s="170">
        <f>IF(CW3&lt;='A&amp;Rs'!$K$9,-'A&amp;Rs'!$O31*(1+'A&amp;Rs'!$N31)^CK$3,0)</f>
        <v>0</v>
      </c>
      <c r="CX15" s="170">
        <f>IF(CX3&lt;='A&amp;Rs'!$K$9,-'A&amp;Rs'!$O31*(1+'A&amp;Rs'!$N31)^CL$3,0)</f>
        <v>0</v>
      </c>
      <c r="CY15" s="170">
        <f>IF(CY3&lt;='A&amp;Rs'!$K$9,-'A&amp;Rs'!$O31*(1+'A&amp;Rs'!$N31)^CM$3,0)</f>
        <v>0</v>
      </c>
      <c r="CZ15" s="170">
        <f>IF(CZ3&lt;='A&amp;Rs'!$K$9,-'A&amp;Rs'!$O31*(1+'A&amp;Rs'!$N31)^CN$3,0)</f>
        <v>0</v>
      </c>
      <c r="DA15" s="170">
        <f>IF(DA3&lt;='A&amp;Rs'!$K$9,-'A&amp;Rs'!$O31*(1+'A&amp;Rs'!$N31)^CO$3,0)</f>
        <v>0</v>
      </c>
      <c r="DB15" s="170">
        <f>IF(DB3&lt;='A&amp;Rs'!$K$9,-'A&amp;Rs'!$O31*(1+'A&amp;Rs'!$N31)^CP$3,0)</f>
        <v>0</v>
      </c>
      <c r="DC15" s="170">
        <f>IF(DC3&lt;='A&amp;Rs'!$K$9,-'A&amp;Rs'!$O31*(1+'A&amp;Rs'!$N31)^CQ$3,0)</f>
        <v>0</v>
      </c>
      <c r="DD15" s="170">
        <f>IF(DD3&lt;='A&amp;Rs'!$K$9,-'A&amp;Rs'!$O31*(1+'A&amp;Rs'!$N31)^CR$3,0)</f>
        <v>0</v>
      </c>
      <c r="DE15" s="170">
        <f>IF(DE3&lt;='A&amp;Rs'!$K$9,-'A&amp;Rs'!$O31*(1+'A&amp;Rs'!$N31)^CS$3,0)</f>
        <v>0</v>
      </c>
      <c r="DF15" s="170">
        <f>IF(DF3&lt;='A&amp;Rs'!$K$9,-'A&amp;Rs'!$O31*(1+'A&amp;Rs'!$N31)^CT$3,0)</f>
        <v>0</v>
      </c>
      <c r="DG15" s="170">
        <f>IF(DG3&lt;='A&amp;Rs'!$K$9,-'A&amp;Rs'!$O31*(1+'A&amp;Rs'!$N31)^CU$3,0)</f>
        <v>0</v>
      </c>
      <c r="DH15" s="170">
        <f>IF(DH3&lt;='A&amp;Rs'!$K$9,-'A&amp;Rs'!$O31*(1+'A&amp;Rs'!$N31)^CV$3,0)</f>
        <v>0</v>
      </c>
      <c r="DI15" s="170">
        <f>IF(DI3&lt;='A&amp;Rs'!$K$9,-'A&amp;Rs'!$O31*(1+'A&amp;Rs'!$N31)^CW$3,0)</f>
        <v>0</v>
      </c>
      <c r="DJ15" s="170">
        <f>IF(DJ3&lt;='A&amp;Rs'!$K$9,-'A&amp;Rs'!$O31*(1+'A&amp;Rs'!$N31)^CX$3,0)</f>
        <v>0</v>
      </c>
      <c r="DK15" s="170">
        <f>IF(DK3&lt;='A&amp;Rs'!$K$9,-'A&amp;Rs'!$O31*(1+'A&amp;Rs'!$N31)^CY$3,0)</f>
        <v>0</v>
      </c>
      <c r="DL15" s="170">
        <f>IF(DL3&lt;='A&amp;Rs'!$K$9,-'A&amp;Rs'!$O31*(1+'A&amp;Rs'!$N31)^CZ$3,0)</f>
        <v>0</v>
      </c>
      <c r="DM15" s="170">
        <f>IF(DM3&lt;='A&amp;Rs'!$K$9,-'A&amp;Rs'!$O31*(1+'A&amp;Rs'!$N31)^DA$3,0)</f>
        <v>0</v>
      </c>
      <c r="DN15" s="170">
        <f>IF(DN3&lt;='A&amp;Rs'!$K$9,-'A&amp;Rs'!$O31*(1+'A&amp;Rs'!$N31)^DB$3,0)</f>
        <v>0</v>
      </c>
      <c r="DO15" s="170">
        <f>IF(DO3&lt;='A&amp;Rs'!$K$9,-'A&amp;Rs'!$O31*(1+'A&amp;Rs'!$N31)^DC$3,0)</f>
        <v>0</v>
      </c>
      <c r="DP15" s="170">
        <f>IF(DP3&lt;='A&amp;Rs'!$K$9,-'A&amp;Rs'!$O31*(1+'A&amp;Rs'!$N31)^DD$3,0)</f>
        <v>0</v>
      </c>
      <c r="DQ15" s="170">
        <f>IF(DQ3&lt;='A&amp;Rs'!$K$9,-'A&amp;Rs'!$O31*(1+'A&amp;Rs'!$N31)^DE$3,0)</f>
        <v>0</v>
      </c>
      <c r="DR15" s="170">
        <f>IF(DR3&lt;='A&amp;Rs'!$K$9,-'A&amp;Rs'!$O31*(1+'A&amp;Rs'!$N31)^DF$3,0)</f>
        <v>0</v>
      </c>
      <c r="DS15" s="170">
        <f>IF(DS3&lt;='A&amp;Rs'!$K$9,-'A&amp;Rs'!$O31*(1+'A&amp;Rs'!$N31)^DG$3,0)</f>
        <v>0</v>
      </c>
      <c r="DT15" s="170">
        <f>IF(DT3&lt;='A&amp;Rs'!$K$9,-'A&amp;Rs'!$O31*(1+'A&amp;Rs'!$N31)^DH$3,0)</f>
        <v>0</v>
      </c>
      <c r="DU15" s="170">
        <f>IF(DU3&lt;='A&amp;Rs'!$K$9,-'A&amp;Rs'!$O31*(1+'A&amp;Rs'!$N31)^DI$3,0)</f>
        <v>0</v>
      </c>
      <c r="DV15" s="170">
        <f>IF(DV3&lt;='A&amp;Rs'!$K$9,-'A&amp;Rs'!$O31*(1+'A&amp;Rs'!$N31)^DJ$3,0)</f>
        <v>0</v>
      </c>
      <c r="DW15" s="170">
        <f>IF(DW3&lt;='A&amp;Rs'!$K$9,-'A&amp;Rs'!$O31*(1+'A&amp;Rs'!$N31)^DK$3,0)</f>
        <v>0</v>
      </c>
      <c r="DX15" s="170">
        <f>IF(DX3&lt;='A&amp;Rs'!$K$9,-'A&amp;Rs'!$O31*(1+'A&amp;Rs'!$N31)^DL$3,0)</f>
        <v>0</v>
      </c>
      <c r="DY15" s="170">
        <f>IF(DY3&lt;='A&amp;Rs'!$K$9,-'A&amp;Rs'!$O31*(1+'A&amp;Rs'!$N31)^DM$3,0)</f>
        <v>0</v>
      </c>
      <c r="DZ15" s="170">
        <f>IF(DZ3&lt;='A&amp;Rs'!$K$9,-'A&amp;Rs'!$O31*(1+'A&amp;Rs'!$N31)^DN$3,0)</f>
        <v>0</v>
      </c>
      <c r="EA15" s="170">
        <f>IF(EA3&lt;='A&amp;Rs'!$K$9,-'A&amp;Rs'!$O31*(1+'A&amp;Rs'!$N31)^DO$3,0)</f>
        <v>0</v>
      </c>
      <c r="EB15" s="170">
        <f>IF(EB3&lt;='A&amp;Rs'!$K$9,-'A&amp;Rs'!$O31*(1+'A&amp;Rs'!$N31)^DP$3,0)</f>
        <v>0</v>
      </c>
      <c r="EC15" s="170">
        <f>IF(EC3&lt;='A&amp;Rs'!$K$9,-'A&amp;Rs'!$O31*(1+'A&amp;Rs'!$N31)^DQ$3,0)</f>
        <v>0</v>
      </c>
      <c r="ED15" s="171">
        <f>IF(ED3&lt;='A&amp;Rs'!$K$9,-'A&amp;Rs'!$O31*(1+'A&amp;Rs'!$N31)^DR$3,0)</f>
        <v>0</v>
      </c>
      <c r="EE15" s="1"/>
      <c r="EF15" s="1"/>
    </row>
    <row r="16" spans="8:253" x14ac:dyDescent="0.3">
      <c r="K16" s="1"/>
      <c r="L16" s="108" t="str">
        <f>'A&amp;Rs'!M32</f>
        <v>Other Monthly Expense</v>
      </c>
      <c r="M16" s="112"/>
      <c r="N16" s="59"/>
      <c r="O16" s="170">
        <f>IF(O3&lt;='A&amp;Rs'!$K$9,-'A&amp;Rs'!$O32*(1+'A&amp;Rs'!$N32)^B$3,0)</f>
        <v>-150</v>
      </c>
      <c r="P16" s="170">
        <f>IF(P3&lt;='A&amp;Rs'!$K$9,-'A&amp;Rs'!$O32*(1+'A&amp;Rs'!$N32)^C$3,0)</f>
        <v>-150</v>
      </c>
      <c r="Q16" s="170">
        <f>IF(Q3&lt;='A&amp;Rs'!$K$9,-'A&amp;Rs'!$O32*(1+'A&amp;Rs'!$N32)^D$3,0)</f>
        <v>-150</v>
      </c>
      <c r="R16" s="170">
        <f>IF(R3&lt;='A&amp;Rs'!$K$9,-'A&amp;Rs'!$O32*(1+'A&amp;Rs'!$N32)^E$3,0)</f>
        <v>-150</v>
      </c>
      <c r="S16" s="170">
        <f>IF(S3&lt;='A&amp;Rs'!$K$9,-'A&amp;Rs'!$O32*(1+'A&amp;Rs'!$N32)^F$3,0)</f>
        <v>-150</v>
      </c>
      <c r="T16" s="170">
        <f>IF(T3&lt;='A&amp;Rs'!$K$9,-'A&amp;Rs'!$O32*(1+'A&amp;Rs'!$N32)^G$3,0)</f>
        <v>-150</v>
      </c>
      <c r="U16" s="170">
        <f>IF(U3&lt;='A&amp;Rs'!$K$9,-'A&amp;Rs'!$O32*(1+'A&amp;Rs'!$N32)^H$3,0)</f>
        <v>-150</v>
      </c>
      <c r="V16" s="170">
        <f>IF(V3&lt;='A&amp;Rs'!$K$9,-'A&amp;Rs'!$O32*(1+'A&amp;Rs'!$N32)^I$3,0)</f>
        <v>-150</v>
      </c>
      <c r="W16" s="170">
        <f>IF(W3&lt;='A&amp;Rs'!$K$9,-'A&amp;Rs'!$O32*(1+'A&amp;Rs'!$N32)^J$3,0)</f>
        <v>-150</v>
      </c>
      <c r="X16" s="170">
        <f>IF(X3&lt;='A&amp;Rs'!$K$9,-'A&amp;Rs'!$O32*(1+'A&amp;Rs'!$N32)^K$3,0)</f>
        <v>-150</v>
      </c>
      <c r="Y16" s="170">
        <f>IF(Y3&lt;='A&amp;Rs'!$K$9,-'A&amp;Rs'!$O32*(1+'A&amp;Rs'!$N32)^L$3,0)</f>
        <v>-150</v>
      </c>
      <c r="Z16" s="170">
        <f>IF(Z3&lt;='A&amp;Rs'!$K$9,-'A&amp;Rs'!$O32*(1+'A&amp;Rs'!$N32)^N$3,0)</f>
        <v>-150</v>
      </c>
      <c r="AA16" s="170">
        <f>IF(AA3&lt;='A&amp;Rs'!$K$9,-'A&amp;Rs'!$O32*(1+'A&amp;Rs'!$N32)^O$3,0)</f>
        <v>-154.5</v>
      </c>
      <c r="AB16" s="170">
        <f>IF(AB3&lt;='A&amp;Rs'!$K$9,-'A&amp;Rs'!$O32*(1+'A&amp;Rs'!$N32)^P$3,0)</f>
        <v>-154.5</v>
      </c>
      <c r="AC16" s="170">
        <f>IF(AC3&lt;='A&amp;Rs'!$K$9,-'A&amp;Rs'!$O32*(1+'A&amp;Rs'!$N32)^Q$3,0)</f>
        <v>-154.5</v>
      </c>
      <c r="AD16" s="170">
        <f>IF(AD3&lt;='A&amp;Rs'!$K$9,-'A&amp;Rs'!$O32*(1+'A&amp;Rs'!$N32)^R$3,0)</f>
        <v>-154.5</v>
      </c>
      <c r="AE16" s="170">
        <f>IF(AE3&lt;='A&amp;Rs'!$K$9,-'A&amp;Rs'!$O32*(1+'A&amp;Rs'!$N32)^S$3,0)</f>
        <v>-154.5</v>
      </c>
      <c r="AF16" s="170">
        <f>IF(AF3&lt;='A&amp;Rs'!$K$9,-'A&amp;Rs'!$O32*(1+'A&amp;Rs'!$N32)^T$3,0)</f>
        <v>-154.5</v>
      </c>
      <c r="AG16" s="170">
        <f>IF(AG3&lt;='A&amp;Rs'!$K$9,-'A&amp;Rs'!$O32*(1+'A&amp;Rs'!$N32)^U$3,0)</f>
        <v>-154.5</v>
      </c>
      <c r="AH16" s="170">
        <f>IF(AH3&lt;='A&amp;Rs'!$K$9,-'A&amp;Rs'!$O32*(1+'A&amp;Rs'!$N32)^V$3,0)</f>
        <v>-154.5</v>
      </c>
      <c r="AI16" s="170">
        <f>IF(AI3&lt;='A&amp;Rs'!$K$9,-'A&amp;Rs'!$O32*(1+'A&amp;Rs'!$N32)^W$3,0)</f>
        <v>-154.5</v>
      </c>
      <c r="AJ16" s="170">
        <f>IF(AJ3&lt;='A&amp;Rs'!$K$9,-'A&amp;Rs'!$O32*(1+'A&amp;Rs'!$N32)^X$3,0)</f>
        <v>-154.5</v>
      </c>
      <c r="AK16" s="170">
        <f>IF(AK3&lt;='A&amp;Rs'!$K$9,-'A&amp;Rs'!$O32*(1+'A&amp;Rs'!$N32)^Y$3,0)</f>
        <v>-154.5</v>
      </c>
      <c r="AL16" s="170">
        <f>IF(AL3&lt;='A&amp;Rs'!$K$9,-'A&amp;Rs'!$O32*(1+'A&amp;Rs'!$N32)^Z$3,0)</f>
        <v>-154.5</v>
      </c>
      <c r="AM16" s="170">
        <f>IF(AM3&lt;='A&amp;Rs'!$K$9,-'A&amp;Rs'!$O32*(1+'A&amp;Rs'!$N32)^AA$3,0)</f>
        <v>-159.13499999999999</v>
      </c>
      <c r="AN16" s="170">
        <f>IF(AN3&lt;='A&amp;Rs'!$K$9,-'A&amp;Rs'!$O32*(1+'A&amp;Rs'!$N32)^AB$3,0)</f>
        <v>-159.13499999999999</v>
      </c>
      <c r="AO16" s="170">
        <f>IF(AO3&lt;='A&amp;Rs'!$K$9,-'A&amp;Rs'!$O32*(1+'A&amp;Rs'!$N32)^AC$3,0)</f>
        <v>-159.13499999999999</v>
      </c>
      <c r="AP16" s="170">
        <f>IF(AP3&lt;='A&amp;Rs'!$K$9,-'A&amp;Rs'!$O32*(1+'A&amp;Rs'!$N32)^AD$3,0)</f>
        <v>-159.13499999999999</v>
      </c>
      <c r="AQ16" s="170">
        <f>IF(AQ3&lt;='A&amp;Rs'!$K$9,-'A&amp;Rs'!$O32*(1+'A&amp;Rs'!$N32)^AE$3,0)</f>
        <v>-159.13499999999999</v>
      </c>
      <c r="AR16" s="170">
        <f>IF(AR3&lt;='A&amp;Rs'!$K$9,-'A&amp;Rs'!$O32*(1+'A&amp;Rs'!$N32)^AF$3,0)</f>
        <v>-159.13499999999999</v>
      </c>
      <c r="AS16" s="170">
        <f>IF(AS3&lt;='A&amp;Rs'!$K$9,-'A&amp;Rs'!$O32*(1+'A&amp;Rs'!$N32)^AG$3,0)</f>
        <v>-159.13499999999999</v>
      </c>
      <c r="AT16" s="170">
        <f>IF(AT3&lt;='A&amp;Rs'!$K$9,-'A&amp;Rs'!$O32*(1+'A&amp;Rs'!$N32)^AH$3,0)</f>
        <v>-159.13499999999999</v>
      </c>
      <c r="AU16" s="170">
        <f>IF(AU3&lt;='A&amp;Rs'!$K$9,-'A&amp;Rs'!$O32*(1+'A&amp;Rs'!$N32)^AI$3,0)</f>
        <v>-159.13499999999999</v>
      </c>
      <c r="AV16" s="170">
        <f>IF(AV3&lt;='A&amp;Rs'!$K$9,-'A&amp;Rs'!$O32*(1+'A&amp;Rs'!$N32)^AJ$3,0)</f>
        <v>-159.13499999999999</v>
      </c>
      <c r="AW16" s="170">
        <f>IF(AW3&lt;='A&amp;Rs'!$K$9,-'A&amp;Rs'!$O32*(1+'A&amp;Rs'!$N32)^AK$3,0)</f>
        <v>-159.13499999999999</v>
      </c>
      <c r="AX16" s="170">
        <f>IF(AX3&lt;='A&amp;Rs'!$K$9,-'A&amp;Rs'!$O32*(1+'A&amp;Rs'!$N32)^AL$3,0)</f>
        <v>-159.13499999999999</v>
      </c>
      <c r="AY16" s="170">
        <f>IF(AY3&lt;='A&amp;Rs'!$K$9,-'A&amp;Rs'!$O32*(1+'A&amp;Rs'!$N32)^AM$3,0)</f>
        <v>-163.90905000000001</v>
      </c>
      <c r="AZ16" s="170">
        <f>IF(AZ3&lt;='A&amp;Rs'!$K$9,-'A&amp;Rs'!$O32*(1+'A&amp;Rs'!$N32)^AN$3,0)</f>
        <v>-163.90905000000001</v>
      </c>
      <c r="BA16" s="170">
        <f>IF(BA3&lt;='A&amp;Rs'!$K$9,-'A&amp;Rs'!$O32*(1+'A&amp;Rs'!$N32)^AO$3,0)</f>
        <v>-163.90905000000001</v>
      </c>
      <c r="BB16" s="170">
        <f>IF(BB3&lt;='A&amp;Rs'!$K$9,-'A&amp;Rs'!$O32*(1+'A&amp;Rs'!$N32)^AP$3,0)</f>
        <v>-163.90905000000001</v>
      </c>
      <c r="BC16" s="170">
        <f>IF(BC3&lt;='A&amp;Rs'!$K$9,-'A&amp;Rs'!$O32*(1+'A&amp;Rs'!$N32)^AQ$3,0)</f>
        <v>-163.90905000000001</v>
      </c>
      <c r="BD16" s="170">
        <f>IF(BD3&lt;='A&amp;Rs'!$K$9,-'A&amp;Rs'!$O32*(1+'A&amp;Rs'!$N32)^AR$3,0)</f>
        <v>-163.90905000000001</v>
      </c>
      <c r="BE16" s="170">
        <f>IF(BE3&lt;='A&amp;Rs'!$K$9,-'A&amp;Rs'!$O32*(1+'A&amp;Rs'!$N32)^AS$3,0)</f>
        <v>-163.90905000000001</v>
      </c>
      <c r="BF16" s="170">
        <f>IF(BF3&lt;='A&amp;Rs'!$K$9,-'A&amp;Rs'!$O32*(1+'A&amp;Rs'!$N32)^AT$3,0)</f>
        <v>-163.90905000000001</v>
      </c>
      <c r="BG16" s="170">
        <f>IF(BG3&lt;='A&amp;Rs'!$K$9,-'A&amp;Rs'!$O32*(1+'A&amp;Rs'!$N32)^AU$3,0)</f>
        <v>-163.90905000000001</v>
      </c>
      <c r="BH16" s="170">
        <f>IF(BH3&lt;='A&amp;Rs'!$K$9,-'A&amp;Rs'!$O32*(1+'A&amp;Rs'!$N32)^AV$3,0)</f>
        <v>-163.90905000000001</v>
      </c>
      <c r="BI16" s="170">
        <f>IF(BI3&lt;='A&amp;Rs'!$K$9,-'A&amp;Rs'!$O32*(1+'A&amp;Rs'!$N32)^AW$3,0)</f>
        <v>-163.90905000000001</v>
      </c>
      <c r="BJ16" s="170">
        <f>IF(BJ3&lt;='A&amp;Rs'!$K$9,-'A&amp;Rs'!$O32*(1+'A&amp;Rs'!$N32)^AX$3,0)</f>
        <v>-163.90905000000001</v>
      </c>
      <c r="BK16" s="170">
        <f>IF(BK3&lt;='A&amp;Rs'!$K$9,-'A&amp;Rs'!$O32*(1+'A&amp;Rs'!$N32)^AY$3,0)</f>
        <v>-168.82632149999998</v>
      </c>
      <c r="BL16" s="170">
        <f>IF(BL3&lt;='A&amp;Rs'!$K$9,-'A&amp;Rs'!$O32*(1+'A&amp;Rs'!$N32)^AZ$3,0)</f>
        <v>-168.82632149999998</v>
      </c>
      <c r="BM16" s="170">
        <f>IF(BM3&lt;='A&amp;Rs'!$K$9,-'A&amp;Rs'!$O32*(1+'A&amp;Rs'!$N32)^BA$3,0)</f>
        <v>-168.82632149999998</v>
      </c>
      <c r="BN16" s="170">
        <f>IF(BN3&lt;='A&amp;Rs'!$K$9,-'A&amp;Rs'!$O32*(1+'A&amp;Rs'!$N32)^BB$3,0)</f>
        <v>-168.82632149999998</v>
      </c>
      <c r="BO16" s="170">
        <f>IF(BO3&lt;='A&amp;Rs'!$K$9,-'A&amp;Rs'!$O32*(1+'A&amp;Rs'!$N32)^BC$3,0)</f>
        <v>-168.82632149999998</v>
      </c>
      <c r="BP16" s="170">
        <f>IF(BP3&lt;='A&amp;Rs'!$K$9,-'A&amp;Rs'!$O32*(1+'A&amp;Rs'!$N32)^BD$3,0)</f>
        <v>-168.82632149999998</v>
      </c>
      <c r="BQ16" s="170">
        <f>IF(BQ3&lt;='A&amp;Rs'!$K$9,-'A&amp;Rs'!$O32*(1+'A&amp;Rs'!$N32)^BE$3,0)</f>
        <v>-168.82632149999998</v>
      </c>
      <c r="BR16" s="170">
        <f>IF(BR3&lt;='A&amp;Rs'!$K$9,-'A&amp;Rs'!$O32*(1+'A&amp;Rs'!$N32)^BF$3,0)</f>
        <v>-168.82632149999998</v>
      </c>
      <c r="BS16" s="170">
        <f>IF(BS3&lt;='A&amp;Rs'!$K$9,-'A&amp;Rs'!$O32*(1+'A&amp;Rs'!$N32)^BG$3,0)</f>
        <v>-168.82632149999998</v>
      </c>
      <c r="BT16" s="170">
        <f>IF(BT3&lt;='A&amp;Rs'!$K$9,-'A&amp;Rs'!$O32*(1+'A&amp;Rs'!$N32)^BH$3,0)</f>
        <v>-168.82632149999998</v>
      </c>
      <c r="BU16" s="170">
        <f>IF(BU3&lt;='A&amp;Rs'!$K$9,-'A&amp;Rs'!$O32*(1+'A&amp;Rs'!$N32)^BI$3,0)</f>
        <v>-168.82632149999998</v>
      </c>
      <c r="BV16" s="170">
        <f>IF(BV3&lt;='A&amp;Rs'!$K$9,-'A&amp;Rs'!$O32*(1+'A&amp;Rs'!$N32)^BJ$3,0)</f>
        <v>-168.82632149999998</v>
      </c>
      <c r="BW16" s="170">
        <f>IF(BW3&lt;='A&amp;Rs'!$K$9,-'A&amp;Rs'!$O32*(1+'A&amp;Rs'!$N32)^BK$3,0)</f>
        <v>0</v>
      </c>
      <c r="BX16" s="170">
        <f>IF(BX3&lt;='A&amp;Rs'!$K$9,-'A&amp;Rs'!$O32*(1+'A&amp;Rs'!$N32)^BL$3,0)</f>
        <v>0</v>
      </c>
      <c r="BY16" s="170">
        <f>IF(BY3&lt;='A&amp;Rs'!$K$9,-'A&amp;Rs'!$O32*(1+'A&amp;Rs'!$N32)^BM$3,0)</f>
        <v>0</v>
      </c>
      <c r="BZ16" s="170">
        <f>IF(BZ3&lt;='A&amp;Rs'!$K$9,-'A&amp;Rs'!$O32*(1+'A&amp;Rs'!$N32)^BN$3,0)</f>
        <v>0</v>
      </c>
      <c r="CA16" s="170">
        <f>IF(CA3&lt;='A&amp;Rs'!$K$9,-'A&amp;Rs'!$O32*(1+'A&amp;Rs'!$N32)^BO$3,0)</f>
        <v>0</v>
      </c>
      <c r="CB16" s="170">
        <f>IF(CB3&lt;='A&amp;Rs'!$K$9,-'A&amp;Rs'!$O32*(1+'A&amp;Rs'!$N32)^BP$3,0)</f>
        <v>0</v>
      </c>
      <c r="CC16" s="170">
        <f>IF(CC3&lt;='A&amp;Rs'!$K$9,-'A&amp;Rs'!$O32*(1+'A&amp;Rs'!$N32)^BQ$3,0)</f>
        <v>0</v>
      </c>
      <c r="CD16" s="170">
        <f>IF(CD3&lt;='A&amp;Rs'!$K$9,-'A&amp;Rs'!$O32*(1+'A&amp;Rs'!$N32)^BR$3,0)</f>
        <v>0</v>
      </c>
      <c r="CE16" s="170">
        <f>IF(CE3&lt;='A&amp;Rs'!$K$9,-'A&amp;Rs'!$O32*(1+'A&amp;Rs'!$N32)^BS$3,0)</f>
        <v>0</v>
      </c>
      <c r="CF16" s="170">
        <f>IF(CF3&lt;='A&amp;Rs'!$K$9,-'A&amp;Rs'!$O32*(1+'A&amp;Rs'!$N32)^BT$3,0)</f>
        <v>0</v>
      </c>
      <c r="CG16" s="170">
        <f>IF(CG3&lt;='A&amp;Rs'!$K$9,-'A&amp;Rs'!$O32*(1+'A&amp;Rs'!$N32)^BU$3,0)</f>
        <v>0</v>
      </c>
      <c r="CH16" s="170">
        <f>IF(CH3&lt;='A&amp;Rs'!$K$9,-'A&amp;Rs'!$O32*(1+'A&amp;Rs'!$N32)^BV$3,0)</f>
        <v>0</v>
      </c>
      <c r="CI16" s="170">
        <f>IF(CI3&lt;='A&amp;Rs'!$K$9,-'A&amp;Rs'!$O32*(1+'A&amp;Rs'!$N32)^BW$3,0)</f>
        <v>0</v>
      </c>
      <c r="CJ16" s="170">
        <f>IF(CJ3&lt;='A&amp;Rs'!$K$9,-'A&amp;Rs'!$O32*(1+'A&amp;Rs'!$N32)^BX$3,0)</f>
        <v>0</v>
      </c>
      <c r="CK16" s="170">
        <f>IF(CK3&lt;='A&amp;Rs'!$K$9,-'A&amp;Rs'!$O32*(1+'A&amp;Rs'!$N32)^BY$3,0)</f>
        <v>0</v>
      </c>
      <c r="CL16" s="170">
        <f>IF(CL3&lt;='A&amp;Rs'!$K$9,-'A&amp;Rs'!$O32*(1+'A&amp;Rs'!$N32)^BZ$3,0)</f>
        <v>0</v>
      </c>
      <c r="CM16" s="170">
        <f>IF(CM3&lt;='A&amp;Rs'!$K$9,-'A&amp;Rs'!$O32*(1+'A&amp;Rs'!$N32)^CA$3,0)</f>
        <v>0</v>
      </c>
      <c r="CN16" s="170">
        <f>IF(CN3&lt;='A&amp;Rs'!$K$9,-'A&amp;Rs'!$O32*(1+'A&amp;Rs'!$N32)^CB$3,0)</f>
        <v>0</v>
      </c>
      <c r="CO16" s="170">
        <f>IF(CO3&lt;='A&amp;Rs'!$K$9,-'A&amp;Rs'!$O32*(1+'A&amp;Rs'!$N32)^CC$3,0)</f>
        <v>0</v>
      </c>
      <c r="CP16" s="170">
        <f>IF(CP3&lt;='A&amp;Rs'!$K$9,-'A&amp;Rs'!$O32*(1+'A&amp;Rs'!$N32)^CD$3,0)</f>
        <v>0</v>
      </c>
      <c r="CQ16" s="170">
        <f>IF(CQ3&lt;='A&amp;Rs'!$K$9,-'A&amp;Rs'!$O32*(1+'A&amp;Rs'!$N32)^CE$3,0)</f>
        <v>0</v>
      </c>
      <c r="CR16" s="170">
        <f>IF(CR3&lt;='A&amp;Rs'!$K$9,-'A&amp;Rs'!$O32*(1+'A&amp;Rs'!$N32)^CF$3,0)</f>
        <v>0</v>
      </c>
      <c r="CS16" s="170">
        <f>IF(CS3&lt;='A&amp;Rs'!$K$9,-'A&amp;Rs'!$O32*(1+'A&amp;Rs'!$N32)^CG$3,0)</f>
        <v>0</v>
      </c>
      <c r="CT16" s="170">
        <f>IF(CT3&lt;='A&amp;Rs'!$K$9,-'A&amp;Rs'!$O32*(1+'A&amp;Rs'!$N32)^CH$3,0)</f>
        <v>0</v>
      </c>
      <c r="CU16" s="170">
        <f>IF(CU3&lt;='A&amp;Rs'!$K$9,-'A&amp;Rs'!$O32*(1+'A&amp;Rs'!$N32)^CI$3,0)</f>
        <v>0</v>
      </c>
      <c r="CV16" s="170">
        <f>IF(CV3&lt;='A&amp;Rs'!$K$9,-'A&amp;Rs'!$O32*(1+'A&amp;Rs'!$N32)^CJ$3,0)</f>
        <v>0</v>
      </c>
      <c r="CW16" s="170">
        <f>IF(CW3&lt;='A&amp;Rs'!$K$9,-'A&amp;Rs'!$O32*(1+'A&amp;Rs'!$N32)^CK$3,0)</f>
        <v>0</v>
      </c>
      <c r="CX16" s="170">
        <f>IF(CX3&lt;='A&amp;Rs'!$K$9,-'A&amp;Rs'!$O32*(1+'A&amp;Rs'!$N32)^CL$3,0)</f>
        <v>0</v>
      </c>
      <c r="CY16" s="170">
        <f>IF(CY3&lt;='A&amp;Rs'!$K$9,-'A&amp;Rs'!$O32*(1+'A&amp;Rs'!$N32)^CM$3,0)</f>
        <v>0</v>
      </c>
      <c r="CZ16" s="170">
        <f>IF(CZ3&lt;='A&amp;Rs'!$K$9,-'A&amp;Rs'!$O32*(1+'A&amp;Rs'!$N32)^CN$3,0)</f>
        <v>0</v>
      </c>
      <c r="DA16" s="170">
        <f>IF(DA3&lt;='A&amp;Rs'!$K$9,-'A&amp;Rs'!$O32*(1+'A&amp;Rs'!$N32)^CO$3,0)</f>
        <v>0</v>
      </c>
      <c r="DB16" s="170">
        <f>IF(DB3&lt;='A&amp;Rs'!$K$9,-'A&amp;Rs'!$O32*(1+'A&amp;Rs'!$N32)^CP$3,0)</f>
        <v>0</v>
      </c>
      <c r="DC16" s="170">
        <f>IF(DC3&lt;='A&amp;Rs'!$K$9,-'A&amp;Rs'!$O32*(1+'A&amp;Rs'!$N32)^CQ$3,0)</f>
        <v>0</v>
      </c>
      <c r="DD16" s="170">
        <f>IF(DD3&lt;='A&amp;Rs'!$K$9,-'A&amp;Rs'!$O32*(1+'A&amp;Rs'!$N32)^CR$3,0)</f>
        <v>0</v>
      </c>
      <c r="DE16" s="170">
        <f>IF(DE3&lt;='A&amp;Rs'!$K$9,-'A&amp;Rs'!$O32*(1+'A&amp;Rs'!$N32)^CS$3,0)</f>
        <v>0</v>
      </c>
      <c r="DF16" s="170">
        <f>IF(DF3&lt;='A&amp;Rs'!$K$9,-'A&amp;Rs'!$O32*(1+'A&amp;Rs'!$N32)^CT$3,0)</f>
        <v>0</v>
      </c>
      <c r="DG16" s="170">
        <f>IF(DG3&lt;='A&amp;Rs'!$K$9,-'A&amp;Rs'!$O32*(1+'A&amp;Rs'!$N32)^CU$3,0)</f>
        <v>0</v>
      </c>
      <c r="DH16" s="170">
        <f>IF(DH3&lt;='A&amp;Rs'!$K$9,-'A&amp;Rs'!$O32*(1+'A&amp;Rs'!$N32)^CV$3,0)</f>
        <v>0</v>
      </c>
      <c r="DI16" s="170">
        <f>IF(DI3&lt;='A&amp;Rs'!$K$9,-'A&amp;Rs'!$O32*(1+'A&amp;Rs'!$N32)^CW$3,0)</f>
        <v>0</v>
      </c>
      <c r="DJ16" s="170">
        <f>IF(DJ3&lt;='A&amp;Rs'!$K$9,-'A&amp;Rs'!$O32*(1+'A&amp;Rs'!$N32)^CX$3,0)</f>
        <v>0</v>
      </c>
      <c r="DK16" s="170">
        <f>IF(DK3&lt;='A&amp;Rs'!$K$9,-'A&amp;Rs'!$O32*(1+'A&amp;Rs'!$N32)^CY$3,0)</f>
        <v>0</v>
      </c>
      <c r="DL16" s="170">
        <f>IF(DL3&lt;='A&amp;Rs'!$K$9,-'A&amp;Rs'!$O32*(1+'A&amp;Rs'!$N32)^CZ$3,0)</f>
        <v>0</v>
      </c>
      <c r="DM16" s="170">
        <f>IF(DM3&lt;='A&amp;Rs'!$K$9,-'A&amp;Rs'!$O32*(1+'A&amp;Rs'!$N32)^DA$3,0)</f>
        <v>0</v>
      </c>
      <c r="DN16" s="170">
        <f>IF(DN3&lt;='A&amp;Rs'!$K$9,-'A&amp;Rs'!$O32*(1+'A&amp;Rs'!$N32)^DB$3,0)</f>
        <v>0</v>
      </c>
      <c r="DO16" s="170">
        <f>IF(DO3&lt;='A&amp;Rs'!$K$9,-'A&amp;Rs'!$O32*(1+'A&amp;Rs'!$N32)^DC$3,0)</f>
        <v>0</v>
      </c>
      <c r="DP16" s="170">
        <f>IF(DP3&lt;='A&amp;Rs'!$K$9,-'A&amp;Rs'!$O32*(1+'A&amp;Rs'!$N32)^DD$3,0)</f>
        <v>0</v>
      </c>
      <c r="DQ16" s="170">
        <f>IF(DQ3&lt;='A&amp;Rs'!$K$9,-'A&amp;Rs'!$O32*(1+'A&amp;Rs'!$N32)^DE$3,0)</f>
        <v>0</v>
      </c>
      <c r="DR16" s="170">
        <f>IF(DR3&lt;='A&amp;Rs'!$K$9,-'A&amp;Rs'!$O32*(1+'A&amp;Rs'!$N32)^DF$3,0)</f>
        <v>0</v>
      </c>
      <c r="DS16" s="170">
        <f>IF(DS3&lt;='A&amp;Rs'!$K$9,-'A&amp;Rs'!$O32*(1+'A&amp;Rs'!$N32)^DG$3,0)</f>
        <v>0</v>
      </c>
      <c r="DT16" s="170">
        <f>IF(DT3&lt;='A&amp;Rs'!$K$9,-'A&amp;Rs'!$O32*(1+'A&amp;Rs'!$N32)^DH$3,0)</f>
        <v>0</v>
      </c>
      <c r="DU16" s="170">
        <f>IF(DU3&lt;='A&amp;Rs'!$K$9,-'A&amp;Rs'!$O32*(1+'A&amp;Rs'!$N32)^DI$3,0)</f>
        <v>0</v>
      </c>
      <c r="DV16" s="170">
        <f>IF(DV3&lt;='A&amp;Rs'!$K$9,-'A&amp;Rs'!$O32*(1+'A&amp;Rs'!$N32)^DJ$3,0)</f>
        <v>0</v>
      </c>
      <c r="DW16" s="170">
        <f>IF(DW3&lt;='A&amp;Rs'!$K$9,-'A&amp;Rs'!$O32*(1+'A&amp;Rs'!$N32)^DK$3,0)</f>
        <v>0</v>
      </c>
      <c r="DX16" s="170">
        <f>IF(DX3&lt;='A&amp;Rs'!$K$9,-'A&amp;Rs'!$O32*(1+'A&amp;Rs'!$N32)^DL$3,0)</f>
        <v>0</v>
      </c>
      <c r="DY16" s="170">
        <f>IF(DY3&lt;='A&amp;Rs'!$K$9,-'A&amp;Rs'!$O32*(1+'A&amp;Rs'!$N32)^DM$3,0)</f>
        <v>0</v>
      </c>
      <c r="DZ16" s="170">
        <f>IF(DZ3&lt;='A&amp;Rs'!$K$9,-'A&amp;Rs'!$O32*(1+'A&amp;Rs'!$N32)^DN$3,0)</f>
        <v>0</v>
      </c>
      <c r="EA16" s="170">
        <f>IF(EA3&lt;='A&amp;Rs'!$K$9,-'A&amp;Rs'!$O32*(1+'A&amp;Rs'!$N32)^DO$3,0)</f>
        <v>0</v>
      </c>
      <c r="EB16" s="170">
        <f>IF(EB3&lt;='A&amp;Rs'!$K$9,-'A&amp;Rs'!$O32*(1+'A&amp;Rs'!$N32)^DP$3,0)</f>
        <v>0</v>
      </c>
      <c r="EC16" s="170">
        <f>IF(EC3&lt;='A&amp;Rs'!$K$9,-'A&amp;Rs'!$O32*(1+'A&amp;Rs'!$N32)^DQ$3,0)</f>
        <v>0</v>
      </c>
      <c r="ED16" s="171">
        <f>IF(ED3&lt;='A&amp;Rs'!$K$9,-'A&amp;Rs'!$O32*(1+'A&amp;Rs'!$N32)^DR$3,0)</f>
        <v>0</v>
      </c>
      <c r="EE16" s="1"/>
      <c r="EF16" s="1"/>
    </row>
    <row r="17" spans="6:136" x14ac:dyDescent="0.3">
      <c r="K17" s="1"/>
      <c r="L17" s="108" t="str">
        <f>'A&amp;Rs'!M33</f>
        <v>Other Monthly Expense</v>
      </c>
      <c r="M17" s="112"/>
      <c r="N17" s="59"/>
      <c r="O17" s="170">
        <f>IF(O3&lt;='A&amp;Rs'!$K$9,-'A&amp;Rs'!$O33*(1+'A&amp;Rs'!$N33)^B$3,0)</f>
        <v>-100</v>
      </c>
      <c r="P17" s="170">
        <f>IF(P3&lt;='A&amp;Rs'!$K$9,-'A&amp;Rs'!$O33*(1+'A&amp;Rs'!$N33)^C$3,0)</f>
        <v>-100</v>
      </c>
      <c r="Q17" s="170">
        <f>IF(Q3&lt;='A&amp;Rs'!$K$9,-'A&amp;Rs'!$O33*(1+'A&amp;Rs'!$N33)^D$3,0)</f>
        <v>-100</v>
      </c>
      <c r="R17" s="170">
        <f>IF(R3&lt;='A&amp;Rs'!$K$9,-'A&amp;Rs'!$O33*(1+'A&amp;Rs'!$N33)^E$3,0)</f>
        <v>-100</v>
      </c>
      <c r="S17" s="170">
        <f>IF(S3&lt;='A&amp;Rs'!$K$9,-'A&amp;Rs'!$O33*(1+'A&amp;Rs'!$N33)^F$3,0)</f>
        <v>-100</v>
      </c>
      <c r="T17" s="170">
        <f>IF(T3&lt;='A&amp;Rs'!$K$9,-'A&amp;Rs'!$O33*(1+'A&amp;Rs'!$N33)^G$3,0)</f>
        <v>-100</v>
      </c>
      <c r="U17" s="170">
        <f>IF(U3&lt;='A&amp;Rs'!$K$9,-'A&amp;Rs'!$O33*(1+'A&amp;Rs'!$N33)^H$3,0)</f>
        <v>-100</v>
      </c>
      <c r="V17" s="170">
        <f>IF(V3&lt;='A&amp;Rs'!$K$9,-'A&amp;Rs'!$O33*(1+'A&amp;Rs'!$N33)^I$3,0)</f>
        <v>-100</v>
      </c>
      <c r="W17" s="170">
        <f>IF(W3&lt;='A&amp;Rs'!$K$9,-'A&amp;Rs'!$O33*(1+'A&amp;Rs'!$N33)^J$3,0)</f>
        <v>-100</v>
      </c>
      <c r="X17" s="170">
        <f>IF(X3&lt;='A&amp;Rs'!$K$9,-'A&amp;Rs'!$O33*(1+'A&amp;Rs'!$N33)^K$3,0)</f>
        <v>-100</v>
      </c>
      <c r="Y17" s="170">
        <f>IF(Y3&lt;='A&amp;Rs'!$K$9,-'A&amp;Rs'!$O33*(1+'A&amp;Rs'!$N33)^L$3,0)</f>
        <v>-100</v>
      </c>
      <c r="Z17" s="170">
        <f>IF(Z3&lt;='A&amp;Rs'!$K$9,-'A&amp;Rs'!$O33*(1+'A&amp;Rs'!$N33)^N$3,0)</f>
        <v>-100</v>
      </c>
      <c r="AA17" s="170">
        <f>IF(AA3&lt;='A&amp;Rs'!$K$9,-'A&amp;Rs'!$O33*(1+'A&amp;Rs'!$N33)^O$3,0)</f>
        <v>-103</v>
      </c>
      <c r="AB17" s="170">
        <f>IF(AB3&lt;='A&amp;Rs'!$K$9,-'A&amp;Rs'!$O33*(1+'A&amp;Rs'!$N33)^P$3,0)</f>
        <v>-103</v>
      </c>
      <c r="AC17" s="170">
        <f>IF(AC3&lt;='A&amp;Rs'!$K$9,-'A&amp;Rs'!$O33*(1+'A&amp;Rs'!$N33)^Q$3,0)</f>
        <v>-103</v>
      </c>
      <c r="AD17" s="170">
        <f>IF(AD3&lt;='A&amp;Rs'!$K$9,-'A&amp;Rs'!$O33*(1+'A&amp;Rs'!$N33)^R$3,0)</f>
        <v>-103</v>
      </c>
      <c r="AE17" s="170">
        <f>IF(AE3&lt;='A&amp;Rs'!$K$9,-'A&amp;Rs'!$O33*(1+'A&amp;Rs'!$N33)^S$3,0)</f>
        <v>-103</v>
      </c>
      <c r="AF17" s="170">
        <f>IF(AF3&lt;='A&amp;Rs'!$K$9,-'A&amp;Rs'!$O33*(1+'A&amp;Rs'!$N33)^T$3,0)</f>
        <v>-103</v>
      </c>
      <c r="AG17" s="170">
        <f>IF(AG3&lt;='A&amp;Rs'!$K$9,-'A&amp;Rs'!$O33*(1+'A&amp;Rs'!$N33)^U$3,0)</f>
        <v>-103</v>
      </c>
      <c r="AH17" s="170">
        <f>IF(AH3&lt;='A&amp;Rs'!$K$9,-'A&amp;Rs'!$O33*(1+'A&amp;Rs'!$N33)^V$3,0)</f>
        <v>-103</v>
      </c>
      <c r="AI17" s="170">
        <f>IF(AI3&lt;='A&amp;Rs'!$K$9,-'A&amp;Rs'!$O33*(1+'A&amp;Rs'!$N33)^W$3,0)</f>
        <v>-103</v>
      </c>
      <c r="AJ17" s="170">
        <f>IF(AJ3&lt;='A&amp;Rs'!$K$9,-'A&amp;Rs'!$O33*(1+'A&amp;Rs'!$N33)^X$3,0)</f>
        <v>-103</v>
      </c>
      <c r="AK17" s="170">
        <f>IF(AK3&lt;='A&amp;Rs'!$K$9,-'A&amp;Rs'!$O33*(1+'A&amp;Rs'!$N33)^Y$3,0)</f>
        <v>-103</v>
      </c>
      <c r="AL17" s="170">
        <f>IF(AL3&lt;='A&amp;Rs'!$K$9,-'A&amp;Rs'!$O33*(1+'A&amp;Rs'!$N33)^Z$3,0)</f>
        <v>-103</v>
      </c>
      <c r="AM17" s="170">
        <f>IF(AM3&lt;='A&amp;Rs'!$K$9,-'A&amp;Rs'!$O33*(1+'A&amp;Rs'!$N33)^AA$3,0)</f>
        <v>-106.08999999999999</v>
      </c>
      <c r="AN17" s="170">
        <f>IF(AN3&lt;='A&amp;Rs'!$K$9,-'A&amp;Rs'!$O33*(1+'A&amp;Rs'!$N33)^AB$3,0)</f>
        <v>-106.08999999999999</v>
      </c>
      <c r="AO17" s="170">
        <f>IF(AO3&lt;='A&amp;Rs'!$K$9,-'A&amp;Rs'!$O33*(1+'A&amp;Rs'!$N33)^AC$3,0)</f>
        <v>-106.08999999999999</v>
      </c>
      <c r="AP17" s="170">
        <f>IF(AP3&lt;='A&amp;Rs'!$K$9,-'A&amp;Rs'!$O33*(1+'A&amp;Rs'!$N33)^AD$3,0)</f>
        <v>-106.08999999999999</v>
      </c>
      <c r="AQ17" s="170">
        <f>IF(AQ3&lt;='A&amp;Rs'!$K$9,-'A&amp;Rs'!$O33*(1+'A&amp;Rs'!$N33)^AE$3,0)</f>
        <v>-106.08999999999999</v>
      </c>
      <c r="AR17" s="170">
        <f>IF(AR3&lt;='A&amp;Rs'!$K$9,-'A&amp;Rs'!$O33*(1+'A&amp;Rs'!$N33)^AF$3,0)</f>
        <v>-106.08999999999999</v>
      </c>
      <c r="AS17" s="170">
        <f>IF(AS3&lt;='A&amp;Rs'!$K$9,-'A&amp;Rs'!$O33*(1+'A&amp;Rs'!$N33)^AG$3,0)</f>
        <v>-106.08999999999999</v>
      </c>
      <c r="AT17" s="170">
        <f>IF(AT3&lt;='A&amp;Rs'!$K$9,-'A&amp;Rs'!$O33*(1+'A&amp;Rs'!$N33)^AH$3,0)</f>
        <v>-106.08999999999999</v>
      </c>
      <c r="AU17" s="170">
        <f>IF(AU3&lt;='A&amp;Rs'!$K$9,-'A&amp;Rs'!$O33*(1+'A&amp;Rs'!$N33)^AI$3,0)</f>
        <v>-106.08999999999999</v>
      </c>
      <c r="AV17" s="170">
        <f>IF(AV3&lt;='A&amp;Rs'!$K$9,-'A&amp;Rs'!$O33*(1+'A&amp;Rs'!$N33)^AJ$3,0)</f>
        <v>-106.08999999999999</v>
      </c>
      <c r="AW17" s="170">
        <f>IF(AW3&lt;='A&amp;Rs'!$K$9,-'A&amp;Rs'!$O33*(1+'A&amp;Rs'!$N33)^AK$3,0)</f>
        <v>-106.08999999999999</v>
      </c>
      <c r="AX17" s="170">
        <f>IF(AX3&lt;='A&amp;Rs'!$K$9,-'A&amp;Rs'!$O33*(1+'A&amp;Rs'!$N33)^AL$3,0)</f>
        <v>-106.08999999999999</v>
      </c>
      <c r="AY17" s="170">
        <f>IF(AY3&lt;='A&amp;Rs'!$K$9,-'A&amp;Rs'!$O33*(1+'A&amp;Rs'!$N33)^AM$3,0)</f>
        <v>-109.2727</v>
      </c>
      <c r="AZ17" s="170">
        <f>IF(AZ3&lt;='A&amp;Rs'!$K$9,-'A&amp;Rs'!$O33*(1+'A&amp;Rs'!$N33)^AN$3,0)</f>
        <v>-109.2727</v>
      </c>
      <c r="BA17" s="170">
        <f>IF(BA3&lt;='A&amp;Rs'!$K$9,-'A&amp;Rs'!$O33*(1+'A&amp;Rs'!$N33)^AO$3,0)</f>
        <v>-109.2727</v>
      </c>
      <c r="BB17" s="170">
        <f>IF(BB3&lt;='A&amp;Rs'!$K$9,-'A&amp;Rs'!$O33*(1+'A&amp;Rs'!$N33)^AP$3,0)</f>
        <v>-109.2727</v>
      </c>
      <c r="BC17" s="170">
        <f>IF(BC3&lt;='A&amp;Rs'!$K$9,-'A&amp;Rs'!$O33*(1+'A&amp;Rs'!$N33)^AQ$3,0)</f>
        <v>-109.2727</v>
      </c>
      <c r="BD17" s="170">
        <f>IF(BD3&lt;='A&amp;Rs'!$K$9,-'A&amp;Rs'!$O33*(1+'A&amp;Rs'!$N33)^AR$3,0)</f>
        <v>-109.2727</v>
      </c>
      <c r="BE17" s="170">
        <f>IF(BE3&lt;='A&amp;Rs'!$K$9,-'A&amp;Rs'!$O33*(1+'A&amp;Rs'!$N33)^AS$3,0)</f>
        <v>-109.2727</v>
      </c>
      <c r="BF17" s="170">
        <f>IF(BF3&lt;='A&amp;Rs'!$K$9,-'A&amp;Rs'!$O33*(1+'A&amp;Rs'!$N33)^AT$3,0)</f>
        <v>-109.2727</v>
      </c>
      <c r="BG17" s="170">
        <f>IF(BG3&lt;='A&amp;Rs'!$K$9,-'A&amp;Rs'!$O33*(1+'A&amp;Rs'!$N33)^AU$3,0)</f>
        <v>-109.2727</v>
      </c>
      <c r="BH17" s="170">
        <f>IF(BH3&lt;='A&amp;Rs'!$K$9,-'A&amp;Rs'!$O33*(1+'A&amp;Rs'!$N33)^AV$3,0)</f>
        <v>-109.2727</v>
      </c>
      <c r="BI17" s="170">
        <f>IF(BI3&lt;='A&amp;Rs'!$K$9,-'A&amp;Rs'!$O33*(1+'A&amp;Rs'!$N33)^AW$3,0)</f>
        <v>-109.2727</v>
      </c>
      <c r="BJ17" s="170">
        <f>IF(BJ3&lt;='A&amp;Rs'!$K$9,-'A&amp;Rs'!$O33*(1+'A&amp;Rs'!$N33)^AX$3,0)</f>
        <v>-109.2727</v>
      </c>
      <c r="BK17" s="170">
        <f>IF(BK3&lt;='A&amp;Rs'!$K$9,-'A&amp;Rs'!$O33*(1+'A&amp;Rs'!$N33)^AY$3,0)</f>
        <v>-112.55088099999999</v>
      </c>
      <c r="BL17" s="170">
        <f>IF(BL3&lt;='A&amp;Rs'!$K$9,-'A&amp;Rs'!$O33*(1+'A&amp;Rs'!$N33)^AZ$3,0)</f>
        <v>-112.55088099999999</v>
      </c>
      <c r="BM17" s="170">
        <f>IF(BM3&lt;='A&amp;Rs'!$K$9,-'A&amp;Rs'!$O33*(1+'A&amp;Rs'!$N33)^BA$3,0)</f>
        <v>-112.55088099999999</v>
      </c>
      <c r="BN17" s="170">
        <f>IF(BN3&lt;='A&amp;Rs'!$K$9,-'A&amp;Rs'!$O33*(1+'A&amp;Rs'!$N33)^BB$3,0)</f>
        <v>-112.55088099999999</v>
      </c>
      <c r="BO17" s="170">
        <f>IF(BO3&lt;='A&amp;Rs'!$K$9,-'A&amp;Rs'!$O33*(1+'A&amp;Rs'!$N33)^BC$3,0)</f>
        <v>-112.55088099999999</v>
      </c>
      <c r="BP17" s="170">
        <f>IF(BP3&lt;='A&amp;Rs'!$K$9,-'A&amp;Rs'!$O33*(1+'A&amp;Rs'!$N33)^BD$3,0)</f>
        <v>-112.55088099999999</v>
      </c>
      <c r="BQ17" s="170">
        <f>IF(BQ3&lt;='A&amp;Rs'!$K$9,-'A&amp;Rs'!$O33*(1+'A&amp;Rs'!$N33)^BE$3,0)</f>
        <v>-112.55088099999999</v>
      </c>
      <c r="BR17" s="170">
        <f>IF(BR3&lt;='A&amp;Rs'!$K$9,-'A&amp;Rs'!$O33*(1+'A&amp;Rs'!$N33)^BF$3,0)</f>
        <v>-112.55088099999999</v>
      </c>
      <c r="BS17" s="170">
        <f>IF(BS3&lt;='A&amp;Rs'!$K$9,-'A&amp;Rs'!$O33*(1+'A&amp;Rs'!$N33)^BG$3,0)</f>
        <v>-112.55088099999999</v>
      </c>
      <c r="BT17" s="170">
        <f>IF(BT3&lt;='A&amp;Rs'!$K$9,-'A&amp;Rs'!$O33*(1+'A&amp;Rs'!$N33)^BH$3,0)</f>
        <v>-112.55088099999999</v>
      </c>
      <c r="BU17" s="170">
        <f>IF(BU3&lt;='A&amp;Rs'!$K$9,-'A&amp;Rs'!$O33*(1+'A&amp;Rs'!$N33)^BI$3,0)</f>
        <v>-112.55088099999999</v>
      </c>
      <c r="BV17" s="170">
        <f>IF(BV3&lt;='A&amp;Rs'!$K$9,-'A&amp;Rs'!$O33*(1+'A&amp;Rs'!$N33)^BJ$3,0)</f>
        <v>-112.55088099999999</v>
      </c>
      <c r="BW17" s="170">
        <f>IF(BW3&lt;='A&amp;Rs'!$K$9,-'A&amp;Rs'!$O33*(1+'A&amp;Rs'!$N33)^BK$3,0)</f>
        <v>0</v>
      </c>
      <c r="BX17" s="170">
        <f>IF(BX3&lt;='A&amp;Rs'!$K$9,-'A&amp;Rs'!$O33*(1+'A&amp;Rs'!$N33)^BL$3,0)</f>
        <v>0</v>
      </c>
      <c r="BY17" s="170">
        <f>IF(BY3&lt;='A&amp;Rs'!$K$9,-'A&amp;Rs'!$O33*(1+'A&amp;Rs'!$N33)^BM$3,0)</f>
        <v>0</v>
      </c>
      <c r="BZ17" s="170">
        <f>IF(BZ3&lt;='A&amp;Rs'!$K$9,-'A&amp;Rs'!$O33*(1+'A&amp;Rs'!$N33)^BN$3,0)</f>
        <v>0</v>
      </c>
      <c r="CA17" s="170">
        <f>IF(CA3&lt;='A&amp;Rs'!$K$9,-'A&amp;Rs'!$O33*(1+'A&amp;Rs'!$N33)^BO$3,0)</f>
        <v>0</v>
      </c>
      <c r="CB17" s="170">
        <f>IF(CB3&lt;='A&amp;Rs'!$K$9,-'A&amp;Rs'!$O33*(1+'A&amp;Rs'!$N33)^BP$3,0)</f>
        <v>0</v>
      </c>
      <c r="CC17" s="170">
        <f>IF(CC3&lt;='A&amp;Rs'!$K$9,-'A&amp;Rs'!$O33*(1+'A&amp;Rs'!$N33)^BQ$3,0)</f>
        <v>0</v>
      </c>
      <c r="CD17" s="170">
        <f>IF(CD3&lt;='A&amp;Rs'!$K$9,-'A&amp;Rs'!$O33*(1+'A&amp;Rs'!$N33)^BR$3,0)</f>
        <v>0</v>
      </c>
      <c r="CE17" s="170">
        <f>IF(CE3&lt;='A&amp;Rs'!$K$9,-'A&amp;Rs'!$O33*(1+'A&amp;Rs'!$N33)^BS$3,0)</f>
        <v>0</v>
      </c>
      <c r="CF17" s="170">
        <f>IF(CF3&lt;='A&amp;Rs'!$K$9,-'A&amp;Rs'!$O33*(1+'A&amp;Rs'!$N33)^BT$3,0)</f>
        <v>0</v>
      </c>
      <c r="CG17" s="170">
        <f>IF(CG3&lt;='A&amp;Rs'!$K$9,-'A&amp;Rs'!$O33*(1+'A&amp;Rs'!$N33)^BU$3,0)</f>
        <v>0</v>
      </c>
      <c r="CH17" s="170">
        <f>IF(CH3&lt;='A&amp;Rs'!$K$9,-'A&amp;Rs'!$O33*(1+'A&amp;Rs'!$N33)^BV$3,0)</f>
        <v>0</v>
      </c>
      <c r="CI17" s="170">
        <f>IF(CI3&lt;='A&amp;Rs'!$K$9,-'A&amp;Rs'!$O33*(1+'A&amp;Rs'!$N33)^BW$3,0)</f>
        <v>0</v>
      </c>
      <c r="CJ17" s="170">
        <f>IF(CJ3&lt;='A&amp;Rs'!$K$9,-'A&amp;Rs'!$O33*(1+'A&amp;Rs'!$N33)^BX$3,0)</f>
        <v>0</v>
      </c>
      <c r="CK17" s="170">
        <f>IF(CK3&lt;='A&amp;Rs'!$K$9,-'A&amp;Rs'!$O33*(1+'A&amp;Rs'!$N33)^BY$3,0)</f>
        <v>0</v>
      </c>
      <c r="CL17" s="170">
        <f>IF(CL3&lt;='A&amp;Rs'!$K$9,-'A&amp;Rs'!$O33*(1+'A&amp;Rs'!$N33)^BZ$3,0)</f>
        <v>0</v>
      </c>
      <c r="CM17" s="170">
        <f>IF(CM3&lt;='A&amp;Rs'!$K$9,-'A&amp;Rs'!$O33*(1+'A&amp;Rs'!$N33)^CA$3,0)</f>
        <v>0</v>
      </c>
      <c r="CN17" s="170">
        <f>IF(CN3&lt;='A&amp;Rs'!$K$9,-'A&amp;Rs'!$O33*(1+'A&amp;Rs'!$N33)^CB$3,0)</f>
        <v>0</v>
      </c>
      <c r="CO17" s="170">
        <f>IF(CO3&lt;='A&amp;Rs'!$K$9,-'A&amp;Rs'!$O33*(1+'A&amp;Rs'!$N33)^CC$3,0)</f>
        <v>0</v>
      </c>
      <c r="CP17" s="170">
        <f>IF(CP3&lt;='A&amp;Rs'!$K$9,-'A&amp;Rs'!$O33*(1+'A&amp;Rs'!$N33)^CD$3,0)</f>
        <v>0</v>
      </c>
      <c r="CQ17" s="170">
        <f>IF(CQ3&lt;='A&amp;Rs'!$K$9,-'A&amp;Rs'!$O33*(1+'A&amp;Rs'!$N33)^CE$3,0)</f>
        <v>0</v>
      </c>
      <c r="CR17" s="170">
        <f>IF(CR3&lt;='A&amp;Rs'!$K$9,-'A&amp;Rs'!$O33*(1+'A&amp;Rs'!$N33)^CF$3,0)</f>
        <v>0</v>
      </c>
      <c r="CS17" s="170">
        <f>IF(CS3&lt;='A&amp;Rs'!$K$9,-'A&amp;Rs'!$O33*(1+'A&amp;Rs'!$N33)^CG$3,0)</f>
        <v>0</v>
      </c>
      <c r="CT17" s="170">
        <f>IF(CT3&lt;='A&amp;Rs'!$K$9,-'A&amp;Rs'!$O33*(1+'A&amp;Rs'!$N33)^CH$3,0)</f>
        <v>0</v>
      </c>
      <c r="CU17" s="170">
        <f>IF(CU3&lt;='A&amp;Rs'!$K$9,-'A&amp;Rs'!$O33*(1+'A&amp;Rs'!$N33)^CI$3,0)</f>
        <v>0</v>
      </c>
      <c r="CV17" s="170">
        <f>IF(CV3&lt;='A&amp;Rs'!$K$9,-'A&amp;Rs'!$O33*(1+'A&amp;Rs'!$N33)^CJ$3,0)</f>
        <v>0</v>
      </c>
      <c r="CW17" s="170">
        <f>IF(CW3&lt;='A&amp;Rs'!$K$9,-'A&amp;Rs'!$O33*(1+'A&amp;Rs'!$N33)^CK$3,0)</f>
        <v>0</v>
      </c>
      <c r="CX17" s="170">
        <f>IF(CX3&lt;='A&amp;Rs'!$K$9,-'A&amp;Rs'!$O33*(1+'A&amp;Rs'!$N33)^CL$3,0)</f>
        <v>0</v>
      </c>
      <c r="CY17" s="170">
        <f>IF(CY3&lt;='A&amp;Rs'!$K$9,-'A&amp;Rs'!$O33*(1+'A&amp;Rs'!$N33)^CM$3,0)</f>
        <v>0</v>
      </c>
      <c r="CZ17" s="170">
        <f>IF(CZ3&lt;='A&amp;Rs'!$K$9,-'A&amp;Rs'!$O33*(1+'A&amp;Rs'!$N33)^CN$3,0)</f>
        <v>0</v>
      </c>
      <c r="DA17" s="170">
        <f>IF(DA3&lt;='A&amp;Rs'!$K$9,-'A&amp;Rs'!$O33*(1+'A&amp;Rs'!$N33)^CO$3,0)</f>
        <v>0</v>
      </c>
      <c r="DB17" s="170">
        <f>IF(DB3&lt;='A&amp;Rs'!$K$9,-'A&amp;Rs'!$O33*(1+'A&amp;Rs'!$N33)^CP$3,0)</f>
        <v>0</v>
      </c>
      <c r="DC17" s="170">
        <f>IF(DC3&lt;='A&amp;Rs'!$K$9,-'A&amp;Rs'!$O33*(1+'A&amp;Rs'!$N33)^CQ$3,0)</f>
        <v>0</v>
      </c>
      <c r="DD17" s="170">
        <f>IF(DD3&lt;='A&amp;Rs'!$K$9,-'A&amp;Rs'!$O33*(1+'A&amp;Rs'!$N33)^CR$3,0)</f>
        <v>0</v>
      </c>
      <c r="DE17" s="170">
        <f>IF(DE3&lt;='A&amp;Rs'!$K$9,-'A&amp;Rs'!$O33*(1+'A&amp;Rs'!$N33)^CS$3,0)</f>
        <v>0</v>
      </c>
      <c r="DF17" s="170">
        <f>IF(DF3&lt;='A&amp;Rs'!$K$9,-'A&amp;Rs'!$O33*(1+'A&amp;Rs'!$N33)^CT$3,0)</f>
        <v>0</v>
      </c>
      <c r="DG17" s="170">
        <f>IF(DG3&lt;='A&amp;Rs'!$K$9,-'A&amp;Rs'!$O33*(1+'A&amp;Rs'!$N33)^CU$3,0)</f>
        <v>0</v>
      </c>
      <c r="DH17" s="170">
        <f>IF(DH3&lt;='A&amp;Rs'!$K$9,-'A&amp;Rs'!$O33*(1+'A&amp;Rs'!$N33)^CV$3,0)</f>
        <v>0</v>
      </c>
      <c r="DI17" s="170">
        <f>IF(DI3&lt;='A&amp;Rs'!$K$9,-'A&amp;Rs'!$O33*(1+'A&amp;Rs'!$N33)^CW$3,0)</f>
        <v>0</v>
      </c>
      <c r="DJ17" s="170">
        <f>IF(DJ3&lt;='A&amp;Rs'!$K$9,-'A&amp;Rs'!$O33*(1+'A&amp;Rs'!$N33)^CX$3,0)</f>
        <v>0</v>
      </c>
      <c r="DK17" s="170">
        <f>IF(DK3&lt;='A&amp;Rs'!$K$9,-'A&amp;Rs'!$O33*(1+'A&amp;Rs'!$N33)^CY$3,0)</f>
        <v>0</v>
      </c>
      <c r="DL17" s="170">
        <f>IF(DL3&lt;='A&amp;Rs'!$K$9,-'A&amp;Rs'!$O33*(1+'A&amp;Rs'!$N33)^CZ$3,0)</f>
        <v>0</v>
      </c>
      <c r="DM17" s="170">
        <f>IF(DM3&lt;='A&amp;Rs'!$K$9,-'A&amp;Rs'!$O33*(1+'A&amp;Rs'!$N33)^DA$3,0)</f>
        <v>0</v>
      </c>
      <c r="DN17" s="170">
        <f>IF(DN3&lt;='A&amp;Rs'!$K$9,-'A&amp;Rs'!$O33*(1+'A&amp;Rs'!$N33)^DB$3,0)</f>
        <v>0</v>
      </c>
      <c r="DO17" s="170">
        <f>IF(DO3&lt;='A&amp;Rs'!$K$9,-'A&amp;Rs'!$O33*(1+'A&amp;Rs'!$N33)^DC$3,0)</f>
        <v>0</v>
      </c>
      <c r="DP17" s="170">
        <f>IF(DP3&lt;='A&amp;Rs'!$K$9,-'A&amp;Rs'!$O33*(1+'A&amp;Rs'!$N33)^DD$3,0)</f>
        <v>0</v>
      </c>
      <c r="DQ17" s="170">
        <f>IF(DQ3&lt;='A&amp;Rs'!$K$9,-'A&amp;Rs'!$O33*(1+'A&amp;Rs'!$N33)^DE$3,0)</f>
        <v>0</v>
      </c>
      <c r="DR17" s="170">
        <f>IF(DR3&lt;='A&amp;Rs'!$K$9,-'A&amp;Rs'!$O33*(1+'A&amp;Rs'!$N33)^DF$3,0)</f>
        <v>0</v>
      </c>
      <c r="DS17" s="170">
        <f>IF(DS3&lt;='A&amp;Rs'!$K$9,-'A&amp;Rs'!$O33*(1+'A&amp;Rs'!$N33)^DG$3,0)</f>
        <v>0</v>
      </c>
      <c r="DT17" s="170">
        <f>IF(DT3&lt;='A&amp;Rs'!$K$9,-'A&amp;Rs'!$O33*(1+'A&amp;Rs'!$N33)^DH$3,0)</f>
        <v>0</v>
      </c>
      <c r="DU17" s="170">
        <f>IF(DU3&lt;='A&amp;Rs'!$K$9,-'A&amp;Rs'!$O33*(1+'A&amp;Rs'!$N33)^DI$3,0)</f>
        <v>0</v>
      </c>
      <c r="DV17" s="170">
        <f>IF(DV3&lt;='A&amp;Rs'!$K$9,-'A&amp;Rs'!$O33*(1+'A&amp;Rs'!$N33)^DJ$3,0)</f>
        <v>0</v>
      </c>
      <c r="DW17" s="170">
        <f>IF(DW3&lt;='A&amp;Rs'!$K$9,-'A&amp;Rs'!$O33*(1+'A&amp;Rs'!$N33)^DK$3,0)</f>
        <v>0</v>
      </c>
      <c r="DX17" s="170">
        <f>IF(DX3&lt;='A&amp;Rs'!$K$9,-'A&amp;Rs'!$O33*(1+'A&amp;Rs'!$N33)^DL$3,0)</f>
        <v>0</v>
      </c>
      <c r="DY17" s="170">
        <f>IF(DY3&lt;='A&amp;Rs'!$K$9,-'A&amp;Rs'!$O33*(1+'A&amp;Rs'!$N33)^DM$3,0)</f>
        <v>0</v>
      </c>
      <c r="DZ17" s="170">
        <f>IF(DZ3&lt;='A&amp;Rs'!$K$9,-'A&amp;Rs'!$O33*(1+'A&amp;Rs'!$N33)^DN$3,0)</f>
        <v>0</v>
      </c>
      <c r="EA17" s="170">
        <f>IF(EA3&lt;='A&amp;Rs'!$K$9,-'A&amp;Rs'!$O33*(1+'A&amp;Rs'!$N33)^DO$3,0)</f>
        <v>0</v>
      </c>
      <c r="EB17" s="170">
        <f>IF(EB3&lt;='A&amp;Rs'!$K$9,-'A&amp;Rs'!$O33*(1+'A&amp;Rs'!$N33)^DP$3,0)</f>
        <v>0</v>
      </c>
      <c r="EC17" s="170">
        <f>IF(EC3&lt;='A&amp;Rs'!$K$9,-'A&amp;Rs'!$O33*(1+'A&amp;Rs'!$N33)^DQ$3,0)</f>
        <v>0</v>
      </c>
      <c r="ED17" s="171">
        <f>IF(ED3&lt;='A&amp;Rs'!$K$9,-'A&amp;Rs'!$O33*(1+'A&amp;Rs'!$N33)^DR$3,0)</f>
        <v>0</v>
      </c>
      <c r="EE17" s="1"/>
      <c r="EF17" s="1"/>
    </row>
    <row r="18" spans="6:136" x14ac:dyDescent="0.3">
      <c r="K18" s="1"/>
      <c r="L18" s="31" t="s">
        <v>50</v>
      </c>
      <c r="M18" s="111"/>
      <c r="N18" s="59"/>
      <c r="O18" s="169">
        <f>SUM(O13:O17)</f>
        <v>-2841</v>
      </c>
      <c r="P18" s="169">
        <f t="shared" ref="P18:CA18" si="12">SUM(P13:P17)</f>
        <v>-2841</v>
      </c>
      <c r="Q18" s="169">
        <f t="shared" si="12"/>
        <v>-2841</v>
      </c>
      <c r="R18" s="169">
        <f t="shared" si="12"/>
        <v>-2841</v>
      </c>
      <c r="S18" s="169">
        <f t="shared" si="12"/>
        <v>-2841</v>
      </c>
      <c r="T18" s="169">
        <f t="shared" si="12"/>
        <v>-2841</v>
      </c>
      <c r="U18" s="169">
        <f t="shared" si="12"/>
        <v>-2841</v>
      </c>
      <c r="V18" s="169">
        <f t="shared" si="12"/>
        <v>-2841</v>
      </c>
      <c r="W18" s="169">
        <f t="shared" si="12"/>
        <v>-2841</v>
      </c>
      <c r="X18" s="169">
        <f t="shared" si="12"/>
        <v>-2841</v>
      </c>
      <c r="Y18" s="169">
        <f t="shared" si="12"/>
        <v>-2841</v>
      </c>
      <c r="Z18" s="169">
        <f t="shared" si="12"/>
        <v>-2841</v>
      </c>
      <c r="AA18" s="169">
        <f t="shared" si="12"/>
        <v>-2926.23</v>
      </c>
      <c r="AB18" s="169">
        <f t="shared" si="12"/>
        <v>-2926.23</v>
      </c>
      <c r="AC18" s="169">
        <f t="shared" si="12"/>
        <v>-2926.23</v>
      </c>
      <c r="AD18" s="169">
        <f t="shared" si="12"/>
        <v>-2926.23</v>
      </c>
      <c r="AE18" s="169">
        <f t="shared" si="12"/>
        <v>-2926.23</v>
      </c>
      <c r="AF18" s="169">
        <f t="shared" si="12"/>
        <v>-2926.23</v>
      </c>
      <c r="AG18" s="169">
        <f t="shared" si="12"/>
        <v>-2926.23</v>
      </c>
      <c r="AH18" s="169">
        <f t="shared" si="12"/>
        <v>-2926.23</v>
      </c>
      <c r="AI18" s="169">
        <f t="shared" si="12"/>
        <v>-2926.23</v>
      </c>
      <c r="AJ18" s="169">
        <f t="shared" si="12"/>
        <v>-2926.23</v>
      </c>
      <c r="AK18" s="169">
        <f t="shared" si="12"/>
        <v>-2926.23</v>
      </c>
      <c r="AL18" s="169">
        <f t="shared" si="12"/>
        <v>-2926.23</v>
      </c>
      <c r="AM18" s="169">
        <f t="shared" si="12"/>
        <v>-3014.0169000000005</v>
      </c>
      <c r="AN18" s="169">
        <f t="shared" si="12"/>
        <v>-3014.0169000000005</v>
      </c>
      <c r="AO18" s="169">
        <f t="shared" si="12"/>
        <v>-3014.0169000000005</v>
      </c>
      <c r="AP18" s="169">
        <f t="shared" si="12"/>
        <v>-3014.0169000000005</v>
      </c>
      <c r="AQ18" s="169">
        <f t="shared" si="12"/>
        <v>-3014.0169000000005</v>
      </c>
      <c r="AR18" s="169">
        <f t="shared" si="12"/>
        <v>-3014.0169000000005</v>
      </c>
      <c r="AS18" s="169">
        <f t="shared" si="12"/>
        <v>-3014.0169000000005</v>
      </c>
      <c r="AT18" s="169">
        <f t="shared" si="12"/>
        <v>-3014.0169000000005</v>
      </c>
      <c r="AU18" s="169">
        <f t="shared" si="12"/>
        <v>-3014.0169000000005</v>
      </c>
      <c r="AV18" s="169">
        <f t="shared" si="12"/>
        <v>-3014.0169000000005</v>
      </c>
      <c r="AW18" s="169">
        <f t="shared" si="12"/>
        <v>-3014.0169000000005</v>
      </c>
      <c r="AX18" s="169">
        <f t="shared" si="12"/>
        <v>-3014.0169000000005</v>
      </c>
      <c r="AY18" s="169">
        <f t="shared" si="12"/>
        <v>-3104.4374069999999</v>
      </c>
      <c r="AZ18" s="169">
        <f t="shared" si="12"/>
        <v>-3104.4374069999999</v>
      </c>
      <c r="BA18" s="169">
        <f t="shared" si="12"/>
        <v>-3104.4374069999999</v>
      </c>
      <c r="BB18" s="169">
        <f t="shared" si="12"/>
        <v>-3104.4374069999999</v>
      </c>
      <c r="BC18" s="169">
        <f t="shared" si="12"/>
        <v>-3104.4374069999999</v>
      </c>
      <c r="BD18" s="169">
        <f t="shared" si="12"/>
        <v>-3104.4374069999999</v>
      </c>
      <c r="BE18" s="169">
        <f t="shared" si="12"/>
        <v>-3104.4374069999999</v>
      </c>
      <c r="BF18" s="169">
        <f t="shared" si="12"/>
        <v>-3104.4374069999999</v>
      </c>
      <c r="BG18" s="169">
        <f t="shared" si="12"/>
        <v>-3104.4374069999999</v>
      </c>
      <c r="BH18" s="169">
        <f t="shared" si="12"/>
        <v>-3104.4374069999999</v>
      </c>
      <c r="BI18" s="169">
        <f t="shared" si="12"/>
        <v>-3104.4374069999999</v>
      </c>
      <c r="BJ18" s="169">
        <f t="shared" si="12"/>
        <v>-3104.4374069999999</v>
      </c>
      <c r="BK18" s="169">
        <f t="shared" si="12"/>
        <v>-3197.5705292100001</v>
      </c>
      <c r="BL18" s="169">
        <f t="shared" si="12"/>
        <v>-3197.5705292100001</v>
      </c>
      <c r="BM18" s="169">
        <f t="shared" si="12"/>
        <v>-3197.5705292100001</v>
      </c>
      <c r="BN18" s="169">
        <f t="shared" si="12"/>
        <v>-3197.5705292100001</v>
      </c>
      <c r="BO18" s="169">
        <f t="shared" si="12"/>
        <v>-3197.5705292100001</v>
      </c>
      <c r="BP18" s="169">
        <f t="shared" si="12"/>
        <v>-3197.5705292100001</v>
      </c>
      <c r="BQ18" s="169">
        <f t="shared" si="12"/>
        <v>-3197.5705292100001</v>
      </c>
      <c r="BR18" s="169">
        <f t="shared" si="12"/>
        <v>-3197.5705292100001</v>
      </c>
      <c r="BS18" s="169">
        <f t="shared" si="12"/>
        <v>-3197.5705292100001</v>
      </c>
      <c r="BT18" s="169">
        <f t="shared" si="12"/>
        <v>-3197.5705292100001</v>
      </c>
      <c r="BU18" s="169">
        <f t="shared" si="12"/>
        <v>-3197.5705292100001</v>
      </c>
      <c r="BV18" s="169">
        <f t="shared" si="12"/>
        <v>-3197.5705292100001</v>
      </c>
      <c r="BW18" s="169">
        <f t="shared" si="12"/>
        <v>0</v>
      </c>
      <c r="BX18" s="169">
        <f t="shared" si="12"/>
        <v>0</v>
      </c>
      <c r="BY18" s="169">
        <f t="shared" si="12"/>
        <v>0</v>
      </c>
      <c r="BZ18" s="169">
        <f t="shared" si="12"/>
        <v>0</v>
      </c>
      <c r="CA18" s="169">
        <f t="shared" si="12"/>
        <v>0</v>
      </c>
      <c r="CB18" s="169">
        <f t="shared" ref="CB18:ED18" si="13">SUM(CB13:CB17)</f>
        <v>0</v>
      </c>
      <c r="CC18" s="169">
        <f t="shared" si="13"/>
        <v>0</v>
      </c>
      <c r="CD18" s="169">
        <f t="shared" si="13"/>
        <v>0</v>
      </c>
      <c r="CE18" s="169">
        <f t="shared" si="13"/>
        <v>0</v>
      </c>
      <c r="CF18" s="169">
        <f t="shared" si="13"/>
        <v>0</v>
      </c>
      <c r="CG18" s="169">
        <f t="shared" si="13"/>
        <v>0</v>
      </c>
      <c r="CH18" s="169">
        <f t="shared" si="13"/>
        <v>0</v>
      </c>
      <c r="CI18" s="169">
        <f t="shared" si="13"/>
        <v>0</v>
      </c>
      <c r="CJ18" s="169">
        <f t="shared" si="13"/>
        <v>0</v>
      </c>
      <c r="CK18" s="169">
        <f t="shared" si="13"/>
        <v>0</v>
      </c>
      <c r="CL18" s="169">
        <f t="shared" si="13"/>
        <v>0</v>
      </c>
      <c r="CM18" s="169">
        <f t="shared" si="13"/>
        <v>0</v>
      </c>
      <c r="CN18" s="169">
        <f t="shared" si="13"/>
        <v>0</v>
      </c>
      <c r="CO18" s="169">
        <f t="shared" si="13"/>
        <v>0</v>
      </c>
      <c r="CP18" s="169">
        <f t="shared" si="13"/>
        <v>0</v>
      </c>
      <c r="CQ18" s="169">
        <f t="shared" si="13"/>
        <v>0</v>
      </c>
      <c r="CR18" s="169">
        <f t="shared" si="13"/>
        <v>0</v>
      </c>
      <c r="CS18" s="169">
        <f t="shared" si="13"/>
        <v>0</v>
      </c>
      <c r="CT18" s="169">
        <f t="shared" si="13"/>
        <v>0</v>
      </c>
      <c r="CU18" s="169">
        <f t="shared" si="13"/>
        <v>0</v>
      </c>
      <c r="CV18" s="169">
        <f t="shared" si="13"/>
        <v>0</v>
      </c>
      <c r="CW18" s="169">
        <f t="shared" si="13"/>
        <v>0</v>
      </c>
      <c r="CX18" s="169">
        <f t="shared" si="13"/>
        <v>0</v>
      </c>
      <c r="CY18" s="169">
        <f t="shared" si="13"/>
        <v>0</v>
      </c>
      <c r="CZ18" s="169">
        <f t="shared" si="13"/>
        <v>0</v>
      </c>
      <c r="DA18" s="169">
        <f t="shared" si="13"/>
        <v>0</v>
      </c>
      <c r="DB18" s="169">
        <f t="shared" si="13"/>
        <v>0</v>
      </c>
      <c r="DC18" s="169">
        <f t="shared" si="13"/>
        <v>0</v>
      </c>
      <c r="DD18" s="169">
        <f t="shared" si="13"/>
        <v>0</v>
      </c>
      <c r="DE18" s="169">
        <f t="shared" si="13"/>
        <v>0</v>
      </c>
      <c r="DF18" s="169">
        <f t="shared" si="13"/>
        <v>0</v>
      </c>
      <c r="DG18" s="169">
        <f t="shared" si="13"/>
        <v>0</v>
      </c>
      <c r="DH18" s="169">
        <f t="shared" si="13"/>
        <v>0</v>
      </c>
      <c r="DI18" s="169">
        <f t="shared" si="13"/>
        <v>0</v>
      </c>
      <c r="DJ18" s="169">
        <f t="shared" si="13"/>
        <v>0</v>
      </c>
      <c r="DK18" s="169">
        <f t="shared" si="13"/>
        <v>0</v>
      </c>
      <c r="DL18" s="169">
        <f t="shared" si="13"/>
        <v>0</v>
      </c>
      <c r="DM18" s="169">
        <f t="shared" si="13"/>
        <v>0</v>
      </c>
      <c r="DN18" s="169">
        <f t="shared" si="13"/>
        <v>0</v>
      </c>
      <c r="DO18" s="169">
        <f t="shared" si="13"/>
        <v>0</v>
      </c>
      <c r="DP18" s="169">
        <f t="shared" si="13"/>
        <v>0</v>
      </c>
      <c r="DQ18" s="169">
        <f t="shared" si="13"/>
        <v>0</v>
      </c>
      <c r="DR18" s="169">
        <f t="shared" si="13"/>
        <v>0</v>
      </c>
      <c r="DS18" s="169">
        <f t="shared" si="13"/>
        <v>0</v>
      </c>
      <c r="DT18" s="169">
        <f t="shared" si="13"/>
        <v>0</v>
      </c>
      <c r="DU18" s="169">
        <f t="shared" si="13"/>
        <v>0</v>
      </c>
      <c r="DV18" s="169">
        <f t="shared" si="13"/>
        <v>0</v>
      </c>
      <c r="DW18" s="169">
        <f t="shared" si="13"/>
        <v>0</v>
      </c>
      <c r="DX18" s="169">
        <f t="shared" si="13"/>
        <v>0</v>
      </c>
      <c r="DY18" s="169">
        <f t="shared" si="13"/>
        <v>0</v>
      </c>
      <c r="DZ18" s="169">
        <f t="shared" si="13"/>
        <v>0</v>
      </c>
      <c r="EA18" s="169">
        <f t="shared" si="13"/>
        <v>0</v>
      </c>
      <c r="EB18" s="169">
        <f t="shared" si="13"/>
        <v>0</v>
      </c>
      <c r="EC18" s="169">
        <f t="shared" si="13"/>
        <v>0</v>
      </c>
      <c r="ED18" s="172">
        <f t="shared" si="13"/>
        <v>0</v>
      </c>
      <c r="EE18" s="32" t="s">
        <v>39</v>
      </c>
      <c r="EF18" s="173" t="s">
        <v>144</v>
      </c>
    </row>
    <row r="19" spans="6:136" x14ac:dyDescent="0.3">
      <c r="K19" s="1"/>
      <c r="L19" s="23"/>
      <c r="M19" s="1"/>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60"/>
      <c r="EE19" s="1"/>
      <c r="EF19" s="138" t="str">
        <f>IF(EF20='YearProForma&amp;Returns'!P18,"All Good","Needs a Fixin")</f>
        <v>Needs a Fixin</v>
      </c>
    </row>
    <row r="20" spans="6:136" x14ac:dyDescent="0.3">
      <c r="I20" s="13"/>
      <c r="K20" s="1"/>
      <c r="L20" s="23" t="s">
        <v>56</v>
      </c>
      <c r="M20" s="1"/>
      <c r="N20" s="59"/>
      <c r="O20" s="109">
        <f t="shared" ref="O20:AT20" si="14">SUM(O18,O9)</f>
        <v>13701.349999999999</v>
      </c>
      <c r="P20" s="109">
        <f t="shared" si="14"/>
        <v>10338.35</v>
      </c>
      <c r="Q20" s="109">
        <f t="shared" si="14"/>
        <v>10338.35</v>
      </c>
      <c r="R20" s="109">
        <f t="shared" si="14"/>
        <v>12017.95</v>
      </c>
      <c r="S20" s="109">
        <f t="shared" si="14"/>
        <v>12017.95</v>
      </c>
      <c r="T20" s="109">
        <f t="shared" si="14"/>
        <v>10739.25</v>
      </c>
      <c r="U20" s="109">
        <f t="shared" si="14"/>
        <v>13676.650000000001</v>
      </c>
      <c r="V20" s="109">
        <f t="shared" si="14"/>
        <v>10928.3</v>
      </c>
      <c r="W20" s="109">
        <f t="shared" si="14"/>
        <v>9339.9</v>
      </c>
      <c r="X20" s="109">
        <f t="shared" si="14"/>
        <v>9339.9</v>
      </c>
      <c r="Y20" s="109">
        <f t="shared" si="14"/>
        <v>9339.9</v>
      </c>
      <c r="Z20" s="109">
        <f t="shared" si="14"/>
        <v>12601.25</v>
      </c>
      <c r="AA20" s="109">
        <f t="shared" si="14"/>
        <v>13073.736500000001</v>
      </c>
      <c r="AB20" s="109">
        <f t="shared" si="14"/>
        <v>13073.736500000001</v>
      </c>
      <c r="AC20" s="109">
        <f t="shared" si="14"/>
        <v>13073.736500000001</v>
      </c>
      <c r="AD20" s="109">
        <f t="shared" si="14"/>
        <v>13073.736500000001</v>
      </c>
      <c r="AE20" s="109">
        <f t="shared" si="14"/>
        <v>13073.736500000001</v>
      </c>
      <c r="AF20" s="109">
        <f t="shared" si="14"/>
        <v>17346.380499999999</v>
      </c>
      <c r="AG20" s="109">
        <f t="shared" si="14"/>
        <v>17346.380499999999</v>
      </c>
      <c r="AH20" s="109">
        <f t="shared" si="14"/>
        <v>17346.380499999999</v>
      </c>
      <c r="AI20" s="109">
        <f t="shared" si="14"/>
        <v>17346.380499999999</v>
      </c>
      <c r="AJ20" s="109">
        <f t="shared" si="14"/>
        <v>17346.380499999999</v>
      </c>
      <c r="AK20" s="109">
        <f t="shared" si="14"/>
        <v>17346.380499999999</v>
      </c>
      <c r="AL20" s="109">
        <f t="shared" si="14"/>
        <v>17346.380499999999</v>
      </c>
      <c r="AM20" s="109">
        <f t="shared" si="14"/>
        <v>17664.045809999996</v>
      </c>
      <c r="AN20" s="109">
        <f t="shared" si="14"/>
        <v>17664.045809999996</v>
      </c>
      <c r="AO20" s="109">
        <f t="shared" si="14"/>
        <v>17664.045809999996</v>
      </c>
      <c r="AP20" s="109">
        <f t="shared" si="14"/>
        <v>17664.045809999996</v>
      </c>
      <c r="AQ20" s="109">
        <f t="shared" si="14"/>
        <v>17664.045809999996</v>
      </c>
      <c r="AR20" s="109">
        <f t="shared" si="14"/>
        <v>17664.045809999996</v>
      </c>
      <c r="AS20" s="109">
        <f t="shared" si="14"/>
        <v>17664.045809999996</v>
      </c>
      <c r="AT20" s="109">
        <f t="shared" si="14"/>
        <v>17664.045809999996</v>
      </c>
      <c r="AU20" s="109">
        <f t="shared" ref="AU20:BZ20" si="15">SUM(AU18,AU9)</f>
        <v>17664.045809999996</v>
      </c>
      <c r="AV20" s="109">
        <f t="shared" si="15"/>
        <v>17664.045809999996</v>
      </c>
      <c r="AW20" s="109">
        <f t="shared" si="15"/>
        <v>17664.045809999996</v>
      </c>
      <c r="AX20" s="109">
        <f t="shared" si="15"/>
        <v>17664.045809999996</v>
      </c>
      <c r="AY20" s="109">
        <f t="shared" si="15"/>
        <v>18193.967184299996</v>
      </c>
      <c r="AZ20" s="109">
        <f t="shared" si="15"/>
        <v>18193.967184299996</v>
      </c>
      <c r="BA20" s="109">
        <f t="shared" si="15"/>
        <v>18193.967184299996</v>
      </c>
      <c r="BB20" s="109">
        <f t="shared" si="15"/>
        <v>18193.967184299996</v>
      </c>
      <c r="BC20" s="109">
        <f t="shared" si="15"/>
        <v>18193.967184299996</v>
      </c>
      <c r="BD20" s="109">
        <f t="shared" si="15"/>
        <v>18193.967184299996</v>
      </c>
      <c r="BE20" s="109">
        <f t="shared" si="15"/>
        <v>18193.967184299996</v>
      </c>
      <c r="BF20" s="109">
        <f t="shared" si="15"/>
        <v>18193.967184299996</v>
      </c>
      <c r="BG20" s="109">
        <f t="shared" si="15"/>
        <v>18193.967184299996</v>
      </c>
      <c r="BH20" s="109">
        <f t="shared" si="15"/>
        <v>18193.967184299996</v>
      </c>
      <c r="BI20" s="109">
        <f t="shared" si="15"/>
        <v>18193.967184299996</v>
      </c>
      <c r="BJ20" s="109">
        <f t="shared" si="15"/>
        <v>18193.967184299996</v>
      </c>
      <c r="BK20" s="109">
        <f t="shared" si="15"/>
        <v>18739.786199829006</v>
      </c>
      <c r="BL20" s="109">
        <f t="shared" si="15"/>
        <v>18739.786199829006</v>
      </c>
      <c r="BM20" s="109">
        <f t="shared" si="15"/>
        <v>18739.786199829006</v>
      </c>
      <c r="BN20" s="109">
        <f t="shared" si="15"/>
        <v>18739.786199829006</v>
      </c>
      <c r="BO20" s="109">
        <f t="shared" si="15"/>
        <v>18739.786199829006</v>
      </c>
      <c r="BP20" s="109">
        <f t="shared" si="15"/>
        <v>18739.786199829006</v>
      </c>
      <c r="BQ20" s="109">
        <f t="shared" si="15"/>
        <v>18739.786199829006</v>
      </c>
      <c r="BR20" s="109">
        <f t="shared" si="15"/>
        <v>18739.786199829006</v>
      </c>
      <c r="BS20" s="109">
        <f t="shared" si="15"/>
        <v>18739.786199829006</v>
      </c>
      <c r="BT20" s="109">
        <f t="shared" si="15"/>
        <v>18739.786199829006</v>
      </c>
      <c r="BU20" s="109">
        <f t="shared" si="15"/>
        <v>18739.786199829006</v>
      </c>
      <c r="BV20" s="109">
        <f t="shared" si="15"/>
        <v>18739.786199829006</v>
      </c>
      <c r="BW20" s="109">
        <f t="shared" si="15"/>
        <v>0</v>
      </c>
      <c r="BX20" s="109">
        <f t="shared" si="15"/>
        <v>0</v>
      </c>
      <c r="BY20" s="109">
        <f t="shared" si="15"/>
        <v>0</v>
      </c>
      <c r="BZ20" s="109">
        <f t="shared" si="15"/>
        <v>0</v>
      </c>
      <c r="CA20" s="109">
        <f t="shared" ref="CA20:DF20" si="16">SUM(CA18,CA9)</f>
        <v>0</v>
      </c>
      <c r="CB20" s="109">
        <f t="shared" si="16"/>
        <v>0</v>
      </c>
      <c r="CC20" s="109">
        <f t="shared" si="16"/>
        <v>0</v>
      </c>
      <c r="CD20" s="109">
        <f t="shared" si="16"/>
        <v>0</v>
      </c>
      <c r="CE20" s="109">
        <f t="shared" si="16"/>
        <v>0</v>
      </c>
      <c r="CF20" s="109">
        <f t="shared" si="16"/>
        <v>0</v>
      </c>
      <c r="CG20" s="109">
        <f t="shared" si="16"/>
        <v>0</v>
      </c>
      <c r="CH20" s="109">
        <f t="shared" si="16"/>
        <v>0</v>
      </c>
      <c r="CI20" s="109">
        <f t="shared" si="16"/>
        <v>0</v>
      </c>
      <c r="CJ20" s="109">
        <f t="shared" si="16"/>
        <v>0</v>
      </c>
      <c r="CK20" s="109">
        <f t="shared" si="16"/>
        <v>0</v>
      </c>
      <c r="CL20" s="109">
        <f t="shared" si="16"/>
        <v>0</v>
      </c>
      <c r="CM20" s="109">
        <f t="shared" si="16"/>
        <v>0</v>
      </c>
      <c r="CN20" s="109">
        <f t="shared" si="16"/>
        <v>0</v>
      </c>
      <c r="CO20" s="109">
        <f t="shared" si="16"/>
        <v>0</v>
      </c>
      <c r="CP20" s="109">
        <f t="shared" si="16"/>
        <v>0</v>
      </c>
      <c r="CQ20" s="109">
        <f t="shared" si="16"/>
        <v>0</v>
      </c>
      <c r="CR20" s="109">
        <f t="shared" si="16"/>
        <v>0</v>
      </c>
      <c r="CS20" s="109">
        <f t="shared" si="16"/>
        <v>0</v>
      </c>
      <c r="CT20" s="109">
        <f t="shared" si="16"/>
        <v>0</v>
      </c>
      <c r="CU20" s="109">
        <f t="shared" si="16"/>
        <v>0</v>
      </c>
      <c r="CV20" s="109">
        <f t="shared" si="16"/>
        <v>0</v>
      </c>
      <c r="CW20" s="109">
        <f t="shared" si="16"/>
        <v>0</v>
      </c>
      <c r="CX20" s="109">
        <f t="shared" si="16"/>
        <v>0</v>
      </c>
      <c r="CY20" s="109">
        <f t="shared" si="16"/>
        <v>0</v>
      </c>
      <c r="CZ20" s="109">
        <f t="shared" si="16"/>
        <v>0</v>
      </c>
      <c r="DA20" s="109">
        <f t="shared" si="16"/>
        <v>0</v>
      </c>
      <c r="DB20" s="109">
        <f t="shared" si="16"/>
        <v>0</v>
      </c>
      <c r="DC20" s="109">
        <f t="shared" si="16"/>
        <v>0</v>
      </c>
      <c r="DD20" s="109">
        <f t="shared" si="16"/>
        <v>0</v>
      </c>
      <c r="DE20" s="109">
        <f t="shared" si="16"/>
        <v>0</v>
      </c>
      <c r="DF20" s="109">
        <f t="shared" si="16"/>
        <v>0</v>
      </c>
      <c r="DG20" s="109">
        <f t="shared" ref="DG20:ED20" si="17">SUM(DG18,DG9)</f>
        <v>0</v>
      </c>
      <c r="DH20" s="109">
        <f t="shared" si="17"/>
        <v>0</v>
      </c>
      <c r="DI20" s="109">
        <f t="shared" si="17"/>
        <v>0</v>
      </c>
      <c r="DJ20" s="109">
        <f t="shared" si="17"/>
        <v>0</v>
      </c>
      <c r="DK20" s="109">
        <f t="shared" si="17"/>
        <v>0</v>
      </c>
      <c r="DL20" s="109">
        <f t="shared" si="17"/>
        <v>0</v>
      </c>
      <c r="DM20" s="109">
        <f t="shared" si="17"/>
        <v>0</v>
      </c>
      <c r="DN20" s="109">
        <f t="shared" si="17"/>
        <v>0</v>
      </c>
      <c r="DO20" s="109">
        <f t="shared" si="17"/>
        <v>0</v>
      </c>
      <c r="DP20" s="109">
        <f t="shared" si="17"/>
        <v>0</v>
      </c>
      <c r="DQ20" s="109">
        <f t="shared" si="17"/>
        <v>0</v>
      </c>
      <c r="DR20" s="109">
        <f t="shared" si="17"/>
        <v>0</v>
      </c>
      <c r="DS20" s="109">
        <f t="shared" si="17"/>
        <v>0</v>
      </c>
      <c r="DT20" s="109">
        <f t="shared" si="17"/>
        <v>0</v>
      </c>
      <c r="DU20" s="109">
        <f t="shared" si="17"/>
        <v>0</v>
      </c>
      <c r="DV20" s="109">
        <f t="shared" si="17"/>
        <v>0</v>
      </c>
      <c r="DW20" s="109">
        <f t="shared" si="17"/>
        <v>0</v>
      </c>
      <c r="DX20" s="109">
        <f t="shared" si="17"/>
        <v>0</v>
      </c>
      <c r="DY20" s="109">
        <f t="shared" si="17"/>
        <v>0</v>
      </c>
      <c r="DZ20" s="109">
        <f t="shared" si="17"/>
        <v>0</v>
      </c>
      <c r="EA20" s="109">
        <f t="shared" si="17"/>
        <v>0</v>
      </c>
      <c r="EB20" s="109">
        <f t="shared" si="17"/>
        <v>0</v>
      </c>
      <c r="EC20" s="109">
        <f t="shared" si="17"/>
        <v>0</v>
      </c>
      <c r="ED20" s="168">
        <f t="shared" si="17"/>
        <v>0</v>
      </c>
      <c r="EE20" s="1" t="s">
        <v>39</v>
      </c>
      <c r="EF20" s="174">
        <f>SUMIF(O3:ED3,'A&amp;Rs'!K9,'Monthly Pro Forma'!O20:ED20)*(1+'A&amp;Rs'!N23)</f>
        <v>231623.75742988658</v>
      </c>
    </row>
    <row r="21" spans="6:136" x14ac:dyDescent="0.3">
      <c r="F21" s="13"/>
      <c r="K21" s="1"/>
      <c r="L21" s="23"/>
      <c r="M21" s="1"/>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60"/>
      <c r="EE21" s="1" t="s">
        <v>39</v>
      </c>
      <c r="EF21" s="1"/>
    </row>
    <row r="22" spans="6:136" x14ac:dyDescent="0.3">
      <c r="K22" s="1"/>
      <c r="L22" s="23" t="s">
        <v>76</v>
      </c>
      <c r="M22" s="1"/>
      <c r="N22" s="59"/>
      <c r="O22" s="170">
        <f>IF(O3&lt;='A&amp;Rs'!$K$9,IF(O20&gt;0,-O20*'A&amp;Rs'!$N$35,0),0)</f>
        <v>-411.04049999999995</v>
      </c>
      <c r="P22" s="170">
        <f>IF(P3&lt;='A&amp;Rs'!$K$9,IF(P20&gt;0,-P20*'A&amp;Rs'!$N$35,0),0)</f>
        <v>-310.15050000000002</v>
      </c>
      <c r="Q22" s="170">
        <f>IF(Q3&lt;='A&amp;Rs'!$K$9,IF(Q20&gt;0,-Q20*'A&amp;Rs'!$N$35,0),0)</f>
        <v>-310.15050000000002</v>
      </c>
      <c r="R22" s="170">
        <f>IF(R3&lt;='A&amp;Rs'!$K$9,IF(R20&gt;0,-R20*'A&amp;Rs'!$N$35,0),0)</f>
        <v>-360.5385</v>
      </c>
      <c r="S22" s="170">
        <f>IF(S3&lt;='A&amp;Rs'!$K$9,IF(S20&gt;0,-S20*'A&amp;Rs'!$N$35,0),0)</f>
        <v>-360.5385</v>
      </c>
      <c r="T22" s="170">
        <f>IF(T3&lt;='A&amp;Rs'!$K$9,IF(T20&gt;0,-T20*'A&amp;Rs'!$N$35,0),0)</f>
        <v>-322.17750000000001</v>
      </c>
      <c r="U22" s="170">
        <f>IF(U3&lt;='A&amp;Rs'!$K$9,IF(U20&gt;0,-U20*'A&amp;Rs'!$N$35,0),0)</f>
        <v>-410.29950000000002</v>
      </c>
      <c r="V22" s="170">
        <f>IF(V3&lt;='A&amp;Rs'!$K$9,IF(V20&gt;0,-V20*'A&amp;Rs'!$N$35,0),0)</f>
        <v>-327.84899999999999</v>
      </c>
      <c r="W22" s="170">
        <f>IF(W3&lt;='A&amp;Rs'!$K$9,IF(W20&gt;0,-W20*'A&amp;Rs'!$N$35,0),0)</f>
        <v>-280.197</v>
      </c>
      <c r="X22" s="170">
        <f>IF(X3&lt;='A&amp;Rs'!$K$9,IF(X20&gt;0,-X20*'A&amp;Rs'!$N$35,0),0)</f>
        <v>-280.197</v>
      </c>
      <c r="Y22" s="170">
        <f>IF(Y3&lt;='A&amp;Rs'!$K$9,IF(Y20&gt;0,-Y20*'A&amp;Rs'!$N$35,0),0)</f>
        <v>-280.197</v>
      </c>
      <c r="Z22" s="170">
        <f>IF(Z3&lt;='A&amp;Rs'!$K$9,IF(Z20&gt;0,-Z20*'A&amp;Rs'!$N$35,0),0)</f>
        <v>-378.03749999999997</v>
      </c>
      <c r="AA22" s="170">
        <f>IF(AA3&lt;='A&amp;Rs'!$K$9,IF(AA20&gt;0,-AA20*'A&amp;Rs'!$N$35,0),0)</f>
        <v>-392.21209500000003</v>
      </c>
      <c r="AB22" s="170">
        <f>IF(AB3&lt;='A&amp;Rs'!$K$9,IF(AB20&gt;0,-AB20*'A&amp;Rs'!$N$35,0),0)</f>
        <v>-392.21209500000003</v>
      </c>
      <c r="AC22" s="170">
        <f>IF(AC3&lt;='A&amp;Rs'!$K$9,IF(AC20&gt;0,-AC20*'A&amp;Rs'!$N$35,0),0)</f>
        <v>-392.21209500000003</v>
      </c>
      <c r="AD22" s="170">
        <f>IF(AD3&lt;='A&amp;Rs'!$K$9,IF(AD20&gt;0,-AD20*'A&amp;Rs'!$N$35,0),0)</f>
        <v>-392.21209500000003</v>
      </c>
      <c r="AE22" s="170">
        <f>IF(AE3&lt;='A&amp;Rs'!$K$9,IF(AE20&gt;0,-AE20*'A&amp;Rs'!$N$35,0),0)</f>
        <v>-392.21209500000003</v>
      </c>
      <c r="AF22" s="170">
        <f>IF(AF3&lt;='A&amp;Rs'!$K$9,IF(AF20&gt;0,-AF20*'A&amp;Rs'!$N$35,0),0)</f>
        <v>-520.39141499999994</v>
      </c>
      <c r="AG22" s="170">
        <f>IF(AG3&lt;='A&amp;Rs'!$K$9,IF(AG20&gt;0,-AG20*'A&amp;Rs'!$N$35,0),0)</f>
        <v>-520.39141499999994</v>
      </c>
      <c r="AH22" s="170">
        <f>IF(AH3&lt;='A&amp;Rs'!$K$9,IF(AH20&gt;0,-AH20*'A&amp;Rs'!$N$35,0),0)</f>
        <v>-520.39141499999994</v>
      </c>
      <c r="AI22" s="170">
        <f>IF(AI3&lt;='A&amp;Rs'!$K$9,IF(AI20&gt;0,-AI20*'A&amp;Rs'!$N$35,0),0)</f>
        <v>-520.39141499999994</v>
      </c>
      <c r="AJ22" s="170">
        <f>IF(AJ3&lt;='A&amp;Rs'!$K$9,IF(AJ20&gt;0,-AJ20*'A&amp;Rs'!$N$35,0),0)</f>
        <v>-520.39141499999994</v>
      </c>
      <c r="AK22" s="170">
        <f>IF(AK3&lt;='A&amp;Rs'!$K$9,IF(AK20&gt;0,-AK20*'A&amp;Rs'!$N$35,0),0)</f>
        <v>-520.39141499999994</v>
      </c>
      <c r="AL22" s="170">
        <f>IF(AL3&lt;='A&amp;Rs'!$K$9,IF(AL20&gt;0,-AL20*'A&amp;Rs'!$N$35,0),0)</f>
        <v>-520.39141499999994</v>
      </c>
      <c r="AM22" s="170">
        <f>IF(AM3&lt;='A&amp;Rs'!$K$9,IF(AM20&gt;0,-AM20*'A&amp;Rs'!$N$35,0),0)</f>
        <v>-529.92137429999991</v>
      </c>
      <c r="AN22" s="170">
        <f>IF(AN3&lt;='A&amp;Rs'!$K$9,IF(AN20&gt;0,-AN20*'A&amp;Rs'!$N$35,0),0)</f>
        <v>-529.92137429999991</v>
      </c>
      <c r="AO22" s="170">
        <f>IF(AO3&lt;='A&amp;Rs'!$K$9,IF(AO20&gt;0,-AO20*'A&amp;Rs'!$N$35,0),0)</f>
        <v>-529.92137429999991</v>
      </c>
      <c r="AP22" s="170">
        <f>IF(AP3&lt;='A&amp;Rs'!$K$9,IF(AP20&gt;0,-AP20*'A&amp;Rs'!$N$35,0),0)</f>
        <v>-529.92137429999991</v>
      </c>
      <c r="AQ22" s="170">
        <f>IF(AQ3&lt;='A&amp;Rs'!$K$9,IF(AQ20&gt;0,-AQ20*'A&amp;Rs'!$N$35,0),0)</f>
        <v>-529.92137429999991</v>
      </c>
      <c r="AR22" s="170">
        <f>IF(AR3&lt;='A&amp;Rs'!$K$9,IF(AR20&gt;0,-AR20*'A&amp;Rs'!$N$35,0),0)</f>
        <v>-529.92137429999991</v>
      </c>
      <c r="AS22" s="170">
        <f>IF(AS3&lt;='A&amp;Rs'!$K$9,IF(AS20&gt;0,-AS20*'A&amp;Rs'!$N$35,0),0)</f>
        <v>-529.92137429999991</v>
      </c>
      <c r="AT22" s="170">
        <f>IF(AT3&lt;='A&amp;Rs'!$K$9,IF(AT20&gt;0,-AT20*'A&amp;Rs'!$N$35,0),0)</f>
        <v>-529.92137429999991</v>
      </c>
      <c r="AU22" s="170">
        <f>IF(AU3&lt;='A&amp;Rs'!$K$9,IF(AU20&gt;0,-AU20*'A&amp;Rs'!$N$35,0),0)</f>
        <v>-529.92137429999991</v>
      </c>
      <c r="AV22" s="170">
        <f>IF(AV3&lt;='A&amp;Rs'!$K$9,IF(AV20&gt;0,-AV20*'A&amp;Rs'!$N$35,0),0)</f>
        <v>-529.92137429999991</v>
      </c>
      <c r="AW22" s="170">
        <f>IF(AW3&lt;='A&amp;Rs'!$K$9,IF(AW20&gt;0,-AW20*'A&amp;Rs'!$N$35,0),0)</f>
        <v>-529.92137429999991</v>
      </c>
      <c r="AX22" s="170">
        <f>IF(AX3&lt;='A&amp;Rs'!$K$9,IF(AX20&gt;0,-AX20*'A&amp;Rs'!$N$35,0),0)</f>
        <v>-529.92137429999991</v>
      </c>
      <c r="AY22" s="170">
        <f>IF(AY3&lt;='A&amp;Rs'!$K$9,IF(AY20&gt;0,-AY20*'A&amp;Rs'!$N$35,0),0)</f>
        <v>-545.8190155289999</v>
      </c>
      <c r="AZ22" s="170">
        <f>IF(AZ3&lt;='A&amp;Rs'!$K$9,IF(AZ20&gt;0,-AZ20*'A&amp;Rs'!$N$35,0),0)</f>
        <v>-545.8190155289999</v>
      </c>
      <c r="BA22" s="170">
        <f>IF(BA3&lt;='A&amp;Rs'!$K$9,IF(BA20&gt;0,-BA20*'A&amp;Rs'!$N$35,0),0)</f>
        <v>-545.8190155289999</v>
      </c>
      <c r="BB22" s="170">
        <f>IF(BB3&lt;='A&amp;Rs'!$K$9,IF(BB20&gt;0,-BB20*'A&amp;Rs'!$N$35,0),0)</f>
        <v>-545.8190155289999</v>
      </c>
      <c r="BC22" s="170">
        <f>IF(BC3&lt;='A&amp;Rs'!$K$9,IF(BC20&gt;0,-BC20*'A&amp;Rs'!$N$35,0),0)</f>
        <v>-545.8190155289999</v>
      </c>
      <c r="BD22" s="170">
        <f>IF(BD3&lt;='A&amp;Rs'!$K$9,IF(BD20&gt;0,-BD20*'A&amp;Rs'!$N$35,0),0)</f>
        <v>-545.8190155289999</v>
      </c>
      <c r="BE22" s="170">
        <f>IF(BE3&lt;='A&amp;Rs'!$K$9,IF(BE20&gt;0,-BE20*'A&amp;Rs'!$N$35,0),0)</f>
        <v>-545.8190155289999</v>
      </c>
      <c r="BF22" s="170">
        <f>IF(BF3&lt;='A&amp;Rs'!$K$9,IF(BF20&gt;0,-BF20*'A&amp;Rs'!$N$35,0),0)</f>
        <v>-545.8190155289999</v>
      </c>
      <c r="BG22" s="170">
        <f>IF(BG3&lt;='A&amp;Rs'!$K$9,IF(BG20&gt;0,-BG20*'A&amp;Rs'!$N$35,0),0)</f>
        <v>-545.8190155289999</v>
      </c>
      <c r="BH22" s="170">
        <f>IF(BH3&lt;='A&amp;Rs'!$K$9,IF(BH20&gt;0,-BH20*'A&amp;Rs'!$N$35,0),0)</f>
        <v>-545.8190155289999</v>
      </c>
      <c r="BI22" s="170">
        <f>IF(BI3&lt;='A&amp;Rs'!$K$9,IF(BI20&gt;0,-BI20*'A&amp;Rs'!$N$35,0),0)</f>
        <v>-545.8190155289999</v>
      </c>
      <c r="BJ22" s="170">
        <f>IF(BJ3&lt;='A&amp;Rs'!$K$9,IF(BJ20&gt;0,-BJ20*'A&amp;Rs'!$N$35,0),0)</f>
        <v>-545.8190155289999</v>
      </c>
      <c r="BK22" s="170">
        <f>IF(BK3&lt;='A&amp;Rs'!$K$9,IF(BK20&gt;0,-BK20*'A&amp;Rs'!$N$35,0),0)</f>
        <v>-562.1935859948702</v>
      </c>
      <c r="BL22" s="170">
        <f>IF(BL3&lt;='A&amp;Rs'!$K$9,IF(BL20&gt;0,-BL20*'A&amp;Rs'!$N$35,0),0)</f>
        <v>-562.1935859948702</v>
      </c>
      <c r="BM22" s="170">
        <f>IF(BM3&lt;='A&amp;Rs'!$K$9,IF(BM20&gt;0,-BM20*'A&amp;Rs'!$N$35,0),0)</f>
        <v>-562.1935859948702</v>
      </c>
      <c r="BN22" s="170">
        <f>IF(BN3&lt;='A&amp;Rs'!$K$9,IF(BN20&gt;0,-BN20*'A&amp;Rs'!$N$35,0),0)</f>
        <v>-562.1935859948702</v>
      </c>
      <c r="BO22" s="170">
        <f>IF(BO3&lt;='A&amp;Rs'!$K$9,IF(BO20&gt;0,-BO20*'A&amp;Rs'!$N$35,0),0)</f>
        <v>-562.1935859948702</v>
      </c>
      <c r="BP22" s="170">
        <f>IF(BP3&lt;='A&amp;Rs'!$K$9,IF(BP20&gt;0,-BP20*'A&amp;Rs'!$N$35,0),0)</f>
        <v>-562.1935859948702</v>
      </c>
      <c r="BQ22" s="170">
        <f>IF(BQ3&lt;='A&amp;Rs'!$K$9,IF(BQ20&gt;0,-BQ20*'A&amp;Rs'!$N$35,0),0)</f>
        <v>-562.1935859948702</v>
      </c>
      <c r="BR22" s="170">
        <f>IF(BR3&lt;='A&amp;Rs'!$K$9,IF(BR20&gt;0,-BR20*'A&amp;Rs'!$N$35,0),0)</f>
        <v>-562.1935859948702</v>
      </c>
      <c r="BS22" s="170">
        <f>IF(BS3&lt;='A&amp;Rs'!$K$9,IF(BS20&gt;0,-BS20*'A&amp;Rs'!$N$35,0),0)</f>
        <v>-562.1935859948702</v>
      </c>
      <c r="BT22" s="170">
        <f>IF(BT3&lt;='A&amp;Rs'!$K$9,IF(BT20&gt;0,-BT20*'A&amp;Rs'!$N$35,0),0)</f>
        <v>-562.1935859948702</v>
      </c>
      <c r="BU22" s="170">
        <f>IF(BU3&lt;='A&amp;Rs'!$K$9,IF(BU20&gt;0,-BU20*'A&amp;Rs'!$N$35,0),0)</f>
        <v>-562.1935859948702</v>
      </c>
      <c r="BV22" s="170">
        <f>IF(BV3&lt;='A&amp;Rs'!$K$9,IF(BV20&gt;0,-BV20*'A&amp;Rs'!$N$35,0),0)</f>
        <v>-562.1935859948702</v>
      </c>
      <c r="BW22" s="170">
        <f>IF(BW3&lt;='A&amp;Rs'!$K$9,IF(BW20&gt;0,-BW20*'A&amp;Rs'!$N$35,0),0)</f>
        <v>0</v>
      </c>
      <c r="BX22" s="170">
        <f>IF(BX3&lt;='A&amp;Rs'!$K$9,IF(BX20&gt;0,-BX20*'A&amp;Rs'!$N$35,0),0)</f>
        <v>0</v>
      </c>
      <c r="BY22" s="170">
        <f>IF(BY3&lt;='A&amp;Rs'!$K$9,IF(BY20&gt;0,-BY20*'A&amp;Rs'!$N$35,0),0)</f>
        <v>0</v>
      </c>
      <c r="BZ22" s="170">
        <f>IF(BZ3&lt;='A&amp;Rs'!$K$9,IF(BZ20&gt;0,-BZ20*'A&amp;Rs'!$N$35,0),0)</f>
        <v>0</v>
      </c>
      <c r="CA22" s="170">
        <f>IF(CA3&lt;='A&amp;Rs'!$K$9,IF(CA20&gt;0,-CA20*'A&amp;Rs'!$N$35,0),0)</f>
        <v>0</v>
      </c>
      <c r="CB22" s="170">
        <f>IF(CB3&lt;='A&amp;Rs'!$K$9,IF(CB20&gt;0,-CB20*'A&amp;Rs'!$N$35,0),0)</f>
        <v>0</v>
      </c>
      <c r="CC22" s="170">
        <f>IF(CC3&lt;='A&amp;Rs'!$K$9,IF(CC20&gt;0,-CC20*'A&amp;Rs'!$N$35,0),0)</f>
        <v>0</v>
      </c>
      <c r="CD22" s="170">
        <f>IF(CD3&lt;='A&amp;Rs'!$K$9,IF(CD20&gt;0,-CD20*'A&amp;Rs'!$N$35,0),0)</f>
        <v>0</v>
      </c>
      <c r="CE22" s="170">
        <f>IF(CE3&lt;='A&amp;Rs'!$K$9,IF(CE20&gt;0,-CE20*'A&amp;Rs'!$N$35,0),0)</f>
        <v>0</v>
      </c>
      <c r="CF22" s="170">
        <f>IF(CF3&lt;='A&amp;Rs'!$K$9,IF(CF20&gt;0,-CF20*'A&amp;Rs'!$N$35,0),0)</f>
        <v>0</v>
      </c>
      <c r="CG22" s="170">
        <f>IF(CG3&lt;='A&amp;Rs'!$K$9,IF(CG20&gt;0,-CG20*'A&amp;Rs'!$N$35,0),0)</f>
        <v>0</v>
      </c>
      <c r="CH22" s="170">
        <f>IF(CH3&lt;='A&amp;Rs'!$K$9,IF(CH20&gt;0,-CH20*'A&amp;Rs'!$N$35,0),0)</f>
        <v>0</v>
      </c>
      <c r="CI22" s="170">
        <f>IF(CI3&lt;='A&amp;Rs'!$K$9,IF(CI20&gt;0,-CI20*'A&amp;Rs'!$N$35,0),0)</f>
        <v>0</v>
      </c>
      <c r="CJ22" s="170">
        <f>IF(CJ3&lt;='A&amp;Rs'!$K$9,IF(CJ20&gt;0,-CJ20*'A&amp;Rs'!$N$35,0),0)</f>
        <v>0</v>
      </c>
      <c r="CK22" s="170">
        <f>IF(CK3&lt;='A&amp;Rs'!$K$9,IF(CK20&gt;0,-CK20*'A&amp;Rs'!$N$35,0),0)</f>
        <v>0</v>
      </c>
      <c r="CL22" s="170">
        <f>IF(CL3&lt;='A&amp;Rs'!$K$9,IF(CL20&gt;0,-CL20*'A&amp;Rs'!$N$35,0),0)</f>
        <v>0</v>
      </c>
      <c r="CM22" s="170">
        <f>IF(CM3&lt;='A&amp;Rs'!$K$9,IF(CM20&gt;0,-CM20*'A&amp;Rs'!$N$35,0),0)</f>
        <v>0</v>
      </c>
      <c r="CN22" s="170">
        <f>IF(CN3&lt;='A&amp;Rs'!$K$9,IF(CN20&gt;0,-CN20*'A&amp;Rs'!$N$35,0),0)</f>
        <v>0</v>
      </c>
      <c r="CO22" s="170">
        <f>IF(CO3&lt;='A&amp;Rs'!$K$9,IF(CO20&gt;0,-CO20*'A&amp;Rs'!$N$35,0),0)</f>
        <v>0</v>
      </c>
      <c r="CP22" s="170">
        <f>IF(CP3&lt;='A&amp;Rs'!$K$9,IF(CP20&gt;0,-CP20*'A&amp;Rs'!$N$35,0),0)</f>
        <v>0</v>
      </c>
      <c r="CQ22" s="170">
        <f>IF(CQ3&lt;='A&amp;Rs'!$K$9,IF(CQ20&gt;0,-CQ20*'A&amp;Rs'!$N$35,0),0)</f>
        <v>0</v>
      </c>
      <c r="CR22" s="170">
        <f>IF(CR3&lt;='A&amp;Rs'!$K$9,IF(CR20&gt;0,-CR20*'A&amp;Rs'!$N$35,0),0)</f>
        <v>0</v>
      </c>
      <c r="CS22" s="170">
        <f>IF(CS3&lt;='A&amp;Rs'!$K$9,IF(CS20&gt;0,-CS20*'A&amp;Rs'!$N$35,0),0)</f>
        <v>0</v>
      </c>
      <c r="CT22" s="170">
        <f>IF(CT3&lt;='A&amp;Rs'!$K$9,IF(CT20&gt;0,-CT20*'A&amp;Rs'!$N$35,0),0)</f>
        <v>0</v>
      </c>
      <c r="CU22" s="170">
        <f>IF(CU3&lt;='A&amp;Rs'!$K$9,IF(CU20&gt;0,-CU20*'A&amp;Rs'!$N$35,0),0)</f>
        <v>0</v>
      </c>
      <c r="CV22" s="170">
        <f>IF(CV3&lt;='A&amp;Rs'!$K$9,IF(CV20&gt;0,-CV20*'A&amp;Rs'!$N$35,0),0)</f>
        <v>0</v>
      </c>
      <c r="CW22" s="170">
        <f>IF(CW3&lt;='A&amp;Rs'!$K$9,IF(CW20&gt;0,-CW20*'A&amp;Rs'!$N$35,0),0)</f>
        <v>0</v>
      </c>
      <c r="CX22" s="170">
        <f>IF(CX3&lt;='A&amp;Rs'!$K$9,IF(CX20&gt;0,-CX20*'A&amp;Rs'!$N$35,0),0)</f>
        <v>0</v>
      </c>
      <c r="CY22" s="170">
        <f>IF(CY3&lt;='A&amp;Rs'!$K$9,IF(CY20&gt;0,-CY20*'A&amp;Rs'!$N$35,0),0)</f>
        <v>0</v>
      </c>
      <c r="CZ22" s="170">
        <f>IF(CZ3&lt;='A&amp;Rs'!$K$9,IF(CZ20&gt;0,-CZ20*'A&amp;Rs'!$N$35,0),0)</f>
        <v>0</v>
      </c>
      <c r="DA22" s="170">
        <f>IF(DA3&lt;='A&amp;Rs'!$K$9,IF(DA20&gt;0,-DA20*'A&amp;Rs'!$N$35,0),0)</f>
        <v>0</v>
      </c>
      <c r="DB22" s="170">
        <f>IF(DB3&lt;='A&amp;Rs'!$K$9,IF(DB20&gt;0,-DB20*'A&amp;Rs'!$N$35,0),0)</f>
        <v>0</v>
      </c>
      <c r="DC22" s="170">
        <f>IF(DC3&lt;='A&amp;Rs'!$K$9,IF(DC20&gt;0,-DC20*'A&amp;Rs'!$N$35,0),0)</f>
        <v>0</v>
      </c>
      <c r="DD22" s="170">
        <f>IF(DD3&lt;='A&amp;Rs'!$K$9,IF(DD20&gt;0,-DD20*'A&amp;Rs'!$N$35,0),0)</f>
        <v>0</v>
      </c>
      <c r="DE22" s="170">
        <f>IF(DE3&lt;='A&amp;Rs'!$K$9,IF(DE20&gt;0,-DE20*'A&amp;Rs'!$N$35,0),0)</f>
        <v>0</v>
      </c>
      <c r="DF22" s="170">
        <f>IF(DF3&lt;='A&amp;Rs'!$K$9,IF(DF20&gt;0,-DF20*'A&amp;Rs'!$N$35,0),0)</f>
        <v>0</v>
      </c>
      <c r="DG22" s="170">
        <f>IF(DG3&lt;='A&amp;Rs'!$K$9,IF(DG20&gt;0,-DG20*'A&amp;Rs'!$N$35,0),0)</f>
        <v>0</v>
      </c>
      <c r="DH22" s="170">
        <f>IF(DH3&lt;='A&amp;Rs'!$K$9,IF(DH20&gt;0,-DH20*'A&amp;Rs'!$N$35,0),0)</f>
        <v>0</v>
      </c>
      <c r="DI22" s="170">
        <f>IF(DI3&lt;='A&amp;Rs'!$K$9,IF(DI20&gt;0,-DI20*'A&amp;Rs'!$N$35,0),0)</f>
        <v>0</v>
      </c>
      <c r="DJ22" s="170">
        <f>IF(DJ3&lt;='A&amp;Rs'!$K$9,IF(DJ20&gt;0,-DJ20*'A&amp;Rs'!$N$35,0),0)</f>
        <v>0</v>
      </c>
      <c r="DK22" s="170">
        <f>IF(DK3&lt;='A&amp;Rs'!$K$9,IF(DK20&gt;0,-DK20*'A&amp;Rs'!$N$35,0),0)</f>
        <v>0</v>
      </c>
      <c r="DL22" s="170">
        <f>IF(DL3&lt;='A&amp;Rs'!$K$9,IF(DL20&gt;0,-DL20*'A&amp;Rs'!$N$35,0),0)</f>
        <v>0</v>
      </c>
      <c r="DM22" s="170">
        <f>IF(DM3&lt;='A&amp;Rs'!$K$9,IF(DM20&gt;0,-DM20*'A&amp;Rs'!$N$35,0),0)</f>
        <v>0</v>
      </c>
      <c r="DN22" s="170">
        <f>IF(DN3&lt;='A&amp;Rs'!$K$9,IF(DN20&gt;0,-DN20*'A&amp;Rs'!$N$35,0),0)</f>
        <v>0</v>
      </c>
      <c r="DO22" s="170">
        <f>IF(DO3&lt;='A&amp;Rs'!$K$9,IF(DO20&gt;0,-DO20*'A&amp;Rs'!$N$35,0),0)</f>
        <v>0</v>
      </c>
      <c r="DP22" s="170">
        <f>IF(DP3&lt;='A&amp;Rs'!$K$9,IF(DP20&gt;0,-DP20*'A&amp;Rs'!$N$35,0),0)</f>
        <v>0</v>
      </c>
      <c r="DQ22" s="170">
        <f>IF(DQ3&lt;='A&amp;Rs'!$K$9,IF(DQ20&gt;0,-DQ20*'A&amp;Rs'!$N$35,0),0)</f>
        <v>0</v>
      </c>
      <c r="DR22" s="170">
        <f>IF(DR3&lt;='A&amp;Rs'!$K$9,IF(DR20&gt;0,-DR20*'A&amp;Rs'!$N$35,0),0)</f>
        <v>0</v>
      </c>
      <c r="DS22" s="170">
        <f>IF(DS3&lt;='A&amp;Rs'!$K$9,IF(DS20&gt;0,-DS20*'A&amp;Rs'!$N$35,0),0)</f>
        <v>0</v>
      </c>
      <c r="DT22" s="170">
        <f>IF(DT3&lt;='A&amp;Rs'!$K$9,IF(DT20&gt;0,-DT20*'A&amp;Rs'!$N$35,0),0)</f>
        <v>0</v>
      </c>
      <c r="DU22" s="170">
        <f>IF(DU3&lt;='A&amp;Rs'!$K$9,IF(DU20&gt;0,-DU20*'A&amp;Rs'!$N$35,0),0)</f>
        <v>0</v>
      </c>
      <c r="DV22" s="170">
        <f>IF(DV3&lt;='A&amp;Rs'!$K$9,IF(DV20&gt;0,-DV20*'A&amp;Rs'!$N$35,0),0)</f>
        <v>0</v>
      </c>
      <c r="DW22" s="170">
        <f>IF(DW3&lt;='A&amp;Rs'!$K$9,IF(DW20&gt;0,-DW20*'A&amp;Rs'!$N$35,0),0)</f>
        <v>0</v>
      </c>
      <c r="DX22" s="170">
        <f>IF(DX3&lt;='A&amp;Rs'!$K$9,IF(DX20&gt;0,-DX20*'A&amp;Rs'!$N$35,0),0)</f>
        <v>0</v>
      </c>
      <c r="DY22" s="170">
        <f>IF(DY3&lt;='A&amp;Rs'!$K$9,IF(DY20&gt;0,-DY20*'A&amp;Rs'!$N$35,0),0)</f>
        <v>0</v>
      </c>
      <c r="DZ22" s="170">
        <f>IF(DZ3&lt;='A&amp;Rs'!$K$9,IF(DZ20&gt;0,-DZ20*'A&amp;Rs'!$N$35,0),0)</f>
        <v>0</v>
      </c>
      <c r="EA22" s="170">
        <f>IF(EA3&lt;='A&amp;Rs'!$K$9,IF(EA20&gt;0,-EA20*'A&amp;Rs'!$N$35,0),0)</f>
        <v>0</v>
      </c>
      <c r="EB22" s="170">
        <f>IF(EB3&lt;='A&amp;Rs'!$K$9,IF(EB20&gt;0,-EB20*'A&amp;Rs'!$N$35,0),0)</f>
        <v>0</v>
      </c>
      <c r="EC22" s="170">
        <f>IF(EC3&lt;='A&amp;Rs'!$K$9,IF(EC20&gt;0,-EC20*'A&amp;Rs'!$N$35,0),0)</f>
        <v>0</v>
      </c>
      <c r="ED22" s="171">
        <f>IF(ED3&lt;='A&amp;Rs'!$K$9,IF(ED20&gt;0,-ED20*'A&amp;Rs'!$N$35,0),0)</f>
        <v>0</v>
      </c>
      <c r="EE22" s="1" t="s">
        <v>39</v>
      </c>
      <c r="EF22" s="1"/>
    </row>
    <row r="23" spans="6:136" x14ac:dyDescent="0.3">
      <c r="K23" s="1"/>
      <c r="L23" s="23" t="s">
        <v>124</v>
      </c>
      <c r="M23" s="1"/>
      <c r="N23" s="59"/>
      <c r="O23" s="170">
        <f>IF(O3&lt;='A&amp;Rs'!$K$9,UnitsBreakdown!F56,0)</f>
        <v>0</v>
      </c>
      <c r="P23" s="170">
        <f>IF(P3&lt;='A&amp;Rs'!$K$9,UnitsBreakdown!G56,0)</f>
        <v>-18000</v>
      </c>
      <c r="Q23" s="170">
        <f>IF(Q3&lt;='A&amp;Rs'!$K$9,UnitsBreakdown!H56,0)</f>
        <v>-18000</v>
      </c>
      <c r="R23" s="170">
        <f>IF(R3&lt;='A&amp;Rs'!$K$9,UnitsBreakdown!I56,0)</f>
        <v>-8166.6666666666661</v>
      </c>
      <c r="S23" s="170">
        <f>IF(S3&lt;='A&amp;Rs'!$K$9,UnitsBreakdown!J56,0)</f>
        <v>-8166.6666666666661</v>
      </c>
      <c r="T23" s="170">
        <f>IF(T3&lt;='A&amp;Rs'!$K$9,UnitsBreakdown!K56,0)</f>
        <v>-12500</v>
      </c>
      <c r="U23" s="170">
        <f>IF(U3&lt;='A&amp;Rs'!$K$9,UnitsBreakdown!L56,0)</f>
        <v>-4333.333333333333</v>
      </c>
      <c r="V23" s="170">
        <f>IF(V3&lt;='A&amp;Rs'!$K$9,UnitsBreakdown!M56,0)</f>
        <v>-11158.333333333332</v>
      </c>
      <c r="W23" s="170">
        <f>IF(W3&lt;='A&amp;Rs'!$K$9,UnitsBreakdown!N56,0)</f>
        <v>-14300</v>
      </c>
      <c r="X23" s="170">
        <f>IF(X3&lt;='A&amp;Rs'!$K$9,UnitsBreakdown!O56,0)</f>
        <v>-14300</v>
      </c>
      <c r="Y23" s="170">
        <f>IF(Y3&lt;='A&amp;Rs'!$K$9,UnitsBreakdown!P56,0)</f>
        <v>-14300</v>
      </c>
      <c r="Z23" s="170">
        <f>IF(Z3&lt;='A&amp;Rs'!$K$9,UnitsBreakdown!Q56,0)</f>
        <v>-7475</v>
      </c>
      <c r="AA23" s="170">
        <f>IF(AA3&lt;='A&amp;Rs'!$K$9,UnitsBreakdown!R56,0)</f>
        <v>-5980</v>
      </c>
      <c r="AB23" s="170">
        <f>IF(AB3&lt;='A&amp;Rs'!$K$9,UnitsBreakdown!S56,0)</f>
        <v>-5980</v>
      </c>
      <c r="AC23" s="170">
        <f>IF(AC3&lt;='A&amp;Rs'!$K$9,UnitsBreakdown!T56,0)</f>
        <v>-5980</v>
      </c>
      <c r="AD23" s="170">
        <f>IF(AD3&lt;='A&amp;Rs'!$K$9,UnitsBreakdown!U56,0)</f>
        <v>-5980</v>
      </c>
      <c r="AE23" s="170">
        <f>IF(AE3&lt;='A&amp;Rs'!$K$9,UnitsBreakdown!V56,0)</f>
        <v>-5980</v>
      </c>
      <c r="AF23" s="170">
        <f>IF(AF3&lt;='A&amp;Rs'!$K$9,UnitsBreakdown!W56,0)</f>
        <v>-10037.5</v>
      </c>
      <c r="AG23" s="170">
        <f>IF(AG3&lt;='A&amp;Rs'!$K$9,UnitsBreakdown!X56,0)</f>
        <v>-10037.5</v>
      </c>
      <c r="AH23" s="170">
        <f>IF(AH3&lt;='A&amp;Rs'!$K$9,UnitsBreakdown!Y56,0)</f>
        <v>0</v>
      </c>
      <c r="AI23" s="170">
        <f>IF(AI3&lt;='A&amp;Rs'!$K$9,UnitsBreakdown!Z56,0)</f>
        <v>0</v>
      </c>
      <c r="AJ23" s="170">
        <f>IF(AJ3&lt;='A&amp;Rs'!$K$9,UnitsBreakdown!AA56,0)</f>
        <v>0</v>
      </c>
      <c r="AK23" s="170">
        <f>IF(AK3&lt;='A&amp;Rs'!$K$9,UnitsBreakdown!AB56,0)</f>
        <v>0</v>
      </c>
      <c r="AL23" s="170">
        <f>IF(AL3&lt;='A&amp;Rs'!$K$9,UnitsBreakdown!AC56,0)</f>
        <v>0</v>
      </c>
      <c r="AM23" s="170">
        <f>IF(AM3&lt;='A&amp;Rs'!$K$9,UnitsBreakdown!AD56,0)</f>
        <v>0</v>
      </c>
      <c r="AN23" s="170">
        <f>IF(AN3&lt;='A&amp;Rs'!$K$9,UnitsBreakdown!AE56,0)</f>
        <v>0</v>
      </c>
      <c r="AO23" s="170">
        <f>IF(AO3&lt;='A&amp;Rs'!$K$9,UnitsBreakdown!AF56,0)</f>
        <v>0</v>
      </c>
      <c r="AP23" s="170">
        <f>IF(AP3&lt;='A&amp;Rs'!$K$9,UnitsBreakdown!AG56,0)</f>
        <v>0</v>
      </c>
      <c r="AQ23" s="170">
        <f>IF(AQ3&lt;='A&amp;Rs'!$K$9,UnitsBreakdown!AH56,0)</f>
        <v>0</v>
      </c>
      <c r="AR23" s="170">
        <f>IF(AR3&lt;='A&amp;Rs'!$K$9,UnitsBreakdown!AI56,0)</f>
        <v>0</v>
      </c>
      <c r="AS23" s="170">
        <f>IF(AS3&lt;='A&amp;Rs'!$K$9,UnitsBreakdown!AJ56,0)</f>
        <v>0</v>
      </c>
      <c r="AT23" s="170">
        <f>IF(AT3&lt;='A&amp;Rs'!$K$9,UnitsBreakdown!AK56,0)</f>
        <v>0</v>
      </c>
      <c r="AU23" s="170">
        <f>IF(AU3&lt;='A&amp;Rs'!$K$9,UnitsBreakdown!AL56,0)</f>
        <v>0</v>
      </c>
      <c r="AV23" s="170">
        <f>IF(AV3&lt;='A&amp;Rs'!$K$9,UnitsBreakdown!AM56,0)</f>
        <v>0</v>
      </c>
      <c r="AW23" s="170">
        <f>IF(AW3&lt;='A&amp;Rs'!$K$9,UnitsBreakdown!AN56,0)</f>
        <v>0</v>
      </c>
      <c r="AX23" s="170">
        <f>IF(AX3&lt;='A&amp;Rs'!$K$9,UnitsBreakdown!AO56,0)</f>
        <v>0</v>
      </c>
      <c r="AY23" s="170">
        <f>IF(AY3&lt;='A&amp;Rs'!$K$9,UnitsBreakdown!AP56,0)</f>
        <v>0</v>
      </c>
      <c r="AZ23" s="170">
        <f>IF(AZ3&lt;='A&amp;Rs'!$K$9,UnitsBreakdown!AQ56,0)</f>
        <v>0</v>
      </c>
      <c r="BA23" s="170">
        <f>IF(BA3&lt;='A&amp;Rs'!$K$9,UnitsBreakdown!AR56,0)</f>
        <v>0</v>
      </c>
      <c r="BB23" s="170">
        <f>IF(BB3&lt;='A&amp;Rs'!$K$9,UnitsBreakdown!AS56,0)</f>
        <v>0</v>
      </c>
      <c r="BC23" s="170">
        <f>IF(BC3&lt;='A&amp;Rs'!$K$9,UnitsBreakdown!AT56,0)</f>
        <v>0</v>
      </c>
      <c r="BD23" s="170">
        <f>IF(BD3&lt;='A&amp;Rs'!$K$9,UnitsBreakdown!AU56,0)</f>
        <v>0</v>
      </c>
      <c r="BE23" s="170">
        <f>IF(BE3&lt;='A&amp;Rs'!$K$9,UnitsBreakdown!AV56,0)</f>
        <v>0</v>
      </c>
      <c r="BF23" s="170">
        <f>IF(BF3&lt;='A&amp;Rs'!$K$9,UnitsBreakdown!AW56,0)</f>
        <v>0</v>
      </c>
      <c r="BG23" s="170">
        <f>IF(BG3&lt;='A&amp;Rs'!$K$9,UnitsBreakdown!AX56,0)</f>
        <v>0</v>
      </c>
      <c r="BH23" s="170">
        <f>IF(BH3&lt;='A&amp;Rs'!$K$9,UnitsBreakdown!AY56,0)</f>
        <v>0</v>
      </c>
      <c r="BI23" s="170">
        <f>IF(BI3&lt;='A&amp;Rs'!$K$9,UnitsBreakdown!AZ56,0)</f>
        <v>0</v>
      </c>
      <c r="BJ23" s="170">
        <f>IF(BJ3&lt;='A&amp;Rs'!$K$9,UnitsBreakdown!BA56,0)</f>
        <v>0</v>
      </c>
      <c r="BK23" s="170">
        <f>IF(BK3&lt;='A&amp;Rs'!$K$9,UnitsBreakdown!BB56,0)</f>
        <v>0</v>
      </c>
      <c r="BL23" s="170">
        <f>IF(BL3&lt;='A&amp;Rs'!$K$9,UnitsBreakdown!BC56,0)</f>
        <v>0</v>
      </c>
      <c r="BM23" s="170">
        <f>IF(BM3&lt;='A&amp;Rs'!$K$9,UnitsBreakdown!BD56,0)</f>
        <v>0</v>
      </c>
      <c r="BN23" s="170">
        <f>IF(BN3&lt;='A&amp;Rs'!$K$9,UnitsBreakdown!BE56,0)</f>
        <v>0</v>
      </c>
      <c r="BO23" s="170">
        <f>IF(BO3&lt;='A&amp;Rs'!$K$9,UnitsBreakdown!BF56,0)</f>
        <v>0</v>
      </c>
      <c r="BP23" s="170">
        <f>IF(BP3&lt;='A&amp;Rs'!$K$9,UnitsBreakdown!BG56,0)</f>
        <v>0</v>
      </c>
      <c r="BQ23" s="170">
        <f>IF(BQ3&lt;='A&amp;Rs'!$K$9,UnitsBreakdown!BH56,0)</f>
        <v>0</v>
      </c>
      <c r="BR23" s="170">
        <f>IF(BR3&lt;='A&amp;Rs'!$K$9,UnitsBreakdown!BI56,0)</f>
        <v>0</v>
      </c>
      <c r="BS23" s="170">
        <f>IF(BS3&lt;='A&amp;Rs'!$K$9,UnitsBreakdown!BJ56,0)</f>
        <v>0</v>
      </c>
      <c r="BT23" s="170">
        <f>IF(BT3&lt;='A&amp;Rs'!$K$9,UnitsBreakdown!BK56,0)</f>
        <v>0</v>
      </c>
      <c r="BU23" s="170">
        <f>IF(BU3&lt;='A&amp;Rs'!$K$9,UnitsBreakdown!BL56,0)</f>
        <v>0</v>
      </c>
      <c r="BV23" s="170">
        <f>IF(BV3&lt;='A&amp;Rs'!$K$9,UnitsBreakdown!BM56,0)</f>
        <v>0</v>
      </c>
      <c r="BW23" s="170">
        <f>IF(BW3&lt;='A&amp;Rs'!$K$9,UnitsBreakdown!BN56,0)</f>
        <v>0</v>
      </c>
      <c r="BX23" s="170">
        <f>IF(BX3&lt;='A&amp;Rs'!$K$9,UnitsBreakdown!BO56,0)</f>
        <v>0</v>
      </c>
      <c r="BY23" s="170">
        <f>IF(BY3&lt;='A&amp;Rs'!$K$9,UnitsBreakdown!BP56,0)</f>
        <v>0</v>
      </c>
      <c r="BZ23" s="170">
        <f>IF(BZ3&lt;='A&amp;Rs'!$K$9,UnitsBreakdown!BQ56,0)</f>
        <v>0</v>
      </c>
      <c r="CA23" s="170">
        <f>IF(CA3&lt;='A&amp;Rs'!$K$9,UnitsBreakdown!BR56,0)</f>
        <v>0</v>
      </c>
      <c r="CB23" s="170">
        <f>IF(CB3&lt;='A&amp;Rs'!$K$9,UnitsBreakdown!BS56,0)</f>
        <v>0</v>
      </c>
      <c r="CC23" s="170">
        <f>IF(CC3&lt;='A&amp;Rs'!$K$9,UnitsBreakdown!BT56,0)</f>
        <v>0</v>
      </c>
      <c r="CD23" s="170">
        <f>IF(CD3&lt;='A&amp;Rs'!$K$9,UnitsBreakdown!BU56,0)</f>
        <v>0</v>
      </c>
      <c r="CE23" s="170">
        <f>IF(CE3&lt;='A&amp;Rs'!$K$9,UnitsBreakdown!BV56,0)</f>
        <v>0</v>
      </c>
      <c r="CF23" s="170">
        <f>IF(CF3&lt;='A&amp;Rs'!$K$9,UnitsBreakdown!BW56,0)</f>
        <v>0</v>
      </c>
      <c r="CG23" s="170">
        <f>IF(CG3&lt;='A&amp;Rs'!$K$9,UnitsBreakdown!BX56,0)</f>
        <v>0</v>
      </c>
      <c r="CH23" s="170">
        <f>IF(CH3&lt;='A&amp;Rs'!$K$9,UnitsBreakdown!BY56,0)</f>
        <v>0</v>
      </c>
      <c r="CI23" s="170">
        <f>IF(CI3&lt;='A&amp;Rs'!$K$9,UnitsBreakdown!BZ56,0)</f>
        <v>0</v>
      </c>
      <c r="CJ23" s="170">
        <f>IF(CJ3&lt;='A&amp;Rs'!$K$9,UnitsBreakdown!CA56,0)</f>
        <v>0</v>
      </c>
      <c r="CK23" s="170">
        <f>IF(CK3&lt;='A&amp;Rs'!$K$9,UnitsBreakdown!CB56,0)</f>
        <v>0</v>
      </c>
      <c r="CL23" s="170">
        <f>IF(CL3&lt;='A&amp;Rs'!$K$9,UnitsBreakdown!CC56,0)</f>
        <v>0</v>
      </c>
      <c r="CM23" s="170">
        <f>IF(CM3&lt;='A&amp;Rs'!$K$9,UnitsBreakdown!CD56,0)</f>
        <v>0</v>
      </c>
      <c r="CN23" s="170">
        <f>IF(CN3&lt;='A&amp;Rs'!$K$9,UnitsBreakdown!CE56,0)</f>
        <v>0</v>
      </c>
      <c r="CO23" s="170">
        <f>IF(CO3&lt;='A&amp;Rs'!$K$9,UnitsBreakdown!CF56,0)</f>
        <v>0</v>
      </c>
      <c r="CP23" s="170">
        <f>IF(CP3&lt;='A&amp;Rs'!$K$9,UnitsBreakdown!CG56,0)</f>
        <v>0</v>
      </c>
      <c r="CQ23" s="170">
        <f>IF(CQ3&lt;='A&amp;Rs'!$K$9,UnitsBreakdown!CH56,0)</f>
        <v>0</v>
      </c>
      <c r="CR23" s="170">
        <f>IF(CR3&lt;='A&amp;Rs'!$K$9,UnitsBreakdown!CI56,0)</f>
        <v>0</v>
      </c>
      <c r="CS23" s="170">
        <f>IF(CS3&lt;='A&amp;Rs'!$K$9,UnitsBreakdown!CJ56,0)</f>
        <v>0</v>
      </c>
      <c r="CT23" s="170">
        <f>IF(CT3&lt;='A&amp;Rs'!$K$9,UnitsBreakdown!CK56,0)</f>
        <v>0</v>
      </c>
      <c r="CU23" s="170">
        <f>IF(CU3&lt;='A&amp;Rs'!$K$9,UnitsBreakdown!CL56,0)</f>
        <v>0</v>
      </c>
      <c r="CV23" s="170">
        <f>IF(CV3&lt;='A&amp;Rs'!$K$9,UnitsBreakdown!CM56,0)</f>
        <v>0</v>
      </c>
      <c r="CW23" s="170">
        <f>IF(CW3&lt;='A&amp;Rs'!$K$9,UnitsBreakdown!CN56,0)</f>
        <v>0</v>
      </c>
      <c r="CX23" s="170">
        <f>IF(CX3&lt;='A&amp;Rs'!$K$9,UnitsBreakdown!CO56,0)</f>
        <v>0</v>
      </c>
      <c r="CY23" s="170">
        <f>IF(CY3&lt;='A&amp;Rs'!$K$9,UnitsBreakdown!CP56,0)</f>
        <v>0</v>
      </c>
      <c r="CZ23" s="170">
        <f>IF(CZ3&lt;='A&amp;Rs'!$K$9,UnitsBreakdown!CQ56,0)</f>
        <v>0</v>
      </c>
      <c r="DA23" s="170">
        <f>IF(DA3&lt;='A&amp;Rs'!$K$9,UnitsBreakdown!CR56,0)</f>
        <v>0</v>
      </c>
      <c r="DB23" s="170">
        <f>IF(DB3&lt;='A&amp;Rs'!$K$9,UnitsBreakdown!CS56,0)</f>
        <v>0</v>
      </c>
      <c r="DC23" s="170">
        <f>IF(DC3&lt;='A&amp;Rs'!$K$9,UnitsBreakdown!CT56,0)</f>
        <v>0</v>
      </c>
      <c r="DD23" s="170">
        <f>IF(DD3&lt;='A&amp;Rs'!$K$9,UnitsBreakdown!CU56,0)</f>
        <v>0</v>
      </c>
      <c r="DE23" s="170">
        <f>IF(DE3&lt;='A&amp;Rs'!$K$9,UnitsBreakdown!CV56,0)</f>
        <v>0</v>
      </c>
      <c r="DF23" s="170">
        <f>IF(DF3&lt;='A&amp;Rs'!$K$9,UnitsBreakdown!CW56,0)</f>
        <v>0</v>
      </c>
      <c r="DG23" s="170">
        <f>IF(DG3&lt;='A&amp;Rs'!$K$9,UnitsBreakdown!CX56,0)</f>
        <v>0</v>
      </c>
      <c r="DH23" s="170">
        <f>IF(DH3&lt;='A&amp;Rs'!$K$9,UnitsBreakdown!CY56,0)</f>
        <v>0</v>
      </c>
      <c r="DI23" s="170">
        <f>IF(DI3&lt;='A&amp;Rs'!$K$9,UnitsBreakdown!CZ56,0)</f>
        <v>0</v>
      </c>
      <c r="DJ23" s="170">
        <f>IF(DJ3&lt;='A&amp;Rs'!$K$9,UnitsBreakdown!DA56,0)</f>
        <v>0</v>
      </c>
      <c r="DK23" s="170">
        <f>IF(DK3&lt;='A&amp;Rs'!$K$9,UnitsBreakdown!DB56,0)</f>
        <v>0</v>
      </c>
      <c r="DL23" s="170">
        <f>IF(DL3&lt;='A&amp;Rs'!$K$9,UnitsBreakdown!DC56,0)</f>
        <v>0</v>
      </c>
      <c r="DM23" s="170">
        <f>IF(DM3&lt;='A&amp;Rs'!$K$9,UnitsBreakdown!DD56,0)</f>
        <v>0</v>
      </c>
      <c r="DN23" s="170">
        <f>IF(DN3&lt;='A&amp;Rs'!$K$9,UnitsBreakdown!DE56,0)</f>
        <v>0</v>
      </c>
      <c r="DO23" s="170">
        <f>IF(DO3&lt;='A&amp;Rs'!$K$9,UnitsBreakdown!DF56,0)</f>
        <v>0</v>
      </c>
      <c r="DP23" s="170">
        <f>IF(DP3&lt;='A&amp;Rs'!$K$9,UnitsBreakdown!DG56,0)</f>
        <v>0</v>
      </c>
      <c r="DQ23" s="170">
        <f>IF(DQ3&lt;='A&amp;Rs'!$K$9,UnitsBreakdown!DH56,0)</f>
        <v>0</v>
      </c>
      <c r="DR23" s="170">
        <f>IF(DR3&lt;='A&amp;Rs'!$K$9,UnitsBreakdown!DI56,0)</f>
        <v>0</v>
      </c>
      <c r="DS23" s="170">
        <f>IF(DS3&lt;='A&amp;Rs'!$K$9,UnitsBreakdown!DJ56,0)</f>
        <v>0</v>
      </c>
      <c r="DT23" s="170">
        <f>IF(DT3&lt;='A&amp;Rs'!$K$9,UnitsBreakdown!DK56,0)</f>
        <v>0</v>
      </c>
      <c r="DU23" s="170">
        <f>IF(DU3&lt;='A&amp;Rs'!$K$9,UnitsBreakdown!DL56,0)</f>
        <v>0</v>
      </c>
      <c r="DV23" s="170">
        <f>IF(DV3&lt;='A&amp;Rs'!$K$9,UnitsBreakdown!DM56,0)</f>
        <v>0</v>
      </c>
      <c r="DW23" s="170">
        <f>IF(DW3&lt;='A&amp;Rs'!$K$9,UnitsBreakdown!DN56,0)</f>
        <v>0</v>
      </c>
      <c r="DX23" s="170">
        <f>IF(DX3&lt;='A&amp;Rs'!$K$9,UnitsBreakdown!DO56,0)</f>
        <v>0</v>
      </c>
      <c r="DY23" s="170">
        <f>IF(DY3&lt;='A&amp;Rs'!$K$9,UnitsBreakdown!DP56,0)</f>
        <v>0</v>
      </c>
      <c r="DZ23" s="170">
        <f>IF(DZ3&lt;='A&amp;Rs'!$K$9,UnitsBreakdown!DQ56,0)</f>
        <v>0</v>
      </c>
      <c r="EA23" s="170">
        <f>IF(EA3&lt;='A&amp;Rs'!$K$9,UnitsBreakdown!DR56,0)</f>
        <v>0</v>
      </c>
      <c r="EB23" s="170">
        <f>IF(EB3&lt;='A&amp;Rs'!$K$9,UnitsBreakdown!DS56,0)</f>
        <v>0</v>
      </c>
      <c r="EC23" s="170">
        <f>IF(EC3&lt;='A&amp;Rs'!$K$9,UnitsBreakdown!DT56,0)</f>
        <v>0</v>
      </c>
      <c r="ED23" s="170">
        <f>IF(ED3&lt;='A&amp;Rs'!$K$9,UnitsBreakdown!DU56,0)</f>
        <v>0</v>
      </c>
      <c r="EE23" s="1" t="s">
        <v>39</v>
      </c>
      <c r="EF23" s="1"/>
    </row>
    <row r="24" spans="6:136" x14ac:dyDescent="0.3">
      <c r="K24" s="1"/>
      <c r="L24" s="23" t="s">
        <v>125</v>
      </c>
      <c r="M24" s="113">
        <f>SUM(O24:ED24)</f>
        <v>180675</v>
      </c>
      <c r="N24" s="59"/>
      <c r="O24" s="170">
        <f>IF(SUM($O$23:O23)&gt;=-'A&amp;Rs'!$K$19,IF(O23&lt;0,-O23,0),0)</f>
        <v>0</v>
      </c>
      <c r="P24" s="170">
        <f>IF(SUM($O$23:P23)&gt;=-'A&amp;Rs'!$K$19,IF(P23&lt;0,-P23,0),0)</f>
        <v>18000</v>
      </c>
      <c r="Q24" s="170">
        <f>IF(SUM($O$23:Q23)&gt;=-'A&amp;Rs'!$K$19,IF(Q23&lt;0,-Q23,0),0)</f>
        <v>18000</v>
      </c>
      <c r="R24" s="170">
        <f>IF(SUM($O$23:R23)&gt;=-'A&amp;Rs'!$K$19,IF(R23&lt;0,-R23,0),0)</f>
        <v>8166.6666666666661</v>
      </c>
      <c r="S24" s="170">
        <f>IF(SUM($O$23:S23)&gt;=-'A&amp;Rs'!$K$19,IF(S23&lt;0,-S23,0),0)</f>
        <v>8166.6666666666661</v>
      </c>
      <c r="T24" s="170">
        <f>IF(SUM($O$23:T23)&gt;=-'A&amp;Rs'!$K$19,IF(T23&lt;0,-T23,0),0)</f>
        <v>12500</v>
      </c>
      <c r="U24" s="170">
        <f>IF(SUM($O$23:U23)&gt;=-'A&amp;Rs'!$K$19,IF(U23&lt;0,-U23,0),0)</f>
        <v>4333.333333333333</v>
      </c>
      <c r="V24" s="170">
        <f>IF(SUM($O$23:V23)&gt;=-'A&amp;Rs'!$K$19,IF(V23&lt;0,-V23,0),0)</f>
        <v>11158.333333333332</v>
      </c>
      <c r="W24" s="170">
        <f>IF(SUM($O$23:W23)&gt;=-'A&amp;Rs'!$K$19,IF(W23&lt;0,-W23,0),0)</f>
        <v>14300</v>
      </c>
      <c r="X24" s="170">
        <f>IF(SUM($O$23:X23)&gt;=-'A&amp;Rs'!$K$19,IF(X23&lt;0,-X23,0),0)</f>
        <v>14300</v>
      </c>
      <c r="Y24" s="170">
        <f>IF(SUM($O$23:Y23)&gt;=-'A&amp;Rs'!$K$19,IF(Y23&lt;0,-Y23,0),0)</f>
        <v>14300</v>
      </c>
      <c r="Z24" s="170">
        <f>IF(SUM($O$23:Z23)&gt;=-'A&amp;Rs'!$K$19,IF(Z23&lt;0,-Z23,0),0)</f>
        <v>7475</v>
      </c>
      <c r="AA24" s="170">
        <f>IF(SUM($O$23:AA23)&gt;=-'A&amp;Rs'!$K$19,IF(AA23&lt;0,-AA23,0),0)</f>
        <v>5980</v>
      </c>
      <c r="AB24" s="170">
        <f>IF(SUM($O$23:AB23)&gt;=-'A&amp;Rs'!$K$19,IF(AB23&lt;0,-AB23,0),0)</f>
        <v>5980</v>
      </c>
      <c r="AC24" s="170">
        <f>IF(SUM($O$23:AC23)&gt;=-'A&amp;Rs'!$K$19,IF(AC23&lt;0,-AC23,0),0)</f>
        <v>5980</v>
      </c>
      <c r="AD24" s="170">
        <f>IF(SUM($O$23:AD23)&gt;=-'A&amp;Rs'!$K$19,IF(AD23&lt;0,-AD23,0),0)</f>
        <v>5980</v>
      </c>
      <c r="AE24" s="170">
        <f>IF(SUM($O$23:AE23)&gt;=-'A&amp;Rs'!$K$19,IF(AE23&lt;0,-AE23,0),0)</f>
        <v>5980</v>
      </c>
      <c r="AF24" s="170">
        <f>IF(SUM($O$23:AF23)&gt;=-'A&amp;Rs'!$K$19,IF(AF23&lt;0,-AF23,0),0)</f>
        <v>10037.5</v>
      </c>
      <c r="AG24" s="170">
        <f>IF(SUM($O$23:AG23)&gt;=-'A&amp;Rs'!$K$19,IF(AG23&lt;0,-AG23,0),0)</f>
        <v>10037.5</v>
      </c>
      <c r="AH24" s="170">
        <f>IF(SUM($O$23:AH23)&gt;=-'A&amp;Rs'!$K$19,IF(AH23&lt;0,-AH23,0),0)</f>
        <v>0</v>
      </c>
      <c r="AI24" s="170">
        <f>IF(SUM($O$23:AI23)&gt;=-'A&amp;Rs'!$K$19,IF(AI23&lt;0,-AI23,0),0)</f>
        <v>0</v>
      </c>
      <c r="AJ24" s="170">
        <f>IF(SUM($O$23:AJ23)&gt;=-'A&amp;Rs'!$K$19,IF(AJ23&lt;0,-AJ23,0),0)</f>
        <v>0</v>
      </c>
      <c r="AK24" s="170">
        <f>IF(SUM($O$23:AK23)&gt;=-'A&amp;Rs'!$K$19,IF(AK23&lt;0,-AK23,0),0)</f>
        <v>0</v>
      </c>
      <c r="AL24" s="170">
        <f>IF(SUM($O$23:AL23)&gt;=-'A&amp;Rs'!$K$19,IF(AL23&lt;0,-AL23,0),0)</f>
        <v>0</v>
      </c>
      <c r="AM24" s="170">
        <f>IF(SUM($O$23:AM23)&gt;=-'A&amp;Rs'!$K$19,IF(AM23&lt;0,-AM23,0),0)</f>
        <v>0</v>
      </c>
      <c r="AN24" s="170">
        <f>IF(SUM($O$23:AN23)&gt;=-'A&amp;Rs'!$K$19,IF(AN23&lt;0,-AN23,0),0)</f>
        <v>0</v>
      </c>
      <c r="AO24" s="170">
        <f>IF(SUM($O$23:AO23)&gt;=-'A&amp;Rs'!$K$19,IF(AO23&lt;0,-AO23,0),0)</f>
        <v>0</v>
      </c>
      <c r="AP24" s="170">
        <f>IF(SUM($O$23:AP23)&gt;=-'A&amp;Rs'!$K$19,IF(AP23&lt;0,-AP23,0),0)</f>
        <v>0</v>
      </c>
      <c r="AQ24" s="170">
        <f>IF(SUM($O$23:AQ23)&gt;=-'A&amp;Rs'!$K$19,IF(AQ23&lt;0,-AQ23,0),0)</f>
        <v>0</v>
      </c>
      <c r="AR24" s="170">
        <f>IF(SUM($O$23:AR23)&gt;=-'A&amp;Rs'!$K$19,IF(AR23&lt;0,-AR23,0),0)</f>
        <v>0</v>
      </c>
      <c r="AS24" s="170">
        <f>IF(SUM($O$23:AS23)&gt;=-'A&amp;Rs'!$K$19,IF(AS23&lt;0,-AS23,0),0)</f>
        <v>0</v>
      </c>
      <c r="AT24" s="170">
        <f>IF(SUM($O$23:AT23)&gt;=-'A&amp;Rs'!$K$19,IF(AT23&lt;0,-AT23,0),0)</f>
        <v>0</v>
      </c>
      <c r="AU24" s="170">
        <f>IF(SUM($O$23:AU23)&gt;=-'A&amp;Rs'!$K$19,IF(AU23&lt;0,-AU23,0),0)</f>
        <v>0</v>
      </c>
      <c r="AV24" s="170">
        <f>IF(SUM($O$23:AV23)&gt;=-'A&amp;Rs'!$K$19,IF(AV23&lt;0,-AV23,0),0)</f>
        <v>0</v>
      </c>
      <c r="AW24" s="170">
        <f>IF(SUM($O$23:AW23)&gt;=-'A&amp;Rs'!$K$19,IF(AW23&lt;0,-AW23,0),0)</f>
        <v>0</v>
      </c>
      <c r="AX24" s="170">
        <f>IF(SUM($O$23:AX23)&gt;=-'A&amp;Rs'!$K$19,IF(AX23&lt;0,-AX23,0),0)</f>
        <v>0</v>
      </c>
      <c r="AY24" s="170">
        <f>IF(SUM($O$23:AY23)&gt;=-'A&amp;Rs'!$K$19,IF(AY23&lt;0,-AY23,0),0)</f>
        <v>0</v>
      </c>
      <c r="AZ24" s="170">
        <f>IF(SUM($O$23:AZ23)&gt;=-'A&amp;Rs'!$K$19,IF(AZ23&lt;0,-AZ23,0),0)</f>
        <v>0</v>
      </c>
      <c r="BA24" s="170">
        <f>IF(SUM($O$23:BA23)&gt;=-'A&amp;Rs'!$K$19,IF(BA23&lt;0,-BA23,0),0)</f>
        <v>0</v>
      </c>
      <c r="BB24" s="170">
        <f>IF(SUM($O$23:BB23)&gt;=-'A&amp;Rs'!$K$19,IF(BB23&lt;0,-BB23,0),0)</f>
        <v>0</v>
      </c>
      <c r="BC24" s="170">
        <f>IF(SUM($O$23:BC23)&gt;=-'A&amp;Rs'!$K$19,IF(BC23&lt;0,-BC23,0),0)</f>
        <v>0</v>
      </c>
      <c r="BD24" s="170">
        <f>IF(SUM($O$23:BD23)&gt;=-'A&amp;Rs'!$K$19,IF(BD23&lt;0,-BD23,0),0)</f>
        <v>0</v>
      </c>
      <c r="BE24" s="170">
        <f>IF(SUM($O$23:BE23)&gt;=-'A&amp;Rs'!$K$19,IF(BE23&lt;0,-BE23,0),0)</f>
        <v>0</v>
      </c>
      <c r="BF24" s="170">
        <f>IF(SUM($O$23:BF23)&gt;=-'A&amp;Rs'!$K$19,IF(BF23&lt;0,-BF23,0),0)</f>
        <v>0</v>
      </c>
      <c r="BG24" s="170">
        <f>IF(SUM($O$23:BG23)&gt;=-'A&amp;Rs'!$K$19,IF(BG23&lt;0,-BG23,0),0)</f>
        <v>0</v>
      </c>
      <c r="BH24" s="170">
        <f>IF(SUM($O$23:BH23)&gt;=-'A&amp;Rs'!$K$19,IF(BH23&lt;0,-BH23,0),0)</f>
        <v>0</v>
      </c>
      <c r="BI24" s="170">
        <f>IF(SUM($O$23:BI23)&gt;=-'A&amp;Rs'!$K$19,IF(BI23&lt;0,-BI23,0),0)</f>
        <v>0</v>
      </c>
      <c r="BJ24" s="170">
        <f>IF(SUM($O$23:BJ23)&gt;=-'A&amp;Rs'!$K$19,IF(BJ23&lt;0,-BJ23,0),0)</f>
        <v>0</v>
      </c>
      <c r="BK24" s="170">
        <f>IF(SUM($O$23:BK23)&gt;=-'A&amp;Rs'!$K$19,IF(BK23&lt;0,-BK23,0),0)</f>
        <v>0</v>
      </c>
      <c r="BL24" s="170">
        <f>IF(SUM($O$23:BL23)&gt;=-'A&amp;Rs'!$K$19,IF(BL23&lt;0,-BL23,0),0)</f>
        <v>0</v>
      </c>
      <c r="BM24" s="170">
        <f>IF(SUM($O$23:BM23)&gt;=-'A&amp;Rs'!$K$19,IF(BM23&lt;0,-BM23,0),0)</f>
        <v>0</v>
      </c>
      <c r="BN24" s="170">
        <f>IF(SUM($O$23:BN23)&gt;=-'A&amp;Rs'!$K$19,IF(BN23&lt;0,-BN23,0),0)</f>
        <v>0</v>
      </c>
      <c r="BO24" s="170">
        <f>IF(SUM($O$23:BO23)&gt;=-'A&amp;Rs'!$K$19,IF(BO23&lt;0,-BO23,0),0)</f>
        <v>0</v>
      </c>
      <c r="BP24" s="170">
        <f>IF(SUM($O$23:BP23)&gt;=-'A&amp;Rs'!$K$19,IF(BP23&lt;0,-BP23,0),0)</f>
        <v>0</v>
      </c>
      <c r="BQ24" s="170">
        <f>IF(SUM($O$23:BQ23)&gt;=-'A&amp;Rs'!$K$19,IF(BQ23&lt;0,-BQ23,0),0)</f>
        <v>0</v>
      </c>
      <c r="BR24" s="170">
        <f>IF(SUM($O$23:BR23)&gt;=-'A&amp;Rs'!$K$19,IF(BR23&lt;0,-BR23,0),0)</f>
        <v>0</v>
      </c>
      <c r="BS24" s="170">
        <f>IF(SUM($O$23:BS23)&gt;=-'A&amp;Rs'!$K$19,IF(BS23&lt;0,-BS23,0),0)</f>
        <v>0</v>
      </c>
      <c r="BT24" s="170">
        <f>IF(SUM($O$23:BT23)&gt;=-'A&amp;Rs'!$K$19,IF(BT23&lt;0,-BT23,0),0)</f>
        <v>0</v>
      </c>
      <c r="BU24" s="170">
        <f>IF(SUM($O$23:BU23)&gt;=-'A&amp;Rs'!$K$19,IF(BU23&lt;0,-BU23,0),0)</f>
        <v>0</v>
      </c>
      <c r="BV24" s="170">
        <f>IF(SUM($O$23:BV23)&gt;=-'A&amp;Rs'!$K$19,IF(BV23&lt;0,-BV23,0),0)</f>
        <v>0</v>
      </c>
      <c r="BW24" s="170">
        <f>IF(SUM($O$23:BW23)&gt;=-'A&amp;Rs'!$K$19,IF(BW23&lt;0,-BW23,0),0)</f>
        <v>0</v>
      </c>
      <c r="BX24" s="170">
        <f>IF(SUM($O$23:BX23)&gt;=-'A&amp;Rs'!$K$19,IF(BX23&lt;0,-BX23,0),0)</f>
        <v>0</v>
      </c>
      <c r="BY24" s="170">
        <f>IF(SUM($O$23:BY23)&gt;=-'A&amp;Rs'!$K$19,IF(BY23&lt;0,-BY23,0),0)</f>
        <v>0</v>
      </c>
      <c r="BZ24" s="170">
        <f>IF(SUM($O$23:BZ23)&gt;=-'A&amp;Rs'!$K$19,IF(BZ23&lt;0,-BZ23,0),0)</f>
        <v>0</v>
      </c>
      <c r="CA24" s="170">
        <f>IF(SUM($O$23:CA23)&gt;=-'A&amp;Rs'!$K$19,IF(CA23&lt;0,-CA23,0),0)</f>
        <v>0</v>
      </c>
      <c r="CB24" s="170">
        <f>IF(SUM($O$23:CB23)&gt;=-'A&amp;Rs'!$K$19,IF(CB23&lt;0,-CB23,0),0)</f>
        <v>0</v>
      </c>
      <c r="CC24" s="170">
        <f>IF(SUM($O$23:CC23)&gt;=-'A&amp;Rs'!$K$19,IF(CC23&lt;0,-CC23,0),0)</f>
        <v>0</v>
      </c>
      <c r="CD24" s="170">
        <f>IF(SUM($O$23:CD23)&gt;=-'A&amp;Rs'!$K$19,IF(CD23&lt;0,-CD23,0),0)</f>
        <v>0</v>
      </c>
      <c r="CE24" s="170">
        <f>IF(SUM($O$23:CE23)&gt;=-'A&amp;Rs'!$K$19,IF(CE23&lt;0,-CE23,0),0)</f>
        <v>0</v>
      </c>
      <c r="CF24" s="170">
        <f>IF(SUM($O$23:CF23)&gt;=-'A&amp;Rs'!$K$19,IF(CF23&lt;0,-CF23,0),0)</f>
        <v>0</v>
      </c>
      <c r="CG24" s="170">
        <f>IF(SUM($O$23:CG23)&gt;=-'A&amp;Rs'!$K$19,IF(CG23&lt;0,-CG23,0),0)</f>
        <v>0</v>
      </c>
      <c r="CH24" s="170">
        <f>IF(SUM($O$23:CH23)&gt;=-'A&amp;Rs'!$K$19,IF(CH23&lt;0,-CH23,0),0)</f>
        <v>0</v>
      </c>
      <c r="CI24" s="170">
        <f>IF(SUM($O$23:CI23)&gt;=-'A&amp;Rs'!$K$19,IF(CI23&lt;0,-CI23,0),0)</f>
        <v>0</v>
      </c>
      <c r="CJ24" s="170">
        <f>IF(SUM($O$23:CJ23)&gt;=-'A&amp;Rs'!$K$19,IF(CJ23&lt;0,-CJ23,0),0)</f>
        <v>0</v>
      </c>
      <c r="CK24" s="170">
        <f>IF(SUM($O$23:CK23)&gt;=-'A&amp;Rs'!$K$19,IF(CK23&lt;0,-CK23,0),0)</f>
        <v>0</v>
      </c>
      <c r="CL24" s="170">
        <f>IF(SUM($O$23:CL23)&gt;=-'A&amp;Rs'!$K$19,IF(CL23&lt;0,-CL23,0),0)</f>
        <v>0</v>
      </c>
      <c r="CM24" s="170">
        <f>IF(SUM($O$23:CM23)&gt;=-'A&amp;Rs'!$K$19,IF(CM23&lt;0,-CM23,0),0)</f>
        <v>0</v>
      </c>
      <c r="CN24" s="170">
        <f>IF(SUM($O$23:CN23)&gt;=-'A&amp;Rs'!$K$19,IF(CN23&lt;0,-CN23,0),0)</f>
        <v>0</v>
      </c>
      <c r="CO24" s="170">
        <f>IF(SUM($O$23:CO23)&gt;=-'A&amp;Rs'!$K$19,IF(CO23&lt;0,-CO23,0),0)</f>
        <v>0</v>
      </c>
      <c r="CP24" s="170">
        <f>IF(SUM($O$23:CP23)&gt;=-'A&amp;Rs'!$K$19,IF(CP23&lt;0,-CP23,0),0)</f>
        <v>0</v>
      </c>
      <c r="CQ24" s="170">
        <f>IF(SUM($O$23:CQ23)&gt;=-'A&amp;Rs'!$K$19,IF(CQ23&lt;0,-CQ23,0),0)</f>
        <v>0</v>
      </c>
      <c r="CR24" s="170">
        <f>IF(SUM($O$23:CR23)&gt;=-'A&amp;Rs'!$K$19,IF(CR23&lt;0,-CR23,0),0)</f>
        <v>0</v>
      </c>
      <c r="CS24" s="170">
        <f>IF(SUM($O$23:CS23)&gt;=-'A&amp;Rs'!$K$19,IF(CS23&lt;0,-CS23,0),0)</f>
        <v>0</v>
      </c>
      <c r="CT24" s="170">
        <f>IF(SUM($O$23:CT23)&gt;=-'A&amp;Rs'!$K$19,IF(CT23&lt;0,-CT23,0),0)</f>
        <v>0</v>
      </c>
      <c r="CU24" s="170">
        <f>IF(SUM($O$23:CU23)&gt;=-'A&amp;Rs'!$K$19,IF(CU23&lt;0,-CU23,0),0)</f>
        <v>0</v>
      </c>
      <c r="CV24" s="170">
        <f>IF(SUM($O$23:CV23)&gt;=-'A&amp;Rs'!$K$19,IF(CV23&lt;0,-CV23,0),0)</f>
        <v>0</v>
      </c>
      <c r="CW24" s="170">
        <f>IF(SUM($O$23:CW23)&gt;=-'A&amp;Rs'!$K$19,IF(CW23&lt;0,-CW23,0),0)</f>
        <v>0</v>
      </c>
      <c r="CX24" s="170">
        <f>IF(SUM($O$23:CX23)&gt;=-'A&amp;Rs'!$K$19,IF(CX23&lt;0,-CX23,0),0)</f>
        <v>0</v>
      </c>
      <c r="CY24" s="170">
        <f>IF(SUM($O$23:CY23)&gt;=-'A&amp;Rs'!$K$19,IF(CY23&lt;0,-CY23,0),0)</f>
        <v>0</v>
      </c>
      <c r="CZ24" s="170">
        <f>IF(SUM($O$23:CZ23)&gt;=-'A&amp;Rs'!$K$19,IF(CZ23&lt;0,-CZ23,0),0)</f>
        <v>0</v>
      </c>
      <c r="DA24" s="170">
        <f>IF(SUM($O$23:DA23)&gt;=-'A&amp;Rs'!$K$19,IF(DA23&lt;0,-DA23,0),0)</f>
        <v>0</v>
      </c>
      <c r="DB24" s="170">
        <f>IF(SUM($O$23:DB23)&gt;=-'A&amp;Rs'!$K$19,IF(DB23&lt;0,-DB23,0),0)</f>
        <v>0</v>
      </c>
      <c r="DC24" s="170">
        <f>IF(SUM($O$23:DC23)&gt;=-'A&amp;Rs'!$K$19,IF(DC23&lt;0,-DC23,0),0)</f>
        <v>0</v>
      </c>
      <c r="DD24" s="170">
        <f>IF(SUM($O$23:DD23)&gt;=-'A&amp;Rs'!$K$19,IF(DD23&lt;0,-DD23,0),0)</f>
        <v>0</v>
      </c>
      <c r="DE24" s="170">
        <f>IF(SUM($O$23:DE23)&gt;=-'A&amp;Rs'!$K$19,IF(DE23&lt;0,-DE23,0),0)</f>
        <v>0</v>
      </c>
      <c r="DF24" s="170">
        <f>IF(SUM($O$23:DF23)&gt;=-'A&amp;Rs'!$K$19,IF(DF23&lt;0,-DF23,0),0)</f>
        <v>0</v>
      </c>
      <c r="DG24" s="170">
        <f>IF(SUM($O$23:DG23)&gt;=-'A&amp;Rs'!$K$19,IF(DG23&lt;0,-DG23,0),0)</f>
        <v>0</v>
      </c>
      <c r="DH24" s="170">
        <f>IF(SUM($O$23:DH23)&gt;=-'A&amp;Rs'!$K$19,IF(DH23&lt;0,-DH23,0),0)</f>
        <v>0</v>
      </c>
      <c r="DI24" s="170">
        <f>IF(SUM($O$23:DI23)&gt;=-'A&amp;Rs'!$K$19,IF(DI23&lt;0,-DI23,0),0)</f>
        <v>0</v>
      </c>
      <c r="DJ24" s="170">
        <f>IF(SUM($O$23:DJ23)&gt;=-'A&amp;Rs'!$K$19,IF(DJ23&lt;0,-DJ23,0),0)</f>
        <v>0</v>
      </c>
      <c r="DK24" s="170">
        <f>IF(SUM($O$23:DK23)&gt;=-'A&amp;Rs'!$K$19,IF(DK23&lt;0,-DK23,0),0)</f>
        <v>0</v>
      </c>
      <c r="DL24" s="170">
        <f>IF(SUM($O$23:DL23)&gt;=-'A&amp;Rs'!$K$19,IF(DL23&lt;0,-DL23,0),0)</f>
        <v>0</v>
      </c>
      <c r="DM24" s="170">
        <f>IF(SUM($O$23:DM23)&gt;=-'A&amp;Rs'!$K$19,IF(DM23&lt;0,-DM23,0),0)</f>
        <v>0</v>
      </c>
      <c r="DN24" s="170">
        <f>IF(SUM($O$23:DN23)&gt;=-'A&amp;Rs'!$K$19,IF(DN23&lt;0,-DN23,0),0)</f>
        <v>0</v>
      </c>
      <c r="DO24" s="170">
        <f>IF(SUM($O$23:DO23)&gt;=-'A&amp;Rs'!$K$19,IF(DO23&lt;0,-DO23,0),0)</f>
        <v>0</v>
      </c>
      <c r="DP24" s="170">
        <f>IF(SUM($O$23:DP23)&gt;=-'A&amp;Rs'!$K$19,IF(DP23&lt;0,-DP23,0),0)</f>
        <v>0</v>
      </c>
      <c r="DQ24" s="170">
        <f>IF(SUM($O$23:DQ23)&gt;=-'A&amp;Rs'!$K$19,IF(DQ23&lt;0,-DQ23,0),0)</f>
        <v>0</v>
      </c>
      <c r="DR24" s="170">
        <f>IF(SUM($O$23:DR23)&gt;=-'A&amp;Rs'!$K$19,IF(DR23&lt;0,-DR23,0),0)</f>
        <v>0</v>
      </c>
      <c r="DS24" s="170">
        <f>IF(SUM($O$23:DS23)&gt;=-'A&amp;Rs'!$K$19,IF(DS23&lt;0,-DS23,0),0)</f>
        <v>0</v>
      </c>
      <c r="DT24" s="170">
        <f>IF(SUM($O$23:DT23)&gt;=-'A&amp;Rs'!$K$19,IF(DT23&lt;0,-DT23,0),0)</f>
        <v>0</v>
      </c>
      <c r="DU24" s="170">
        <f>IF(SUM($O$23:DU23)&gt;=-'A&amp;Rs'!$K$19,IF(DU23&lt;0,-DU23,0),0)</f>
        <v>0</v>
      </c>
      <c r="DV24" s="170">
        <f>IF(SUM($O$23:DV23)&gt;=-'A&amp;Rs'!$K$19,IF(DV23&lt;0,-DV23,0),0)</f>
        <v>0</v>
      </c>
      <c r="DW24" s="170">
        <f>IF(SUM($O$23:DW23)&gt;=-'A&amp;Rs'!$K$19,IF(DW23&lt;0,-DW23,0),0)</f>
        <v>0</v>
      </c>
      <c r="DX24" s="170">
        <f>IF(SUM($O$23:DX23)&gt;=-'A&amp;Rs'!$K$19,IF(DX23&lt;0,-DX23,0),0)</f>
        <v>0</v>
      </c>
      <c r="DY24" s="170">
        <f>IF(SUM($O$23:DY23)&gt;=-'A&amp;Rs'!$K$19,IF(DY23&lt;0,-DY23,0),0)</f>
        <v>0</v>
      </c>
      <c r="DZ24" s="170">
        <f>IF(SUM($O$23:DZ23)&gt;=-'A&amp;Rs'!$K$19,IF(DZ23&lt;0,-DZ23,0),0)</f>
        <v>0</v>
      </c>
      <c r="EA24" s="170">
        <f>IF(SUM($O$23:EA23)&gt;=-'A&amp;Rs'!$K$19,IF(EA23&lt;0,-EA23,0),0)</f>
        <v>0</v>
      </c>
      <c r="EB24" s="170">
        <f>IF(SUM($O$23:EB23)&gt;=-'A&amp;Rs'!$K$19,IF(EB23&lt;0,-EB23,0),0)</f>
        <v>0</v>
      </c>
      <c r="EC24" s="170">
        <f>IF(SUM($O$23:EC23)&gt;=-'A&amp;Rs'!$K$19,IF(EC23&lt;0,-EC23,0),0)</f>
        <v>0</v>
      </c>
      <c r="ED24" s="171">
        <f>IF(SUM($O$23:ED23)&gt;=-'A&amp;Rs'!$K$19,IF(ED23&lt;0,-ED23,0),0)</f>
        <v>0</v>
      </c>
      <c r="EE24" s="1" t="s">
        <v>39</v>
      </c>
      <c r="EF24" s="1"/>
    </row>
    <row r="25" spans="6:136" x14ac:dyDescent="0.3">
      <c r="K25" s="1"/>
      <c r="L25" s="23"/>
      <c r="M25" s="1"/>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60"/>
      <c r="EE25" s="1" t="s">
        <v>39</v>
      </c>
      <c r="EF25" s="1"/>
    </row>
    <row r="26" spans="6:136" x14ac:dyDescent="0.3">
      <c r="K26" s="1"/>
      <c r="L26" s="23" t="s">
        <v>58</v>
      </c>
      <c r="M26" s="1"/>
      <c r="N26" s="59"/>
      <c r="O26" s="109">
        <f>IF(O3&lt;='A&amp;Rs'!$K$9,SUM(O20:O24),0)</f>
        <v>13290.309499999999</v>
      </c>
      <c r="P26" s="109">
        <f>IF(P3&lt;='A&amp;Rs'!$K$9,SUM(P20:P24),0)</f>
        <v>10028.199500000001</v>
      </c>
      <c r="Q26" s="109">
        <f>IF(Q3&lt;='A&amp;Rs'!$K$9,SUM(Q20:Q24),0)</f>
        <v>10028.199500000001</v>
      </c>
      <c r="R26" s="109">
        <f>IF(R3&lt;='A&amp;Rs'!$K$9,SUM(R20:R24),0)</f>
        <v>11657.4115</v>
      </c>
      <c r="S26" s="109">
        <f>IF(S3&lt;='A&amp;Rs'!$K$9,SUM(S20:S24),0)</f>
        <v>11657.4115</v>
      </c>
      <c r="T26" s="109">
        <f>IF(T3&lt;='A&amp;Rs'!$K$9,SUM(T20:T24),0)</f>
        <v>10417.0725</v>
      </c>
      <c r="U26" s="109">
        <f>IF(U3&lt;='A&amp;Rs'!$K$9,SUM(U20:U24),0)</f>
        <v>13266.3505</v>
      </c>
      <c r="V26" s="109">
        <f>IF(V3&lt;='A&amp;Rs'!$K$9,SUM(V20:V24),0)</f>
        <v>10600.450999999999</v>
      </c>
      <c r="W26" s="109">
        <f>IF(W3&lt;='A&amp;Rs'!$K$9,SUM(W20:W24),0)</f>
        <v>9059.7029999999995</v>
      </c>
      <c r="X26" s="109">
        <f>IF(X3&lt;='A&amp;Rs'!$K$9,SUM(X20:X24),0)</f>
        <v>9059.7029999999995</v>
      </c>
      <c r="Y26" s="109">
        <f>IF(Y3&lt;='A&amp;Rs'!$K$9,SUM(Y20:Y24),0)</f>
        <v>9059.7029999999995</v>
      </c>
      <c r="Z26" s="109">
        <f>IF(Z3&lt;='A&amp;Rs'!$K$9,SUM(Z20:Z24),0)</f>
        <v>12223.2125</v>
      </c>
      <c r="AA26" s="109">
        <f>IF(AA3&lt;='A&amp;Rs'!$K$9,SUM(AA20:AA24),0)</f>
        <v>12681.524405</v>
      </c>
      <c r="AB26" s="109">
        <f>IF(AB3&lt;='A&amp;Rs'!$K$9,SUM(AB20:AB24),0)</f>
        <v>12681.524405</v>
      </c>
      <c r="AC26" s="109">
        <f>IF(AC3&lt;='A&amp;Rs'!$K$9,SUM(AC20:AC24),0)</f>
        <v>12681.524405</v>
      </c>
      <c r="AD26" s="109">
        <f>IF(AD3&lt;='A&amp;Rs'!$K$9,SUM(AD20:AD24),0)</f>
        <v>12681.524405</v>
      </c>
      <c r="AE26" s="109">
        <f>IF(AE3&lt;='A&amp;Rs'!$K$9,SUM(AE20:AE24),0)</f>
        <v>12681.524405</v>
      </c>
      <c r="AF26" s="109">
        <f>IF(AF3&lt;='A&amp;Rs'!$K$9,SUM(AF20:AF24),0)</f>
        <v>16825.989085000001</v>
      </c>
      <c r="AG26" s="109">
        <f>IF(AG3&lt;='A&amp;Rs'!$K$9,SUM(AG20:AG24),0)</f>
        <v>16825.989085000001</v>
      </c>
      <c r="AH26" s="109">
        <f>IF(AH3&lt;='A&amp;Rs'!$K$9,SUM(AH20:AH24),0)</f>
        <v>16825.989085000001</v>
      </c>
      <c r="AI26" s="109">
        <f>IF(AI3&lt;='A&amp;Rs'!$K$9,SUM(AI20:AI24),0)</f>
        <v>16825.989085000001</v>
      </c>
      <c r="AJ26" s="109">
        <f>IF(AJ3&lt;='A&amp;Rs'!$K$9,SUM(AJ20:AJ24),0)</f>
        <v>16825.989085000001</v>
      </c>
      <c r="AK26" s="109">
        <f>IF(AK3&lt;='A&amp;Rs'!$K$9,SUM(AK20:AK24),0)</f>
        <v>16825.989085000001</v>
      </c>
      <c r="AL26" s="109">
        <f>IF(AL3&lt;='A&amp;Rs'!$K$9,SUM(AL20:AL24),0)</f>
        <v>16825.989085000001</v>
      </c>
      <c r="AM26" s="109">
        <f>IF(AM3&lt;='A&amp;Rs'!$K$9,SUM(AM20:AM24),0)</f>
        <v>17134.124435699996</v>
      </c>
      <c r="AN26" s="109">
        <f>IF(AN3&lt;='A&amp;Rs'!$K$9,SUM(AN20:AN24),0)</f>
        <v>17134.124435699996</v>
      </c>
      <c r="AO26" s="109">
        <f>IF(AO3&lt;='A&amp;Rs'!$K$9,SUM(AO20:AO24),0)</f>
        <v>17134.124435699996</v>
      </c>
      <c r="AP26" s="109">
        <f>IF(AP3&lt;='A&amp;Rs'!$K$9,SUM(AP20:AP24),0)</f>
        <v>17134.124435699996</v>
      </c>
      <c r="AQ26" s="109">
        <f>IF(AQ3&lt;='A&amp;Rs'!$K$9,SUM(AQ20:AQ24),0)</f>
        <v>17134.124435699996</v>
      </c>
      <c r="AR26" s="109">
        <f>IF(AR3&lt;='A&amp;Rs'!$K$9,SUM(AR20:AR24),0)</f>
        <v>17134.124435699996</v>
      </c>
      <c r="AS26" s="109">
        <f>IF(AS3&lt;='A&amp;Rs'!$K$9,SUM(AS20:AS24),0)</f>
        <v>17134.124435699996</v>
      </c>
      <c r="AT26" s="109">
        <f>IF(AT3&lt;='A&amp;Rs'!$K$9,SUM(AT20:AT24),0)</f>
        <v>17134.124435699996</v>
      </c>
      <c r="AU26" s="109">
        <f>IF(AU3&lt;='A&amp;Rs'!$K$9,SUM(AU20:AU24),0)</f>
        <v>17134.124435699996</v>
      </c>
      <c r="AV26" s="109">
        <f>IF(AV3&lt;='A&amp;Rs'!$K$9,SUM(AV20:AV24),0)</f>
        <v>17134.124435699996</v>
      </c>
      <c r="AW26" s="109">
        <f>IF(AW3&lt;='A&amp;Rs'!$K$9,SUM(AW20:AW24),0)</f>
        <v>17134.124435699996</v>
      </c>
      <c r="AX26" s="109">
        <f>IF(AX3&lt;='A&amp;Rs'!$K$9,SUM(AX20:AX24),0)</f>
        <v>17134.124435699996</v>
      </c>
      <c r="AY26" s="109">
        <f>IF(AY3&lt;='A&amp;Rs'!$K$9,SUM(AY20:AY24),0)</f>
        <v>17648.148168770997</v>
      </c>
      <c r="AZ26" s="109">
        <f>IF(AZ3&lt;='A&amp;Rs'!$K$9,SUM(AZ20:AZ24),0)</f>
        <v>17648.148168770997</v>
      </c>
      <c r="BA26" s="109">
        <f>IF(BA3&lt;='A&amp;Rs'!$K$9,SUM(BA20:BA24),0)</f>
        <v>17648.148168770997</v>
      </c>
      <c r="BB26" s="109">
        <f>IF(BB3&lt;='A&amp;Rs'!$K$9,SUM(BB20:BB24),0)</f>
        <v>17648.148168770997</v>
      </c>
      <c r="BC26" s="109">
        <f>IF(BC3&lt;='A&amp;Rs'!$K$9,SUM(BC20:BC24),0)</f>
        <v>17648.148168770997</v>
      </c>
      <c r="BD26" s="109">
        <f>IF(BD3&lt;='A&amp;Rs'!$K$9,SUM(BD20:BD24),0)</f>
        <v>17648.148168770997</v>
      </c>
      <c r="BE26" s="109">
        <f>IF(BE3&lt;='A&amp;Rs'!$K$9,SUM(BE20:BE24),0)</f>
        <v>17648.148168770997</v>
      </c>
      <c r="BF26" s="109">
        <f>IF(BF3&lt;='A&amp;Rs'!$K$9,SUM(BF20:BF24),0)</f>
        <v>17648.148168770997</v>
      </c>
      <c r="BG26" s="109">
        <f>IF(BG3&lt;='A&amp;Rs'!$K$9,SUM(BG20:BG24),0)</f>
        <v>17648.148168770997</v>
      </c>
      <c r="BH26" s="109">
        <f>IF(BH3&lt;='A&amp;Rs'!$K$9,SUM(BH20:BH24),0)</f>
        <v>17648.148168770997</v>
      </c>
      <c r="BI26" s="109">
        <f>IF(BI3&lt;='A&amp;Rs'!$K$9,SUM(BI20:BI24),0)</f>
        <v>17648.148168770997</v>
      </c>
      <c r="BJ26" s="109">
        <f>IF(BJ3&lt;='A&amp;Rs'!$K$9,SUM(BJ20:BJ24),0)</f>
        <v>17648.148168770997</v>
      </c>
      <c r="BK26" s="109">
        <f>IF(BK3&lt;='A&amp;Rs'!$K$9,SUM(BK20:BK24),0)</f>
        <v>18177.592613834135</v>
      </c>
      <c r="BL26" s="109">
        <f>IF(BL3&lt;='A&amp;Rs'!$K$9,SUM(BL20:BL24),0)</f>
        <v>18177.592613834135</v>
      </c>
      <c r="BM26" s="109">
        <f>IF(BM3&lt;='A&amp;Rs'!$K$9,SUM(BM20:BM24),0)</f>
        <v>18177.592613834135</v>
      </c>
      <c r="BN26" s="109">
        <f>IF(BN3&lt;='A&amp;Rs'!$K$9,SUM(BN20:BN24),0)</f>
        <v>18177.592613834135</v>
      </c>
      <c r="BO26" s="109">
        <f>IF(BO3&lt;='A&amp;Rs'!$K$9,SUM(BO20:BO24),0)</f>
        <v>18177.592613834135</v>
      </c>
      <c r="BP26" s="109">
        <f>IF(BP3&lt;='A&amp;Rs'!$K$9,SUM(BP20:BP24),0)</f>
        <v>18177.592613834135</v>
      </c>
      <c r="BQ26" s="109">
        <f>IF(BQ3&lt;='A&amp;Rs'!$K$9,SUM(BQ20:BQ24),0)</f>
        <v>18177.592613834135</v>
      </c>
      <c r="BR26" s="109">
        <f>IF(BR3&lt;='A&amp;Rs'!$K$9,SUM(BR20:BR24),0)</f>
        <v>18177.592613834135</v>
      </c>
      <c r="BS26" s="109">
        <f>IF(BS3&lt;='A&amp;Rs'!$K$9,SUM(BS20:BS24),0)</f>
        <v>18177.592613834135</v>
      </c>
      <c r="BT26" s="109">
        <f>IF(BT3&lt;='A&amp;Rs'!$K$9,SUM(BT20:BT24),0)</f>
        <v>18177.592613834135</v>
      </c>
      <c r="BU26" s="109">
        <f>IF(BU3&lt;='A&amp;Rs'!$K$9,SUM(BU20:BU24),0)</f>
        <v>18177.592613834135</v>
      </c>
      <c r="BV26" s="109">
        <f>IF(BV3&lt;='A&amp;Rs'!$K$9,SUM(BV20:BV24),0)</f>
        <v>18177.592613834135</v>
      </c>
      <c r="BW26" s="109">
        <f>IF(BW3&lt;='A&amp;Rs'!$K$9,SUM(BW20:BW24),0)</f>
        <v>0</v>
      </c>
      <c r="BX26" s="109">
        <f>IF(BX3&lt;='A&amp;Rs'!$K$9,SUM(BX20:BX24),0)</f>
        <v>0</v>
      </c>
      <c r="BY26" s="109">
        <f>IF(BY3&lt;='A&amp;Rs'!$K$9,SUM(BY20:BY24),0)</f>
        <v>0</v>
      </c>
      <c r="BZ26" s="109">
        <f>IF(BZ3&lt;='A&amp;Rs'!$K$9,SUM(BZ20:BZ24),0)</f>
        <v>0</v>
      </c>
      <c r="CA26" s="109">
        <f>IF(CA3&lt;='A&amp;Rs'!$K$9,SUM(CA20:CA24),0)</f>
        <v>0</v>
      </c>
      <c r="CB26" s="109">
        <f>IF(CB3&lt;='A&amp;Rs'!$K$9,SUM(CB20:CB24),0)</f>
        <v>0</v>
      </c>
      <c r="CC26" s="109">
        <f>IF(CC3&lt;='A&amp;Rs'!$K$9,SUM(CC20:CC24),0)</f>
        <v>0</v>
      </c>
      <c r="CD26" s="109">
        <f>IF(CD3&lt;='A&amp;Rs'!$K$9,SUM(CD20:CD24),0)</f>
        <v>0</v>
      </c>
      <c r="CE26" s="109">
        <f>IF(CE3&lt;='A&amp;Rs'!$K$9,SUM(CE20:CE24),0)</f>
        <v>0</v>
      </c>
      <c r="CF26" s="109">
        <f>IF(CF3&lt;='A&amp;Rs'!$K$9,SUM(CF20:CF24),0)</f>
        <v>0</v>
      </c>
      <c r="CG26" s="109">
        <f>IF(CG3&lt;='A&amp;Rs'!$K$9,SUM(CG20:CG24),0)</f>
        <v>0</v>
      </c>
      <c r="CH26" s="109">
        <f>IF(CH3&lt;='A&amp;Rs'!$K$9,SUM(CH20:CH24),0)</f>
        <v>0</v>
      </c>
      <c r="CI26" s="109">
        <f>IF(CI3&lt;='A&amp;Rs'!$K$9,SUM(CI20:CI24),0)</f>
        <v>0</v>
      </c>
      <c r="CJ26" s="109">
        <f>IF(CJ3&lt;='A&amp;Rs'!$K$9,SUM(CJ20:CJ24),0)</f>
        <v>0</v>
      </c>
      <c r="CK26" s="109">
        <f>IF(CK3&lt;='A&amp;Rs'!$K$9,SUM(CK20:CK24),0)</f>
        <v>0</v>
      </c>
      <c r="CL26" s="109">
        <f>IF(CL3&lt;='A&amp;Rs'!$K$9,SUM(CL20:CL24),0)</f>
        <v>0</v>
      </c>
      <c r="CM26" s="109">
        <f>IF(CM3&lt;='A&amp;Rs'!$K$9,SUM(CM20:CM24),0)</f>
        <v>0</v>
      </c>
      <c r="CN26" s="109">
        <f>IF(CN3&lt;='A&amp;Rs'!$K$9,SUM(CN20:CN24),0)</f>
        <v>0</v>
      </c>
      <c r="CO26" s="109">
        <f>IF(CO3&lt;='A&amp;Rs'!$K$9,SUM(CO20:CO24),0)</f>
        <v>0</v>
      </c>
      <c r="CP26" s="109">
        <f>IF(CP3&lt;='A&amp;Rs'!$K$9,SUM(CP20:CP24),0)</f>
        <v>0</v>
      </c>
      <c r="CQ26" s="109">
        <f>IF(CQ3&lt;='A&amp;Rs'!$K$9,SUM(CQ20:CQ24),0)</f>
        <v>0</v>
      </c>
      <c r="CR26" s="109">
        <f>IF(CR3&lt;='A&amp;Rs'!$K$9,SUM(CR20:CR24),0)</f>
        <v>0</v>
      </c>
      <c r="CS26" s="109">
        <f>IF(CS3&lt;='A&amp;Rs'!$K$9,SUM(CS20:CS24),0)</f>
        <v>0</v>
      </c>
      <c r="CT26" s="109">
        <f>IF(CT3&lt;='A&amp;Rs'!$K$9,SUM(CT20:CT24),0)</f>
        <v>0</v>
      </c>
      <c r="CU26" s="109">
        <f>IF(CU3&lt;='A&amp;Rs'!$K$9,SUM(CU20:CU24),0)</f>
        <v>0</v>
      </c>
      <c r="CV26" s="109">
        <f>IF(CV3&lt;='A&amp;Rs'!$K$9,SUM(CV20:CV24),0)</f>
        <v>0</v>
      </c>
      <c r="CW26" s="109">
        <f>IF(CW3&lt;='A&amp;Rs'!$K$9,SUM(CW20:CW24),0)</f>
        <v>0</v>
      </c>
      <c r="CX26" s="109">
        <f>IF(CX3&lt;='A&amp;Rs'!$K$9,SUM(CX20:CX24),0)</f>
        <v>0</v>
      </c>
      <c r="CY26" s="109">
        <f>IF(CY3&lt;='A&amp;Rs'!$K$9,SUM(CY20:CY24),0)</f>
        <v>0</v>
      </c>
      <c r="CZ26" s="109">
        <f>IF(CZ3&lt;='A&amp;Rs'!$K$9,SUM(CZ20:CZ24),0)</f>
        <v>0</v>
      </c>
      <c r="DA26" s="109">
        <f>IF(DA3&lt;='A&amp;Rs'!$K$9,SUM(DA20:DA24),0)</f>
        <v>0</v>
      </c>
      <c r="DB26" s="109">
        <f>IF(DB3&lt;='A&amp;Rs'!$K$9,SUM(DB20:DB24),0)</f>
        <v>0</v>
      </c>
      <c r="DC26" s="109">
        <f>IF(DC3&lt;='A&amp;Rs'!$K$9,SUM(DC20:DC24),0)</f>
        <v>0</v>
      </c>
      <c r="DD26" s="109">
        <f>IF(DD3&lt;='A&amp;Rs'!$K$9,SUM(DD20:DD24),0)</f>
        <v>0</v>
      </c>
      <c r="DE26" s="109">
        <f>IF(DE3&lt;='A&amp;Rs'!$K$9,SUM(DE20:DE24),0)</f>
        <v>0</v>
      </c>
      <c r="DF26" s="109">
        <f>IF(DF3&lt;='A&amp;Rs'!$K$9,SUM(DF20:DF24),0)</f>
        <v>0</v>
      </c>
      <c r="DG26" s="109">
        <f>IF(DG3&lt;='A&amp;Rs'!$K$9,SUM(DG20:DG24),0)</f>
        <v>0</v>
      </c>
      <c r="DH26" s="109">
        <f>IF(DH3&lt;='A&amp;Rs'!$K$9,SUM(DH20:DH24),0)</f>
        <v>0</v>
      </c>
      <c r="DI26" s="109">
        <f>IF(DI3&lt;='A&amp;Rs'!$K$9,SUM(DI20:DI24),0)</f>
        <v>0</v>
      </c>
      <c r="DJ26" s="109">
        <f>IF(DJ3&lt;='A&amp;Rs'!$K$9,SUM(DJ20:DJ24),0)</f>
        <v>0</v>
      </c>
      <c r="DK26" s="109">
        <f>IF(DK3&lt;='A&amp;Rs'!$K$9,SUM(DK20:DK24),0)</f>
        <v>0</v>
      </c>
      <c r="DL26" s="109">
        <f>IF(DL3&lt;='A&amp;Rs'!$K$9,SUM(DL20:DL24),0)</f>
        <v>0</v>
      </c>
      <c r="DM26" s="109">
        <f>IF(DM3&lt;='A&amp;Rs'!$K$9,SUM(DM20:DM24),0)</f>
        <v>0</v>
      </c>
      <c r="DN26" s="109">
        <f>IF(DN3&lt;='A&amp;Rs'!$K$9,SUM(DN20:DN24),0)</f>
        <v>0</v>
      </c>
      <c r="DO26" s="109">
        <f>IF(DO3&lt;='A&amp;Rs'!$K$9,SUM(DO20:DO24),0)</f>
        <v>0</v>
      </c>
      <c r="DP26" s="109">
        <f>IF(DP3&lt;='A&amp;Rs'!$K$9,SUM(DP20:DP24),0)</f>
        <v>0</v>
      </c>
      <c r="DQ26" s="109">
        <f>IF(DQ3&lt;='A&amp;Rs'!$K$9,SUM(DQ20:DQ24),0)</f>
        <v>0</v>
      </c>
      <c r="DR26" s="109">
        <f>IF(DR3&lt;='A&amp;Rs'!$K$9,SUM(DR20:DR24),0)</f>
        <v>0</v>
      </c>
      <c r="DS26" s="109">
        <f>IF(DS3&lt;='A&amp;Rs'!$K$9,SUM(DS20:DS24),0)</f>
        <v>0</v>
      </c>
      <c r="DT26" s="109">
        <f>IF(DT3&lt;='A&amp;Rs'!$K$9,SUM(DT20:DT24),0)</f>
        <v>0</v>
      </c>
      <c r="DU26" s="109">
        <f>IF(DU3&lt;='A&amp;Rs'!$K$9,SUM(DU20:DU24),0)</f>
        <v>0</v>
      </c>
      <c r="DV26" s="109">
        <f>IF(DV3&lt;='A&amp;Rs'!$K$9,SUM(DV20:DV24),0)</f>
        <v>0</v>
      </c>
      <c r="DW26" s="109">
        <f>IF(DW3&lt;='A&amp;Rs'!$K$9,SUM(DW20:DW24),0)</f>
        <v>0</v>
      </c>
      <c r="DX26" s="109">
        <f>IF(DX3&lt;='A&amp;Rs'!$K$9,SUM(DX20:DX24),0)</f>
        <v>0</v>
      </c>
      <c r="DY26" s="109">
        <f>IF(DY3&lt;='A&amp;Rs'!$K$9,SUM(DY20:DY24),0)</f>
        <v>0</v>
      </c>
      <c r="DZ26" s="109">
        <f>IF(DZ3&lt;='A&amp;Rs'!$K$9,SUM(DZ20:DZ24),0)</f>
        <v>0</v>
      </c>
      <c r="EA26" s="109">
        <f>IF(EA3&lt;='A&amp;Rs'!$K$9,SUM(EA20:EA24),0)</f>
        <v>0</v>
      </c>
      <c r="EB26" s="109">
        <f>IF(EB3&lt;='A&amp;Rs'!$K$9,SUM(EB20:EB24),0)</f>
        <v>0</v>
      </c>
      <c r="EC26" s="109">
        <f>IF(EC3&lt;='A&amp;Rs'!$K$9,SUM(EC20:EC24),0)</f>
        <v>0</v>
      </c>
      <c r="ED26" s="168">
        <f>IF(ED3&lt;='A&amp;Rs'!$K$9,SUM(ED20:ED24),0)</f>
        <v>0</v>
      </c>
      <c r="EE26" s="1" t="s">
        <v>39</v>
      </c>
      <c r="EF26" s="1"/>
    </row>
    <row r="27" spans="6:136" x14ac:dyDescent="0.3">
      <c r="K27" s="1"/>
      <c r="L27" s="23"/>
      <c r="M27" s="1"/>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60"/>
      <c r="EE27" s="1" t="s">
        <v>39</v>
      </c>
      <c r="EF27" s="1"/>
    </row>
    <row r="28" spans="6:136" x14ac:dyDescent="0.3">
      <c r="K28" s="1"/>
      <c r="L28" s="23" t="s">
        <v>9</v>
      </c>
      <c r="M28" s="1"/>
      <c r="N28" s="170"/>
      <c r="O28" s="170">
        <f>IF(O3&lt;='A&amp;Rs'!$K$9,-'A&amp;Rs'!$K$34,0)</f>
        <v>-7629.8974990909028</v>
      </c>
      <c r="P28" s="170">
        <f>IF(P3&lt;='A&amp;Rs'!$K$9,-'A&amp;Rs'!$K$34,0)</f>
        <v>-7629.8974990909028</v>
      </c>
      <c r="Q28" s="170">
        <f>IF(Q3&lt;='A&amp;Rs'!$K$9,-'A&amp;Rs'!$K$34,0)</f>
        <v>-7629.8974990909028</v>
      </c>
      <c r="R28" s="170">
        <f>IF(R3&lt;='A&amp;Rs'!$K$9,-'A&amp;Rs'!$K$34,0)</f>
        <v>-7629.8974990909028</v>
      </c>
      <c r="S28" s="170">
        <f>IF(S3&lt;='A&amp;Rs'!$K$9,-'A&amp;Rs'!$K$34,0)</f>
        <v>-7629.8974990909028</v>
      </c>
      <c r="T28" s="170">
        <f>IF(T3&lt;='A&amp;Rs'!$K$9,-'A&amp;Rs'!$K$34,0)</f>
        <v>-7629.8974990909028</v>
      </c>
      <c r="U28" s="170">
        <f>IF(U3&lt;='A&amp;Rs'!$K$9,-'A&amp;Rs'!$K$34,0)</f>
        <v>-7629.8974990909028</v>
      </c>
      <c r="V28" s="170">
        <f>IF(V3&lt;='A&amp;Rs'!$K$9,-'A&amp;Rs'!$K$34,0)</f>
        <v>-7629.8974990909028</v>
      </c>
      <c r="W28" s="170">
        <f>IF(W3&lt;='A&amp;Rs'!$K$9,-'A&amp;Rs'!$K$34,0)</f>
        <v>-7629.8974990909028</v>
      </c>
      <c r="X28" s="170">
        <f>IF(X3&lt;='A&amp;Rs'!$K$9,-'A&amp;Rs'!$K$34,0)</f>
        <v>-7629.8974990909028</v>
      </c>
      <c r="Y28" s="170">
        <f>IF(Y3&lt;='A&amp;Rs'!$K$9,-'A&amp;Rs'!$K$34,0)</f>
        <v>-7629.8974990909028</v>
      </c>
      <c r="Z28" s="170">
        <f>IF(Z3&lt;='A&amp;Rs'!$K$9,-'A&amp;Rs'!$K$34,0)</f>
        <v>-7629.8974990909028</v>
      </c>
      <c r="AA28" s="170">
        <f>IF(AA3&lt;='A&amp;Rs'!$K$9,-'A&amp;Rs'!$K$34,0)</f>
        <v>-7629.8974990909028</v>
      </c>
      <c r="AB28" s="170">
        <f>IF(AB3&lt;='A&amp;Rs'!$K$9,-'A&amp;Rs'!$K$34,0)</f>
        <v>-7629.8974990909028</v>
      </c>
      <c r="AC28" s="170">
        <f>IF(AC3&lt;='A&amp;Rs'!$K$9,-'A&amp;Rs'!$K$34,0)</f>
        <v>-7629.8974990909028</v>
      </c>
      <c r="AD28" s="170">
        <f>IF(AD3&lt;='A&amp;Rs'!$K$9,-'A&amp;Rs'!$K$34,0)</f>
        <v>-7629.8974990909028</v>
      </c>
      <c r="AE28" s="170">
        <f>IF(AE3&lt;='A&amp;Rs'!$K$9,-'A&amp;Rs'!$K$34,0)</f>
        <v>-7629.8974990909028</v>
      </c>
      <c r="AF28" s="170">
        <f>IF(AF3&lt;='A&amp;Rs'!$K$9,-'A&amp;Rs'!$K$34,0)</f>
        <v>-7629.8974990909028</v>
      </c>
      <c r="AG28" s="170">
        <f>IF(AG3&lt;='A&amp;Rs'!$K$9,-'A&amp;Rs'!$K$34,0)</f>
        <v>-7629.8974990909028</v>
      </c>
      <c r="AH28" s="170">
        <f>IF(AH3&lt;='A&amp;Rs'!$K$9,-'A&amp;Rs'!$K$34,0)</f>
        <v>-7629.8974990909028</v>
      </c>
      <c r="AI28" s="170">
        <f>IF(AI3&lt;='A&amp;Rs'!$K$9,-'A&amp;Rs'!$K$34,0)</f>
        <v>-7629.8974990909028</v>
      </c>
      <c r="AJ28" s="170">
        <f>IF(AJ3&lt;='A&amp;Rs'!$K$9,-'A&amp;Rs'!$K$34,0)</f>
        <v>-7629.8974990909028</v>
      </c>
      <c r="AK28" s="170">
        <f>IF(AK3&lt;='A&amp;Rs'!$K$9,-'A&amp;Rs'!$K$34,0)</f>
        <v>-7629.8974990909028</v>
      </c>
      <c r="AL28" s="170">
        <f>IF(AL3&lt;='A&amp;Rs'!$K$9,-'A&amp;Rs'!$K$34,0)</f>
        <v>-7629.8974990909028</v>
      </c>
      <c r="AM28" s="170">
        <f>IF(AM3&lt;='A&amp;Rs'!$K$9,-'A&amp;Rs'!$K$34,0)</f>
        <v>-7629.8974990909028</v>
      </c>
      <c r="AN28" s="170">
        <f>IF(AN3&lt;='A&amp;Rs'!$K$9,-'A&amp;Rs'!$K$34,0)</f>
        <v>-7629.8974990909028</v>
      </c>
      <c r="AO28" s="170">
        <f>IF(AO3&lt;='A&amp;Rs'!$K$9,-'A&amp;Rs'!$K$34,0)</f>
        <v>-7629.8974990909028</v>
      </c>
      <c r="AP28" s="170">
        <f>IF(AP3&lt;='A&amp;Rs'!$K$9,-'A&amp;Rs'!$K$34,0)</f>
        <v>-7629.8974990909028</v>
      </c>
      <c r="AQ28" s="170">
        <f>IF(AQ3&lt;='A&amp;Rs'!$K$9,-'A&amp;Rs'!$K$34,0)</f>
        <v>-7629.8974990909028</v>
      </c>
      <c r="AR28" s="170">
        <f>IF(AR3&lt;='A&amp;Rs'!$K$9,-'A&amp;Rs'!$K$34,0)</f>
        <v>-7629.8974990909028</v>
      </c>
      <c r="AS28" s="170">
        <f>IF(AS3&lt;='A&amp;Rs'!$K$9,-'A&amp;Rs'!$K$34,0)</f>
        <v>-7629.8974990909028</v>
      </c>
      <c r="AT28" s="170">
        <f>IF(AT3&lt;='A&amp;Rs'!$K$9,-'A&amp;Rs'!$K$34,0)</f>
        <v>-7629.8974990909028</v>
      </c>
      <c r="AU28" s="170">
        <f>IF(AU3&lt;='A&amp;Rs'!$K$9,-'A&amp;Rs'!$K$34,0)</f>
        <v>-7629.8974990909028</v>
      </c>
      <c r="AV28" s="170">
        <f>IF(AV3&lt;='A&amp;Rs'!$K$9,-'A&amp;Rs'!$K$34,0)</f>
        <v>-7629.8974990909028</v>
      </c>
      <c r="AW28" s="170">
        <f>IF(AW3&lt;='A&amp;Rs'!$K$9,-'A&amp;Rs'!$K$34,0)</f>
        <v>-7629.8974990909028</v>
      </c>
      <c r="AX28" s="170">
        <f>IF(AX3&lt;='A&amp;Rs'!$K$9,-'A&amp;Rs'!$K$34,0)</f>
        <v>-7629.8974990909028</v>
      </c>
      <c r="AY28" s="170">
        <f>IF(AY3&lt;='A&amp;Rs'!$K$9,-'A&amp;Rs'!$K$34,0)</f>
        <v>-7629.8974990909028</v>
      </c>
      <c r="AZ28" s="170">
        <f>IF(AZ3&lt;='A&amp;Rs'!$K$9,-'A&amp;Rs'!$K$34,0)</f>
        <v>-7629.8974990909028</v>
      </c>
      <c r="BA28" s="170">
        <f>IF(BA3&lt;='A&amp;Rs'!$K$9,-'A&amp;Rs'!$K$34,0)</f>
        <v>-7629.8974990909028</v>
      </c>
      <c r="BB28" s="170">
        <f>IF(BB3&lt;='A&amp;Rs'!$K$9,-'A&amp;Rs'!$K$34,0)</f>
        <v>-7629.8974990909028</v>
      </c>
      <c r="BC28" s="170">
        <f>IF(BC3&lt;='A&amp;Rs'!$K$9,-'A&amp;Rs'!$K$34,0)</f>
        <v>-7629.8974990909028</v>
      </c>
      <c r="BD28" s="170">
        <f>IF(BD3&lt;='A&amp;Rs'!$K$9,-'A&amp;Rs'!$K$34,0)</f>
        <v>-7629.8974990909028</v>
      </c>
      <c r="BE28" s="170">
        <f>IF(BE3&lt;='A&amp;Rs'!$K$9,-'A&amp;Rs'!$K$34,0)</f>
        <v>-7629.8974990909028</v>
      </c>
      <c r="BF28" s="170">
        <f>IF(BF3&lt;='A&amp;Rs'!$K$9,-'A&amp;Rs'!$K$34,0)</f>
        <v>-7629.8974990909028</v>
      </c>
      <c r="BG28" s="170">
        <f>IF(BG3&lt;='A&amp;Rs'!$K$9,-'A&amp;Rs'!$K$34,0)</f>
        <v>-7629.8974990909028</v>
      </c>
      <c r="BH28" s="170">
        <f>IF(BH3&lt;='A&amp;Rs'!$K$9,-'A&amp;Rs'!$K$34,0)</f>
        <v>-7629.8974990909028</v>
      </c>
      <c r="BI28" s="170">
        <f>IF(BI3&lt;='A&amp;Rs'!$K$9,-'A&amp;Rs'!$K$34,0)</f>
        <v>-7629.8974990909028</v>
      </c>
      <c r="BJ28" s="170">
        <f>IF(BJ3&lt;='A&amp;Rs'!$K$9,-'A&amp;Rs'!$K$34,0)</f>
        <v>-7629.8974990909028</v>
      </c>
      <c r="BK28" s="170">
        <f>IF(BK3&lt;='A&amp;Rs'!$K$9,-'A&amp;Rs'!$K$34,0)</f>
        <v>-7629.8974990909028</v>
      </c>
      <c r="BL28" s="170">
        <f>IF(BL3&lt;='A&amp;Rs'!$K$9,-'A&amp;Rs'!$K$34,0)</f>
        <v>-7629.8974990909028</v>
      </c>
      <c r="BM28" s="170">
        <f>IF(BM3&lt;='A&amp;Rs'!$K$9,-'A&amp;Rs'!$K$34,0)</f>
        <v>-7629.8974990909028</v>
      </c>
      <c r="BN28" s="170">
        <f>IF(BN3&lt;='A&amp;Rs'!$K$9,-'A&amp;Rs'!$K$34,0)</f>
        <v>-7629.8974990909028</v>
      </c>
      <c r="BO28" s="170">
        <f>IF(BO3&lt;='A&amp;Rs'!$K$9,-'A&amp;Rs'!$K$34,0)</f>
        <v>-7629.8974990909028</v>
      </c>
      <c r="BP28" s="170">
        <f>IF(BP3&lt;='A&amp;Rs'!$K$9,-'A&amp;Rs'!$K$34,0)</f>
        <v>-7629.8974990909028</v>
      </c>
      <c r="BQ28" s="170">
        <f>IF(BQ3&lt;='A&amp;Rs'!$K$9,-'A&amp;Rs'!$K$34,0)</f>
        <v>-7629.8974990909028</v>
      </c>
      <c r="BR28" s="170">
        <f>IF(BR3&lt;='A&amp;Rs'!$K$9,-'A&amp;Rs'!$K$34,0)</f>
        <v>-7629.8974990909028</v>
      </c>
      <c r="BS28" s="170">
        <f>IF(BS3&lt;='A&amp;Rs'!$K$9,-'A&amp;Rs'!$K$34,0)</f>
        <v>-7629.8974990909028</v>
      </c>
      <c r="BT28" s="170">
        <f>IF(BT3&lt;='A&amp;Rs'!$K$9,-'A&amp;Rs'!$K$34,0)</f>
        <v>-7629.8974990909028</v>
      </c>
      <c r="BU28" s="170">
        <f>IF(BU3&lt;='A&amp;Rs'!$K$9,-'A&amp;Rs'!$K$34,0)</f>
        <v>-7629.8974990909028</v>
      </c>
      <c r="BV28" s="170">
        <f>IF(BV3&lt;='A&amp;Rs'!$K$9,-'A&amp;Rs'!$K$34,0)</f>
        <v>-7629.8974990909028</v>
      </c>
      <c r="BW28" s="170">
        <f>IF(BW3&lt;='A&amp;Rs'!$K$9,-'A&amp;Rs'!$K$34,0)</f>
        <v>0</v>
      </c>
      <c r="BX28" s="170">
        <f>IF(BX3&lt;='A&amp;Rs'!$K$9,-'A&amp;Rs'!$K$34,0)</f>
        <v>0</v>
      </c>
      <c r="BY28" s="170">
        <f>IF(BY3&lt;='A&amp;Rs'!$K$9,-'A&amp;Rs'!$K$34,0)</f>
        <v>0</v>
      </c>
      <c r="BZ28" s="170">
        <f>IF(BZ3&lt;='A&amp;Rs'!$K$9,-'A&amp;Rs'!$K$34,0)</f>
        <v>0</v>
      </c>
      <c r="CA28" s="170">
        <f>IF(CA3&lt;='A&amp;Rs'!$K$9,-'A&amp;Rs'!$K$34,0)</f>
        <v>0</v>
      </c>
      <c r="CB28" s="170">
        <f>IF(CB3&lt;='A&amp;Rs'!$K$9,-'A&amp;Rs'!$K$34,0)</f>
        <v>0</v>
      </c>
      <c r="CC28" s="170">
        <f>IF(CC3&lt;='A&amp;Rs'!$K$9,-'A&amp;Rs'!$K$34,0)</f>
        <v>0</v>
      </c>
      <c r="CD28" s="170">
        <f>IF(CD3&lt;='A&amp;Rs'!$K$9,-'A&amp;Rs'!$K$34,0)</f>
        <v>0</v>
      </c>
      <c r="CE28" s="170">
        <f>IF(CE3&lt;='A&amp;Rs'!$K$9,-'A&amp;Rs'!$K$34,0)</f>
        <v>0</v>
      </c>
      <c r="CF28" s="170">
        <f>IF(CF3&lt;='A&amp;Rs'!$K$9,-'A&amp;Rs'!$K$34,0)</f>
        <v>0</v>
      </c>
      <c r="CG28" s="170">
        <f>IF(CG3&lt;='A&amp;Rs'!$K$9,-'A&amp;Rs'!$K$34,0)</f>
        <v>0</v>
      </c>
      <c r="CH28" s="170">
        <f>IF(CH3&lt;='A&amp;Rs'!$K$9,-'A&amp;Rs'!$K$34,0)</f>
        <v>0</v>
      </c>
      <c r="CI28" s="170">
        <f>IF(CI3&lt;='A&amp;Rs'!$K$9,-'A&amp;Rs'!$K$34,0)</f>
        <v>0</v>
      </c>
      <c r="CJ28" s="170">
        <f>IF(CJ3&lt;='A&amp;Rs'!$K$9,-'A&amp;Rs'!$K$34,0)</f>
        <v>0</v>
      </c>
      <c r="CK28" s="170">
        <f>IF(CK3&lt;='A&amp;Rs'!$K$9,-'A&amp;Rs'!$K$34,0)</f>
        <v>0</v>
      </c>
      <c r="CL28" s="170">
        <f>IF(CL3&lt;='A&amp;Rs'!$K$9,-'A&amp;Rs'!$K$34,0)</f>
        <v>0</v>
      </c>
      <c r="CM28" s="170">
        <f>IF(CM3&lt;='A&amp;Rs'!$K$9,-'A&amp;Rs'!$K$34,0)</f>
        <v>0</v>
      </c>
      <c r="CN28" s="170">
        <f>IF(CN3&lt;='A&amp;Rs'!$K$9,-'A&amp;Rs'!$K$34,0)</f>
        <v>0</v>
      </c>
      <c r="CO28" s="170">
        <f>IF(CO3&lt;='A&amp;Rs'!$K$9,-'A&amp;Rs'!$K$34,0)</f>
        <v>0</v>
      </c>
      <c r="CP28" s="170">
        <f>IF(CP3&lt;='A&amp;Rs'!$K$9,-'A&amp;Rs'!$K$34,0)</f>
        <v>0</v>
      </c>
      <c r="CQ28" s="170">
        <f>IF(CQ3&lt;='A&amp;Rs'!$K$9,-'A&amp;Rs'!$K$34,0)</f>
        <v>0</v>
      </c>
      <c r="CR28" s="170">
        <f>IF(CR3&lt;='A&amp;Rs'!$K$9,-'A&amp;Rs'!$K$34,0)</f>
        <v>0</v>
      </c>
      <c r="CS28" s="170">
        <f>IF(CS3&lt;='A&amp;Rs'!$K$9,-'A&amp;Rs'!$K$34,0)</f>
        <v>0</v>
      </c>
      <c r="CT28" s="170">
        <f>IF(CT3&lt;='A&amp;Rs'!$K$9,-'A&amp;Rs'!$K$34,0)</f>
        <v>0</v>
      </c>
      <c r="CU28" s="170">
        <f>IF(CU3&lt;='A&amp;Rs'!$K$9,-'A&amp;Rs'!$K$34,0)</f>
        <v>0</v>
      </c>
      <c r="CV28" s="170">
        <f>IF(CV3&lt;='A&amp;Rs'!$K$9,-'A&amp;Rs'!$K$34,0)</f>
        <v>0</v>
      </c>
      <c r="CW28" s="170">
        <f>IF(CW3&lt;='A&amp;Rs'!$K$9,-'A&amp;Rs'!$K$34,0)</f>
        <v>0</v>
      </c>
      <c r="CX28" s="170">
        <f>IF(CX3&lt;='A&amp;Rs'!$K$9,-'A&amp;Rs'!$K$34,0)</f>
        <v>0</v>
      </c>
      <c r="CY28" s="170">
        <f>IF(CY3&lt;='A&amp;Rs'!$K$9,-'A&amp;Rs'!$K$34,0)</f>
        <v>0</v>
      </c>
      <c r="CZ28" s="170">
        <f>IF(CZ3&lt;='A&amp;Rs'!$K$9,-'A&amp;Rs'!$K$34,0)</f>
        <v>0</v>
      </c>
      <c r="DA28" s="170">
        <f>IF(DA3&lt;='A&amp;Rs'!$K$9,-'A&amp;Rs'!$K$34,0)</f>
        <v>0</v>
      </c>
      <c r="DB28" s="170">
        <f>IF(DB3&lt;='A&amp;Rs'!$K$9,-'A&amp;Rs'!$K$34,0)</f>
        <v>0</v>
      </c>
      <c r="DC28" s="170">
        <f>IF(DC3&lt;='A&amp;Rs'!$K$9,-'A&amp;Rs'!$K$34,0)</f>
        <v>0</v>
      </c>
      <c r="DD28" s="170">
        <f>IF(DD3&lt;='A&amp;Rs'!$K$9,-'A&amp;Rs'!$K$34,0)</f>
        <v>0</v>
      </c>
      <c r="DE28" s="170">
        <f>IF(DE3&lt;='A&amp;Rs'!$K$9,-'A&amp;Rs'!$K$34,0)</f>
        <v>0</v>
      </c>
      <c r="DF28" s="170">
        <f>IF(DF3&lt;='A&amp;Rs'!$K$9,-'A&amp;Rs'!$K$34,0)</f>
        <v>0</v>
      </c>
      <c r="DG28" s="170">
        <f>IF(DG3&lt;='A&amp;Rs'!$K$9,-'A&amp;Rs'!$K$34,0)</f>
        <v>0</v>
      </c>
      <c r="DH28" s="170">
        <f>IF(DH3&lt;='A&amp;Rs'!$K$9,-'A&amp;Rs'!$K$34,0)</f>
        <v>0</v>
      </c>
      <c r="DI28" s="170">
        <f>IF(DI3&lt;='A&amp;Rs'!$K$9,-'A&amp;Rs'!$K$34,0)</f>
        <v>0</v>
      </c>
      <c r="DJ28" s="170">
        <f>IF(DJ3&lt;='A&amp;Rs'!$K$9,-'A&amp;Rs'!$K$34,0)</f>
        <v>0</v>
      </c>
      <c r="DK28" s="170">
        <f>IF(DK3&lt;='A&amp;Rs'!$K$9,-'A&amp;Rs'!$K$34,0)</f>
        <v>0</v>
      </c>
      <c r="DL28" s="170">
        <f>IF(DL3&lt;='A&amp;Rs'!$K$9,-'A&amp;Rs'!$K$34,0)</f>
        <v>0</v>
      </c>
      <c r="DM28" s="170">
        <f>IF(DM3&lt;='A&amp;Rs'!$K$9,-'A&amp;Rs'!$K$34,0)</f>
        <v>0</v>
      </c>
      <c r="DN28" s="170">
        <f>IF(DN3&lt;='A&amp;Rs'!$K$9,-'A&amp;Rs'!$K$34,0)</f>
        <v>0</v>
      </c>
      <c r="DO28" s="170">
        <f>IF(DO3&lt;='A&amp;Rs'!$K$9,-'A&amp;Rs'!$K$34,0)</f>
        <v>0</v>
      </c>
      <c r="DP28" s="170">
        <f>IF(DP3&lt;='A&amp;Rs'!$K$9,-'A&amp;Rs'!$K$34,0)</f>
        <v>0</v>
      </c>
      <c r="DQ28" s="170">
        <f>IF(DQ3&lt;='A&amp;Rs'!$K$9,-'A&amp;Rs'!$K$34,0)</f>
        <v>0</v>
      </c>
      <c r="DR28" s="170">
        <f>IF(DR3&lt;='A&amp;Rs'!$K$9,-'A&amp;Rs'!$K$34,0)</f>
        <v>0</v>
      </c>
      <c r="DS28" s="170">
        <f>IF(DS3&lt;='A&amp;Rs'!$K$9,-'A&amp;Rs'!$K$34,0)</f>
        <v>0</v>
      </c>
      <c r="DT28" s="170">
        <f>IF(DT3&lt;='A&amp;Rs'!$K$9,-'A&amp;Rs'!$K$34,0)</f>
        <v>0</v>
      </c>
      <c r="DU28" s="170">
        <f>IF(DU3&lt;='A&amp;Rs'!$K$9,-'A&amp;Rs'!$K$34,0)</f>
        <v>0</v>
      </c>
      <c r="DV28" s="170">
        <f>IF(DV3&lt;='A&amp;Rs'!$K$9,-'A&amp;Rs'!$K$34,0)</f>
        <v>0</v>
      </c>
      <c r="DW28" s="170">
        <f>IF(DW3&lt;='A&amp;Rs'!$K$9,-'A&amp;Rs'!$K$34,0)</f>
        <v>0</v>
      </c>
      <c r="DX28" s="170">
        <f>IF(DX3&lt;='A&amp;Rs'!$K$9,-'A&amp;Rs'!$K$34,0)</f>
        <v>0</v>
      </c>
      <c r="DY28" s="170">
        <f>IF(DY3&lt;='A&amp;Rs'!$K$9,-'A&amp;Rs'!$K$34,0)</f>
        <v>0</v>
      </c>
      <c r="DZ28" s="170">
        <f>IF(DZ3&lt;='A&amp;Rs'!$K$9,-'A&amp;Rs'!$K$34,0)</f>
        <v>0</v>
      </c>
      <c r="EA28" s="170">
        <f>IF(EA3&lt;='A&amp;Rs'!$K$9,-'A&amp;Rs'!$K$34,0)</f>
        <v>0</v>
      </c>
      <c r="EB28" s="170">
        <f>IF(EB3&lt;='A&amp;Rs'!$K$9,-'A&amp;Rs'!$K$34,0)</f>
        <v>0</v>
      </c>
      <c r="EC28" s="170">
        <f>IF(EC3&lt;='A&amp;Rs'!$K$9,-'A&amp;Rs'!$K$34,0)</f>
        <v>0</v>
      </c>
      <c r="ED28" s="171">
        <f>IF(ED3&lt;='A&amp;Rs'!$K$9,-'A&amp;Rs'!$K$34,0)</f>
        <v>0</v>
      </c>
      <c r="EE28" s="1" t="s">
        <v>39</v>
      </c>
      <c r="EF28" s="1"/>
    </row>
    <row r="29" spans="6:136" x14ac:dyDescent="0.3">
      <c r="K29" s="1"/>
      <c r="L29" s="23" t="s">
        <v>130</v>
      </c>
      <c r="M29" s="1"/>
      <c r="N29" s="170"/>
      <c r="O29" s="19">
        <f>IFERROR(O26/-O28,"")</f>
        <v>1.741872613830465</v>
      </c>
      <c r="P29" s="19">
        <f t="shared" ref="P29:CA29" si="18">IFERROR(P26/-P28,"")</f>
        <v>1.3143295176894387</v>
      </c>
      <c r="Q29" s="19">
        <f t="shared" si="18"/>
        <v>1.3143295176894387</v>
      </c>
      <c r="R29" s="19">
        <f t="shared" si="18"/>
        <v>1.5278595159881208</v>
      </c>
      <c r="S29" s="19">
        <f t="shared" si="18"/>
        <v>1.5278595159881208</v>
      </c>
      <c r="T29" s="19">
        <f t="shared" si="18"/>
        <v>1.3652965195457982</v>
      </c>
      <c r="U29" s="19">
        <f t="shared" si="18"/>
        <v>1.738732466796661</v>
      </c>
      <c r="V29" s="19">
        <f t="shared" si="18"/>
        <v>1.3893307218429913</v>
      </c>
      <c r="W29" s="19">
        <f t="shared" si="18"/>
        <v>1.1873951125922015</v>
      </c>
      <c r="X29" s="19">
        <f t="shared" si="18"/>
        <v>1.1873951125922015</v>
      </c>
      <c r="Y29" s="19">
        <f t="shared" si="18"/>
        <v>1.1873951125922015</v>
      </c>
      <c r="Z29" s="19">
        <f t="shared" si="18"/>
        <v>1.6020152959402649</v>
      </c>
      <c r="AA29" s="19">
        <f t="shared" si="18"/>
        <v>1.6620831939761964</v>
      </c>
      <c r="AB29" s="19">
        <f t="shared" si="18"/>
        <v>1.6620831939761964</v>
      </c>
      <c r="AC29" s="19">
        <f t="shared" si="18"/>
        <v>1.6620831939761964</v>
      </c>
      <c r="AD29" s="19">
        <f t="shared" si="18"/>
        <v>1.6620831939761964</v>
      </c>
      <c r="AE29" s="19">
        <f t="shared" si="18"/>
        <v>1.6620831939761964</v>
      </c>
      <c r="AF29" s="19">
        <f t="shared" si="18"/>
        <v>2.2052706588790749</v>
      </c>
      <c r="AG29" s="19">
        <f t="shared" si="18"/>
        <v>2.2052706588790749</v>
      </c>
      <c r="AH29" s="19">
        <f t="shared" si="18"/>
        <v>2.2052706588790749</v>
      </c>
      <c r="AI29" s="19">
        <f t="shared" si="18"/>
        <v>2.2052706588790749</v>
      </c>
      <c r="AJ29" s="19">
        <f t="shared" si="18"/>
        <v>2.2052706588790749</v>
      </c>
      <c r="AK29" s="19">
        <f t="shared" si="18"/>
        <v>2.2052706588790749</v>
      </c>
      <c r="AL29" s="19">
        <f t="shared" si="18"/>
        <v>2.2052706588790749</v>
      </c>
      <c r="AM29" s="19">
        <f t="shared" si="18"/>
        <v>2.2456559131681018</v>
      </c>
      <c r="AN29" s="19">
        <f t="shared" si="18"/>
        <v>2.2456559131681018</v>
      </c>
      <c r="AO29" s="19">
        <f t="shared" si="18"/>
        <v>2.2456559131681018</v>
      </c>
      <c r="AP29" s="19">
        <f t="shared" si="18"/>
        <v>2.2456559131681018</v>
      </c>
      <c r="AQ29" s="19">
        <f t="shared" si="18"/>
        <v>2.2456559131681018</v>
      </c>
      <c r="AR29" s="19">
        <f t="shared" si="18"/>
        <v>2.2456559131681018</v>
      </c>
      <c r="AS29" s="19">
        <f t="shared" si="18"/>
        <v>2.2456559131681018</v>
      </c>
      <c r="AT29" s="19">
        <f t="shared" si="18"/>
        <v>2.2456559131681018</v>
      </c>
      <c r="AU29" s="19">
        <f t="shared" si="18"/>
        <v>2.2456559131681018</v>
      </c>
      <c r="AV29" s="19">
        <f t="shared" si="18"/>
        <v>2.2456559131681018</v>
      </c>
      <c r="AW29" s="19">
        <f t="shared" si="18"/>
        <v>2.2456559131681018</v>
      </c>
      <c r="AX29" s="19">
        <f t="shared" si="18"/>
        <v>2.2456559131681018</v>
      </c>
      <c r="AY29" s="19">
        <f t="shared" si="18"/>
        <v>2.3130255905631447</v>
      </c>
      <c r="AZ29" s="19">
        <f t="shared" si="18"/>
        <v>2.3130255905631447</v>
      </c>
      <c r="BA29" s="19">
        <f t="shared" si="18"/>
        <v>2.3130255905631447</v>
      </c>
      <c r="BB29" s="19">
        <f t="shared" si="18"/>
        <v>2.3130255905631447</v>
      </c>
      <c r="BC29" s="19">
        <f t="shared" si="18"/>
        <v>2.3130255905631447</v>
      </c>
      <c r="BD29" s="19">
        <f t="shared" si="18"/>
        <v>2.3130255905631447</v>
      </c>
      <c r="BE29" s="19">
        <f t="shared" si="18"/>
        <v>2.3130255905631447</v>
      </c>
      <c r="BF29" s="19">
        <f t="shared" si="18"/>
        <v>2.3130255905631447</v>
      </c>
      <c r="BG29" s="19">
        <f t="shared" si="18"/>
        <v>2.3130255905631447</v>
      </c>
      <c r="BH29" s="19">
        <f t="shared" si="18"/>
        <v>2.3130255905631447</v>
      </c>
      <c r="BI29" s="19">
        <f t="shared" si="18"/>
        <v>2.3130255905631447</v>
      </c>
      <c r="BJ29" s="19">
        <f t="shared" si="18"/>
        <v>2.3130255905631447</v>
      </c>
      <c r="BK29" s="19">
        <f t="shared" si="18"/>
        <v>2.3824163582800399</v>
      </c>
      <c r="BL29" s="19">
        <f t="shared" si="18"/>
        <v>2.3824163582800399</v>
      </c>
      <c r="BM29" s="19">
        <f t="shared" si="18"/>
        <v>2.3824163582800399</v>
      </c>
      <c r="BN29" s="19">
        <f t="shared" si="18"/>
        <v>2.3824163582800399</v>
      </c>
      <c r="BO29" s="19">
        <f t="shared" si="18"/>
        <v>2.3824163582800399</v>
      </c>
      <c r="BP29" s="19">
        <f t="shared" si="18"/>
        <v>2.3824163582800399</v>
      </c>
      <c r="BQ29" s="19">
        <f t="shared" si="18"/>
        <v>2.3824163582800399</v>
      </c>
      <c r="BR29" s="19">
        <f t="shared" si="18"/>
        <v>2.3824163582800399</v>
      </c>
      <c r="BS29" s="19">
        <f t="shared" si="18"/>
        <v>2.3824163582800399</v>
      </c>
      <c r="BT29" s="19">
        <f t="shared" si="18"/>
        <v>2.3824163582800399</v>
      </c>
      <c r="BU29" s="19">
        <f t="shared" si="18"/>
        <v>2.3824163582800399</v>
      </c>
      <c r="BV29" s="19">
        <f t="shared" si="18"/>
        <v>2.3824163582800399</v>
      </c>
      <c r="BW29" s="19" t="str">
        <f t="shared" si="18"/>
        <v/>
      </c>
      <c r="BX29" s="19" t="str">
        <f t="shared" si="18"/>
        <v/>
      </c>
      <c r="BY29" s="19" t="str">
        <f t="shared" si="18"/>
        <v/>
      </c>
      <c r="BZ29" s="19" t="str">
        <f t="shared" si="18"/>
        <v/>
      </c>
      <c r="CA29" s="19" t="str">
        <f t="shared" si="18"/>
        <v/>
      </c>
      <c r="CB29" s="19" t="str">
        <f t="shared" ref="CB29:ED29" si="19">IFERROR(CB26/-CB28,"")</f>
        <v/>
      </c>
      <c r="CC29" s="19" t="str">
        <f t="shared" si="19"/>
        <v/>
      </c>
      <c r="CD29" s="19" t="str">
        <f t="shared" si="19"/>
        <v/>
      </c>
      <c r="CE29" s="19" t="str">
        <f t="shared" si="19"/>
        <v/>
      </c>
      <c r="CF29" s="19" t="str">
        <f t="shared" si="19"/>
        <v/>
      </c>
      <c r="CG29" s="19" t="str">
        <f t="shared" si="19"/>
        <v/>
      </c>
      <c r="CH29" s="19" t="str">
        <f t="shared" si="19"/>
        <v/>
      </c>
      <c r="CI29" s="19" t="str">
        <f t="shared" si="19"/>
        <v/>
      </c>
      <c r="CJ29" s="19" t="str">
        <f t="shared" si="19"/>
        <v/>
      </c>
      <c r="CK29" s="19" t="str">
        <f t="shared" si="19"/>
        <v/>
      </c>
      <c r="CL29" s="19" t="str">
        <f t="shared" si="19"/>
        <v/>
      </c>
      <c r="CM29" s="19" t="str">
        <f t="shared" si="19"/>
        <v/>
      </c>
      <c r="CN29" s="19" t="str">
        <f t="shared" si="19"/>
        <v/>
      </c>
      <c r="CO29" s="19" t="str">
        <f t="shared" si="19"/>
        <v/>
      </c>
      <c r="CP29" s="19" t="str">
        <f t="shared" si="19"/>
        <v/>
      </c>
      <c r="CQ29" s="19" t="str">
        <f t="shared" si="19"/>
        <v/>
      </c>
      <c r="CR29" s="19" t="str">
        <f t="shared" si="19"/>
        <v/>
      </c>
      <c r="CS29" s="19" t="str">
        <f t="shared" si="19"/>
        <v/>
      </c>
      <c r="CT29" s="19" t="str">
        <f t="shared" si="19"/>
        <v/>
      </c>
      <c r="CU29" s="19" t="str">
        <f t="shared" si="19"/>
        <v/>
      </c>
      <c r="CV29" s="19" t="str">
        <f t="shared" si="19"/>
        <v/>
      </c>
      <c r="CW29" s="19" t="str">
        <f t="shared" si="19"/>
        <v/>
      </c>
      <c r="CX29" s="19" t="str">
        <f t="shared" si="19"/>
        <v/>
      </c>
      <c r="CY29" s="19" t="str">
        <f t="shared" si="19"/>
        <v/>
      </c>
      <c r="CZ29" s="19" t="str">
        <f t="shared" si="19"/>
        <v/>
      </c>
      <c r="DA29" s="19" t="str">
        <f t="shared" si="19"/>
        <v/>
      </c>
      <c r="DB29" s="19" t="str">
        <f t="shared" si="19"/>
        <v/>
      </c>
      <c r="DC29" s="19" t="str">
        <f t="shared" si="19"/>
        <v/>
      </c>
      <c r="DD29" s="19" t="str">
        <f t="shared" si="19"/>
        <v/>
      </c>
      <c r="DE29" s="19" t="str">
        <f t="shared" si="19"/>
        <v/>
      </c>
      <c r="DF29" s="19" t="str">
        <f t="shared" si="19"/>
        <v/>
      </c>
      <c r="DG29" s="19" t="str">
        <f t="shared" si="19"/>
        <v/>
      </c>
      <c r="DH29" s="19" t="str">
        <f t="shared" si="19"/>
        <v/>
      </c>
      <c r="DI29" s="19" t="str">
        <f t="shared" si="19"/>
        <v/>
      </c>
      <c r="DJ29" s="19" t="str">
        <f t="shared" si="19"/>
        <v/>
      </c>
      <c r="DK29" s="19" t="str">
        <f t="shared" si="19"/>
        <v/>
      </c>
      <c r="DL29" s="19" t="str">
        <f t="shared" si="19"/>
        <v/>
      </c>
      <c r="DM29" s="19" t="str">
        <f t="shared" si="19"/>
        <v/>
      </c>
      <c r="DN29" s="19" t="str">
        <f t="shared" si="19"/>
        <v/>
      </c>
      <c r="DO29" s="19" t="str">
        <f t="shared" si="19"/>
        <v/>
      </c>
      <c r="DP29" s="19" t="str">
        <f t="shared" si="19"/>
        <v/>
      </c>
      <c r="DQ29" s="19" t="str">
        <f t="shared" si="19"/>
        <v/>
      </c>
      <c r="DR29" s="19" t="str">
        <f t="shared" si="19"/>
        <v/>
      </c>
      <c r="DS29" s="19" t="str">
        <f t="shared" si="19"/>
        <v/>
      </c>
      <c r="DT29" s="19" t="str">
        <f t="shared" si="19"/>
        <v/>
      </c>
      <c r="DU29" s="19" t="str">
        <f t="shared" si="19"/>
        <v/>
      </c>
      <c r="DV29" s="19" t="str">
        <f t="shared" si="19"/>
        <v/>
      </c>
      <c r="DW29" s="19" t="str">
        <f t="shared" si="19"/>
        <v/>
      </c>
      <c r="DX29" s="19" t="str">
        <f t="shared" si="19"/>
        <v/>
      </c>
      <c r="DY29" s="19" t="str">
        <f t="shared" si="19"/>
        <v/>
      </c>
      <c r="DZ29" s="19" t="str">
        <f t="shared" si="19"/>
        <v/>
      </c>
      <c r="EA29" s="19" t="str">
        <f t="shared" si="19"/>
        <v/>
      </c>
      <c r="EB29" s="19" t="str">
        <f t="shared" si="19"/>
        <v/>
      </c>
      <c r="EC29" s="19" t="str">
        <f t="shared" si="19"/>
        <v/>
      </c>
      <c r="ED29" s="20" t="str">
        <f t="shared" si="19"/>
        <v/>
      </c>
      <c r="EE29" s="1" t="s">
        <v>39</v>
      </c>
      <c r="EF29" s="1"/>
    </row>
    <row r="30" spans="6:136" x14ac:dyDescent="0.3">
      <c r="K30" s="1"/>
      <c r="L30" s="23"/>
      <c r="M30" s="1"/>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170"/>
      <c r="BI30" s="170"/>
      <c r="BJ30" s="170"/>
      <c r="BK30" s="170"/>
      <c r="BL30" s="170"/>
      <c r="BM30" s="170"/>
      <c r="BN30" s="170"/>
      <c r="BO30" s="170"/>
      <c r="BP30" s="170"/>
      <c r="BQ30" s="170"/>
      <c r="BR30" s="170"/>
      <c r="BS30" s="170"/>
      <c r="BT30" s="170"/>
      <c r="BU30" s="170"/>
      <c r="BV30" s="170"/>
      <c r="BW30" s="170"/>
      <c r="BX30" s="170"/>
      <c r="BY30" s="170"/>
      <c r="BZ30" s="170"/>
      <c r="CA30" s="170"/>
      <c r="CB30" s="170"/>
      <c r="CC30" s="170"/>
      <c r="CD30" s="170"/>
      <c r="CE30" s="170"/>
      <c r="CF30" s="170"/>
      <c r="CG30" s="170"/>
      <c r="CH30" s="170"/>
      <c r="CI30" s="170"/>
      <c r="CJ30" s="170"/>
      <c r="CK30" s="170"/>
      <c r="CL30" s="170"/>
      <c r="CM30" s="170"/>
      <c r="CN30" s="170"/>
      <c r="CO30" s="170"/>
      <c r="CP30" s="170"/>
      <c r="CQ30" s="170"/>
      <c r="CR30" s="170"/>
      <c r="CS30" s="170"/>
      <c r="CT30" s="170"/>
      <c r="CU30" s="170"/>
      <c r="CV30" s="170"/>
      <c r="CW30" s="170"/>
      <c r="CX30" s="170"/>
      <c r="CY30" s="170"/>
      <c r="CZ30" s="170"/>
      <c r="DA30" s="170"/>
      <c r="DB30" s="170"/>
      <c r="DC30" s="170"/>
      <c r="DD30" s="170"/>
      <c r="DE30" s="170"/>
      <c r="DF30" s="170"/>
      <c r="DG30" s="170"/>
      <c r="DH30" s="170"/>
      <c r="DI30" s="170"/>
      <c r="DJ30" s="170"/>
      <c r="DK30" s="170"/>
      <c r="DL30" s="170"/>
      <c r="DM30" s="170"/>
      <c r="DN30" s="170"/>
      <c r="DO30" s="170"/>
      <c r="DP30" s="170"/>
      <c r="DQ30" s="170"/>
      <c r="DR30" s="170"/>
      <c r="DS30" s="170"/>
      <c r="DT30" s="170"/>
      <c r="DU30" s="170"/>
      <c r="DV30" s="170"/>
      <c r="DW30" s="170"/>
      <c r="DX30" s="170"/>
      <c r="DY30" s="170"/>
      <c r="DZ30" s="170"/>
      <c r="EA30" s="170"/>
      <c r="EB30" s="170"/>
      <c r="EC30" s="170"/>
      <c r="ED30" s="171"/>
      <c r="EE30" s="1" t="s">
        <v>39</v>
      </c>
      <c r="EF30" s="1"/>
    </row>
    <row r="31" spans="6:136" x14ac:dyDescent="0.3">
      <c r="K31" s="1"/>
      <c r="L31" s="23" t="s">
        <v>77</v>
      </c>
      <c r="M31" s="1"/>
      <c r="N31" s="170"/>
      <c r="O31" s="169">
        <f>IF(O3&lt;='A&amp;Rs'!$K$9,SUM(O26:O28),0)</f>
        <v>5660.4120009090966</v>
      </c>
      <c r="P31" s="169">
        <f>IF(P3&lt;='A&amp;Rs'!$K$9,SUM(P26:P28),0)</f>
        <v>2398.3020009090978</v>
      </c>
      <c r="Q31" s="169">
        <f>IF(Q3&lt;='A&amp;Rs'!$K$9,SUM(Q26:Q28),0)</f>
        <v>2398.3020009090978</v>
      </c>
      <c r="R31" s="169">
        <f>IF(R3&lt;='A&amp;Rs'!$K$9,SUM(R26:R28),0)</f>
        <v>4027.5140009090974</v>
      </c>
      <c r="S31" s="169">
        <f>IF(S3&lt;='A&amp;Rs'!$K$9,SUM(S26:S28),0)</f>
        <v>4027.5140009090974</v>
      </c>
      <c r="T31" s="169">
        <f>IF(T3&lt;='A&amp;Rs'!$K$9,SUM(T26:T28),0)</f>
        <v>2787.1750009090974</v>
      </c>
      <c r="U31" s="169">
        <f>IF(U3&lt;='A&amp;Rs'!$K$9,SUM(U26:U28),0)</f>
        <v>5636.4530009090977</v>
      </c>
      <c r="V31" s="169">
        <f>IF(V3&lt;='A&amp;Rs'!$K$9,SUM(V26:V28),0)</f>
        <v>2970.5535009090963</v>
      </c>
      <c r="W31" s="169">
        <f>IF(W3&lt;='A&amp;Rs'!$K$9,SUM(W26:W28),0)</f>
        <v>1429.8055009090967</v>
      </c>
      <c r="X31" s="169">
        <f>IF(X3&lt;='A&amp;Rs'!$K$9,SUM(X26:X28),0)</f>
        <v>1429.8055009090967</v>
      </c>
      <c r="Y31" s="169">
        <f>IF(Y3&lt;='A&amp;Rs'!$K$9,SUM(Y26:Y28),0)</f>
        <v>1429.8055009090967</v>
      </c>
      <c r="Z31" s="169">
        <f>IF(Z3&lt;='A&amp;Rs'!$K$9,SUM(Z26:Z28),0)</f>
        <v>4593.3150009090969</v>
      </c>
      <c r="AA31" s="169">
        <f>IF(AA3&lt;='A&amp;Rs'!$K$9,SUM(AA26:AA28),0)</f>
        <v>5051.6269059090973</v>
      </c>
      <c r="AB31" s="169">
        <f>IF(AB3&lt;='A&amp;Rs'!$K$9,SUM(AB26:AB28),0)</f>
        <v>5051.6269059090973</v>
      </c>
      <c r="AC31" s="169">
        <f>IF(AC3&lt;='A&amp;Rs'!$K$9,SUM(AC26:AC28),0)</f>
        <v>5051.6269059090973</v>
      </c>
      <c r="AD31" s="169">
        <f>IF(AD3&lt;='A&amp;Rs'!$K$9,SUM(AD26:AD28),0)</f>
        <v>5051.6269059090973</v>
      </c>
      <c r="AE31" s="169">
        <f>IF(AE3&lt;='A&amp;Rs'!$K$9,SUM(AE26:AE28),0)</f>
        <v>5051.6269059090973</v>
      </c>
      <c r="AF31" s="169">
        <f>IF(AF3&lt;='A&amp;Rs'!$K$9,SUM(AF26:AF28),0)</f>
        <v>9196.0915859090983</v>
      </c>
      <c r="AG31" s="169">
        <f>IF(AG3&lt;='A&amp;Rs'!$K$9,SUM(AG26:AG28),0)</f>
        <v>9196.0915859090983</v>
      </c>
      <c r="AH31" s="169">
        <f>IF(AH3&lt;='A&amp;Rs'!$K$9,SUM(AH26:AH28),0)</f>
        <v>9196.0915859090983</v>
      </c>
      <c r="AI31" s="169">
        <f>IF(AI3&lt;='A&amp;Rs'!$K$9,SUM(AI26:AI28),0)</f>
        <v>9196.0915859090983</v>
      </c>
      <c r="AJ31" s="169">
        <f>IF(AJ3&lt;='A&amp;Rs'!$K$9,SUM(AJ26:AJ28),0)</f>
        <v>9196.0915859090983</v>
      </c>
      <c r="AK31" s="169">
        <f>IF(AK3&lt;='A&amp;Rs'!$K$9,SUM(AK26:AK28),0)</f>
        <v>9196.0915859090983</v>
      </c>
      <c r="AL31" s="169">
        <f>IF(AL3&lt;='A&amp;Rs'!$K$9,SUM(AL26:AL28),0)</f>
        <v>9196.0915859090983</v>
      </c>
      <c r="AM31" s="169">
        <f>IF(AM3&lt;='A&amp;Rs'!$K$9,SUM(AM26:AM28),0)</f>
        <v>9504.2269366090932</v>
      </c>
      <c r="AN31" s="169">
        <f>IF(AN3&lt;='A&amp;Rs'!$K$9,SUM(AN26:AN28),0)</f>
        <v>9504.2269366090932</v>
      </c>
      <c r="AO31" s="169">
        <f>IF(AO3&lt;='A&amp;Rs'!$K$9,SUM(AO26:AO28),0)</f>
        <v>9504.2269366090932</v>
      </c>
      <c r="AP31" s="169">
        <f>IF(AP3&lt;='A&amp;Rs'!$K$9,SUM(AP26:AP28),0)</f>
        <v>9504.2269366090932</v>
      </c>
      <c r="AQ31" s="169">
        <f>IF(AQ3&lt;='A&amp;Rs'!$K$9,SUM(AQ26:AQ28),0)</f>
        <v>9504.2269366090932</v>
      </c>
      <c r="AR31" s="169">
        <f>IF(AR3&lt;='A&amp;Rs'!$K$9,SUM(AR26:AR28),0)</f>
        <v>9504.2269366090932</v>
      </c>
      <c r="AS31" s="169">
        <f>IF(AS3&lt;='A&amp;Rs'!$K$9,SUM(AS26:AS28),0)</f>
        <v>9504.2269366090932</v>
      </c>
      <c r="AT31" s="169">
        <f>IF(AT3&lt;='A&amp;Rs'!$K$9,SUM(AT26:AT28),0)</f>
        <v>9504.2269366090932</v>
      </c>
      <c r="AU31" s="169">
        <f>IF(AU3&lt;='A&amp;Rs'!$K$9,SUM(AU26:AU28),0)</f>
        <v>9504.2269366090932</v>
      </c>
      <c r="AV31" s="169">
        <f>IF(AV3&lt;='A&amp;Rs'!$K$9,SUM(AV26:AV28),0)</f>
        <v>9504.2269366090932</v>
      </c>
      <c r="AW31" s="169">
        <f>IF(AW3&lt;='A&amp;Rs'!$K$9,SUM(AW26:AW28),0)</f>
        <v>9504.2269366090932</v>
      </c>
      <c r="AX31" s="169">
        <f>IF(AX3&lt;='A&amp;Rs'!$K$9,SUM(AX26:AX28),0)</f>
        <v>9504.2269366090932</v>
      </c>
      <c r="AY31" s="169">
        <f>IF(AY3&lt;='A&amp;Rs'!$K$9,SUM(AY26:AY28),0)</f>
        <v>10018.250669680094</v>
      </c>
      <c r="AZ31" s="169">
        <f>IF(AZ3&lt;='A&amp;Rs'!$K$9,SUM(AZ26:AZ28),0)</f>
        <v>10018.250669680094</v>
      </c>
      <c r="BA31" s="169">
        <f>IF(BA3&lt;='A&amp;Rs'!$K$9,SUM(BA26:BA28),0)</f>
        <v>10018.250669680094</v>
      </c>
      <c r="BB31" s="169">
        <f>IF(BB3&lt;='A&amp;Rs'!$K$9,SUM(BB26:BB28),0)</f>
        <v>10018.250669680094</v>
      </c>
      <c r="BC31" s="169">
        <f>IF(BC3&lt;='A&amp;Rs'!$K$9,SUM(BC26:BC28),0)</f>
        <v>10018.250669680094</v>
      </c>
      <c r="BD31" s="169">
        <f>IF(BD3&lt;='A&amp;Rs'!$K$9,SUM(BD26:BD28),0)</f>
        <v>10018.250669680094</v>
      </c>
      <c r="BE31" s="169">
        <f>IF(BE3&lt;='A&amp;Rs'!$K$9,SUM(BE26:BE28),0)</f>
        <v>10018.250669680094</v>
      </c>
      <c r="BF31" s="169">
        <f>IF(BF3&lt;='A&amp;Rs'!$K$9,SUM(BF26:BF28),0)</f>
        <v>10018.250669680094</v>
      </c>
      <c r="BG31" s="169">
        <f>IF(BG3&lt;='A&amp;Rs'!$K$9,SUM(BG26:BG28),0)</f>
        <v>10018.250669680094</v>
      </c>
      <c r="BH31" s="169">
        <f>IF(BH3&lt;='A&amp;Rs'!$K$9,SUM(BH26:BH28),0)</f>
        <v>10018.250669680094</v>
      </c>
      <c r="BI31" s="169">
        <f>IF(BI3&lt;='A&amp;Rs'!$K$9,SUM(BI26:BI28),0)</f>
        <v>10018.250669680094</v>
      </c>
      <c r="BJ31" s="169">
        <f>IF(BJ3&lt;='A&amp;Rs'!$K$9,SUM(BJ26:BJ28),0)</f>
        <v>10018.250669680094</v>
      </c>
      <c r="BK31" s="169">
        <f>IF(BK3&lt;='A&amp;Rs'!$K$9,SUM(BK26:BK28),0)</f>
        <v>10547.695114743232</v>
      </c>
      <c r="BL31" s="169">
        <f>IF(BL3&lt;='A&amp;Rs'!$K$9,SUM(BL26:BL28),0)</f>
        <v>10547.695114743232</v>
      </c>
      <c r="BM31" s="169">
        <f>IF(BM3&lt;='A&amp;Rs'!$K$9,SUM(BM26:BM28),0)</f>
        <v>10547.695114743232</v>
      </c>
      <c r="BN31" s="169">
        <f>IF(BN3&lt;='A&amp;Rs'!$K$9,SUM(BN26:BN28),0)</f>
        <v>10547.695114743232</v>
      </c>
      <c r="BO31" s="169">
        <f>IF(BO3&lt;='A&amp;Rs'!$K$9,SUM(BO26:BO28),0)</f>
        <v>10547.695114743232</v>
      </c>
      <c r="BP31" s="169">
        <f>IF(BP3&lt;='A&amp;Rs'!$K$9,SUM(BP26:BP28),0)</f>
        <v>10547.695114743232</v>
      </c>
      <c r="BQ31" s="169">
        <f>IF(BQ3&lt;='A&amp;Rs'!$K$9,SUM(BQ26:BQ28),0)</f>
        <v>10547.695114743232</v>
      </c>
      <c r="BR31" s="169">
        <f>IF(BR3&lt;='A&amp;Rs'!$K$9,SUM(BR26:BR28),0)</f>
        <v>10547.695114743232</v>
      </c>
      <c r="BS31" s="169">
        <f>IF(BS3&lt;='A&amp;Rs'!$K$9,SUM(BS26:BS28),0)</f>
        <v>10547.695114743232</v>
      </c>
      <c r="BT31" s="169">
        <f>IF(BT3&lt;='A&amp;Rs'!$K$9,SUM(BT26:BT28),0)</f>
        <v>10547.695114743232</v>
      </c>
      <c r="BU31" s="169">
        <f>IF(BU3&lt;='A&amp;Rs'!$K$9,SUM(BU26:BU28),0)</f>
        <v>10547.695114743232</v>
      </c>
      <c r="BV31" s="169">
        <f>IF(BV3&lt;='A&amp;Rs'!$K$9,SUM(BV26:BV28),0)</f>
        <v>10547.695114743232</v>
      </c>
      <c r="BW31" s="169">
        <f>IF(BW3&lt;='A&amp;Rs'!$K$9,SUM(BW26:BW28),0)</f>
        <v>0</v>
      </c>
      <c r="BX31" s="169">
        <f>IF(BX3&lt;='A&amp;Rs'!$K$9,SUM(BX26:BX28),0)</f>
        <v>0</v>
      </c>
      <c r="BY31" s="169">
        <f>IF(BY3&lt;='A&amp;Rs'!$K$9,SUM(BY26:BY28),0)</f>
        <v>0</v>
      </c>
      <c r="BZ31" s="169">
        <f>IF(BZ3&lt;='A&amp;Rs'!$K$9,SUM(BZ26:BZ28),0)</f>
        <v>0</v>
      </c>
      <c r="CA31" s="169">
        <f>IF(CA3&lt;='A&amp;Rs'!$K$9,SUM(CA26:CA28),0)</f>
        <v>0</v>
      </c>
      <c r="CB31" s="169">
        <f>IF(CB3&lt;='A&amp;Rs'!$K$9,SUM(CB26:CB28),0)</f>
        <v>0</v>
      </c>
      <c r="CC31" s="169">
        <f>IF(CC3&lt;='A&amp;Rs'!$K$9,SUM(CC26:CC28),0)</f>
        <v>0</v>
      </c>
      <c r="CD31" s="169">
        <f>IF(CD3&lt;='A&amp;Rs'!$K$9,SUM(CD26:CD28),0)</f>
        <v>0</v>
      </c>
      <c r="CE31" s="169">
        <f>IF(CE3&lt;='A&amp;Rs'!$K$9,SUM(CE26:CE28),0)</f>
        <v>0</v>
      </c>
      <c r="CF31" s="169">
        <f>IF(CF3&lt;='A&amp;Rs'!$K$9,SUM(CF26:CF28),0)</f>
        <v>0</v>
      </c>
      <c r="CG31" s="169">
        <f>IF(CG3&lt;='A&amp;Rs'!$K$9,SUM(CG26:CG28),0)</f>
        <v>0</v>
      </c>
      <c r="CH31" s="169">
        <f>IF(CH3&lt;='A&amp;Rs'!$K$9,SUM(CH26:CH28),0)</f>
        <v>0</v>
      </c>
      <c r="CI31" s="169">
        <f>IF(CI3&lt;='A&amp;Rs'!$K$9,SUM(CI26:CI28),0)</f>
        <v>0</v>
      </c>
      <c r="CJ31" s="169">
        <f>IF(CJ3&lt;='A&amp;Rs'!$K$9,SUM(CJ26:CJ28),0)</f>
        <v>0</v>
      </c>
      <c r="CK31" s="169">
        <f>IF(CK3&lt;='A&amp;Rs'!$K$9,SUM(CK26:CK28),0)</f>
        <v>0</v>
      </c>
      <c r="CL31" s="169">
        <f>IF(CL3&lt;='A&amp;Rs'!$K$9,SUM(CL26:CL28),0)</f>
        <v>0</v>
      </c>
      <c r="CM31" s="169">
        <f>IF(CM3&lt;='A&amp;Rs'!$K$9,SUM(CM26:CM28),0)</f>
        <v>0</v>
      </c>
      <c r="CN31" s="169">
        <f>IF(CN3&lt;='A&amp;Rs'!$K$9,SUM(CN26:CN28),0)</f>
        <v>0</v>
      </c>
      <c r="CO31" s="169">
        <f>IF(CO3&lt;='A&amp;Rs'!$K$9,SUM(CO26:CO28),0)</f>
        <v>0</v>
      </c>
      <c r="CP31" s="169">
        <f>IF(CP3&lt;='A&amp;Rs'!$K$9,SUM(CP26:CP28),0)</f>
        <v>0</v>
      </c>
      <c r="CQ31" s="169">
        <f>IF(CQ3&lt;='A&amp;Rs'!$K$9,SUM(CQ26:CQ28),0)</f>
        <v>0</v>
      </c>
      <c r="CR31" s="169">
        <f>IF(CR3&lt;='A&amp;Rs'!$K$9,SUM(CR26:CR28),0)</f>
        <v>0</v>
      </c>
      <c r="CS31" s="169">
        <f>IF(CS3&lt;='A&amp;Rs'!$K$9,SUM(CS26:CS28),0)</f>
        <v>0</v>
      </c>
      <c r="CT31" s="169">
        <f>IF(CT3&lt;='A&amp;Rs'!$K$9,SUM(CT26:CT28),0)</f>
        <v>0</v>
      </c>
      <c r="CU31" s="169">
        <f>IF(CU3&lt;='A&amp;Rs'!$K$9,SUM(CU26:CU28),0)</f>
        <v>0</v>
      </c>
      <c r="CV31" s="169">
        <f>IF(CV3&lt;='A&amp;Rs'!$K$9,SUM(CV26:CV28),0)</f>
        <v>0</v>
      </c>
      <c r="CW31" s="169">
        <f>IF(CW3&lt;='A&amp;Rs'!$K$9,SUM(CW26:CW28),0)</f>
        <v>0</v>
      </c>
      <c r="CX31" s="169">
        <f>IF(CX3&lt;='A&amp;Rs'!$K$9,SUM(CX26:CX28),0)</f>
        <v>0</v>
      </c>
      <c r="CY31" s="169">
        <f>IF(CY3&lt;='A&amp;Rs'!$K$9,SUM(CY26:CY28),0)</f>
        <v>0</v>
      </c>
      <c r="CZ31" s="169">
        <f>IF(CZ3&lt;='A&amp;Rs'!$K$9,SUM(CZ26:CZ28),0)</f>
        <v>0</v>
      </c>
      <c r="DA31" s="169">
        <f>IF(DA3&lt;='A&amp;Rs'!$K$9,SUM(DA26:DA28),0)</f>
        <v>0</v>
      </c>
      <c r="DB31" s="169">
        <f>IF(DB3&lt;='A&amp;Rs'!$K$9,SUM(DB26:DB28),0)</f>
        <v>0</v>
      </c>
      <c r="DC31" s="169">
        <f>IF(DC3&lt;='A&amp;Rs'!$K$9,SUM(DC26:DC28),0)</f>
        <v>0</v>
      </c>
      <c r="DD31" s="169">
        <f>IF(DD3&lt;='A&amp;Rs'!$K$9,SUM(DD26:DD28),0)</f>
        <v>0</v>
      </c>
      <c r="DE31" s="169">
        <f>IF(DE3&lt;='A&amp;Rs'!$K$9,SUM(DE26:DE28),0)</f>
        <v>0</v>
      </c>
      <c r="DF31" s="169">
        <f>IF(DF3&lt;='A&amp;Rs'!$K$9,SUM(DF26:DF28),0)</f>
        <v>0</v>
      </c>
      <c r="DG31" s="169">
        <f>IF(DG3&lt;='A&amp;Rs'!$K$9,SUM(DG26:DG28),0)</f>
        <v>0</v>
      </c>
      <c r="DH31" s="169">
        <f>IF(DH3&lt;='A&amp;Rs'!$K$9,SUM(DH26:DH28),0)</f>
        <v>0</v>
      </c>
      <c r="DI31" s="169">
        <f>IF(DI3&lt;='A&amp;Rs'!$K$9,SUM(DI26:DI28),0)</f>
        <v>0</v>
      </c>
      <c r="DJ31" s="169">
        <f>IF(DJ3&lt;='A&amp;Rs'!$K$9,SUM(DJ26:DJ28),0)</f>
        <v>0</v>
      </c>
      <c r="DK31" s="169">
        <f>IF(DK3&lt;='A&amp;Rs'!$K$9,SUM(DK26:DK28),0)</f>
        <v>0</v>
      </c>
      <c r="DL31" s="169">
        <f>IF(DL3&lt;='A&amp;Rs'!$K$9,SUM(DL26:DL28),0)</f>
        <v>0</v>
      </c>
      <c r="DM31" s="169">
        <f>IF(DM3&lt;='A&amp;Rs'!$K$9,SUM(DM26:DM28),0)</f>
        <v>0</v>
      </c>
      <c r="DN31" s="169">
        <f>IF(DN3&lt;='A&amp;Rs'!$K$9,SUM(DN26:DN28),0)</f>
        <v>0</v>
      </c>
      <c r="DO31" s="169">
        <f>IF(DO3&lt;='A&amp;Rs'!$K$9,SUM(DO26:DO28),0)</f>
        <v>0</v>
      </c>
      <c r="DP31" s="169">
        <f>IF(DP3&lt;='A&amp;Rs'!$K$9,SUM(DP26:DP28),0)</f>
        <v>0</v>
      </c>
      <c r="DQ31" s="169">
        <f>IF(DQ3&lt;='A&amp;Rs'!$K$9,SUM(DQ26:DQ28),0)</f>
        <v>0</v>
      </c>
      <c r="DR31" s="169">
        <f>IF(DR3&lt;='A&amp;Rs'!$K$9,SUM(DR26:DR28),0)</f>
        <v>0</v>
      </c>
      <c r="DS31" s="169">
        <f>IF(DS3&lt;='A&amp;Rs'!$K$9,SUM(DS26:DS28),0)</f>
        <v>0</v>
      </c>
      <c r="DT31" s="169">
        <f>IF(DT3&lt;='A&amp;Rs'!$K$9,SUM(DT26:DT28),0)</f>
        <v>0</v>
      </c>
      <c r="DU31" s="169">
        <f>IF(DU3&lt;='A&amp;Rs'!$K$9,SUM(DU26:DU28),0)</f>
        <v>0</v>
      </c>
      <c r="DV31" s="169">
        <f>IF(DV3&lt;='A&amp;Rs'!$K$9,SUM(DV26:DV28),0)</f>
        <v>0</v>
      </c>
      <c r="DW31" s="169">
        <f>IF(DW3&lt;='A&amp;Rs'!$K$9,SUM(DW26:DW28),0)</f>
        <v>0</v>
      </c>
      <c r="DX31" s="169">
        <f>IF(DX3&lt;='A&amp;Rs'!$K$9,SUM(DX26:DX28),0)</f>
        <v>0</v>
      </c>
      <c r="DY31" s="169">
        <f>IF(DY3&lt;='A&amp;Rs'!$K$9,SUM(DY26:DY28),0)</f>
        <v>0</v>
      </c>
      <c r="DZ31" s="169">
        <f>IF(DZ3&lt;='A&amp;Rs'!$K$9,SUM(DZ26:DZ28),0)</f>
        <v>0</v>
      </c>
      <c r="EA31" s="169">
        <f>IF(EA3&lt;='A&amp;Rs'!$K$9,SUM(EA26:EA28),0)</f>
        <v>0</v>
      </c>
      <c r="EB31" s="169">
        <f>IF(EB3&lt;='A&amp;Rs'!$K$9,SUM(EB26:EB28),0)</f>
        <v>0</v>
      </c>
      <c r="EC31" s="169">
        <f>IF(EC3&lt;='A&amp;Rs'!$K$9,SUM(EC26:EC28),0)</f>
        <v>0</v>
      </c>
      <c r="ED31" s="172">
        <f>IF(ED3&lt;='A&amp;Rs'!$K$9,SUM(ED26:ED28),0)</f>
        <v>0</v>
      </c>
      <c r="EE31" s="1" t="s">
        <v>39</v>
      </c>
      <c r="EF31" s="1"/>
    </row>
    <row r="32" spans="6:136" x14ac:dyDescent="0.3">
      <c r="K32" s="1"/>
      <c r="L32" s="23"/>
      <c r="M32" s="1"/>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c r="DR32" s="59"/>
      <c r="DS32" s="59"/>
      <c r="DT32" s="59"/>
      <c r="DU32" s="59"/>
      <c r="DV32" s="59"/>
      <c r="DW32" s="59"/>
      <c r="DX32" s="59"/>
      <c r="DY32" s="59"/>
      <c r="DZ32" s="59"/>
      <c r="EA32" s="59"/>
      <c r="EB32" s="59"/>
      <c r="EC32" s="59"/>
      <c r="ED32" s="60"/>
      <c r="EE32" s="1" t="s">
        <v>39</v>
      </c>
      <c r="EF32" s="1"/>
    </row>
    <row r="33" spans="11:138" x14ac:dyDescent="0.3">
      <c r="K33" s="1"/>
      <c r="L33" s="23" t="s">
        <v>12</v>
      </c>
      <c r="M33" s="1"/>
      <c r="N33" s="170">
        <f>IF(AND(N3='A&amp;Rs'!$K$9,N4=12*N3),$EF$20/'A&amp;Rs'!$K$14,0)</f>
        <v>0</v>
      </c>
      <c r="O33" s="170">
        <f>IF(AND(O3='A&amp;Rs'!$K$9,O4=12*O3),$EF$20/'A&amp;Rs'!$K$14,0)</f>
        <v>0</v>
      </c>
      <c r="P33" s="170">
        <f>IF(AND(P3='A&amp;Rs'!$K$9,P4=12*P3),$EF$20/'A&amp;Rs'!$K$14,0)</f>
        <v>0</v>
      </c>
      <c r="Q33" s="170">
        <f>IF(AND(Q3='A&amp;Rs'!$K$9,Q4=12*Q3),$EF$20/'A&amp;Rs'!$K$14,0)</f>
        <v>0</v>
      </c>
      <c r="R33" s="170">
        <f>IF(AND(R3='A&amp;Rs'!$K$9,R4=12*R3),$EF$20/'A&amp;Rs'!$K$14,0)</f>
        <v>0</v>
      </c>
      <c r="S33" s="170">
        <f>IF(AND(S3='A&amp;Rs'!$K$9,S4=12*S3),$EF$20/'A&amp;Rs'!$K$14,0)</f>
        <v>0</v>
      </c>
      <c r="T33" s="170">
        <f>IF(AND(T3='A&amp;Rs'!$K$9,T4=12*T3),$EF$20/'A&amp;Rs'!$K$14,0)</f>
        <v>0</v>
      </c>
      <c r="U33" s="170">
        <f>IF(AND(U3='A&amp;Rs'!$K$9,U4=12*U3),$EF$20/'A&amp;Rs'!$K$14,0)</f>
        <v>0</v>
      </c>
      <c r="V33" s="170">
        <f>IF(AND(V3='A&amp;Rs'!$K$9,V4=12*V3),$EF$20/'A&amp;Rs'!$K$14,0)</f>
        <v>0</v>
      </c>
      <c r="W33" s="170">
        <f>IF(AND(W3='A&amp;Rs'!$K$9,W4=12*W3),$EF$20/'A&amp;Rs'!$K$14,0)</f>
        <v>0</v>
      </c>
      <c r="X33" s="170">
        <f>IF(AND(X3='A&amp;Rs'!$K$9,X4=12*X3),$EF$20/'A&amp;Rs'!$K$14,0)</f>
        <v>0</v>
      </c>
      <c r="Y33" s="170">
        <f>IF(AND(Y3='A&amp;Rs'!$K$9,Y4=12*Y3),$EF$20/'A&amp;Rs'!$K$14,0)</f>
        <v>0</v>
      </c>
      <c r="Z33" s="170">
        <f>IF(AND(Z3='A&amp;Rs'!$K$9,Z4=12*Z3),$EF$20/'A&amp;Rs'!$K$14,0)</f>
        <v>0</v>
      </c>
      <c r="AA33" s="170">
        <f>IF(AND(AA3='A&amp;Rs'!$K$9,AA4=12*AA3),$EF$20/'A&amp;Rs'!$K$14,0)</f>
        <v>0</v>
      </c>
      <c r="AB33" s="170">
        <f>IF(AND(AB3='A&amp;Rs'!$K$9,AB4=12*AB3),$EF$20/'A&amp;Rs'!$K$14,0)</f>
        <v>0</v>
      </c>
      <c r="AC33" s="170">
        <f>IF(AND(AC3='A&amp;Rs'!$K$9,AC4=12*AC3),$EF$20/'A&amp;Rs'!$K$14,0)</f>
        <v>0</v>
      </c>
      <c r="AD33" s="170">
        <f>IF(AND(AD3='A&amp;Rs'!$K$9,AD4=12*AD3),$EF$20/'A&amp;Rs'!$K$14,0)</f>
        <v>0</v>
      </c>
      <c r="AE33" s="170">
        <f>IF(AND(AE3='A&amp;Rs'!$K$9,AE4=12*AE3),$EF$20/'A&amp;Rs'!$K$14,0)</f>
        <v>0</v>
      </c>
      <c r="AF33" s="170">
        <f>IF(AND(AF3='A&amp;Rs'!$K$9,AF4=12*AF3),$EF$20/'A&amp;Rs'!$K$14,0)</f>
        <v>0</v>
      </c>
      <c r="AG33" s="170">
        <f>IF(AND(AG3='A&amp;Rs'!$K$9,AG4=12*AG3),$EF$20/'A&amp;Rs'!$K$14,0)</f>
        <v>0</v>
      </c>
      <c r="AH33" s="170">
        <f>IF(AND(AH3='A&amp;Rs'!$K$9,AH4=12*AH3),$EF$20/'A&amp;Rs'!$K$14,0)</f>
        <v>0</v>
      </c>
      <c r="AI33" s="170">
        <f>IF(AND(AI3='A&amp;Rs'!$K$9,AI4=12*AI3),$EF$20/'A&amp;Rs'!$K$14,0)</f>
        <v>0</v>
      </c>
      <c r="AJ33" s="170">
        <f>IF(AND(AJ3='A&amp;Rs'!$K$9,AJ4=12*AJ3),$EF$20/'A&amp;Rs'!$K$14,0)</f>
        <v>0</v>
      </c>
      <c r="AK33" s="170">
        <f>IF(AND(AK3='A&amp;Rs'!$K$9,AK4=12*AK3),$EF$20/'A&amp;Rs'!$K$14,0)</f>
        <v>0</v>
      </c>
      <c r="AL33" s="170">
        <f>IF(AND(AL3='A&amp;Rs'!$K$9,AL4=12*AL3),$EF$20/'A&amp;Rs'!$K$14,0)</f>
        <v>0</v>
      </c>
      <c r="AM33" s="170">
        <f>IF(AND(AM3='A&amp;Rs'!$K$9,AM4=12*AM3),$EF$20/'A&amp;Rs'!$K$14,0)</f>
        <v>0</v>
      </c>
      <c r="AN33" s="170">
        <f>IF(AND(AN3='A&amp;Rs'!$K$9,AN4=12*AN3),$EF$20/'A&amp;Rs'!$K$14,0)</f>
        <v>0</v>
      </c>
      <c r="AO33" s="170">
        <f>IF(AND(AO3='A&amp;Rs'!$K$9,AO4=12*AO3),$EF$20/'A&amp;Rs'!$K$14,0)</f>
        <v>0</v>
      </c>
      <c r="AP33" s="170">
        <f>IF(AND(AP3='A&amp;Rs'!$K$9,AP4=12*AP3),$EF$20/'A&amp;Rs'!$K$14,0)</f>
        <v>0</v>
      </c>
      <c r="AQ33" s="170">
        <f>IF(AND(AQ3='A&amp;Rs'!$K$9,AQ4=12*AQ3),$EF$20/'A&amp;Rs'!$K$14,0)</f>
        <v>0</v>
      </c>
      <c r="AR33" s="170">
        <f>IF(AND(AR3='A&amp;Rs'!$K$9,AR4=12*AR3),$EF$20/'A&amp;Rs'!$K$14,0)</f>
        <v>0</v>
      </c>
      <c r="AS33" s="170">
        <f>IF(AND(AS3='A&amp;Rs'!$K$9,AS4=12*AS3),$EF$20/'A&amp;Rs'!$K$14,0)</f>
        <v>0</v>
      </c>
      <c r="AT33" s="170">
        <f>IF(AND(AT3='A&amp;Rs'!$K$9,AT4=12*AT3),$EF$20/'A&amp;Rs'!$K$14,0)</f>
        <v>0</v>
      </c>
      <c r="AU33" s="170">
        <f>IF(AND(AU3='A&amp;Rs'!$K$9,AU4=12*AU3),$EF$20/'A&amp;Rs'!$K$14,0)</f>
        <v>0</v>
      </c>
      <c r="AV33" s="170">
        <f>IF(AND(AV3='A&amp;Rs'!$K$9,AV4=12*AV3),$EF$20/'A&amp;Rs'!$K$14,0)</f>
        <v>0</v>
      </c>
      <c r="AW33" s="170">
        <f>IF(AND(AW3='A&amp;Rs'!$K$9,AW4=12*AW3),$EF$20/'A&amp;Rs'!$K$14,0)</f>
        <v>0</v>
      </c>
      <c r="AX33" s="170">
        <f>IF(AND(AX3='A&amp;Rs'!$K$9,AX4=12*AX3),$EF$20/'A&amp;Rs'!$K$14,0)</f>
        <v>0</v>
      </c>
      <c r="AY33" s="170">
        <f>IF(AND(AY3='A&amp;Rs'!$K$9,AY4=12*AY3),$EF$20/'A&amp;Rs'!$K$14,0)</f>
        <v>0</v>
      </c>
      <c r="AZ33" s="170">
        <f>IF(AND(AZ3='A&amp;Rs'!$K$9,AZ4=12*AZ3),$EF$20/'A&amp;Rs'!$K$14,0)</f>
        <v>0</v>
      </c>
      <c r="BA33" s="170">
        <f>IF(AND(BA3='A&amp;Rs'!$K$9,BA4=12*BA3),$EF$20/'A&amp;Rs'!$K$14,0)</f>
        <v>0</v>
      </c>
      <c r="BB33" s="170">
        <f>IF(AND(BB3='A&amp;Rs'!$K$9,BB4=12*BB3),$EF$20/'A&amp;Rs'!$K$14,0)</f>
        <v>0</v>
      </c>
      <c r="BC33" s="170">
        <f>IF(AND(BC3='A&amp;Rs'!$K$9,BC4=12*BC3),$EF$20/'A&amp;Rs'!$K$14,0)</f>
        <v>0</v>
      </c>
      <c r="BD33" s="170">
        <f>IF(AND(BD3='A&amp;Rs'!$K$9,BD4=12*BD3),$EF$20/'A&amp;Rs'!$K$14,0)</f>
        <v>0</v>
      </c>
      <c r="BE33" s="170">
        <f>IF(AND(BE3='A&amp;Rs'!$K$9,BE4=12*BE3),$EF$20/'A&amp;Rs'!$K$14,0)</f>
        <v>0</v>
      </c>
      <c r="BF33" s="170">
        <f>IF(AND(BF3='A&amp;Rs'!$K$9,BF4=12*BF3),$EF$20/'A&amp;Rs'!$K$14,0)</f>
        <v>0</v>
      </c>
      <c r="BG33" s="170">
        <f>IF(AND(BG3='A&amp;Rs'!$K$9,BG4=12*BG3),$EF$20/'A&amp;Rs'!$K$14,0)</f>
        <v>0</v>
      </c>
      <c r="BH33" s="170">
        <f>IF(AND(BH3='A&amp;Rs'!$K$9,BH4=12*BH3),$EF$20/'A&amp;Rs'!$K$14,0)</f>
        <v>0</v>
      </c>
      <c r="BI33" s="170">
        <f>IF(AND(BI3='A&amp;Rs'!$K$9,BI4=12*BI3),$EF$20/'A&amp;Rs'!$K$14,0)</f>
        <v>0</v>
      </c>
      <c r="BJ33" s="170">
        <f>IF(AND(BJ3='A&amp;Rs'!$K$9,BJ4=12*BJ3),$EF$20/'A&amp;Rs'!$K$14,0)</f>
        <v>0</v>
      </c>
      <c r="BK33" s="170">
        <f>IF(AND(BK3='A&amp;Rs'!$K$9,BK4=12*BK3),$EF$20/'A&amp;Rs'!$K$14,0)</f>
        <v>0</v>
      </c>
      <c r="BL33" s="170">
        <f>IF(AND(BL3='A&amp;Rs'!$K$9,BL4=12*BL3),$EF$20/'A&amp;Rs'!$K$14,0)</f>
        <v>0</v>
      </c>
      <c r="BM33" s="170">
        <f>IF(AND(BM3='A&amp;Rs'!$K$9,BM4=12*BM3),$EF$20/'A&amp;Rs'!$K$14,0)</f>
        <v>0</v>
      </c>
      <c r="BN33" s="170">
        <f>IF(AND(BN3='A&amp;Rs'!$K$9,BN4=12*BN3),$EF$20/'A&amp;Rs'!$K$14,0)</f>
        <v>0</v>
      </c>
      <c r="BO33" s="170">
        <f>IF(AND(BO3='A&amp;Rs'!$K$9,BO4=12*BO3),$EF$20/'A&amp;Rs'!$K$14,0)</f>
        <v>0</v>
      </c>
      <c r="BP33" s="170">
        <f>IF(AND(BP3='A&amp;Rs'!$K$9,BP4=12*BP3),$EF$20/'A&amp;Rs'!$K$14,0)</f>
        <v>0</v>
      </c>
      <c r="BQ33" s="170">
        <f>IF(AND(BQ3='A&amp;Rs'!$K$9,BQ4=12*BQ3),$EF$20/'A&amp;Rs'!$K$14,0)</f>
        <v>0</v>
      </c>
      <c r="BR33" s="170">
        <f>IF(AND(BR3='A&amp;Rs'!$K$9,BR4=12*BR3),$EF$20/'A&amp;Rs'!$K$14,0)</f>
        <v>0</v>
      </c>
      <c r="BS33" s="170">
        <f>IF(AND(BS3='A&amp;Rs'!$K$9,BS4=12*BS3),$EF$20/'A&amp;Rs'!$K$14,0)</f>
        <v>0</v>
      </c>
      <c r="BT33" s="170">
        <f>IF(AND(BT3='A&amp;Rs'!$K$9,BT4=12*BT3),$EF$20/'A&amp;Rs'!$K$14,0)</f>
        <v>0</v>
      </c>
      <c r="BU33" s="170">
        <f>IF(AND(BU3='A&amp;Rs'!$K$9,BU4=12*BU3),$EF$20/'A&amp;Rs'!$K$14,0)</f>
        <v>0</v>
      </c>
      <c r="BV33" s="170">
        <f>IF(AND(BV3='A&amp;Rs'!$K$9,BV4=12*BV3),$EF$20/'A&amp;Rs'!$K$14,0)</f>
        <v>3308910.8204269507</v>
      </c>
      <c r="BW33" s="170">
        <f>IF(AND(BW3='A&amp;Rs'!$K$9,BW4=12*BW3),$EF$20/'A&amp;Rs'!$K$14,0)</f>
        <v>0</v>
      </c>
      <c r="BX33" s="170">
        <f>IF(AND(BX3='A&amp;Rs'!$K$9,BX4=12*BX3),$EF$20/'A&amp;Rs'!$K$14,0)</f>
        <v>0</v>
      </c>
      <c r="BY33" s="170">
        <f>IF(AND(BY3='A&amp;Rs'!$K$9,BY4=12*BY3),$EF$20/'A&amp;Rs'!$K$14,0)</f>
        <v>0</v>
      </c>
      <c r="BZ33" s="170">
        <f>IF(AND(BZ3='A&amp;Rs'!$K$9,BZ4=12*BZ3),$EF$20/'A&amp;Rs'!$K$14,0)</f>
        <v>0</v>
      </c>
      <c r="CA33" s="170">
        <f>IF(AND(CA3='A&amp;Rs'!$K$9,CA4=12*CA3),$EF$20/'A&amp;Rs'!$K$14,0)</f>
        <v>0</v>
      </c>
      <c r="CB33" s="170">
        <f>IF(AND(CB3='A&amp;Rs'!$K$9,CB4=12*CB3),$EF$20/'A&amp;Rs'!$K$14,0)</f>
        <v>0</v>
      </c>
      <c r="CC33" s="170">
        <f>IF(AND(CC3='A&amp;Rs'!$K$9,CC4=12*CC3),$EF$20/'A&amp;Rs'!$K$14,0)</f>
        <v>0</v>
      </c>
      <c r="CD33" s="170">
        <f>IF(AND(CD3='A&amp;Rs'!$K$9,CD4=12*CD3),$EF$20/'A&amp;Rs'!$K$14,0)</f>
        <v>0</v>
      </c>
      <c r="CE33" s="170">
        <f>IF(AND(CE3='A&amp;Rs'!$K$9,CE4=12*CE3),$EF$20/'A&amp;Rs'!$K$14,0)</f>
        <v>0</v>
      </c>
      <c r="CF33" s="170">
        <f>IF(AND(CF3='A&amp;Rs'!$K$9,CF4=12*CF3),$EF$20/'A&amp;Rs'!$K$14,0)</f>
        <v>0</v>
      </c>
      <c r="CG33" s="170">
        <f>IF(AND(CG3='A&amp;Rs'!$K$9,CG4=12*CG3),$EF$20/'A&amp;Rs'!$K$14,0)</f>
        <v>0</v>
      </c>
      <c r="CH33" s="170">
        <f>IF(AND(CH3='A&amp;Rs'!$K$9,CH4=12*CH3),$EF$20/'A&amp;Rs'!$K$14,0)</f>
        <v>0</v>
      </c>
      <c r="CI33" s="170">
        <f>IF(AND(CI3='A&amp;Rs'!$K$9,CI4=12*CI3),$EF$20/'A&amp;Rs'!$K$14,0)</f>
        <v>0</v>
      </c>
      <c r="CJ33" s="170">
        <f>IF(AND(CJ3='A&amp;Rs'!$K$9,CJ4=12*CJ3),$EF$20/'A&amp;Rs'!$K$14,0)</f>
        <v>0</v>
      </c>
      <c r="CK33" s="170">
        <f>IF(AND(CK3='A&amp;Rs'!$K$9,CK4=12*CK3),$EF$20/'A&amp;Rs'!$K$14,0)</f>
        <v>0</v>
      </c>
      <c r="CL33" s="170">
        <f>IF(AND(CL3='A&amp;Rs'!$K$9,CL4=12*CL3),$EF$20/'A&amp;Rs'!$K$14,0)</f>
        <v>0</v>
      </c>
      <c r="CM33" s="170">
        <f>IF(AND(CM3='A&amp;Rs'!$K$9,CM4=12*CM3),$EF$20/'A&amp;Rs'!$K$14,0)</f>
        <v>0</v>
      </c>
      <c r="CN33" s="170">
        <f>IF(AND(CN3='A&amp;Rs'!$K$9,CN4=12*CN3),$EF$20/'A&amp;Rs'!$K$14,0)</f>
        <v>0</v>
      </c>
      <c r="CO33" s="170">
        <f>IF(AND(CO3='A&amp;Rs'!$K$9,CO4=12*CO3),$EF$20/'A&amp;Rs'!$K$14,0)</f>
        <v>0</v>
      </c>
      <c r="CP33" s="170">
        <f>IF(AND(CP3='A&amp;Rs'!$K$9,CP4=12*CP3),$EF$20/'A&amp;Rs'!$K$14,0)</f>
        <v>0</v>
      </c>
      <c r="CQ33" s="170">
        <f>IF(AND(CQ3='A&amp;Rs'!$K$9,CQ4=12*CQ3),$EF$20/'A&amp;Rs'!$K$14,0)</f>
        <v>0</v>
      </c>
      <c r="CR33" s="170">
        <f>IF(AND(CR3='A&amp;Rs'!$K$9,CR4=12*CR3),$EF$20/'A&amp;Rs'!$K$14,0)</f>
        <v>0</v>
      </c>
      <c r="CS33" s="170">
        <f>IF(AND(CS3='A&amp;Rs'!$K$9,CS4=12*CS3),$EF$20/'A&amp;Rs'!$K$14,0)</f>
        <v>0</v>
      </c>
      <c r="CT33" s="170">
        <f>IF(AND(CT3='A&amp;Rs'!$K$9,CT4=12*CT3),$EF$20/'A&amp;Rs'!$K$14,0)</f>
        <v>0</v>
      </c>
      <c r="CU33" s="170">
        <f>IF(AND(CU3='A&amp;Rs'!$K$9,CU4=12*CU3),$EF$20/'A&amp;Rs'!$K$14,0)</f>
        <v>0</v>
      </c>
      <c r="CV33" s="170">
        <f>IF(AND(CV3='A&amp;Rs'!$K$9,CV4=12*CV3),$EF$20/'A&amp;Rs'!$K$14,0)</f>
        <v>0</v>
      </c>
      <c r="CW33" s="170">
        <f>IF(AND(CW3='A&amp;Rs'!$K$9,CW4=12*CW3),$EF$20/'A&amp;Rs'!$K$14,0)</f>
        <v>0</v>
      </c>
      <c r="CX33" s="170">
        <f>IF(AND(CX3='A&amp;Rs'!$K$9,CX4=12*CX3),$EF$20/'A&amp;Rs'!$K$14,0)</f>
        <v>0</v>
      </c>
      <c r="CY33" s="170">
        <f>IF(AND(CY3='A&amp;Rs'!$K$9,CY4=12*CY3),$EF$20/'A&amp;Rs'!$K$14,0)</f>
        <v>0</v>
      </c>
      <c r="CZ33" s="170">
        <f>IF(AND(CZ3='A&amp;Rs'!$K$9,CZ4=12*CZ3),$EF$20/'A&amp;Rs'!$K$14,0)</f>
        <v>0</v>
      </c>
      <c r="DA33" s="170">
        <f>IF(AND(DA3='A&amp;Rs'!$K$9,DA4=12*DA3),$EF$20/'A&amp;Rs'!$K$14,0)</f>
        <v>0</v>
      </c>
      <c r="DB33" s="170">
        <f>IF(AND(DB3='A&amp;Rs'!$K$9,DB4=12*DB3),$EF$20/'A&amp;Rs'!$K$14,0)</f>
        <v>0</v>
      </c>
      <c r="DC33" s="170">
        <f>IF(AND(DC3='A&amp;Rs'!$K$9,DC4=12*DC3),$EF$20/'A&amp;Rs'!$K$14,0)</f>
        <v>0</v>
      </c>
      <c r="DD33" s="170">
        <f>IF(AND(DD3='A&amp;Rs'!$K$9,DD4=12*DD3),$EF$20/'A&amp;Rs'!$K$14,0)</f>
        <v>0</v>
      </c>
      <c r="DE33" s="170">
        <f>IF(AND(DE3='A&amp;Rs'!$K$9,DE4=12*DE3),$EF$20/'A&amp;Rs'!$K$14,0)</f>
        <v>0</v>
      </c>
      <c r="DF33" s="170">
        <f>IF(AND(DF3='A&amp;Rs'!$K$9,DF4=12*DF3),$EF$20/'A&amp;Rs'!$K$14,0)</f>
        <v>0</v>
      </c>
      <c r="DG33" s="170">
        <f>IF(AND(DG3='A&amp;Rs'!$K$9,DG4=12*DG3),$EF$20/'A&amp;Rs'!$K$14,0)</f>
        <v>0</v>
      </c>
      <c r="DH33" s="170">
        <f>IF(AND(DH3='A&amp;Rs'!$K$9,DH4=12*DH3),$EF$20/'A&amp;Rs'!$K$14,0)</f>
        <v>0</v>
      </c>
      <c r="DI33" s="170">
        <f>IF(AND(DI3='A&amp;Rs'!$K$9,DI4=12*DI3),$EF$20/'A&amp;Rs'!$K$14,0)</f>
        <v>0</v>
      </c>
      <c r="DJ33" s="170">
        <f>IF(AND(DJ3='A&amp;Rs'!$K$9,DJ4=12*DJ3),$EF$20/'A&amp;Rs'!$K$14,0)</f>
        <v>0</v>
      </c>
      <c r="DK33" s="170">
        <f>IF(AND(DK3='A&amp;Rs'!$K$9,DK4=12*DK3),$EF$20/'A&amp;Rs'!$K$14,0)</f>
        <v>0</v>
      </c>
      <c r="DL33" s="170">
        <f>IF(AND(DL3='A&amp;Rs'!$K$9,DL4=12*DL3),$EF$20/'A&amp;Rs'!$K$14,0)</f>
        <v>0</v>
      </c>
      <c r="DM33" s="170">
        <f>IF(AND(DM3='A&amp;Rs'!$K$9,DM4=12*DM3),$EF$20/'A&amp;Rs'!$K$14,0)</f>
        <v>0</v>
      </c>
      <c r="DN33" s="170">
        <f>IF(AND(DN3='A&amp;Rs'!$K$9,DN4=12*DN3),$EF$20/'A&amp;Rs'!$K$14,0)</f>
        <v>0</v>
      </c>
      <c r="DO33" s="170">
        <f>IF(AND(DO3='A&amp;Rs'!$K$9,DO4=12*DO3),$EF$20/'A&amp;Rs'!$K$14,0)</f>
        <v>0</v>
      </c>
      <c r="DP33" s="170">
        <f>IF(AND(DP3='A&amp;Rs'!$K$9,DP4=12*DP3),$EF$20/'A&amp;Rs'!$K$14,0)</f>
        <v>0</v>
      </c>
      <c r="DQ33" s="170">
        <f>IF(AND(DQ3='A&amp;Rs'!$K$9,DQ4=12*DQ3),$EF$20/'A&amp;Rs'!$K$14,0)</f>
        <v>0</v>
      </c>
      <c r="DR33" s="170">
        <f>IF(AND(DR3='A&amp;Rs'!$K$9,DR4=12*DR3),$EF$20/'A&amp;Rs'!$K$14,0)</f>
        <v>0</v>
      </c>
      <c r="DS33" s="170">
        <f>IF(AND(DS3='A&amp;Rs'!$K$9,DS4=12*DS3),$EF$20/'A&amp;Rs'!$K$14,0)</f>
        <v>0</v>
      </c>
      <c r="DT33" s="170">
        <f>IF(AND(DT3='A&amp;Rs'!$K$9,DT4=12*DT3),$EF$20/'A&amp;Rs'!$K$14,0)</f>
        <v>0</v>
      </c>
      <c r="DU33" s="170">
        <f>IF(AND(DU3='A&amp;Rs'!$K$9,DU4=12*DU3),$EF$20/'A&amp;Rs'!$K$14,0)</f>
        <v>0</v>
      </c>
      <c r="DV33" s="170">
        <f>IF(AND(DV3='A&amp;Rs'!$K$9,DV4=12*DV3),$EF$20/'A&amp;Rs'!$K$14,0)</f>
        <v>0</v>
      </c>
      <c r="DW33" s="170">
        <f>IF(AND(DW3='A&amp;Rs'!$K$9,DW4=12*DW3),$EF$20/'A&amp;Rs'!$K$14,0)</f>
        <v>0</v>
      </c>
      <c r="DX33" s="170">
        <f>IF(AND(DX3='A&amp;Rs'!$K$9,DX4=12*DX3),$EF$20/'A&amp;Rs'!$K$14,0)</f>
        <v>0</v>
      </c>
      <c r="DY33" s="170">
        <f>IF(AND(DY3='A&amp;Rs'!$K$9,DY4=12*DY3),$EF$20/'A&amp;Rs'!$K$14,0)</f>
        <v>0</v>
      </c>
      <c r="DZ33" s="170">
        <f>IF(AND(DZ3='A&amp;Rs'!$K$9,DZ4=12*DZ3),$EF$20/'A&amp;Rs'!$K$14,0)</f>
        <v>0</v>
      </c>
      <c r="EA33" s="170">
        <f>IF(AND(EA3='A&amp;Rs'!$K$9,EA4=12*EA3),$EF$20/'A&amp;Rs'!$K$14,0)</f>
        <v>0</v>
      </c>
      <c r="EB33" s="170">
        <f>IF(AND(EB3='A&amp;Rs'!$K$9,EB4=12*EB3),$EF$20/'A&amp;Rs'!$K$14,0)</f>
        <v>0</v>
      </c>
      <c r="EC33" s="170">
        <f>IF(AND(EC3='A&amp;Rs'!$K$9,EC4=12*EC3),$EF$20/'A&amp;Rs'!$K$14,0)</f>
        <v>0</v>
      </c>
      <c r="ED33" s="171">
        <f>IF(AND(ED3='A&amp;Rs'!$K$9,ED4=12*ED3),$EF$20/'A&amp;Rs'!$K$14,0)</f>
        <v>0</v>
      </c>
      <c r="EE33" s="1"/>
      <c r="EF33" s="1"/>
    </row>
    <row r="34" spans="11:138" x14ac:dyDescent="0.3">
      <c r="K34" s="1"/>
      <c r="L34" s="23" t="s">
        <v>13</v>
      </c>
      <c r="M34" s="1"/>
      <c r="N34" s="170">
        <f>IF(AND(N3='A&amp;Rs'!$K$9,N4=N3*12),'A&amp;Rs'!$H$48,0)</f>
        <v>0</v>
      </c>
      <c r="O34" s="170">
        <f>IF(AND(O3='A&amp;Rs'!$K$9,O4=O3*12),'A&amp;Rs'!$H$48,0)</f>
        <v>0</v>
      </c>
      <c r="P34" s="170">
        <f>IF(AND(P3='A&amp;Rs'!$K$9,P4=P3*12),'A&amp;Rs'!$H$48,0)</f>
        <v>0</v>
      </c>
      <c r="Q34" s="170">
        <f>IF(AND(Q3='A&amp;Rs'!$K$9,Q4=Q3*12),'A&amp;Rs'!$H$48,0)</f>
        <v>0</v>
      </c>
      <c r="R34" s="170">
        <f>IF(AND(R3='A&amp;Rs'!$K$9,R4=R3*12),'A&amp;Rs'!$H$48,0)</f>
        <v>0</v>
      </c>
      <c r="S34" s="170">
        <f>IF(AND(S3='A&amp;Rs'!$K$9,S4=S3*12),'A&amp;Rs'!$H$48,0)</f>
        <v>0</v>
      </c>
      <c r="T34" s="170">
        <f>IF(AND(T3='A&amp;Rs'!$K$9,T4=T3*12),'A&amp;Rs'!$H$48,0)</f>
        <v>0</v>
      </c>
      <c r="U34" s="170">
        <f>IF(AND(U3='A&amp;Rs'!$K$9,U4=U3*12),'A&amp;Rs'!$H$48,0)</f>
        <v>0</v>
      </c>
      <c r="V34" s="170">
        <f>IF(AND(V3='A&amp;Rs'!$K$9,V4=V3*12),'A&amp;Rs'!$H$48,0)</f>
        <v>0</v>
      </c>
      <c r="W34" s="170">
        <f>IF(AND(W3='A&amp;Rs'!$K$9,W4=W3*12),'A&amp;Rs'!$H$48,0)</f>
        <v>0</v>
      </c>
      <c r="X34" s="170">
        <f>IF(AND(X3='A&amp;Rs'!$K$9,X4=X3*12),'A&amp;Rs'!$H$48,0)</f>
        <v>0</v>
      </c>
      <c r="Y34" s="170">
        <f>IF(AND(Y3='A&amp;Rs'!$K$9,Y4=Y3*12),'A&amp;Rs'!$H$48,0)</f>
        <v>0</v>
      </c>
      <c r="Z34" s="170">
        <f>IF(AND(Z3='A&amp;Rs'!$K$9,Z4=Z3*12),'A&amp;Rs'!$H$48,0)</f>
        <v>0</v>
      </c>
      <c r="AA34" s="170">
        <f>IF(AND(AA3='A&amp;Rs'!$K$9,AA4=AA3*12),'A&amp;Rs'!$H$48,0)</f>
        <v>0</v>
      </c>
      <c r="AB34" s="170">
        <f>IF(AND(AB3='A&amp;Rs'!$K$9,AB4=AB3*12),'A&amp;Rs'!$H$48,0)</f>
        <v>0</v>
      </c>
      <c r="AC34" s="170">
        <f>IF(AND(AC3='A&amp;Rs'!$K$9,AC4=AC3*12),'A&amp;Rs'!$H$48,0)</f>
        <v>0</v>
      </c>
      <c r="AD34" s="170">
        <f>IF(AND(AD3='A&amp;Rs'!$K$9,AD4=AD3*12),'A&amp;Rs'!$H$48,0)</f>
        <v>0</v>
      </c>
      <c r="AE34" s="170">
        <f>IF(AND(AE3='A&amp;Rs'!$K$9,AE4=AE3*12),'A&amp;Rs'!$H$48,0)</f>
        <v>0</v>
      </c>
      <c r="AF34" s="170">
        <f>IF(AND(AF3='A&amp;Rs'!$K$9,AF4=AF3*12),'A&amp;Rs'!$H$48,0)</f>
        <v>0</v>
      </c>
      <c r="AG34" s="170">
        <f>IF(AND(AG3='A&amp;Rs'!$K$9,AG4=AG3*12),'A&amp;Rs'!$H$48,0)</f>
        <v>0</v>
      </c>
      <c r="AH34" s="170">
        <f>IF(AND(AH3='A&amp;Rs'!$K$9,AH4=AH3*12),'A&amp;Rs'!$H$48,0)</f>
        <v>0</v>
      </c>
      <c r="AI34" s="170">
        <f>IF(AND(AI3='A&amp;Rs'!$K$9,AI4=AI3*12),'A&amp;Rs'!$H$48,0)</f>
        <v>0</v>
      </c>
      <c r="AJ34" s="170">
        <f>IF(AND(AJ3='A&amp;Rs'!$K$9,AJ4=AJ3*12),'A&amp;Rs'!$H$48,0)</f>
        <v>0</v>
      </c>
      <c r="AK34" s="170">
        <f>IF(AND(AK3='A&amp;Rs'!$K$9,AK4=AK3*12),'A&amp;Rs'!$H$48,0)</f>
        <v>0</v>
      </c>
      <c r="AL34" s="170">
        <f>IF(AND(AL3='A&amp;Rs'!$K$9,AL4=AL3*12),'A&amp;Rs'!$H$48,0)</f>
        <v>0</v>
      </c>
      <c r="AM34" s="170">
        <f>IF(AND(AM3='A&amp;Rs'!$K$9,AM4=AM3*12),'A&amp;Rs'!$H$48,0)</f>
        <v>0</v>
      </c>
      <c r="AN34" s="170">
        <f>IF(AND(AN3='A&amp;Rs'!$K$9,AN4=AN3*12),'A&amp;Rs'!$H$48,0)</f>
        <v>0</v>
      </c>
      <c r="AO34" s="170">
        <f>IF(AND(AO3='A&amp;Rs'!$K$9,AO4=AO3*12),'A&amp;Rs'!$H$48,0)</f>
        <v>0</v>
      </c>
      <c r="AP34" s="170">
        <f>IF(AND(AP3='A&amp;Rs'!$K$9,AP4=AP3*12),'A&amp;Rs'!$H$48,0)</f>
        <v>0</v>
      </c>
      <c r="AQ34" s="170">
        <f>IF(AND(AQ3='A&amp;Rs'!$K$9,AQ4=AQ3*12),'A&amp;Rs'!$H$48,0)</f>
        <v>0</v>
      </c>
      <c r="AR34" s="170">
        <f>IF(AND(AR3='A&amp;Rs'!$K$9,AR4=AR3*12),'A&amp;Rs'!$H$48,0)</f>
        <v>0</v>
      </c>
      <c r="AS34" s="170">
        <f>IF(AND(AS3='A&amp;Rs'!$K$9,AS4=AS3*12),'A&amp;Rs'!$H$48,0)</f>
        <v>0</v>
      </c>
      <c r="AT34" s="170">
        <f>IF(AND(AT3='A&amp;Rs'!$K$9,AT4=AT3*12),'A&amp;Rs'!$H$48,0)</f>
        <v>0</v>
      </c>
      <c r="AU34" s="170">
        <f>IF(AND(AU3='A&amp;Rs'!$K$9,AU4=AU3*12),'A&amp;Rs'!$H$48,0)</f>
        <v>0</v>
      </c>
      <c r="AV34" s="170">
        <f>IF(AND(AV3='A&amp;Rs'!$K$9,AV4=AV3*12),'A&amp;Rs'!$H$48,0)</f>
        <v>0</v>
      </c>
      <c r="AW34" s="170">
        <f>IF(AND(AW3='A&amp;Rs'!$K$9,AW4=AW3*12),'A&amp;Rs'!$H$48,0)</f>
        <v>0</v>
      </c>
      <c r="AX34" s="170">
        <f>IF(AND(AX3='A&amp;Rs'!$K$9,AX4=AX3*12),'A&amp;Rs'!$H$48,0)</f>
        <v>0</v>
      </c>
      <c r="AY34" s="170">
        <f>IF(AND(AY3='A&amp;Rs'!$K$9,AY4=AY3*12),'A&amp;Rs'!$H$48,0)</f>
        <v>0</v>
      </c>
      <c r="AZ34" s="170">
        <f>IF(AND(AZ3='A&amp;Rs'!$K$9,AZ4=AZ3*12),'A&amp;Rs'!$H$48,0)</f>
        <v>0</v>
      </c>
      <c r="BA34" s="170">
        <f>IF(AND(BA3='A&amp;Rs'!$K$9,BA4=BA3*12),'A&amp;Rs'!$H$48,0)</f>
        <v>0</v>
      </c>
      <c r="BB34" s="170">
        <f>IF(AND(BB3='A&amp;Rs'!$K$9,BB4=BB3*12),'A&amp;Rs'!$H$48,0)</f>
        <v>0</v>
      </c>
      <c r="BC34" s="170">
        <f>IF(AND(BC3='A&amp;Rs'!$K$9,BC4=BC3*12),'A&amp;Rs'!$H$48,0)</f>
        <v>0</v>
      </c>
      <c r="BD34" s="170">
        <f>IF(AND(BD3='A&amp;Rs'!$K$9,BD4=BD3*12),'A&amp;Rs'!$H$48,0)</f>
        <v>0</v>
      </c>
      <c r="BE34" s="170">
        <f>IF(AND(BE3='A&amp;Rs'!$K$9,BE4=BE3*12),'A&amp;Rs'!$H$48,0)</f>
        <v>0</v>
      </c>
      <c r="BF34" s="170">
        <f>IF(AND(BF3='A&amp;Rs'!$K$9,BF4=BF3*12),'A&amp;Rs'!$H$48,0)</f>
        <v>0</v>
      </c>
      <c r="BG34" s="170">
        <f>IF(AND(BG3='A&amp;Rs'!$K$9,BG4=BG3*12),'A&amp;Rs'!$H$48,0)</f>
        <v>0</v>
      </c>
      <c r="BH34" s="170">
        <f>IF(AND(BH3='A&amp;Rs'!$K$9,BH4=BH3*12),'A&amp;Rs'!$H$48,0)</f>
        <v>0</v>
      </c>
      <c r="BI34" s="170">
        <f>IF(AND(BI3='A&amp;Rs'!$K$9,BI4=BI3*12),'A&amp;Rs'!$H$48,0)</f>
        <v>0</v>
      </c>
      <c r="BJ34" s="170">
        <f>IF(AND(BJ3='A&amp;Rs'!$K$9,BJ4=BJ3*12),'A&amp;Rs'!$H$48,0)</f>
        <v>0</v>
      </c>
      <c r="BK34" s="170">
        <f>IF(AND(BK3='A&amp;Rs'!$K$9,BK4=BK3*12),'A&amp;Rs'!$H$48,0)</f>
        <v>0</v>
      </c>
      <c r="BL34" s="170">
        <f>IF(AND(BL3='A&amp;Rs'!$K$9,BL4=BL3*12),'A&amp;Rs'!$H$48,0)</f>
        <v>0</v>
      </c>
      <c r="BM34" s="170">
        <f>IF(AND(BM3='A&amp;Rs'!$K$9,BM4=BM3*12),'A&amp;Rs'!$H$48,0)</f>
        <v>0</v>
      </c>
      <c r="BN34" s="170">
        <f>IF(AND(BN3='A&amp;Rs'!$K$9,BN4=BN3*12),'A&amp;Rs'!$H$48,0)</f>
        <v>0</v>
      </c>
      <c r="BO34" s="170">
        <f>IF(AND(BO3='A&amp;Rs'!$K$9,BO4=BO3*12),'A&amp;Rs'!$H$48,0)</f>
        <v>0</v>
      </c>
      <c r="BP34" s="170">
        <f>IF(AND(BP3='A&amp;Rs'!$K$9,BP4=BP3*12),'A&amp;Rs'!$H$48,0)</f>
        <v>0</v>
      </c>
      <c r="BQ34" s="170">
        <f>IF(AND(BQ3='A&amp;Rs'!$K$9,BQ4=BQ3*12),'A&amp;Rs'!$H$48,0)</f>
        <v>0</v>
      </c>
      <c r="BR34" s="170">
        <f>IF(AND(BR3='A&amp;Rs'!$K$9,BR4=BR3*12),'A&amp;Rs'!$H$48,0)</f>
        <v>0</v>
      </c>
      <c r="BS34" s="170">
        <f>IF(AND(BS3='A&amp;Rs'!$K$9,BS4=BS3*12),'A&amp;Rs'!$H$48,0)</f>
        <v>0</v>
      </c>
      <c r="BT34" s="170">
        <f>IF(AND(BT3='A&amp;Rs'!$K$9,BT4=BT3*12),'A&amp;Rs'!$H$48,0)</f>
        <v>0</v>
      </c>
      <c r="BU34" s="170">
        <f>IF(AND(BU3='A&amp;Rs'!$K$9,BU4=BU3*12),'A&amp;Rs'!$H$48,0)</f>
        <v>0</v>
      </c>
      <c r="BV34" s="170">
        <f>IF(AND(BV3='A&amp;Rs'!$K$9,BV4=BV3*12),'A&amp;Rs'!$H$48,0)</f>
        <v>-1242477.2683032772</v>
      </c>
      <c r="BW34" s="170">
        <f>IF(AND(BW3='A&amp;Rs'!$K$9,BW4=BW3*12),'A&amp;Rs'!$H$48,0)</f>
        <v>0</v>
      </c>
      <c r="BX34" s="170">
        <f>IF(AND(BX3='A&amp;Rs'!$K$9,BX4=BX3*12),'A&amp;Rs'!$H$48,0)</f>
        <v>0</v>
      </c>
      <c r="BY34" s="170">
        <f>IF(AND(BY3='A&amp;Rs'!$K$9,BY4=BY3*12),'A&amp;Rs'!$H$48,0)</f>
        <v>0</v>
      </c>
      <c r="BZ34" s="170">
        <f>IF(AND(BZ3='A&amp;Rs'!$K$9,BZ4=BZ3*12),'A&amp;Rs'!$H$48,0)</f>
        <v>0</v>
      </c>
      <c r="CA34" s="170">
        <f>IF(AND(CA3='A&amp;Rs'!$K$9,CA4=CA3*12),'A&amp;Rs'!$H$48,0)</f>
        <v>0</v>
      </c>
      <c r="CB34" s="170">
        <f>IF(AND(CB3='A&amp;Rs'!$K$9,CB4=CB3*12),'A&amp;Rs'!$H$48,0)</f>
        <v>0</v>
      </c>
      <c r="CC34" s="170">
        <f>IF(AND(CC3='A&amp;Rs'!$K$9,CC4=CC3*12),'A&amp;Rs'!$H$48,0)</f>
        <v>0</v>
      </c>
      <c r="CD34" s="170">
        <f>IF(AND(CD3='A&amp;Rs'!$K$9,CD4=CD3*12),'A&amp;Rs'!$H$48,0)</f>
        <v>0</v>
      </c>
      <c r="CE34" s="170">
        <f>IF(AND(CE3='A&amp;Rs'!$K$9,CE4=CE3*12),'A&amp;Rs'!$H$48,0)</f>
        <v>0</v>
      </c>
      <c r="CF34" s="170">
        <f>IF(AND(CF3='A&amp;Rs'!$K$9,CF4=CF3*12),'A&amp;Rs'!$H$48,0)</f>
        <v>0</v>
      </c>
      <c r="CG34" s="170">
        <f>IF(AND(CG3='A&amp;Rs'!$K$9,CG4=CG3*12),'A&amp;Rs'!$H$48,0)</f>
        <v>0</v>
      </c>
      <c r="CH34" s="170">
        <f>IF(AND(CH3='A&amp;Rs'!$K$9,CH4=CH3*12),'A&amp;Rs'!$H$48,0)</f>
        <v>0</v>
      </c>
      <c r="CI34" s="170">
        <f>IF(AND(CI3='A&amp;Rs'!$K$9,CI4=CI3*12),'A&amp;Rs'!$H$48,0)</f>
        <v>0</v>
      </c>
      <c r="CJ34" s="170">
        <f>IF(AND(CJ3='A&amp;Rs'!$K$9,CJ4=CJ3*12),'A&amp;Rs'!$H$48,0)</f>
        <v>0</v>
      </c>
      <c r="CK34" s="170">
        <f>IF(AND(CK3='A&amp;Rs'!$K$9,CK4=CK3*12),'A&amp;Rs'!$H$48,0)</f>
        <v>0</v>
      </c>
      <c r="CL34" s="170">
        <f>IF(AND(CL3='A&amp;Rs'!$K$9,CL4=CL3*12),'A&amp;Rs'!$H$48,0)</f>
        <v>0</v>
      </c>
      <c r="CM34" s="170">
        <f>IF(AND(CM3='A&amp;Rs'!$K$9,CM4=CM3*12),'A&amp;Rs'!$H$48,0)</f>
        <v>0</v>
      </c>
      <c r="CN34" s="170">
        <f>IF(AND(CN3='A&amp;Rs'!$K$9,CN4=CN3*12),'A&amp;Rs'!$H$48,0)</f>
        <v>0</v>
      </c>
      <c r="CO34" s="170">
        <f>IF(AND(CO3='A&amp;Rs'!$K$9,CO4=CO3*12),'A&amp;Rs'!$H$48,0)</f>
        <v>0</v>
      </c>
      <c r="CP34" s="170">
        <f>IF(AND(CP3='A&amp;Rs'!$K$9,CP4=CP3*12),'A&amp;Rs'!$H$48,0)</f>
        <v>0</v>
      </c>
      <c r="CQ34" s="170">
        <f>IF(AND(CQ3='A&amp;Rs'!$K$9,CQ4=CQ3*12),'A&amp;Rs'!$H$48,0)</f>
        <v>0</v>
      </c>
      <c r="CR34" s="170">
        <f>IF(AND(CR3='A&amp;Rs'!$K$9,CR4=CR3*12),'A&amp;Rs'!$H$48,0)</f>
        <v>0</v>
      </c>
      <c r="CS34" s="170">
        <f>IF(AND(CS3='A&amp;Rs'!$K$9,CS4=CS3*12),'A&amp;Rs'!$H$48,0)</f>
        <v>0</v>
      </c>
      <c r="CT34" s="170">
        <f>IF(AND(CT3='A&amp;Rs'!$K$9,CT4=CT3*12),'A&amp;Rs'!$H$48,0)</f>
        <v>0</v>
      </c>
      <c r="CU34" s="170">
        <f>IF(AND(CU3='A&amp;Rs'!$K$9,CU4=CU3*12),'A&amp;Rs'!$H$48,0)</f>
        <v>0</v>
      </c>
      <c r="CV34" s="170">
        <f>IF(AND(CV3='A&amp;Rs'!$K$9,CV4=CV3*12),'A&amp;Rs'!$H$48,0)</f>
        <v>0</v>
      </c>
      <c r="CW34" s="170">
        <f>IF(AND(CW3='A&amp;Rs'!$K$9,CW4=CW3*12),'A&amp;Rs'!$H$48,0)</f>
        <v>0</v>
      </c>
      <c r="CX34" s="170">
        <f>IF(AND(CX3='A&amp;Rs'!$K$9,CX4=CX3*12),'A&amp;Rs'!$H$48,0)</f>
        <v>0</v>
      </c>
      <c r="CY34" s="170">
        <f>IF(AND(CY3='A&amp;Rs'!$K$9,CY4=CY3*12),'A&amp;Rs'!$H$48,0)</f>
        <v>0</v>
      </c>
      <c r="CZ34" s="170">
        <f>IF(AND(CZ3='A&amp;Rs'!$K$9,CZ4=CZ3*12),'A&amp;Rs'!$H$48,0)</f>
        <v>0</v>
      </c>
      <c r="DA34" s="170">
        <f>IF(AND(DA3='A&amp;Rs'!$K$9,DA4=DA3*12),'A&amp;Rs'!$H$48,0)</f>
        <v>0</v>
      </c>
      <c r="DB34" s="170">
        <f>IF(AND(DB3='A&amp;Rs'!$K$9,DB4=DB3*12),'A&amp;Rs'!$H$48,0)</f>
        <v>0</v>
      </c>
      <c r="DC34" s="170">
        <f>IF(AND(DC3='A&amp;Rs'!$K$9,DC4=DC3*12),'A&amp;Rs'!$H$48,0)</f>
        <v>0</v>
      </c>
      <c r="DD34" s="170">
        <f>IF(AND(DD3='A&amp;Rs'!$K$9,DD4=DD3*12),'A&amp;Rs'!$H$48,0)</f>
        <v>0</v>
      </c>
      <c r="DE34" s="170">
        <f>IF(AND(DE3='A&amp;Rs'!$K$9,DE4=DE3*12),'A&amp;Rs'!$H$48,0)</f>
        <v>0</v>
      </c>
      <c r="DF34" s="170">
        <f>IF(AND(DF3='A&amp;Rs'!$K$9,DF4=DF3*12),'A&amp;Rs'!$H$48,0)</f>
        <v>0</v>
      </c>
      <c r="DG34" s="170">
        <f>IF(AND(DG3='A&amp;Rs'!$K$9,DG4=DG3*12),'A&amp;Rs'!$H$48,0)</f>
        <v>0</v>
      </c>
      <c r="DH34" s="170">
        <f>IF(AND(DH3='A&amp;Rs'!$K$9,DH4=DH3*12),'A&amp;Rs'!$H$48,0)</f>
        <v>0</v>
      </c>
      <c r="DI34" s="170">
        <f>IF(AND(DI3='A&amp;Rs'!$K$9,DI4=DI3*12),'A&amp;Rs'!$H$48,0)</f>
        <v>0</v>
      </c>
      <c r="DJ34" s="170">
        <f>IF(AND(DJ3='A&amp;Rs'!$K$9,DJ4=DJ3*12),'A&amp;Rs'!$H$48,0)</f>
        <v>0</v>
      </c>
      <c r="DK34" s="170">
        <f>IF(AND(DK3='A&amp;Rs'!$K$9,DK4=DK3*12),'A&amp;Rs'!$H$48,0)</f>
        <v>0</v>
      </c>
      <c r="DL34" s="170">
        <f>IF(AND(DL3='A&amp;Rs'!$K$9,DL4=DL3*12),'A&amp;Rs'!$H$48,0)</f>
        <v>0</v>
      </c>
      <c r="DM34" s="170">
        <f>IF(AND(DM3='A&amp;Rs'!$K$9,DM4=DM3*12),'A&amp;Rs'!$H$48,0)</f>
        <v>0</v>
      </c>
      <c r="DN34" s="170">
        <f>IF(AND(DN3='A&amp;Rs'!$K$9,DN4=DN3*12),'A&amp;Rs'!$H$48,0)</f>
        <v>0</v>
      </c>
      <c r="DO34" s="170">
        <f>IF(AND(DO3='A&amp;Rs'!$K$9,DO4=DO3*12),'A&amp;Rs'!$H$48,0)</f>
        <v>0</v>
      </c>
      <c r="DP34" s="170">
        <f>IF(AND(DP3='A&amp;Rs'!$K$9,DP4=DP3*12),'A&amp;Rs'!$H$48,0)</f>
        <v>0</v>
      </c>
      <c r="DQ34" s="170">
        <f>IF(AND(DQ3='A&amp;Rs'!$K$9,DQ4=DQ3*12),'A&amp;Rs'!$H$48,0)</f>
        <v>0</v>
      </c>
      <c r="DR34" s="170">
        <f>IF(AND(DR3='A&amp;Rs'!$K$9,DR4=DR3*12),'A&amp;Rs'!$H$48,0)</f>
        <v>0</v>
      </c>
      <c r="DS34" s="170">
        <f>IF(AND(DS3='A&amp;Rs'!$K$9,DS4=DS3*12),'A&amp;Rs'!$H$48,0)</f>
        <v>0</v>
      </c>
      <c r="DT34" s="170">
        <f>IF(AND(DT3='A&amp;Rs'!$K$9,DT4=DT3*12),'A&amp;Rs'!$H$48,0)</f>
        <v>0</v>
      </c>
      <c r="DU34" s="170">
        <f>IF(AND(DU3='A&amp;Rs'!$K$9,DU4=DU3*12),'A&amp;Rs'!$H$48,0)</f>
        <v>0</v>
      </c>
      <c r="DV34" s="170">
        <f>IF(AND(DV3='A&amp;Rs'!$K$9,DV4=DV3*12),'A&amp;Rs'!$H$48,0)</f>
        <v>0</v>
      </c>
      <c r="DW34" s="170">
        <f>IF(AND(DW3='A&amp;Rs'!$K$9,DW4=DW3*12),'A&amp;Rs'!$H$48,0)</f>
        <v>0</v>
      </c>
      <c r="DX34" s="170">
        <f>IF(AND(DX3='A&amp;Rs'!$K$9,DX4=DX3*12),'A&amp;Rs'!$H$48,0)</f>
        <v>0</v>
      </c>
      <c r="DY34" s="170">
        <f>IF(AND(DY3='A&amp;Rs'!$K$9,DY4=DY3*12),'A&amp;Rs'!$H$48,0)</f>
        <v>0</v>
      </c>
      <c r="DZ34" s="170">
        <f>IF(AND(DZ3='A&amp;Rs'!$K$9,DZ4=DZ3*12),'A&amp;Rs'!$H$48,0)</f>
        <v>0</v>
      </c>
      <c r="EA34" s="170">
        <f>IF(AND(EA3='A&amp;Rs'!$K$9,EA4=EA3*12),'A&amp;Rs'!$H$48,0)</f>
        <v>0</v>
      </c>
      <c r="EB34" s="170">
        <f>IF(AND(EB3='A&amp;Rs'!$K$9,EB4=EB3*12),'A&amp;Rs'!$H$48,0)</f>
        <v>0</v>
      </c>
      <c r="EC34" s="170">
        <f>IF(AND(EC3='A&amp;Rs'!$K$9,EC4=EC3*12),'A&amp;Rs'!$H$48,0)</f>
        <v>0</v>
      </c>
      <c r="ED34" s="171">
        <f>IF(AND(ED3='A&amp;Rs'!$K$9,ED4=ED3*12),'A&amp;Rs'!$H$48,0)</f>
        <v>0</v>
      </c>
      <c r="EE34" s="1"/>
      <c r="EF34" s="1"/>
    </row>
    <row r="35" spans="11:138" x14ac:dyDescent="0.3">
      <c r="K35" s="1"/>
      <c r="L35" s="23" t="s">
        <v>14</v>
      </c>
      <c r="M35" s="1"/>
      <c r="N35" s="170">
        <f>N33*-'A&amp;Rs'!$K$15</f>
        <v>0</v>
      </c>
      <c r="O35" s="170">
        <f>O33*-'A&amp;Rs'!$K$15</f>
        <v>0</v>
      </c>
      <c r="P35" s="170">
        <f>P33*-'A&amp;Rs'!$K$15</f>
        <v>0</v>
      </c>
      <c r="Q35" s="170">
        <f>Q33*-'A&amp;Rs'!$K$15</f>
        <v>0</v>
      </c>
      <c r="R35" s="170">
        <f>R33*-'A&amp;Rs'!$K$15</f>
        <v>0</v>
      </c>
      <c r="S35" s="170">
        <f>S33*-'A&amp;Rs'!$K$15</f>
        <v>0</v>
      </c>
      <c r="T35" s="170">
        <f>T33*-'A&amp;Rs'!$K$15</f>
        <v>0</v>
      </c>
      <c r="U35" s="170">
        <f>U33*-'A&amp;Rs'!$K$15</f>
        <v>0</v>
      </c>
      <c r="V35" s="170">
        <f>V33*-'A&amp;Rs'!$K$15</f>
        <v>0</v>
      </c>
      <c r="W35" s="170">
        <f>W33*-'A&amp;Rs'!$K$15</f>
        <v>0</v>
      </c>
      <c r="X35" s="170">
        <f>X33*-'A&amp;Rs'!$K$15</f>
        <v>0</v>
      </c>
      <c r="Y35" s="170">
        <f>Y33*-'A&amp;Rs'!$K$15</f>
        <v>0</v>
      </c>
      <c r="Z35" s="170">
        <f>Z33*-'A&amp;Rs'!$K$15</f>
        <v>0</v>
      </c>
      <c r="AA35" s="170">
        <f>AA33*-'A&amp;Rs'!$K$15</f>
        <v>0</v>
      </c>
      <c r="AB35" s="170">
        <f>AB33*-'A&amp;Rs'!$K$15</f>
        <v>0</v>
      </c>
      <c r="AC35" s="170">
        <f>AC33*-'A&amp;Rs'!$K$15</f>
        <v>0</v>
      </c>
      <c r="AD35" s="170">
        <f>AD33*-'A&amp;Rs'!$K$15</f>
        <v>0</v>
      </c>
      <c r="AE35" s="170">
        <f>AE33*-'A&amp;Rs'!$K$15</f>
        <v>0</v>
      </c>
      <c r="AF35" s="170">
        <f>AF33*-'A&amp;Rs'!$K$15</f>
        <v>0</v>
      </c>
      <c r="AG35" s="170">
        <f>AG33*-'A&amp;Rs'!$K$15</f>
        <v>0</v>
      </c>
      <c r="AH35" s="170">
        <f>AH33*-'A&amp;Rs'!$K$15</f>
        <v>0</v>
      </c>
      <c r="AI35" s="170">
        <f>AI33*-'A&amp;Rs'!$K$15</f>
        <v>0</v>
      </c>
      <c r="AJ35" s="170">
        <f>AJ33*-'A&amp;Rs'!$K$15</f>
        <v>0</v>
      </c>
      <c r="AK35" s="170">
        <f>AK33*-'A&amp;Rs'!$K$15</f>
        <v>0</v>
      </c>
      <c r="AL35" s="170">
        <f>AL33*-'A&amp;Rs'!$K$15</f>
        <v>0</v>
      </c>
      <c r="AM35" s="170">
        <f>AM33*-'A&amp;Rs'!$K$15</f>
        <v>0</v>
      </c>
      <c r="AN35" s="170">
        <f>AN33*-'A&amp;Rs'!$K$15</f>
        <v>0</v>
      </c>
      <c r="AO35" s="170">
        <f>AO33*-'A&amp;Rs'!$K$15</f>
        <v>0</v>
      </c>
      <c r="AP35" s="170">
        <f>AP33*-'A&amp;Rs'!$K$15</f>
        <v>0</v>
      </c>
      <c r="AQ35" s="170">
        <f>AQ33*-'A&amp;Rs'!$K$15</f>
        <v>0</v>
      </c>
      <c r="AR35" s="170">
        <f>AR33*-'A&amp;Rs'!$K$15</f>
        <v>0</v>
      </c>
      <c r="AS35" s="170">
        <f>AS33*-'A&amp;Rs'!$K$15</f>
        <v>0</v>
      </c>
      <c r="AT35" s="170">
        <f>AT33*-'A&amp;Rs'!$K$15</f>
        <v>0</v>
      </c>
      <c r="AU35" s="170">
        <f>AU33*-'A&amp;Rs'!$K$15</f>
        <v>0</v>
      </c>
      <c r="AV35" s="170">
        <f>AV33*-'A&amp;Rs'!$K$15</f>
        <v>0</v>
      </c>
      <c r="AW35" s="170">
        <f>AW33*-'A&amp;Rs'!$K$15</f>
        <v>0</v>
      </c>
      <c r="AX35" s="170">
        <f>AX33*-'A&amp;Rs'!$K$15</f>
        <v>0</v>
      </c>
      <c r="AY35" s="170">
        <f>AY33*-'A&amp;Rs'!$K$15</f>
        <v>0</v>
      </c>
      <c r="AZ35" s="170">
        <f>AZ33*-'A&amp;Rs'!$K$15</f>
        <v>0</v>
      </c>
      <c r="BA35" s="170">
        <f>BA33*-'A&amp;Rs'!$K$15</f>
        <v>0</v>
      </c>
      <c r="BB35" s="170">
        <f>BB33*-'A&amp;Rs'!$K$15</f>
        <v>0</v>
      </c>
      <c r="BC35" s="170">
        <f>BC33*-'A&amp;Rs'!$K$15</f>
        <v>0</v>
      </c>
      <c r="BD35" s="170">
        <f>BD33*-'A&amp;Rs'!$K$15</f>
        <v>0</v>
      </c>
      <c r="BE35" s="170">
        <f>BE33*-'A&amp;Rs'!$K$15</f>
        <v>0</v>
      </c>
      <c r="BF35" s="170">
        <f>BF33*-'A&amp;Rs'!$K$15</f>
        <v>0</v>
      </c>
      <c r="BG35" s="170">
        <f>BG33*-'A&amp;Rs'!$K$15</f>
        <v>0</v>
      </c>
      <c r="BH35" s="170">
        <f>BH33*-'A&amp;Rs'!$K$15</f>
        <v>0</v>
      </c>
      <c r="BI35" s="170">
        <f>BI33*-'A&amp;Rs'!$K$15</f>
        <v>0</v>
      </c>
      <c r="BJ35" s="170">
        <f>BJ33*-'A&amp;Rs'!$K$15</f>
        <v>0</v>
      </c>
      <c r="BK35" s="170">
        <f>BK33*-'A&amp;Rs'!$K$15</f>
        <v>0</v>
      </c>
      <c r="BL35" s="170">
        <f>BL33*-'A&amp;Rs'!$K$15</f>
        <v>0</v>
      </c>
      <c r="BM35" s="170">
        <f>BM33*-'A&amp;Rs'!$K$15</f>
        <v>0</v>
      </c>
      <c r="BN35" s="170">
        <f>BN33*-'A&amp;Rs'!$K$15</f>
        <v>0</v>
      </c>
      <c r="BO35" s="170">
        <f>BO33*-'A&amp;Rs'!$K$15</f>
        <v>0</v>
      </c>
      <c r="BP35" s="170">
        <f>BP33*-'A&amp;Rs'!$K$15</f>
        <v>0</v>
      </c>
      <c r="BQ35" s="170">
        <f>BQ33*-'A&amp;Rs'!$K$15</f>
        <v>0</v>
      </c>
      <c r="BR35" s="170">
        <f>BR33*-'A&amp;Rs'!$K$15</f>
        <v>0</v>
      </c>
      <c r="BS35" s="170">
        <f>BS33*-'A&amp;Rs'!$K$15</f>
        <v>0</v>
      </c>
      <c r="BT35" s="170">
        <f>BT33*-'A&amp;Rs'!$K$15</f>
        <v>0</v>
      </c>
      <c r="BU35" s="170">
        <f>BU33*-'A&amp;Rs'!$K$15</f>
        <v>0</v>
      </c>
      <c r="BV35" s="170">
        <f>BV33*-'A&amp;Rs'!$K$15</f>
        <v>-99267.324612808516</v>
      </c>
      <c r="BW35" s="170">
        <f>BW33*-'A&amp;Rs'!$K$15</f>
        <v>0</v>
      </c>
      <c r="BX35" s="170">
        <f>BX33*-'A&amp;Rs'!$K$15</f>
        <v>0</v>
      </c>
      <c r="BY35" s="170">
        <f>BY33*-'A&amp;Rs'!$K$15</f>
        <v>0</v>
      </c>
      <c r="BZ35" s="170">
        <f>BZ33*-'A&amp;Rs'!$K$15</f>
        <v>0</v>
      </c>
      <c r="CA35" s="170">
        <f>CA33*-'A&amp;Rs'!$K$15</f>
        <v>0</v>
      </c>
      <c r="CB35" s="170">
        <f>CB33*-'A&amp;Rs'!$K$15</f>
        <v>0</v>
      </c>
      <c r="CC35" s="170">
        <f>CC33*-'A&amp;Rs'!$K$15</f>
        <v>0</v>
      </c>
      <c r="CD35" s="170">
        <f>CD33*-'A&amp;Rs'!$K$15</f>
        <v>0</v>
      </c>
      <c r="CE35" s="170">
        <f>CE33*-'A&amp;Rs'!$K$15</f>
        <v>0</v>
      </c>
      <c r="CF35" s="170">
        <f>CF33*-'A&amp;Rs'!$K$15</f>
        <v>0</v>
      </c>
      <c r="CG35" s="170">
        <f>CG33*-'A&amp;Rs'!$K$15</f>
        <v>0</v>
      </c>
      <c r="CH35" s="170">
        <f>CH33*-'A&amp;Rs'!$K$15</f>
        <v>0</v>
      </c>
      <c r="CI35" s="170">
        <f>CI33*-'A&amp;Rs'!$K$15</f>
        <v>0</v>
      </c>
      <c r="CJ35" s="170">
        <f>CJ33*-'A&amp;Rs'!$K$15</f>
        <v>0</v>
      </c>
      <c r="CK35" s="170">
        <f>CK33*-'A&amp;Rs'!$K$15</f>
        <v>0</v>
      </c>
      <c r="CL35" s="170">
        <f>CL33*-'A&amp;Rs'!$K$15</f>
        <v>0</v>
      </c>
      <c r="CM35" s="170">
        <f>CM33*-'A&amp;Rs'!$K$15</f>
        <v>0</v>
      </c>
      <c r="CN35" s="170">
        <f>CN33*-'A&amp;Rs'!$K$15</f>
        <v>0</v>
      </c>
      <c r="CO35" s="170">
        <f>CO33*-'A&amp;Rs'!$K$15</f>
        <v>0</v>
      </c>
      <c r="CP35" s="170">
        <f>CP33*-'A&amp;Rs'!$K$15</f>
        <v>0</v>
      </c>
      <c r="CQ35" s="170">
        <f>CQ33*-'A&amp;Rs'!$K$15</f>
        <v>0</v>
      </c>
      <c r="CR35" s="170">
        <f>CR33*-'A&amp;Rs'!$K$15</f>
        <v>0</v>
      </c>
      <c r="CS35" s="170">
        <f>CS33*-'A&amp;Rs'!$K$15</f>
        <v>0</v>
      </c>
      <c r="CT35" s="170">
        <f>CT33*-'A&amp;Rs'!$K$15</f>
        <v>0</v>
      </c>
      <c r="CU35" s="170">
        <f>CU33*-'A&amp;Rs'!$K$15</f>
        <v>0</v>
      </c>
      <c r="CV35" s="170">
        <f>CV33*-'A&amp;Rs'!$K$15</f>
        <v>0</v>
      </c>
      <c r="CW35" s="170">
        <f>CW33*-'A&amp;Rs'!$K$15</f>
        <v>0</v>
      </c>
      <c r="CX35" s="170">
        <f>CX33*-'A&amp;Rs'!$K$15</f>
        <v>0</v>
      </c>
      <c r="CY35" s="170">
        <f>CY33*-'A&amp;Rs'!$K$15</f>
        <v>0</v>
      </c>
      <c r="CZ35" s="170">
        <f>CZ33*-'A&amp;Rs'!$K$15</f>
        <v>0</v>
      </c>
      <c r="DA35" s="170">
        <f>DA33*-'A&amp;Rs'!$K$15</f>
        <v>0</v>
      </c>
      <c r="DB35" s="170">
        <f>DB33*-'A&amp;Rs'!$K$15</f>
        <v>0</v>
      </c>
      <c r="DC35" s="170">
        <f>DC33*-'A&amp;Rs'!$K$15</f>
        <v>0</v>
      </c>
      <c r="DD35" s="170">
        <f>DD33*-'A&amp;Rs'!$K$15</f>
        <v>0</v>
      </c>
      <c r="DE35" s="170">
        <f>DE33*-'A&amp;Rs'!$K$15</f>
        <v>0</v>
      </c>
      <c r="DF35" s="170">
        <f>DF33*-'A&amp;Rs'!$K$15</f>
        <v>0</v>
      </c>
      <c r="DG35" s="170">
        <f>DG33*-'A&amp;Rs'!$K$15</f>
        <v>0</v>
      </c>
      <c r="DH35" s="170">
        <f>DH33*-'A&amp;Rs'!$K$15</f>
        <v>0</v>
      </c>
      <c r="DI35" s="170">
        <f>DI33*-'A&amp;Rs'!$K$15</f>
        <v>0</v>
      </c>
      <c r="DJ35" s="170">
        <f>DJ33*-'A&amp;Rs'!$K$15</f>
        <v>0</v>
      </c>
      <c r="DK35" s="170">
        <f>DK33*-'A&amp;Rs'!$K$15</f>
        <v>0</v>
      </c>
      <c r="DL35" s="170">
        <f>DL33*-'A&amp;Rs'!$K$15</f>
        <v>0</v>
      </c>
      <c r="DM35" s="170">
        <f>DM33*-'A&amp;Rs'!$K$15</f>
        <v>0</v>
      </c>
      <c r="DN35" s="170">
        <f>DN33*-'A&amp;Rs'!$K$15</f>
        <v>0</v>
      </c>
      <c r="DO35" s="170">
        <f>DO33*-'A&amp;Rs'!$K$15</f>
        <v>0</v>
      </c>
      <c r="DP35" s="170">
        <f>DP33*-'A&amp;Rs'!$K$15</f>
        <v>0</v>
      </c>
      <c r="DQ35" s="170">
        <f>DQ33*-'A&amp;Rs'!$K$15</f>
        <v>0</v>
      </c>
      <c r="DR35" s="170">
        <f>DR33*-'A&amp;Rs'!$K$15</f>
        <v>0</v>
      </c>
      <c r="DS35" s="170">
        <f>DS33*-'A&amp;Rs'!$K$15</f>
        <v>0</v>
      </c>
      <c r="DT35" s="170">
        <f>DT33*-'A&amp;Rs'!$K$15</f>
        <v>0</v>
      </c>
      <c r="DU35" s="170">
        <f>DU33*-'A&amp;Rs'!$K$15</f>
        <v>0</v>
      </c>
      <c r="DV35" s="170">
        <f>DV33*-'A&amp;Rs'!$K$15</f>
        <v>0</v>
      </c>
      <c r="DW35" s="170">
        <f>DW33*-'A&amp;Rs'!$K$15</f>
        <v>0</v>
      </c>
      <c r="DX35" s="170">
        <f>DX33*-'A&amp;Rs'!$K$15</f>
        <v>0</v>
      </c>
      <c r="DY35" s="170">
        <f>DY33*-'A&amp;Rs'!$K$15</f>
        <v>0</v>
      </c>
      <c r="DZ35" s="170">
        <f>DZ33*-'A&amp;Rs'!$K$15</f>
        <v>0</v>
      </c>
      <c r="EA35" s="170">
        <f>EA33*-'A&amp;Rs'!$K$15</f>
        <v>0</v>
      </c>
      <c r="EB35" s="170">
        <f>EB33*-'A&amp;Rs'!$K$15</f>
        <v>0</v>
      </c>
      <c r="EC35" s="170">
        <f>EC33*-'A&amp;Rs'!$K$15</f>
        <v>0</v>
      </c>
      <c r="ED35" s="171">
        <f>ED33*-'A&amp;Rs'!$K$15</f>
        <v>0</v>
      </c>
      <c r="EE35" s="1"/>
      <c r="EF35" s="173" t="s">
        <v>137</v>
      </c>
    </row>
    <row r="36" spans="11:138" x14ac:dyDescent="0.3">
      <c r="K36" s="1"/>
      <c r="L36" s="23" t="s">
        <v>88</v>
      </c>
      <c r="M36" s="1"/>
      <c r="N36" s="170">
        <f t="shared" ref="N36:AW36" si="20">SUM(N33:N35)</f>
        <v>0</v>
      </c>
      <c r="O36" s="170">
        <f t="shared" si="20"/>
        <v>0</v>
      </c>
      <c r="P36" s="170">
        <f t="shared" si="20"/>
        <v>0</v>
      </c>
      <c r="Q36" s="170">
        <f t="shared" si="20"/>
        <v>0</v>
      </c>
      <c r="R36" s="170">
        <f t="shared" si="20"/>
        <v>0</v>
      </c>
      <c r="S36" s="170">
        <f t="shared" si="20"/>
        <v>0</v>
      </c>
      <c r="T36" s="170">
        <f t="shared" si="20"/>
        <v>0</v>
      </c>
      <c r="U36" s="170">
        <f t="shared" si="20"/>
        <v>0</v>
      </c>
      <c r="V36" s="170">
        <f t="shared" si="20"/>
        <v>0</v>
      </c>
      <c r="W36" s="170">
        <f t="shared" si="20"/>
        <v>0</v>
      </c>
      <c r="X36" s="170">
        <f t="shared" si="20"/>
        <v>0</v>
      </c>
      <c r="Y36" s="170">
        <f t="shared" si="20"/>
        <v>0</v>
      </c>
      <c r="Z36" s="170">
        <f t="shared" si="20"/>
        <v>0</v>
      </c>
      <c r="AA36" s="170">
        <f t="shared" si="20"/>
        <v>0</v>
      </c>
      <c r="AB36" s="170">
        <f t="shared" si="20"/>
        <v>0</v>
      </c>
      <c r="AC36" s="170">
        <f t="shared" si="20"/>
        <v>0</v>
      </c>
      <c r="AD36" s="170">
        <f t="shared" si="20"/>
        <v>0</v>
      </c>
      <c r="AE36" s="170">
        <f t="shared" si="20"/>
        <v>0</v>
      </c>
      <c r="AF36" s="170">
        <f t="shared" si="20"/>
        <v>0</v>
      </c>
      <c r="AG36" s="170">
        <f t="shared" si="20"/>
        <v>0</v>
      </c>
      <c r="AH36" s="170">
        <f t="shared" si="20"/>
        <v>0</v>
      </c>
      <c r="AI36" s="170">
        <f t="shared" si="20"/>
        <v>0</v>
      </c>
      <c r="AJ36" s="170">
        <f t="shared" si="20"/>
        <v>0</v>
      </c>
      <c r="AK36" s="170">
        <f t="shared" si="20"/>
        <v>0</v>
      </c>
      <c r="AL36" s="170">
        <f t="shared" si="20"/>
        <v>0</v>
      </c>
      <c r="AM36" s="170">
        <f t="shared" si="20"/>
        <v>0</v>
      </c>
      <c r="AN36" s="170">
        <f t="shared" si="20"/>
        <v>0</v>
      </c>
      <c r="AO36" s="170">
        <f t="shared" si="20"/>
        <v>0</v>
      </c>
      <c r="AP36" s="170">
        <f t="shared" si="20"/>
        <v>0</v>
      </c>
      <c r="AQ36" s="170">
        <f t="shared" si="20"/>
        <v>0</v>
      </c>
      <c r="AR36" s="170">
        <f t="shared" si="20"/>
        <v>0</v>
      </c>
      <c r="AS36" s="170">
        <f t="shared" si="20"/>
        <v>0</v>
      </c>
      <c r="AT36" s="170">
        <f t="shared" si="20"/>
        <v>0</v>
      </c>
      <c r="AU36" s="170">
        <f t="shared" si="20"/>
        <v>0</v>
      </c>
      <c r="AV36" s="170">
        <f t="shared" si="20"/>
        <v>0</v>
      </c>
      <c r="AW36" s="170">
        <f t="shared" si="20"/>
        <v>0</v>
      </c>
      <c r="AX36" s="170">
        <f>SUM(AX33:AX35)</f>
        <v>0</v>
      </c>
      <c r="AY36" s="170">
        <f t="shared" ref="AY36:DJ36" si="21">SUM(AY33:AY35)</f>
        <v>0</v>
      </c>
      <c r="AZ36" s="170">
        <f t="shared" si="21"/>
        <v>0</v>
      </c>
      <c r="BA36" s="170">
        <f t="shared" si="21"/>
        <v>0</v>
      </c>
      <c r="BB36" s="170">
        <f t="shared" si="21"/>
        <v>0</v>
      </c>
      <c r="BC36" s="170">
        <f t="shared" si="21"/>
        <v>0</v>
      </c>
      <c r="BD36" s="170">
        <f t="shared" si="21"/>
        <v>0</v>
      </c>
      <c r="BE36" s="170">
        <f t="shared" si="21"/>
        <v>0</v>
      </c>
      <c r="BF36" s="170">
        <f t="shared" si="21"/>
        <v>0</v>
      </c>
      <c r="BG36" s="170">
        <f t="shared" si="21"/>
        <v>0</v>
      </c>
      <c r="BH36" s="170">
        <f t="shared" si="21"/>
        <v>0</v>
      </c>
      <c r="BI36" s="170">
        <f t="shared" si="21"/>
        <v>0</v>
      </c>
      <c r="BJ36" s="170">
        <f>SUM(BJ33:BJ35)</f>
        <v>0</v>
      </c>
      <c r="BK36" s="170">
        <f t="shared" si="21"/>
        <v>0</v>
      </c>
      <c r="BL36" s="170">
        <f t="shared" si="21"/>
        <v>0</v>
      </c>
      <c r="BM36" s="170">
        <f t="shared" si="21"/>
        <v>0</v>
      </c>
      <c r="BN36" s="170">
        <f t="shared" si="21"/>
        <v>0</v>
      </c>
      <c r="BO36" s="170">
        <f t="shared" si="21"/>
        <v>0</v>
      </c>
      <c r="BP36" s="170">
        <f t="shared" si="21"/>
        <v>0</v>
      </c>
      <c r="BQ36" s="170">
        <f t="shared" si="21"/>
        <v>0</v>
      </c>
      <c r="BR36" s="170">
        <f t="shared" si="21"/>
        <v>0</v>
      </c>
      <c r="BS36" s="170">
        <f t="shared" si="21"/>
        <v>0</v>
      </c>
      <c r="BT36" s="170">
        <f t="shared" si="21"/>
        <v>0</v>
      </c>
      <c r="BU36" s="170">
        <f t="shared" si="21"/>
        <v>0</v>
      </c>
      <c r="BV36" s="170">
        <f>SUM(BV33:BV35)</f>
        <v>1967166.2275108651</v>
      </c>
      <c r="BW36" s="170">
        <f t="shared" si="21"/>
        <v>0</v>
      </c>
      <c r="BX36" s="170">
        <f t="shared" si="21"/>
        <v>0</v>
      </c>
      <c r="BY36" s="170">
        <f t="shared" si="21"/>
        <v>0</v>
      </c>
      <c r="BZ36" s="170">
        <f t="shared" si="21"/>
        <v>0</v>
      </c>
      <c r="CA36" s="170">
        <f t="shared" si="21"/>
        <v>0</v>
      </c>
      <c r="CB36" s="170">
        <f t="shared" si="21"/>
        <v>0</v>
      </c>
      <c r="CC36" s="170">
        <f t="shared" si="21"/>
        <v>0</v>
      </c>
      <c r="CD36" s="170">
        <f t="shared" si="21"/>
        <v>0</v>
      </c>
      <c r="CE36" s="170">
        <f t="shared" si="21"/>
        <v>0</v>
      </c>
      <c r="CF36" s="170">
        <f t="shared" si="21"/>
        <v>0</v>
      </c>
      <c r="CG36" s="170">
        <f t="shared" si="21"/>
        <v>0</v>
      </c>
      <c r="CH36" s="170">
        <f t="shared" si="21"/>
        <v>0</v>
      </c>
      <c r="CI36" s="170">
        <f t="shared" si="21"/>
        <v>0</v>
      </c>
      <c r="CJ36" s="170">
        <f t="shared" si="21"/>
        <v>0</v>
      </c>
      <c r="CK36" s="170">
        <f t="shared" si="21"/>
        <v>0</v>
      </c>
      <c r="CL36" s="170">
        <f t="shared" si="21"/>
        <v>0</v>
      </c>
      <c r="CM36" s="170">
        <f t="shared" si="21"/>
        <v>0</v>
      </c>
      <c r="CN36" s="170">
        <f t="shared" si="21"/>
        <v>0</v>
      </c>
      <c r="CO36" s="170">
        <f t="shared" si="21"/>
        <v>0</v>
      </c>
      <c r="CP36" s="170">
        <f t="shared" si="21"/>
        <v>0</v>
      </c>
      <c r="CQ36" s="170">
        <f t="shared" si="21"/>
        <v>0</v>
      </c>
      <c r="CR36" s="170">
        <f t="shared" si="21"/>
        <v>0</v>
      </c>
      <c r="CS36" s="170">
        <f t="shared" si="21"/>
        <v>0</v>
      </c>
      <c r="CT36" s="170">
        <f t="shared" si="21"/>
        <v>0</v>
      </c>
      <c r="CU36" s="170">
        <f t="shared" si="21"/>
        <v>0</v>
      </c>
      <c r="CV36" s="170">
        <f t="shared" si="21"/>
        <v>0</v>
      </c>
      <c r="CW36" s="170">
        <f t="shared" si="21"/>
        <v>0</v>
      </c>
      <c r="CX36" s="170">
        <f t="shared" si="21"/>
        <v>0</v>
      </c>
      <c r="CY36" s="170">
        <f t="shared" si="21"/>
        <v>0</v>
      </c>
      <c r="CZ36" s="170">
        <f t="shared" si="21"/>
        <v>0</v>
      </c>
      <c r="DA36" s="170">
        <f t="shared" si="21"/>
        <v>0</v>
      </c>
      <c r="DB36" s="170">
        <f t="shared" si="21"/>
        <v>0</v>
      </c>
      <c r="DC36" s="170">
        <f t="shared" si="21"/>
        <v>0</v>
      </c>
      <c r="DD36" s="170">
        <f t="shared" si="21"/>
        <v>0</v>
      </c>
      <c r="DE36" s="170">
        <f t="shared" si="21"/>
        <v>0</v>
      </c>
      <c r="DF36" s="170">
        <f t="shared" si="21"/>
        <v>0</v>
      </c>
      <c r="DG36" s="170">
        <f t="shared" si="21"/>
        <v>0</v>
      </c>
      <c r="DH36" s="170">
        <f t="shared" si="21"/>
        <v>0</v>
      </c>
      <c r="DI36" s="170">
        <f t="shared" si="21"/>
        <v>0</v>
      </c>
      <c r="DJ36" s="170">
        <f t="shared" si="21"/>
        <v>0</v>
      </c>
      <c r="DK36" s="170">
        <f t="shared" ref="DK36:EC36" si="22">SUM(DK33:DK35)</f>
        <v>0</v>
      </c>
      <c r="DL36" s="170">
        <f t="shared" si="22"/>
        <v>0</v>
      </c>
      <c r="DM36" s="170">
        <f t="shared" si="22"/>
        <v>0</v>
      </c>
      <c r="DN36" s="170">
        <f t="shared" si="22"/>
        <v>0</v>
      </c>
      <c r="DO36" s="170">
        <f t="shared" si="22"/>
        <v>0</v>
      </c>
      <c r="DP36" s="170">
        <f t="shared" si="22"/>
        <v>0</v>
      </c>
      <c r="DQ36" s="170">
        <f t="shared" si="22"/>
        <v>0</v>
      </c>
      <c r="DR36" s="170">
        <f t="shared" si="22"/>
        <v>0</v>
      </c>
      <c r="DS36" s="170">
        <f t="shared" si="22"/>
        <v>0</v>
      </c>
      <c r="DT36" s="170">
        <f t="shared" si="22"/>
        <v>0</v>
      </c>
      <c r="DU36" s="170">
        <f t="shared" si="22"/>
        <v>0</v>
      </c>
      <c r="DV36" s="170">
        <f t="shared" si="22"/>
        <v>0</v>
      </c>
      <c r="DW36" s="170">
        <f t="shared" si="22"/>
        <v>0</v>
      </c>
      <c r="DX36" s="170">
        <f t="shared" si="22"/>
        <v>0</v>
      </c>
      <c r="DY36" s="170">
        <f t="shared" si="22"/>
        <v>0</v>
      </c>
      <c r="DZ36" s="170">
        <f t="shared" si="22"/>
        <v>0</v>
      </c>
      <c r="EA36" s="170">
        <f t="shared" si="22"/>
        <v>0</v>
      </c>
      <c r="EB36" s="170">
        <f t="shared" si="22"/>
        <v>0</v>
      </c>
      <c r="EC36" s="170">
        <f t="shared" si="22"/>
        <v>0</v>
      </c>
      <c r="ED36" s="171">
        <f>SUM(ED33:ED35)</f>
        <v>0</v>
      </c>
      <c r="EE36" s="1"/>
      <c r="EF36" s="138" t="str">
        <f>IF(EF37='YearProForma&amp;Returns'!P42,"All Good","Needs A Fixin")</f>
        <v>Needs A Fixin</v>
      </c>
    </row>
    <row r="37" spans="11:138" x14ac:dyDescent="0.3">
      <c r="K37" s="1"/>
      <c r="L37" s="23" t="s">
        <v>15</v>
      </c>
      <c r="M37" s="1"/>
      <c r="N37" s="169">
        <f>IF(N3&lt;='A&amp;Rs'!$K$9,SUM(N6:N32,N36),0)</f>
        <v>-614304.45714285714</v>
      </c>
      <c r="O37" s="169">
        <f>IF(O3&lt;='A&amp;Rs'!$K$9,SUM(O31,O36),0)</f>
        <v>5660.4120009090966</v>
      </c>
      <c r="P37" s="169">
        <f>IF(P3&lt;='A&amp;Rs'!$K$9,SUM(P31,P36),0)</f>
        <v>2398.3020009090978</v>
      </c>
      <c r="Q37" s="169">
        <f>IF(Q3&lt;='A&amp;Rs'!$K$9,SUM(Q31,Q36),0)</f>
        <v>2398.3020009090978</v>
      </c>
      <c r="R37" s="169">
        <f>IF(R3&lt;='A&amp;Rs'!$K$9,SUM(R31,R36),0)</f>
        <v>4027.5140009090974</v>
      </c>
      <c r="S37" s="169">
        <f>IF(S3&lt;='A&amp;Rs'!$K$9,SUM(S31,S36),0)</f>
        <v>4027.5140009090974</v>
      </c>
      <c r="T37" s="169">
        <f>IF(T3&lt;='A&amp;Rs'!$K$9,SUM(T31,T36),0)</f>
        <v>2787.1750009090974</v>
      </c>
      <c r="U37" s="169">
        <f>IF(U3&lt;='A&amp;Rs'!$K$9,SUM(U31,U36),0)</f>
        <v>5636.4530009090977</v>
      </c>
      <c r="V37" s="169">
        <f>IF(V3&lt;='A&amp;Rs'!$K$9,SUM(V31,V36),0)</f>
        <v>2970.5535009090963</v>
      </c>
      <c r="W37" s="169">
        <f>IF(W3&lt;='A&amp;Rs'!$K$9,SUM(W31,W36),0)</f>
        <v>1429.8055009090967</v>
      </c>
      <c r="X37" s="169">
        <f>IF(X3&lt;='A&amp;Rs'!$K$9,SUM(X31,X36),0)</f>
        <v>1429.8055009090967</v>
      </c>
      <c r="Y37" s="169">
        <f>IF(Y3&lt;='A&amp;Rs'!$K$9,SUM(Y31,Y36),0)</f>
        <v>1429.8055009090967</v>
      </c>
      <c r="Z37" s="169">
        <f>IF(Z3&lt;='A&amp;Rs'!$K$9,SUM(Z31,Z36),0)</f>
        <v>4593.3150009090969</v>
      </c>
      <c r="AA37" s="169">
        <f>IF(AA3&lt;='A&amp;Rs'!$K$9,SUM(AA31,AA36),0)</f>
        <v>5051.6269059090973</v>
      </c>
      <c r="AB37" s="169">
        <f>IF(AB3&lt;='A&amp;Rs'!$K$9,SUM(AB31,AB36),0)</f>
        <v>5051.6269059090973</v>
      </c>
      <c r="AC37" s="169">
        <f>IF(AC3&lt;='A&amp;Rs'!$K$9,SUM(AC31,AC36),0)</f>
        <v>5051.6269059090973</v>
      </c>
      <c r="AD37" s="169">
        <f>IF(AD3&lt;='A&amp;Rs'!$K$9,SUM(AD31,AD36),0)</f>
        <v>5051.6269059090973</v>
      </c>
      <c r="AE37" s="169">
        <f>IF(AE3&lt;='A&amp;Rs'!$K$9,SUM(AE31,AE36),0)</f>
        <v>5051.6269059090973</v>
      </c>
      <c r="AF37" s="169">
        <f>IF(AF3&lt;='A&amp;Rs'!$K$9,SUM(AF31,AF36),0)</f>
        <v>9196.0915859090983</v>
      </c>
      <c r="AG37" s="169">
        <f>IF(AG3&lt;='A&amp;Rs'!$K$9,SUM(AG31,AG36),0)</f>
        <v>9196.0915859090983</v>
      </c>
      <c r="AH37" s="169">
        <f>IF(AH3&lt;='A&amp;Rs'!$K$9,SUM(AH31,AH36),0)</f>
        <v>9196.0915859090983</v>
      </c>
      <c r="AI37" s="169">
        <f>IF(AI3&lt;='A&amp;Rs'!$K$9,SUM(AI31,AI36),0)</f>
        <v>9196.0915859090983</v>
      </c>
      <c r="AJ37" s="169">
        <f>IF(AJ3&lt;='A&amp;Rs'!$K$9,SUM(AJ31,AJ36),0)</f>
        <v>9196.0915859090983</v>
      </c>
      <c r="AK37" s="169">
        <f>IF(AK3&lt;='A&amp;Rs'!$K$9,SUM(AK31,AK36),0)</f>
        <v>9196.0915859090983</v>
      </c>
      <c r="AL37" s="169">
        <f>IF(AL3&lt;='A&amp;Rs'!$K$9,SUM(AL31,AL36),0)</f>
        <v>9196.0915859090983</v>
      </c>
      <c r="AM37" s="169">
        <f>IF(AM3&lt;='A&amp;Rs'!$K$9,SUM(AM31,AM36),0)</f>
        <v>9504.2269366090932</v>
      </c>
      <c r="AN37" s="169">
        <f>IF(AN3&lt;='A&amp;Rs'!$K$9,SUM(AN31,AN36),0)</f>
        <v>9504.2269366090932</v>
      </c>
      <c r="AO37" s="169">
        <f>IF(AO3&lt;='A&amp;Rs'!$K$9,SUM(AO31,AO36),0)</f>
        <v>9504.2269366090932</v>
      </c>
      <c r="AP37" s="169">
        <f>IF(AP3&lt;='A&amp;Rs'!$K$9,SUM(AP31,AP36),0)</f>
        <v>9504.2269366090932</v>
      </c>
      <c r="AQ37" s="169">
        <f>IF(AQ3&lt;='A&amp;Rs'!$K$9,SUM(AQ31,AQ36),0)</f>
        <v>9504.2269366090932</v>
      </c>
      <c r="AR37" s="169">
        <f>IF(AR3&lt;='A&amp;Rs'!$K$9,SUM(AR31,AR36),0)</f>
        <v>9504.2269366090932</v>
      </c>
      <c r="AS37" s="169">
        <f>IF(AS3&lt;='A&amp;Rs'!$K$9,SUM(AS31,AS36),0)</f>
        <v>9504.2269366090932</v>
      </c>
      <c r="AT37" s="169">
        <f>IF(AT3&lt;='A&amp;Rs'!$K$9,SUM(AT31,AT36),0)</f>
        <v>9504.2269366090932</v>
      </c>
      <c r="AU37" s="169">
        <f>IF(AU3&lt;='A&amp;Rs'!$K$9,SUM(AU31,AU36),0)</f>
        <v>9504.2269366090932</v>
      </c>
      <c r="AV37" s="169">
        <f>IF(AV3&lt;='A&amp;Rs'!$K$9,SUM(AV31,AV36),0)</f>
        <v>9504.2269366090932</v>
      </c>
      <c r="AW37" s="169">
        <f>IF(AW3&lt;='A&amp;Rs'!$K$9,SUM(AW31,AW36),0)</f>
        <v>9504.2269366090932</v>
      </c>
      <c r="AX37" s="169">
        <f>IF(AX3&lt;='A&amp;Rs'!$K$9,SUM(AX31,AX36),0)</f>
        <v>9504.2269366090932</v>
      </c>
      <c r="AY37" s="169">
        <f>IF(AY3&lt;='A&amp;Rs'!$K$9,SUM(AY31,AY36),0)</f>
        <v>10018.250669680094</v>
      </c>
      <c r="AZ37" s="169">
        <f>IF(AZ3&lt;='A&amp;Rs'!$K$9,SUM(AZ31,AZ36),0)</f>
        <v>10018.250669680094</v>
      </c>
      <c r="BA37" s="169">
        <f>IF(BA3&lt;='A&amp;Rs'!$K$9,SUM(BA31,BA36),0)</f>
        <v>10018.250669680094</v>
      </c>
      <c r="BB37" s="169">
        <f>IF(BB3&lt;='A&amp;Rs'!$K$9,SUM(BB31,BB36),0)</f>
        <v>10018.250669680094</v>
      </c>
      <c r="BC37" s="169">
        <f>IF(BC3&lt;='A&amp;Rs'!$K$9,SUM(BC31,BC36),0)</f>
        <v>10018.250669680094</v>
      </c>
      <c r="BD37" s="169">
        <f>IF(BD3&lt;='A&amp;Rs'!$K$9,SUM(BD31,BD36),0)</f>
        <v>10018.250669680094</v>
      </c>
      <c r="BE37" s="169">
        <f>IF(BE3&lt;='A&amp;Rs'!$K$9,SUM(BE31,BE36),0)</f>
        <v>10018.250669680094</v>
      </c>
      <c r="BF37" s="169">
        <f>IF(BF3&lt;='A&amp;Rs'!$K$9,SUM(BF31,BF36),0)</f>
        <v>10018.250669680094</v>
      </c>
      <c r="BG37" s="169">
        <f>IF(BG3&lt;='A&amp;Rs'!$K$9,SUM(BG31,BG36),0)</f>
        <v>10018.250669680094</v>
      </c>
      <c r="BH37" s="169">
        <f>IF(BH3&lt;='A&amp;Rs'!$K$9,SUM(BH31,BH36),0)</f>
        <v>10018.250669680094</v>
      </c>
      <c r="BI37" s="169">
        <f>IF(BI3&lt;='A&amp;Rs'!$K$9,SUM(BI31,BI36),0)</f>
        <v>10018.250669680094</v>
      </c>
      <c r="BJ37" s="169">
        <f>IF(BJ3&lt;='A&amp;Rs'!$K$9,SUM(BJ31,BJ36),0)</f>
        <v>10018.250669680094</v>
      </c>
      <c r="BK37" s="169">
        <f>IF(BK3&lt;='A&amp;Rs'!$K$9,SUM(BK31,BK36),0)</f>
        <v>10547.695114743232</v>
      </c>
      <c r="BL37" s="169">
        <f>IF(BL3&lt;='A&amp;Rs'!$K$9,SUM(BL31,BL36),0)</f>
        <v>10547.695114743232</v>
      </c>
      <c r="BM37" s="169">
        <f>IF(BM3&lt;='A&amp;Rs'!$K$9,SUM(BM31,BM36),0)</f>
        <v>10547.695114743232</v>
      </c>
      <c r="BN37" s="169">
        <f>IF(BN3&lt;='A&amp;Rs'!$K$9,SUM(BN31,BN36),0)</f>
        <v>10547.695114743232</v>
      </c>
      <c r="BO37" s="169">
        <f>IF(BO3&lt;='A&amp;Rs'!$K$9,SUM(BO31,BO36),0)</f>
        <v>10547.695114743232</v>
      </c>
      <c r="BP37" s="169">
        <f>IF(BP3&lt;='A&amp;Rs'!$K$9,SUM(BP31,BP36),0)</f>
        <v>10547.695114743232</v>
      </c>
      <c r="BQ37" s="169">
        <f>IF(BQ3&lt;='A&amp;Rs'!$K$9,SUM(BQ31,BQ36),0)</f>
        <v>10547.695114743232</v>
      </c>
      <c r="BR37" s="169">
        <f>IF(BR3&lt;='A&amp;Rs'!$K$9,SUM(BR31,BR36),0)</f>
        <v>10547.695114743232</v>
      </c>
      <c r="BS37" s="169">
        <f>IF(BS3&lt;='A&amp;Rs'!$K$9,SUM(BS31,BS36),0)</f>
        <v>10547.695114743232</v>
      </c>
      <c r="BT37" s="169">
        <f>IF(BT3&lt;='A&amp;Rs'!$K$9,SUM(BT31,BT36),0)</f>
        <v>10547.695114743232</v>
      </c>
      <c r="BU37" s="169">
        <f>IF(BU3&lt;='A&amp;Rs'!$K$9,SUM(BU31,BU36),0)</f>
        <v>10547.695114743232</v>
      </c>
      <c r="BV37" s="169">
        <f>IF(BV3&lt;='A&amp;Rs'!$K$9,SUM(BV31,BV36),0)</f>
        <v>1977713.9226256083</v>
      </c>
      <c r="BW37" s="169">
        <f>IF(BW3&lt;='A&amp;Rs'!$K$9,SUM(BW31,BW36),0)</f>
        <v>0</v>
      </c>
      <c r="BX37" s="169">
        <f>IF(BX3&lt;='A&amp;Rs'!$K$9,SUM(BX31,BX36),0)</f>
        <v>0</v>
      </c>
      <c r="BY37" s="169">
        <f>IF(BY3&lt;='A&amp;Rs'!$K$9,SUM(BY31,BY36),0)</f>
        <v>0</v>
      </c>
      <c r="BZ37" s="169">
        <f>IF(BZ3&lt;='A&amp;Rs'!$K$9,SUM(BZ31,BZ36),0)</f>
        <v>0</v>
      </c>
      <c r="CA37" s="169">
        <f>IF(CA3&lt;='A&amp;Rs'!$K$9,SUM(CA31,CA36),0)</f>
        <v>0</v>
      </c>
      <c r="CB37" s="169">
        <f>IF(CB3&lt;='A&amp;Rs'!$K$9,SUM(CB31,CB36),0)</f>
        <v>0</v>
      </c>
      <c r="CC37" s="169">
        <f>IF(CC3&lt;='A&amp;Rs'!$K$9,SUM(CC31,CC36),0)</f>
        <v>0</v>
      </c>
      <c r="CD37" s="169">
        <f>IF(CD3&lt;='A&amp;Rs'!$K$9,SUM(CD31,CD36),0)</f>
        <v>0</v>
      </c>
      <c r="CE37" s="169">
        <f>IF(CE3&lt;='A&amp;Rs'!$K$9,SUM(CE31,CE36),0)</f>
        <v>0</v>
      </c>
      <c r="CF37" s="169">
        <f>IF(CF3&lt;='A&amp;Rs'!$K$9,SUM(CF31,CF36),0)</f>
        <v>0</v>
      </c>
      <c r="CG37" s="169">
        <f>IF(CG3&lt;='A&amp;Rs'!$K$9,SUM(CG31,CG36),0)</f>
        <v>0</v>
      </c>
      <c r="CH37" s="169">
        <f>IF(CH3&lt;='A&amp;Rs'!$K$9,SUM(CH31,CH36),0)</f>
        <v>0</v>
      </c>
      <c r="CI37" s="169">
        <f>IF(CI3&lt;='A&amp;Rs'!$K$9,SUM(CI31,CI36),0)</f>
        <v>0</v>
      </c>
      <c r="CJ37" s="169">
        <f>IF(CJ3&lt;='A&amp;Rs'!$K$9,SUM(CJ31,CJ36),0)</f>
        <v>0</v>
      </c>
      <c r="CK37" s="169">
        <f>IF(CK3&lt;='A&amp;Rs'!$K$9,SUM(CK31,CK36),0)</f>
        <v>0</v>
      </c>
      <c r="CL37" s="169">
        <f>IF(CL3&lt;='A&amp;Rs'!$K$9,SUM(CL31,CL36),0)</f>
        <v>0</v>
      </c>
      <c r="CM37" s="169">
        <f>IF(CM3&lt;='A&amp;Rs'!$K$9,SUM(CM31,CM36),0)</f>
        <v>0</v>
      </c>
      <c r="CN37" s="169">
        <f>IF(CN3&lt;='A&amp;Rs'!$K$9,SUM(CN31,CN36),0)</f>
        <v>0</v>
      </c>
      <c r="CO37" s="169">
        <f>IF(CO3&lt;='A&amp;Rs'!$K$9,SUM(CO31,CO36),0)</f>
        <v>0</v>
      </c>
      <c r="CP37" s="169">
        <f>IF(CP3&lt;='A&amp;Rs'!$K$9,SUM(CP31,CP36),0)</f>
        <v>0</v>
      </c>
      <c r="CQ37" s="169">
        <f>IF(CQ3&lt;='A&amp;Rs'!$K$9,SUM(CQ31,CQ36),0)</f>
        <v>0</v>
      </c>
      <c r="CR37" s="169">
        <f>IF(CR3&lt;='A&amp;Rs'!$K$9,SUM(CR31,CR36),0)</f>
        <v>0</v>
      </c>
      <c r="CS37" s="169">
        <f>IF(CS3&lt;='A&amp;Rs'!$K$9,SUM(CS31,CS36),0)</f>
        <v>0</v>
      </c>
      <c r="CT37" s="169">
        <f>IF(CT3&lt;='A&amp;Rs'!$K$9,SUM(CT31,CT36),0)</f>
        <v>0</v>
      </c>
      <c r="CU37" s="169">
        <f>IF(CU3&lt;='A&amp;Rs'!$K$9,SUM(CU31,CU36),0)</f>
        <v>0</v>
      </c>
      <c r="CV37" s="169">
        <f>IF(CV3&lt;='A&amp;Rs'!$K$9,SUM(CV31,CV36),0)</f>
        <v>0</v>
      </c>
      <c r="CW37" s="169">
        <f>IF(CW3&lt;='A&amp;Rs'!$K$9,SUM(CW31,CW36),0)</f>
        <v>0</v>
      </c>
      <c r="CX37" s="169">
        <f>IF(CX3&lt;='A&amp;Rs'!$K$9,SUM(CX31,CX36),0)</f>
        <v>0</v>
      </c>
      <c r="CY37" s="169">
        <f>IF(CY3&lt;='A&amp;Rs'!$K$9,SUM(CY31,CY36),0)</f>
        <v>0</v>
      </c>
      <c r="CZ37" s="169">
        <f>IF(CZ3&lt;='A&amp;Rs'!$K$9,SUM(CZ31,CZ36),0)</f>
        <v>0</v>
      </c>
      <c r="DA37" s="169">
        <f>IF(DA3&lt;='A&amp;Rs'!$K$9,SUM(DA31,DA36),0)</f>
        <v>0</v>
      </c>
      <c r="DB37" s="169">
        <f>IF(DB3&lt;='A&amp;Rs'!$K$9,SUM(DB31,DB36),0)</f>
        <v>0</v>
      </c>
      <c r="DC37" s="169">
        <f>IF(DC3&lt;='A&amp;Rs'!$K$9,SUM(DC31,DC36),0)</f>
        <v>0</v>
      </c>
      <c r="DD37" s="169">
        <f>IF(DD3&lt;='A&amp;Rs'!$K$9,SUM(DD31,DD36),0)</f>
        <v>0</v>
      </c>
      <c r="DE37" s="169">
        <f>IF(DE3&lt;='A&amp;Rs'!$K$9,SUM(DE31,DE36),0)</f>
        <v>0</v>
      </c>
      <c r="DF37" s="169">
        <f>IF(DF3&lt;='A&amp;Rs'!$K$9,SUM(DF31,DF36),0)</f>
        <v>0</v>
      </c>
      <c r="DG37" s="169">
        <f>IF(DG3&lt;='A&amp;Rs'!$K$9,SUM(DG31,DG36),0)</f>
        <v>0</v>
      </c>
      <c r="DH37" s="169">
        <f>IF(DH3&lt;='A&amp;Rs'!$K$9,SUM(DH31,DH36),0)</f>
        <v>0</v>
      </c>
      <c r="DI37" s="169">
        <f>IF(DI3&lt;='A&amp;Rs'!$K$9,SUM(DI31,DI36),0)</f>
        <v>0</v>
      </c>
      <c r="DJ37" s="169">
        <f>IF(DJ3&lt;='A&amp;Rs'!$K$9,SUM(DJ31,DJ36),0)</f>
        <v>0</v>
      </c>
      <c r="DK37" s="169">
        <f>IF(DK3&lt;='A&amp;Rs'!$K$9,SUM(DK31,DK36),0)</f>
        <v>0</v>
      </c>
      <c r="DL37" s="169">
        <f>IF(DL3&lt;='A&amp;Rs'!$K$9,SUM(DL31,DL36),0)</f>
        <v>0</v>
      </c>
      <c r="DM37" s="169">
        <f>IF(DM3&lt;='A&amp;Rs'!$K$9,SUM(DM31,DM36),0)</f>
        <v>0</v>
      </c>
      <c r="DN37" s="169">
        <f>IF(DN3&lt;='A&amp;Rs'!$K$9,SUM(DN31,DN36),0)</f>
        <v>0</v>
      </c>
      <c r="DO37" s="169">
        <f>IF(DO3&lt;='A&amp;Rs'!$K$9,SUM(DO31,DO36),0)</f>
        <v>0</v>
      </c>
      <c r="DP37" s="169">
        <f>IF(DP3&lt;='A&amp;Rs'!$K$9,SUM(DP31,DP36),0)</f>
        <v>0</v>
      </c>
      <c r="DQ37" s="169">
        <f>IF(DQ3&lt;='A&amp;Rs'!$K$9,SUM(DQ31,DQ36),0)</f>
        <v>0</v>
      </c>
      <c r="DR37" s="169">
        <f>IF(DR3&lt;='A&amp;Rs'!$K$9,SUM(DR31,DR36),0)</f>
        <v>0</v>
      </c>
      <c r="DS37" s="169">
        <f>IF(DS3&lt;='A&amp;Rs'!$K$9,SUM(DS31,DS36),0)</f>
        <v>0</v>
      </c>
      <c r="DT37" s="169">
        <f>IF(DT3&lt;='A&amp;Rs'!$K$9,SUM(DT31,DT36),0)</f>
        <v>0</v>
      </c>
      <c r="DU37" s="169">
        <f>IF(DU3&lt;='A&amp;Rs'!$K$9,SUM(DU31,DU36),0)</f>
        <v>0</v>
      </c>
      <c r="DV37" s="169">
        <f>IF(DV3&lt;='A&amp;Rs'!$K$9,SUM(DV31,DV36),0)</f>
        <v>0</v>
      </c>
      <c r="DW37" s="169">
        <f>IF(DW3&lt;='A&amp;Rs'!$K$9,SUM(DW31,DW36),0)</f>
        <v>0</v>
      </c>
      <c r="DX37" s="169">
        <f>IF(DX3&lt;='A&amp;Rs'!$K$9,SUM(DX31,DX36),0)</f>
        <v>0</v>
      </c>
      <c r="DY37" s="169">
        <f>IF(DY3&lt;='A&amp;Rs'!$K$9,SUM(DY31,DY36),0)</f>
        <v>0</v>
      </c>
      <c r="DZ37" s="169">
        <f>IF(DZ3&lt;='A&amp;Rs'!$K$9,SUM(DZ31,DZ36),0)</f>
        <v>0</v>
      </c>
      <c r="EA37" s="169">
        <f>IF(EA3&lt;='A&amp;Rs'!$K$9,SUM(EA31,EA36),0)</f>
        <v>0</v>
      </c>
      <c r="EB37" s="169">
        <f>IF(EB3&lt;='A&amp;Rs'!$K$9,SUM(EB31,EB36),0)</f>
        <v>0</v>
      </c>
      <c r="EC37" s="169">
        <f>IF(EC3&lt;='A&amp;Rs'!$K$9,SUM(EC31,EC36),0)</f>
        <v>0</v>
      </c>
      <c r="ED37" s="172">
        <f>IF(ED3&lt;='A&amp;Rs'!$K$9,SUM(ED31,ED36),0)</f>
        <v>0</v>
      </c>
      <c r="EE37" s="1"/>
      <c r="EF37" s="174">
        <f>SUM(N37:ED37)</f>
        <v>1842123.5756622145</v>
      </c>
      <c r="EH37" s="145"/>
    </row>
    <row r="38" spans="11:138" x14ac:dyDescent="0.3">
      <c r="K38" s="1"/>
      <c r="L38" s="23" t="s">
        <v>26</v>
      </c>
      <c r="M38" s="1"/>
      <c r="N38" s="24">
        <f>XIRR(N37:ED37,N5:ED5,$I$58)</f>
        <v>0.37093489746093755</v>
      </c>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3"/>
      <c r="EE38" s="1"/>
      <c r="EF38" s="1"/>
    </row>
    <row r="39" spans="11:138" x14ac:dyDescent="0.3">
      <c r="K39" s="1"/>
      <c r="L39" s="26" t="s">
        <v>22</v>
      </c>
      <c r="M39" s="21"/>
      <c r="N39" s="25">
        <f>SUMIF(N37:ED37,"&gt;0")/-SUMIF(N37:ED37,"&lt;0")</f>
        <v>3.9987143251897774</v>
      </c>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10"/>
      <c r="EE39" s="1"/>
      <c r="EF39" s="1"/>
    </row>
    <row r="40" spans="11:138" x14ac:dyDescent="0.3">
      <c r="K40" s="1"/>
      <c r="L40" s="1"/>
      <c r="M40" s="1"/>
      <c r="N40" s="13"/>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row>
    <row r="42" spans="11:138" x14ac:dyDescent="0.3">
      <c r="L42" s="145"/>
      <c r="M42" s="145"/>
    </row>
    <row r="43" spans="11:138" x14ac:dyDescent="0.3">
      <c r="L43" s="149"/>
      <c r="M43" s="149"/>
    </row>
    <row r="47" spans="11:138" x14ac:dyDescent="0.3">
      <c r="N47" s="150"/>
    </row>
    <row r="48" spans="11:138" x14ac:dyDescent="0.3">
      <c r="N48" s="151"/>
      <c r="Y48" s="145"/>
    </row>
    <row r="50" spans="8:25" x14ac:dyDescent="0.3">
      <c r="N50" s="145"/>
      <c r="O50" s="145"/>
      <c r="P50" s="145"/>
      <c r="Q50" s="145"/>
      <c r="R50" s="145"/>
      <c r="S50" s="145"/>
      <c r="T50" s="145"/>
      <c r="U50" s="145"/>
      <c r="V50" s="145"/>
      <c r="W50" s="145"/>
      <c r="X50" s="145"/>
      <c r="Y50" s="145"/>
    </row>
    <row r="51" spans="8:25" x14ac:dyDescent="0.3">
      <c r="N51" s="152"/>
    </row>
    <row r="52" spans="8:25" x14ac:dyDescent="0.3">
      <c r="K52" s="153"/>
      <c r="N52" s="145"/>
    </row>
    <row r="53" spans="8:25" x14ac:dyDescent="0.3">
      <c r="H53" s="29"/>
      <c r="K53" s="153"/>
      <c r="N53" s="153"/>
    </row>
    <row r="54" spans="8:25" x14ac:dyDescent="0.3">
      <c r="H54" s="29"/>
      <c r="I54" s="105"/>
      <c r="K54" s="153"/>
      <c r="N54" s="153"/>
    </row>
    <row r="55" spans="8:25" x14ac:dyDescent="0.3">
      <c r="H55" s="29"/>
      <c r="I55" s="105"/>
      <c r="K55" s="153"/>
      <c r="Q55" s="145"/>
      <c r="S55" s="145"/>
    </row>
    <row r="56" spans="8:25" x14ac:dyDescent="0.3">
      <c r="H56" s="32"/>
      <c r="I56" s="105"/>
      <c r="K56" s="153"/>
      <c r="Q56" s="145"/>
      <c r="S56" s="145"/>
    </row>
    <row r="57" spans="8:25" x14ac:dyDescent="0.3">
      <c r="K57" s="153"/>
    </row>
    <row r="58" spans="8:25" x14ac:dyDescent="0.3">
      <c r="H58" s="106"/>
      <c r="I58" s="107"/>
      <c r="K58" s="153"/>
      <c r="Q58" s="145"/>
      <c r="R58" s="145"/>
      <c r="S58" s="145"/>
    </row>
    <row r="59" spans="8:25" x14ac:dyDescent="0.3">
      <c r="H59" s="106"/>
      <c r="I59" s="107"/>
      <c r="K59" s="153"/>
    </row>
    <row r="60" spans="8:25" x14ac:dyDescent="0.3">
      <c r="H60" s="106"/>
      <c r="I60" s="107"/>
      <c r="K60" s="153"/>
    </row>
    <row r="61" spans="8:25" x14ac:dyDescent="0.3">
      <c r="H61" s="106"/>
      <c r="I61" s="107"/>
      <c r="K61" s="153"/>
    </row>
    <row r="62" spans="8:25" x14ac:dyDescent="0.3">
      <c r="H62" s="106"/>
      <c r="I62" s="107"/>
      <c r="K62" s="153"/>
    </row>
    <row r="63" spans="8:25" x14ac:dyDescent="0.3">
      <c r="H63" s="106"/>
      <c r="I63" s="107"/>
    </row>
    <row r="64" spans="8:25" x14ac:dyDescent="0.3">
      <c r="H64" s="106"/>
      <c r="I64" s="107"/>
    </row>
    <row r="65" spans="8:151" x14ac:dyDescent="0.3">
      <c r="H65" s="106"/>
      <c r="I65" s="107"/>
    </row>
    <row r="66" spans="8:151" x14ac:dyDescent="0.3">
      <c r="H66" s="106"/>
      <c r="I66" s="107"/>
      <c r="L66" s="153"/>
      <c r="M66" s="153"/>
    </row>
    <row r="67" spans="8:151" x14ac:dyDescent="0.3">
      <c r="H67" s="106"/>
      <c r="I67" s="107"/>
    </row>
    <row r="68" spans="8:151" x14ac:dyDescent="0.3">
      <c r="L68" s="153"/>
      <c r="M68" s="153"/>
    </row>
    <row r="72" spans="8:151" x14ac:dyDescent="0.3">
      <c r="EF72" s="146"/>
      <c r="EG72" s="146"/>
      <c r="EH72" s="146"/>
      <c r="EI72" s="146"/>
      <c r="EJ72" s="146"/>
    </row>
    <row r="73" spans="8:151" x14ac:dyDescent="0.3">
      <c r="EE73" s="146"/>
      <c r="EF73" s="147"/>
      <c r="EG73" s="147"/>
      <c r="EH73" s="147"/>
      <c r="EI73" s="147"/>
      <c r="EJ73" s="147"/>
    </row>
    <row r="74" spans="8:151" x14ac:dyDescent="0.3">
      <c r="EE74" s="143"/>
      <c r="EF74" s="94"/>
      <c r="EG74" s="94"/>
      <c r="EH74" s="94"/>
      <c r="EI74" s="94"/>
      <c r="EJ74" s="94"/>
    </row>
    <row r="75" spans="8:151" x14ac:dyDescent="0.3">
      <c r="EE75" s="143"/>
      <c r="EF75" s="143"/>
      <c r="EG75" s="143"/>
      <c r="EH75" s="143"/>
      <c r="EI75" s="143"/>
      <c r="EJ75" s="143"/>
      <c r="EK75" s="146"/>
      <c r="EL75" s="146"/>
      <c r="EM75" s="146"/>
      <c r="EN75" s="146"/>
      <c r="EO75" s="146"/>
      <c r="EP75" s="146"/>
      <c r="EQ75" s="146"/>
      <c r="ER75" s="146"/>
      <c r="ES75" s="146"/>
      <c r="ET75" s="146"/>
      <c r="EU75" s="146"/>
    </row>
    <row r="76" spans="8:151" x14ac:dyDescent="0.3">
      <c r="EE76" s="148"/>
      <c r="EF76" s="143"/>
      <c r="EG76" s="143"/>
      <c r="EH76" s="143"/>
      <c r="EI76" s="143"/>
      <c r="EJ76" s="143"/>
      <c r="EK76" s="147"/>
      <c r="EL76" s="147"/>
      <c r="EM76" s="147"/>
      <c r="EN76" s="147"/>
      <c r="EO76" s="147"/>
      <c r="EP76" s="147"/>
      <c r="EQ76" s="147"/>
      <c r="ER76" s="147"/>
      <c r="ES76" s="147"/>
      <c r="ET76" s="147"/>
      <c r="EU76" s="147"/>
    </row>
    <row r="77" spans="8:151" x14ac:dyDescent="0.3">
      <c r="EF77" s="143"/>
      <c r="EG77" s="143"/>
      <c r="EH77" s="143"/>
      <c r="EI77" s="143"/>
      <c r="EJ77" s="143"/>
      <c r="EK77" s="94"/>
      <c r="EL77" s="94"/>
      <c r="EM77" s="94"/>
      <c r="EN77" s="94"/>
      <c r="EO77" s="94"/>
      <c r="EP77" s="94"/>
      <c r="EQ77" s="94"/>
      <c r="ER77" s="94"/>
      <c r="ES77" s="94"/>
      <c r="ET77" s="94"/>
      <c r="EU77" s="94"/>
    </row>
    <row r="78" spans="8:151" x14ac:dyDescent="0.3">
      <c r="EK78" s="143"/>
      <c r="EL78" s="143"/>
      <c r="EM78" s="143"/>
      <c r="EN78" s="143"/>
      <c r="EO78" s="143"/>
      <c r="EP78" s="143"/>
      <c r="EQ78" s="143"/>
      <c r="ER78" s="143"/>
      <c r="ES78" s="143"/>
      <c r="ET78" s="143"/>
      <c r="EU78" s="143"/>
    </row>
    <row r="79" spans="8:151" x14ac:dyDescent="0.3">
      <c r="EF79" s="143"/>
      <c r="EG79" s="143"/>
      <c r="EH79" s="143"/>
      <c r="EI79" s="143"/>
      <c r="EJ79" s="143"/>
      <c r="EK79" s="143"/>
      <c r="EL79" s="143"/>
      <c r="EM79" s="143"/>
      <c r="EN79" s="143"/>
      <c r="EO79" s="143"/>
      <c r="EP79" s="143"/>
      <c r="EQ79" s="143"/>
      <c r="ER79" s="143"/>
      <c r="ES79" s="143"/>
      <c r="ET79" s="143"/>
      <c r="EU79" s="143"/>
    </row>
    <row r="80" spans="8:151" x14ac:dyDescent="0.3">
      <c r="EF80" s="143"/>
      <c r="EG80" s="143"/>
      <c r="EH80" s="143"/>
      <c r="EI80" s="143"/>
      <c r="EJ80" s="143"/>
      <c r="EK80" s="143"/>
      <c r="EL80" s="143"/>
      <c r="EM80" s="143"/>
      <c r="EN80" s="143"/>
      <c r="EO80" s="143"/>
      <c r="EP80" s="143"/>
      <c r="EQ80" s="143"/>
      <c r="ER80" s="143"/>
      <c r="ES80" s="143"/>
      <c r="ET80" s="143"/>
      <c r="EU80" s="143"/>
    </row>
    <row r="81" spans="136:151" x14ac:dyDescent="0.3">
      <c r="EF81" s="143"/>
      <c r="EG81" s="143"/>
      <c r="EH81" s="143"/>
      <c r="EI81" s="143"/>
      <c r="EJ81" s="143"/>
    </row>
    <row r="82" spans="136:151" x14ac:dyDescent="0.3">
      <c r="EF82" s="143"/>
      <c r="EG82" s="143"/>
      <c r="EH82" s="143"/>
      <c r="EI82" s="143"/>
      <c r="EJ82" s="143"/>
      <c r="EK82" s="143"/>
      <c r="EL82" s="143"/>
      <c r="EM82" s="143"/>
      <c r="EN82" s="143"/>
      <c r="EO82" s="143"/>
      <c r="EP82" s="143"/>
      <c r="EQ82" s="143"/>
      <c r="ER82" s="143"/>
      <c r="ES82" s="143"/>
      <c r="ET82" s="143"/>
      <c r="EU82" s="143"/>
    </row>
    <row r="83" spans="136:151" x14ac:dyDescent="0.3">
      <c r="EF83" s="143"/>
      <c r="EG83" s="143"/>
      <c r="EH83" s="143"/>
      <c r="EI83" s="143"/>
      <c r="EJ83" s="143"/>
      <c r="EK83" s="143"/>
      <c r="EL83" s="143"/>
      <c r="EM83" s="143"/>
      <c r="EN83" s="143"/>
      <c r="EO83" s="143"/>
      <c r="EP83" s="143"/>
      <c r="EQ83" s="143"/>
      <c r="ER83" s="143"/>
      <c r="ES83" s="143"/>
      <c r="ET83" s="143"/>
      <c r="EU83" s="143"/>
    </row>
    <row r="84" spans="136:151" x14ac:dyDescent="0.3">
      <c r="EF84" s="143"/>
      <c r="EG84" s="143"/>
      <c r="EH84" s="143"/>
      <c r="EI84" s="143"/>
      <c r="EJ84" s="143"/>
      <c r="EK84" s="143"/>
      <c r="EL84" s="143"/>
      <c r="EM84" s="143"/>
      <c r="EN84" s="143"/>
      <c r="EO84" s="143"/>
      <c r="EP84" s="143"/>
      <c r="EQ84" s="143"/>
      <c r="ER84" s="143"/>
      <c r="ES84" s="143"/>
      <c r="ET84" s="143"/>
      <c r="EU84" s="143"/>
    </row>
    <row r="85" spans="136:151" x14ac:dyDescent="0.3">
      <c r="EF85" s="143"/>
      <c r="EG85" s="143"/>
      <c r="EH85" s="143"/>
      <c r="EI85" s="143"/>
      <c r="EJ85" s="143"/>
      <c r="EK85" s="143"/>
      <c r="EL85" s="143"/>
      <c r="EM85" s="143"/>
      <c r="EN85" s="143"/>
      <c r="EO85" s="143"/>
      <c r="EP85" s="143"/>
      <c r="EQ85" s="143"/>
      <c r="ER85" s="143"/>
      <c r="ES85" s="143"/>
      <c r="ET85" s="143"/>
      <c r="EU85" s="143"/>
    </row>
    <row r="86" spans="136:151" x14ac:dyDescent="0.3">
      <c r="EF86" s="148"/>
      <c r="EG86" s="148"/>
      <c r="EH86" s="148"/>
      <c r="EI86" s="148"/>
      <c r="EJ86" s="148"/>
      <c r="EK86" s="143"/>
      <c r="EL86" s="143"/>
      <c r="EM86" s="143"/>
      <c r="EN86" s="143"/>
      <c r="EO86" s="143"/>
      <c r="EP86" s="143"/>
      <c r="EQ86" s="143"/>
      <c r="ER86" s="143"/>
      <c r="ES86" s="143"/>
      <c r="ET86" s="143"/>
      <c r="EU86" s="143"/>
    </row>
    <row r="87" spans="136:151" x14ac:dyDescent="0.3">
      <c r="EK87" s="143"/>
      <c r="EL87" s="143"/>
      <c r="EM87" s="143"/>
      <c r="EN87" s="143"/>
      <c r="EO87" s="143"/>
      <c r="EP87" s="143"/>
      <c r="EQ87" s="143"/>
      <c r="ER87" s="143"/>
      <c r="ES87" s="143"/>
      <c r="ET87" s="143"/>
      <c r="EU87" s="143"/>
    </row>
    <row r="88" spans="136:151" x14ac:dyDescent="0.3">
      <c r="EK88" s="143"/>
      <c r="EL88" s="143"/>
      <c r="EM88" s="143"/>
      <c r="EN88" s="143"/>
      <c r="EO88" s="143"/>
      <c r="EP88" s="143"/>
      <c r="EQ88" s="143"/>
      <c r="ER88" s="143"/>
      <c r="ES88" s="143"/>
      <c r="ET88" s="143"/>
      <c r="EU88" s="143"/>
    </row>
    <row r="89" spans="136:151" x14ac:dyDescent="0.3">
      <c r="EK89" s="148"/>
      <c r="EL89" s="148"/>
      <c r="EM89" s="148"/>
      <c r="EN89" s="148"/>
      <c r="EO89" s="148"/>
      <c r="EP89" s="148"/>
      <c r="EQ89" s="148"/>
      <c r="ER89" s="148"/>
      <c r="ES89" s="148"/>
      <c r="ET89" s="148"/>
      <c r="EU89" s="148"/>
    </row>
  </sheetData>
  <mergeCells count="2">
    <mergeCell ref="H3:I3"/>
    <mergeCell ref="H6:I6"/>
  </mergeCells>
  <pageMargins left="0.7" right="0.7" top="0.75" bottom="0.75" header="0.3" footer="0.3"/>
  <pageSetup scale="10"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sheetPr>
  <dimension ref="B1:Q47"/>
  <sheetViews>
    <sheetView zoomScale="90" zoomScaleNormal="90" workbookViewId="0"/>
  </sheetViews>
  <sheetFormatPr defaultColWidth="14.5546875" defaultRowHeight="14.4" x14ac:dyDescent="0.3"/>
  <cols>
    <col min="1" max="1" width="14.5546875" style="93"/>
    <col min="2" max="2" width="2.6640625" style="93" customWidth="1"/>
    <col min="3" max="3" width="19.88671875" style="93" customWidth="1"/>
    <col min="4" max="8" width="14.5546875" style="93"/>
    <col min="9" max="9" width="15.44140625" style="93" bestFit="1" customWidth="1"/>
    <col min="10" max="14" width="14.5546875" style="93"/>
    <col min="15" max="15" width="2.6640625" style="93" customWidth="1"/>
    <col min="16" max="16" width="23.44140625" style="93" bestFit="1" customWidth="1"/>
    <col min="17" max="17" width="2.6640625" style="93" customWidth="1"/>
    <col min="18" max="16384" width="14.5546875" style="93"/>
  </cols>
  <sheetData>
    <row r="1" spans="2:17" ht="15" thickBot="1" x14ac:dyDescent="0.35"/>
    <row r="2" spans="2:17" x14ac:dyDescent="0.3">
      <c r="B2" s="95"/>
      <c r="C2" s="96"/>
      <c r="D2" s="96"/>
      <c r="E2" s="96"/>
      <c r="F2" s="96"/>
      <c r="G2" s="96"/>
      <c r="H2" s="96"/>
      <c r="I2" s="96"/>
      <c r="J2" s="96"/>
      <c r="K2" s="96"/>
      <c r="L2" s="96"/>
      <c r="M2" s="96"/>
      <c r="N2" s="96"/>
      <c r="O2" s="96"/>
      <c r="P2" s="96"/>
      <c r="Q2" s="97"/>
    </row>
    <row r="3" spans="2:17" x14ac:dyDescent="0.3">
      <c r="B3" s="98"/>
      <c r="C3" s="286" t="s">
        <v>85</v>
      </c>
      <c r="D3" s="288"/>
      <c r="E3" s="288"/>
      <c r="F3" s="288"/>
      <c r="G3" s="288"/>
      <c r="H3" s="288"/>
      <c r="I3" s="288"/>
      <c r="J3" s="288"/>
      <c r="K3" s="288"/>
      <c r="L3" s="288"/>
      <c r="M3" s="288"/>
      <c r="N3" s="287"/>
      <c r="O3" s="1"/>
      <c r="P3" s="176"/>
      <c r="Q3" s="99"/>
    </row>
    <row r="4" spans="2:17" x14ac:dyDescent="0.3">
      <c r="B4" s="98"/>
      <c r="C4" s="154"/>
      <c r="D4" s="155">
        <v>0</v>
      </c>
      <c r="E4" s="155">
        <v>1</v>
      </c>
      <c r="F4" s="155">
        <v>2</v>
      </c>
      <c r="G4" s="155">
        <v>3</v>
      </c>
      <c r="H4" s="155">
        <v>4</v>
      </c>
      <c r="I4" s="155">
        <v>5</v>
      </c>
      <c r="J4" s="155">
        <v>6</v>
      </c>
      <c r="K4" s="155">
        <v>7</v>
      </c>
      <c r="L4" s="155">
        <v>8</v>
      </c>
      <c r="M4" s="155">
        <v>9</v>
      </c>
      <c r="N4" s="156">
        <v>10</v>
      </c>
      <c r="O4" s="1"/>
      <c r="P4" s="177" t="s">
        <v>143</v>
      </c>
      <c r="Q4" s="99"/>
    </row>
    <row r="5" spans="2:17" x14ac:dyDescent="0.3">
      <c r="B5" s="98"/>
      <c r="C5" s="2" t="str">
        <f>'Monthly Pro Forma'!L7</f>
        <v>Gross Rent</v>
      </c>
      <c r="D5" s="1"/>
      <c r="E5" s="56">
        <f>SUMIF('Monthly Pro Forma'!$O$3:$ED$3,E$4,'Monthly Pro Forma'!$O7:$ED7)</f>
        <v>177338</v>
      </c>
      <c r="F5" s="56">
        <f>SUMIF('Monthly Pro Forma'!$O$3:$ED$3,F$4,'Monthly Pro Forma'!$O7:$ED7)</f>
        <v>233587.47999999998</v>
      </c>
      <c r="G5" s="56">
        <f>SUMIF('Monthly Pro Forma'!$O$3:$ED$3,G$4,'Monthly Pro Forma'!$O7:$ED7)</f>
        <v>261196.5816</v>
      </c>
      <c r="H5" s="56">
        <f>SUMIF('Monthly Pro Forma'!$O$3:$ED$3,H$4,'Monthly Pro Forma'!$O7:$ED7)</f>
        <v>269032.47904800001</v>
      </c>
      <c r="I5" s="56">
        <f>SUMIF('Monthly Pro Forma'!$O$3:$ED$3,I$4,'Monthly Pro Forma'!$O7:$ED7)</f>
        <v>277103.45341944002</v>
      </c>
      <c r="J5" s="56">
        <f>SUMIF('Monthly Pro Forma'!$O$3:$ED$3,J$4,'Monthly Pro Forma'!$O7:$ED7)</f>
        <v>0</v>
      </c>
      <c r="K5" s="56">
        <f>SUMIF('Monthly Pro Forma'!$O$3:$ED$3,K$4,'Monthly Pro Forma'!$O7:$ED7)</f>
        <v>0</v>
      </c>
      <c r="L5" s="56">
        <f>SUMIF('Monthly Pro Forma'!$O$3:$ED$3,L$4,'Monthly Pro Forma'!$O7:$ED7)</f>
        <v>0</v>
      </c>
      <c r="M5" s="56">
        <f>SUMIF('Monthly Pro Forma'!$O$3:$ED$3,M$4,'Monthly Pro Forma'!$O7:$ED7)</f>
        <v>0</v>
      </c>
      <c r="N5" s="57">
        <f>SUMIF('Monthly Pro Forma'!$O$3:$ED$3,N$4,'Monthly Pro Forma'!$O7:$ED7)</f>
        <v>0</v>
      </c>
      <c r="O5" s="1"/>
      <c r="P5" s="13"/>
      <c r="Q5" s="99"/>
    </row>
    <row r="6" spans="2:17" x14ac:dyDescent="0.3">
      <c r="B6" s="98"/>
      <c r="C6" s="2" t="str">
        <f>'Monthly Pro Forma'!L8</f>
        <v>Vacancy / Credit Loss</v>
      </c>
      <c r="D6" s="1"/>
      <c r="E6" s="56">
        <f>SUMIF('Monthly Pro Forma'!$O$3:$ED$3,E$4,'Monthly Pro Forma'!$O8:$ED8)</f>
        <v>8866.9000000000015</v>
      </c>
      <c r="F6" s="56">
        <f>SUMIF('Monthly Pro Forma'!$O$3:$ED$3,F$4,'Monthly Pro Forma'!$O8:$ED8)</f>
        <v>11679.374</v>
      </c>
      <c r="G6" s="56">
        <f>SUMIF('Monthly Pro Forma'!$O$3:$ED$3,G$4,'Monthly Pro Forma'!$O8:$ED8)</f>
        <v>13059.829080000003</v>
      </c>
      <c r="H6" s="56">
        <f>SUMIF('Monthly Pro Forma'!$O$3:$ED$3,H$4,'Monthly Pro Forma'!$O8:$ED8)</f>
        <v>13451.623952399996</v>
      </c>
      <c r="I6" s="56">
        <f>SUMIF('Monthly Pro Forma'!$O$3:$ED$3,I$4,'Monthly Pro Forma'!$O8:$ED8)</f>
        <v>13855.172670972002</v>
      </c>
      <c r="J6" s="56">
        <f>SUMIF('Monthly Pro Forma'!$O$3:$ED$3,J$4,'Monthly Pro Forma'!$O8:$ED8)</f>
        <v>0</v>
      </c>
      <c r="K6" s="56">
        <f>SUMIF('Monthly Pro Forma'!$O$3:$ED$3,K$4,'Monthly Pro Forma'!$O8:$ED8)</f>
        <v>0</v>
      </c>
      <c r="L6" s="56">
        <f>SUMIF('Monthly Pro Forma'!$O$3:$ED$3,L$4,'Monthly Pro Forma'!$O8:$ED8)</f>
        <v>0</v>
      </c>
      <c r="M6" s="56">
        <f>SUMIF('Monthly Pro Forma'!$O$3:$ED$3,M$4,'Monthly Pro Forma'!$O8:$ED8)</f>
        <v>0</v>
      </c>
      <c r="N6" s="57">
        <f>SUMIF('Monthly Pro Forma'!$O$3:$ED$3,N$4,'Monthly Pro Forma'!$O8:$ED8)</f>
        <v>0</v>
      </c>
      <c r="O6" s="1"/>
      <c r="P6" s="1"/>
      <c r="Q6" s="99"/>
    </row>
    <row r="7" spans="2:17" x14ac:dyDescent="0.3">
      <c r="B7" s="98"/>
      <c r="C7" s="2" t="str">
        <f>'Monthly Pro Forma'!L9</f>
        <v>Effective Income</v>
      </c>
      <c r="D7" s="1"/>
      <c r="E7" s="56">
        <f>SUMIF('Monthly Pro Forma'!$O$3:$ED$3,E$4,'Monthly Pro Forma'!$O9:$ED9)</f>
        <v>168471.1</v>
      </c>
      <c r="F7" s="56">
        <f>SUMIF('Monthly Pro Forma'!$O$3:$ED$3,F$4,'Monthly Pro Forma'!$O9:$ED9)</f>
        <v>221908.10600000003</v>
      </c>
      <c r="G7" s="56">
        <f>SUMIF('Monthly Pro Forma'!$O$3:$ED$3,G$4,'Monthly Pro Forma'!$O9:$ED9)</f>
        <v>248136.75251999998</v>
      </c>
      <c r="H7" s="56">
        <f>SUMIF('Monthly Pro Forma'!$O$3:$ED$3,H$4,'Monthly Pro Forma'!$O9:$ED9)</f>
        <v>255580.85509559998</v>
      </c>
      <c r="I7" s="56">
        <f>SUMIF('Monthly Pro Forma'!$O$3:$ED$3,I$4,'Monthly Pro Forma'!$O9:$ED9)</f>
        <v>263248.28074846801</v>
      </c>
      <c r="J7" s="56">
        <f>SUMIF('Monthly Pro Forma'!$O$3:$ED$3,J$4,'Monthly Pro Forma'!$O9:$ED9)</f>
        <v>0</v>
      </c>
      <c r="K7" s="56">
        <f>SUMIF('Monthly Pro Forma'!$O$3:$ED$3,K$4,'Monthly Pro Forma'!$O9:$ED9)</f>
        <v>0</v>
      </c>
      <c r="L7" s="56">
        <f>SUMIF('Monthly Pro Forma'!$O$3:$ED$3,L$4,'Monthly Pro Forma'!$O9:$ED9)</f>
        <v>0</v>
      </c>
      <c r="M7" s="56">
        <f>SUMIF('Monthly Pro Forma'!$O$3:$ED$3,M$4,'Monthly Pro Forma'!$O9:$ED9)</f>
        <v>0</v>
      </c>
      <c r="N7" s="57">
        <f>SUMIF('Monthly Pro Forma'!$O$3:$ED$3,N$4,'Monthly Pro Forma'!$O9:$ED9)</f>
        <v>0</v>
      </c>
      <c r="O7" s="1"/>
      <c r="P7" s="1"/>
      <c r="Q7" s="99"/>
    </row>
    <row r="8" spans="2:17" x14ac:dyDescent="0.3">
      <c r="B8" s="98"/>
      <c r="C8" s="2"/>
      <c r="D8" s="1"/>
      <c r="E8" s="56"/>
      <c r="F8" s="56"/>
      <c r="G8" s="56"/>
      <c r="H8" s="56"/>
      <c r="I8" s="56"/>
      <c r="J8" s="56"/>
      <c r="K8" s="56"/>
      <c r="L8" s="56"/>
      <c r="M8" s="56"/>
      <c r="N8" s="57"/>
      <c r="O8" s="1"/>
      <c r="P8" s="1"/>
      <c r="Q8" s="99"/>
    </row>
    <row r="9" spans="2:17" x14ac:dyDescent="0.3">
      <c r="B9" s="98"/>
      <c r="C9" s="11" t="str">
        <f>'Monthly Pro Forma'!L11</f>
        <v>Operating Expenses</v>
      </c>
      <c r="D9" s="32"/>
      <c r="E9" s="56"/>
      <c r="F9" s="56"/>
      <c r="G9" s="56"/>
      <c r="H9" s="56"/>
      <c r="I9" s="56"/>
      <c r="J9" s="56"/>
      <c r="K9" s="56"/>
      <c r="L9" s="56"/>
      <c r="M9" s="56"/>
      <c r="N9" s="57"/>
      <c r="O9" s="1"/>
      <c r="P9" s="1"/>
      <c r="Q9" s="99"/>
    </row>
    <row r="10" spans="2:17" x14ac:dyDescent="0.3">
      <c r="B10" s="98"/>
      <c r="C10" s="64" t="str">
        <f>'Monthly Pro Forma'!L12</f>
        <v>One time unexpected cost in year 1</v>
      </c>
      <c r="D10" s="65"/>
      <c r="E10" s="56">
        <f>SUMIF('Monthly Pro Forma'!$O$3:$ED$3,E$4,'Monthly Pro Forma'!$O12:$ED12)</f>
        <v>-5300</v>
      </c>
      <c r="F10" s="56">
        <f>SUMIF('Monthly Pro Forma'!$O$3:$ED$3,F$4,'Monthly Pro Forma'!$O12:$ED12)</f>
        <v>0</v>
      </c>
      <c r="G10" s="56">
        <f>SUMIF('Monthly Pro Forma'!$O$3:$ED$3,G$4,'Monthly Pro Forma'!$O12:$ED12)</f>
        <v>0</v>
      </c>
      <c r="H10" s="56">
        <f>SUMIF('Monthly Pro Forma'!$O$3:$ED$3,H$4,'Monthly Pro Forma'!$O12:$ED12)</f>
        <v>0</v>
      </c>
      <c r="I10" s="56">
        <f>SUMIF('Monthly Pro Forma'!$O$3:$ED$3,I$4,'Monthly Pro Forma'!$O12:$ED12)</f>
        <v>0</v>
      </c>
      <c r="J10" s="56">
        <f>SUMIF('Monthly Pro Forma'!$O$3:$ED$3,J$4,'Monthly Pro Forma'!$O12:$ED12)</f>
        <v>0</v>
      </c>
      <c r="K10" s="56">
        <f>SUMIF('Monthly Pro Forma'!$O$3:$ED$3,K$4,'Monthly Pro Forma'!$O12:$ED12)</f>
        <v>0</v>
      </c>
      <c r="L10" s="56">
        <f>SUMIF('Monthly Pro Forma'!$O$3:$ED$3,L$4,'Monthly Pro Forma'!$O12:$ED12)</f>
        <v>0</v>
      </c>
      <c r="M10" s="56">
        <f>SUMIF('Monthly Pro Forma'!$O$3:$ED$3,M$4,'Monthly Pro Forma'!$O12:$ED12)</f>
        <v>0</v>
      </c>
      <c r="N10" s="57">
        <f>SUMIF('Monthly Pro Forma'!$O$3:$ED$3,N$4,'Monthly Pro Forma'!$O12:$ED12)</f>
        <v>0</v>
      </c>
      <c r="O10" s="1"/>
      <c r="P10" s="1"/>
      <c r="Q10" s="99"/>
    </row>
    <row r="11" spans="2:17" x14ac:dyDescent="0.3">
      <c r="B11" s="98"/>
      <c r="C11" s="64" t="s">
        <v>81</v>
      </c>
      <c r="D11" s="65"/>
      <c r="E11" s="56">
        <f>SUMIF('Monthly Pro Forma'!$O$3:$ED$3,E$4,'Monthly Pro Forma'!$O13:$ED13)</f>
        <v>-4848</v>
      </c>
      <c r="F11" s="56">
        <f>SUMIF('Monthly Pro Forma'!$O$3:$ED$3,F$4,'Monthly Pro Forma'!$O13:$ED13)</f>
        <v>-4993.4399999999996</v>
      </c>
      <c r="G11" s="56">
        <f>SUMIF('Monthly Pro Forma'!$O$3:$ED$3,G$4,'Monthly Pro Forma'!$O13:$ED13)</f>
        <v>-5143.2432000000008</v>
      </c>
      <c r="H11" s="56">
        <f>SUMIF('Monthly Pro Forma'!$O$3:$ED$3,H$4,'Monthly Pro Forma'!$O13:$ED13)</f>
        <v>-5297.5404959999987</v>
      </c>
      <c r="I11" s="56">
        <f>SUMIF('Monthly Pro Forma'!$O$3:$ED$3,I$4,'Monthly Pro Forma'!$O13:$ED13)</f>
        <v>-5456.4667108800013</v>
      </c>
      <c r="J11" s="56">
        <f>SUMIF('Monthly Pro Forma'!$O$3:$ED$3,J$4,'Monthly Pro Forma'!$O13:$ED13)</f>
        <v>0</v>
      </c>
      <c r="K11" s="56">
        <f>SUMIF('Monthly Pro Forma'!$O$3:$ED$3,K$4,'Monthly Pro Forma'!$O13:$ED13)</f>
        <v>0</v>
      </c>
      <c r="L11" s="56">
        <f>SUMIF('Monthly Pro Forma'!$O$3:$ED$3,L$4,'Monthly Pro Forma'!$O13:$ED13)</f>
        <v>0</v>
      </c>
      <c r="M11" s="56">
        <f>SUMIF('Monthly Pro Forma'!$O$3:$ED$3,M$4,'Monthly Pro Forma'!$O13:$ED13)</f>
        <v>0</v>
      </c>
      <c r="N11" s="57">
        <f>SUMIF('Monthly Pro Forma'!$O$3:$ED$3,N$4,'Monthly Pro Forma'!$O13:$ED13)</f>
        <v>0</v>
      </c>
      <c r="O11" s="1"/>
      <c r="P11" s="1"/>
      <c r="Q11" s="99"/>
    </row>
    <row r="12" spans="2:17" x14ac:dyDescent="0.3">
      <c r="B12" s="98"/>
      <c r="C12" s="64" t="str">
        <f>'Monthly Pro Forma'!L14</f>
        <v xml:space="preserve">Insurance </v>
      </c>
      <c r="D12" s="65"/>
      <c r="E12" s="56">
        <f>SUMIF('Monthly Pro Forma'!$O$3:$ED$3,E$4,'Monthly Pro Forma'!$O14:$ED14)</f>
        <v>-19380</v>
      </c>
      <c r="F12" s="56">
        <f>SUMIF('Monthly Pro Forma'!$O$3:$ED$3,F$4,'Monthly Pro Forma'!$O14:$ED14)</f>
        <v>-19961.400000000005</v>
      </c>
      <c r="G12" s="56">
        <f>SUMIF('Monthly Pro Forma'!$O$3:$ED$3,G$4,'Monthly Pro Forma'!$O14:$ED14)</f>
        <v>-20560.241999999998</v>
      </c>
      <c r="H12" s="56">
        <f>SUMIF('Monthly Pro Forma'!$O$3:$ED$3,H$4,'Monthly Pro Forma'!$O14:$ED14)</f>
        <v>-21177.04926</v>
      </c>
      <c r="I12" s="56">
        <f>SUMIF('Monthly Pro Forma'!$O$3:$ED$3,I$4,'Monthly Pro Forma'!$O14:$ED14)</f>
        <v>-21812.360737799998</v>
      </c>
      <c r="J12" s="56">
        <f>SUMIF('Monthly Pro Forma'!$O$3:$ED$3,J$4,'Monthly Pro Forma'!$O14:$ED14)</f>
        <v>0</v>
      </c>
      <c r="K12" s="56">
        <f>SUMIF('Monthly Pro Forma'!$O$3:$ED$3,K$4,'Monthly Pro Forma'!$O14:$ED14)</f>
        <v>0</v>
      </c>
      <c r="L12" s="56">
        <f>SUMIF('Monthly Pro Forma'!$O$3:$ED$3,L$4,'Monthly Pro Forma'!$O14:$ED14)</f>
        <v>0</v>
      </c>
      <c r="M12" s="56">
        <f>SUMIF('Monthly Pro Forma'!$O$3:$ED$3,M$4,'Monthly Pro Forma'!$O14:$ED14)</f>
        <v>0</v>
      </c>
      <c r="N12" s="57">
        <f>SUMIF('Monthly Pro Forma'!$O$3:$ED$3,N$4,'Monthly Pro Forma'!$O14:$ED14)</f>
        <v>0</v>
      </c>
      <c r="O12" s="1"/>
      <c r="P12" s="1"/>
      <c r="Q12" s="99"/>
    </row>
    <row r="13" spans="2:17" x14ac:dyDescent="0.3">
      <c r="B13" s="98"/>
      <c r="C13" s="64" t="str">
        <f>'Monthly Pro Forma'!L15</f>
        <v>Utilities</v>
      </c>
      <c r="D13" s="65"/>
      <c r="E13" s="56">
        <f>SUMIF('Monthly Pro Forma'!$O$3:$ED$3,E$4,'Monthly Pro Forma'!$O15:$ED15)</f>
        <v>-6864</v>
      </c>
      <c r="F13" s="56">
        <f>SUMIF('Monthly Pro Forma'!$O$3:$ED$3,F$4,'Monthly Pro Forma'!$O15:$ED15)</f>
        <v>-7069.9199999999992</v>
      </c>
      <c r="G13" s="56">
        <f>SUMIF('Monthly Pro Forma'!$O$3:$ED$3,G$4,'Monthly Pro Forma'!$O15:$ED15)</f>
        <v>-7282.0175999999983</v>
      </c>
      <c r="H13" s="56">
        <f>SUMIF('Monthly Pro Forma'!$O$3:$ED$3,H$4,'Monthly Pro Forma'!$O15:$ED15)</f>
        <v>-7500.4781279999997</v>
      </c>
      <c r="I13" s="56">
        <f>SUMIF('Monthly Pro Forma'!$O$3:$ED$3,I$4,'Monthly Pro Forma'!$O15:$ED15)</f>
        <v>-7725.4924718399998</v>
      </c>
      <c r="J13" s="56">
        <f>SUMIF('Monthly Pro Forma'!$O$3:$ED$3,J$4,'Monthly Pro Forma'!$O15:$ED15)</f>
        <v>0</v>
      </c>
      <c r="K13" s="56">
        <f>SUMIF('Monthly Pro Forma'!$O$3:$ED$3,K$4,'Monthly Pro Forma'!$O15:$ED15)</f>
        <v>0</v>
      </c>
      <c r="L13" s="56">
        <f>SUMIF('Monthly Pro Forma'!$O$3:$ED$3,L$4,'Monthly Pro Forma'!$O15:$ED15)</f>
        <v>0</v>
      </c>
      <c r="M13" s="56">
        <f>SUMIF('Monthly Pro Forma'!$O$3:$ED$3,M$4,'Monthly Pro Forma'!$O15:$ED15)</f>
        <v>0</v>
      </c>
      <c r="N13" s="57">
        <f>SUMIF('Monthly Pro Forma'!$O$3:$ED$3,N$4,'Monthly Pro Forma'!$O15:$ED15)</f>
        <v>0</v>
      </c>
      <c r="O13" s="1"/>
      <c r="P13" s="1"/>
      <c r="Q13" s="99"/>
    </row>
    <row r="14" spans="2:17" x14ac:dyDescent="0.3">
      <c r="B14" s="98"/>
      <c r="C14" s="64" t="str">
        <f>'Monthly Pro Forma'!L16</f>
        <v>Other Monthly Expense</v>
      </c>
      <c r="D14" s="65"/>
      <c r="E14" s="56">
        <f>SUMIF('Monthly Pro Forma'!$O$3:$ED$3,E$4,'Monthly Pro Forma'!$O16:$ED16)</f>
        <v>-1800</v>
      </c>
      <c r="F14" s="56">
        <f>SUMIF('Monthly Pro Forma'!$O$3:$ED$3,F$4,'Monthly Pro Forma'!$O16:$ED16)</f>
        <v>-1854</v>
      </c>
      <c r="G14" s="56">
        <f>SUMIF('Monthly Pro Forma'!$O$3:$ED$3,G$4,'Monthly Pro Forma'!$O16:$ED16)</f>
        <v>-1909.62</v>
      </c>
      <c r="H14" s="56">
        <f>SUMIF('Monthly Pro Forma'!$O$3:$ED$3,H$4,'Monthly Pro Forma'!$O16:$ED16)</f>
        <v>-1966.9086</v>
      </c>
      <c r="I14" s="56">
        <f>SUMIF('Monthly Pro Forma'!$O$3:$ED$3,I$4,'Monthly Pro Forma'!$O16:$ED16)</f>
        <v>-2025.9158579999996</v>
      </c>
      <c r="J14" s="56">
        <f>SUMIF('Monthly Pro Forma'!$O$3:$ED$3,J$4,'Monthly Pro Forma'!$O16:$ED16)</f>
        <v>0</v>
      </c>
      <c r="K14" s="56">
        <f>SUMIF('Monthly Pro Forma'!$O$3:$ED$3,K$4,'Monthly Pro Forma'!$O16:$ED16)</f>
        <v>0</v>
      </c>
      <c r="L14" s="56">
        <f>SUMIF('Monthly Pro Forma'!$O$3:$ED$3,L$4,'Monthly Pro Forma'!$O16:$ED16)</f>
        <v>0</v>
      </c>
      <c r="M14" s="56">
        <f>SUMIF('Monthly Pro Forma'!$O$3:$ED$3,M$4,'Monthly Pro Forma'!$O16:$ED16)</f>
        <v>0</v>
      </c>
      <c r="N14" s="57">
        <f>SUMIF('Monthly Pro Forma'!$O$3:$ED$3,N$4,'Monthly Pro Forma'!$O16:$ED16)</f>
        <v>0</v>
      </c>
      <c r="O14" s="1"/>
      <c r="P14" s="1"/>
      <c r="Q14" s="99"/>
    </row>
    <row r="15" spans="2:17" x14ac:dyDescent="0.3">
      <c r="B15" s="98"/>
      <c r="C15" s="64" t="str">
        <f>'Monthly Pro Forma'!L17</f>
        <v>Other Monthly Expense</v>
      </c>
      <c r="D15" s="65"/>
      <c r="E15" s="56">
        <f>SUMIF('Monthly Pro Forma'!$O$3:$ED$3,E$4,'Monthly Pro Forma'!$O17:$ED17)</f>
        <v>-1200</v>
      </c>
      <c r="F15" s="56">
        <f>SUMIF('Monthly Pro Forma'!$O$3:$ED$3,F$4,'Monthly Pro Forma'!$O17:$ED17)</f>
        <v>-1236</v>
      </c>
      <c r="G15" s="56">
        <f>SUMIF('Monthly Pro Forma'!$O$3:$ED$3,G$4,'Monthly Pro Forma'!$O17:$ED17)</f>
        <v>-1273.08</v>
      </c>
      <c r="H15" s="56">
        <f>SUMIF('Monthly Pro Forma'!$O$3:$ED$3,H$4,'Monthly Pro Forma'!$O17:$ED17)</f>
        <v>-1311.2724000000001</v>
      </c>
      <c r="I15" s="56">
        <f>SUMIF('Monthly Pro Forma'!$O$3:$ED$3,I$4,'Monthly Pro Forma'!$O17:$ED17)</f>
        <v>-1350.6105719999996</v>
      </c>
      <c r="J15" s="56">
        <f>SUMIF('Monthly Pro Forma'!$O$3:$ED$3,J$4,'Monthly Pro Forma'!$O17:$ED17)</f>
        <v>0</v>
      </c>
      <c r="K15" s="56">
        <f>SUMIF('Monthly Pro Forma'!$O$3:$ED$3,K$4,'Monthly Pro Forma'!$O17:$ED17)</f>
        <v>0</v>
      </c>
      <c r="L15" s="56">
        <f>SUMIF('Monthly Pro Forma'!$O$3:$ED$3,L$4,'Monthly Pro Forma'!$O17:$ED17)</f>
        <v>0</v>
      </c>
      <c r="M15" s="56">
        <f>SUMIF('Monthly Pro Forma'!$O$3:$ED$3,M$4,'Monthly Pro Forma'!$O17:$ED17)</f>
        <v>0</v>
      </c>
      <c r="N15" s="57">
        <f>SUMIF('Monthly Pro Forma'!$O$3:$ED$3,N$4,'Monthly Pro Forma'!$O17:$ED17)</f>
        <v>0</v>
      </c>
      <c r="O15" s="1"/>
      <c r="P15" s="1"/>
      <c r="Q15" s="99"/>
    </row>
    <row r="16" spans="2:17" x14ac:dyDescent="0.3">
      <c r="B16" s="98"/>
      <c r="C16" s="66" t="str">
        <f>'Monthly Pro Forma'!L18</f>
        <v>Total Operating Expenses</v>
      </c>
      <c r="D16" s="67"/>
      <c r="E16" s="56">
        <f>SUMIF('Monthly Pro Forma'!$O$3:$ED$3,E$4,'Monthly Pro Forma'!$O18:$ED18)</f>
        <v>-34092</v>
      </c>
      <c r="F16" s="56">
        <f>SUMIF('Monthly Pro Forma'!$O$3:$ED$3,F$4,'Monthly Pro Forma'!$O18:$ED18)</f>
        <v>-35114.76</v>
      </c>
      <c r="G16" s="56">
        <f>SUMIF('Monthly Pro Forma'!$O$3:$ED$3,G$4,'Monthly Pro Forma'!$O18:$ED18)</f>
        <v>-36168.202800000014</v>
      </c>
      <c r="H16" s="56">
        <f>SUMIF('Monthly Pro Forma'!$O$3:$ED$3,H$4,'Monthly Pro Forma'!$O18:$ED18)</f>
        <v>-37253.248884000001</v>
      </c>
      <c r="I16" s="56">
        <f>SUMIF('Monthly Pro Forma'!$O$3:$ED$3,I$4,'Monthly Pro Forma'!$O18:$ED18)</f>
        <v>-38370.846350519998</v>
      </c>
      <c r="J16" s="56">
        <f>SUMIF('Monthly Pro Forma'!$O$3:$ED$3,J$4,'Monthly Pro Forma'!$O18:$ED18)</f>
        <v>0</v>
      </c>
      <c r="K16" s="56">
        <f>SUMIF('Monthly Pro Forma'!$O$3:$ED$3,K$4,'Monthly Pro Forma'!$O18:$ED18)</f>
        <v>0</v>
      </c>
      <c r="L16" s="56">
        <f>SUMIF('Monthly Pro Forma'!$O$3:$ED$3,L$4,'Monthly Pro Forma'!$O18:$ED18)</f>
        <v>0</v>
      </c>
      <c r="M16" s="56">
        <f>SUMIF('Monthly Pro Forma'!$O$3:$ED$3,M$4,'Monthly Pro Forma'!$O18:$ED18)</f>
        <v>0</v>
      </c>
      <c r="N16" s="57">
        <f>SUMIF('Monthly Pro Forma'!$O$3:$ED$3,N$4,'Monthly Pro Forma'!$O18:$ED18)</f>
        <v>0</v>
      </c>
      <c r="O16" s="1"/>
      <c r="P16" s="173" t="s">
        <v>145</v>
      </c>
      <c r="Q16" s="99"/>
    </row>
    <row r="17" spans="2:17" x14ac:dyDescent="0.3">
      <c r="B17" s="98"/>
      <c r="C17" s="2"/>
      <c r="D17" s="1"/>
      <c r="E17" s="56"/>
      <c r="F17" s="56"/>
      <c r="G17" s="56"/>
      <c r="H17" s="56"/>
      <c r="I17" s="56"/>
      <c r="J17" s="56"/>
      <c r="K17" s="56"/>
      <c r="L17" s="56"/>
      <c r="M17" s="56"/>
      <c r="N17" s="57"/>
      <c r="O17" s="1"/>
      <c r="P17" s="138" t="str">
        <f>IF(P18='Monthly Pro Forma'!EF20,"All Good","Needs A Fixin")</f>
        <v>Needs A Fixin</v>
      </c>
      <c r="Q17" s="99"/>
    </row>
    <row r="18" spans="2:17" x14ac:dyDescent="0.3">
      <c r="B18" s="98"/>
      <c r="C18" s="2" t="str">
        <f>'Monthly Pro Forma'!L20</f>
        <v>NOI</v>
      </c>
      <c r="D18" s="1"/>
      <c r="E18" s="68">
        <f>SUM(E16,E7)</f>
        <v>134379.1</v>
      </c>
      <c r="F18" s="68">
        <f t="shared" ref="F18:N18" si="0">SUM(F16,F7)</f>
        <v>186793.34600000002</v>
      </c>
      <c r="G18" s="68">
        <f t="shared" si="0"/>
        <v>211968.54971999995</v>
      </c>
      <c r="H18" s="68">
        <f t="shared" si="0"/>
        <v>218327.60621159998</v>
      </c>
      <c r="I18" s="68">
        <f t="shared" si="0"/>
        <v>224877.434397948</v>
      </c>
      <c r="J18" s="68">
        <f t="shared" si="0"/>
        <v>0</v>
      </c>
      <c r="K18" s="68">
        <f t="shared" si="0"/>
        <v>0</v>
      </c>
      <c r="L18" s="68">
        <f t="shared" si="0"/>
        <v>0</v>
      </c>
      <c r="M18" s="68">
        <f t="shared" si="0"/>
        <v>0</v>
      </c>
      <c r="N18" s="69">
        <f t="shared" si="0"/>
        <v>0</v>
      </c>
      <c r="O18" s="1"/>
      <c r="P18" s="157">
        <f>SUMIF(E4:N4,'A&amp;Rs'!K9,E18:N18)*(1+'A&amp;Rs'!$N$23)</f>
        <v>231623.75742988646</v>
      </c>
      <c r="Q18" s="99"/>
    </row>
    <row r="19" spans="2:17" x14ac:dyDescent="0.3">
      <c r="B19" s="98"/>
      <c r="C19" s="2"/>
      <c r="D19" s="1"/>
      <c r="E19" s="56"/>
      <c r="F19" s="56"/>
      <c r="G19" s="56"/>
      <c r="H19" s="56"/>
      <c r="I19" s="56"/>
      <c r="J19" s="56"/>
      <c r="K19" s="56"/>
      <c r="L19" s="56"/>
      <c r="M19" s="56"/>
      <c r="N19" s="57"/>
      <c r="O19" s="1"/>
      <c r="P19" s="1"/>
      <c r="Q19" s="99"/>
    </row>
    <row r="20" spans="2:17" x14ac:dyDescent="0.3">
      <c r="B20" s="98"/>
      <c r="C20" s="2" t="str">
        <f>'Monthly Pro Forma'!L22</f>
        <v>Cap Ex Reserve</v>
      </c>
      <c r="D20" s="1"/>
      <c r="E20" s="56">
        <f>SUMIF('Monthly Pro Forma'!$O$3:$ED$3,E$4,'Monthly Pro Forma'!$O22:$ED22)</f>
        <v>-4031.373000000001</v>
      </c>
      <c r="F20" s="56">
        <f>SUMIF('Monthly Pro Forma'!$O$3:$ED$3,F$4,'Monthly Pro Forma'!$O22:$ED22)</f>
        <v>-5603.8003800000006</v>
      </c>
      <c r="G20" s="56">
        <f>SUMIF('Monthly Pro Forma'!$O$3:$ED$3,G$4,'Monthly Pro Forma'!$O22:$ED22)</f>
        <v>-6359.0564915999994</v>
      </c>
      <c r="H20" s="56">
        <f>SUMIF('Monthly Pro Forma'!$O$3:$ED$3,H$4,'Monthly Pro Forma'!$O22:$ED22)</f>
        <v>-6549.828186347997</v>
      </c>
      <c r="I20" s="56">
        <f>SUMIF('Monthly Pro Forma'!$O$3:$ED$3,I$4,'Monthly Pro Forma'!$O22:$ED22)</f>
        <v>-6746.3230319384411</v>
      </c>
      <c r="J20" s="56">
        <f>SUMIF('Monthly Pro Forma'!$O$3:$ED$3,J$4,'Monthly Pro Forma'!$O22:$ED22)</f>
        <v>0</v>
      </c>
      <c r="K20" s="56">
        <f>SUMIF('Monthly Pro Forma'!$O$3:$ED$3,K$4,'Monthly Pro Forma'!$O22:$ED22)</f>
        <v>0</v>
      </c>
      <c r="L20" s="56">
        <f>SUMIF('Monthly Pro Forma'!$O$3:$ED$3,L$4,'Monthly Pro Forma'!$O22:$ED22)</f>
        <v>0</v>
      </c>
      <c r="M20" s="56">
        <f>SUMIF('Monthly Pro Forma'!$O$3:$ED$3,M$4,'Monthly Pro Forma'!$O22:$ED22)</f>
        <v>0</v>
      </c>
      <c r="N20" s="57">
        <f>SUMIF('Monthly Pro Forma'!$O$3:$ED$3,N$4,'Monthly Pro Forma'!$O22:$ED22)</f>
        <v>0</v>
      </c>
      <c r="O20" s="1"/>
      <c r="P20" s="1"/>
      <c r="Q20" s="99"/>
    </row>
    <row r="21" spans="2:17" x14ac:dyDescent="0.3">
      <c r="B21" s="98"/>
      <c r="C21" s="2" t="str">
        <f>'Monthly Pro Forma'!L23</f>
        <v>CapEX - Redevelopment</v>
      </c>
      <c r="D21" s="1"/>
      <c r="E21" s="56">
        <f>SUMIF('Monthly Pro Forma'!$O$3:$ED$3,E$4,'Monthly Pro Forma'!$O23:$ED23)</f>
        <v>-130699.99999999999</v>
      </c>
      <c r="F21" s="56">
        <f>SUMIF('Monthly Pro Forma'!$O$3:$ED$3,F$4,'Monthly Pro Forma'!$O23:$ED23)</f>
        <v>-49975</v>
      </c>
      <c r="G21" s="56">
        <f>SUMIF('Monthly Pro Forma'!$O$3:$ED$3,G$4,'Monthly Pro Forma'!$O23:$ED23)</f>
        <v>0</v>
      </c>
      <c r="H21" s="56">
        <f>SUMIF('Monthly Pro Forma'!$O$3:$ED$3,H$4,'Monthly Pro Forma'!$O23:$ED23)</f>
        <v>0</v>
      </c>
      <c r="I21" s="56">
        <f>SUMIF('Monthly Pro Forma'!$O$3:$ED$3,I$4,'Monthly Pro Forma'!$O23:$ED23)</f>
        <v>0</v>
      </c>
      <c r="J21" s="56">
        <f>SUMIF('Monthly Pro Forma'!$O$3:$ED$3,J$4,'Monthly Pro Forma'!$O23:$ED23)</f>
        <v>0</v>
      </c>
      <c r="K21" s="56">
        <f>SUMIF('Monthly Pro Forma'!$O$3:$ED$3,K$4,'Monthly Pro Forma'!$O23:$ED23)</f>
        <v>0</v>
      </c>
      <c r="L21" s="56">
        <f>SUMIF('Monthly Pro Forma'!$O$3:$ED$3,L$4,'Monthly Pro Forma'!$O23:$ED23)</f>
        <v>0</v>
      </c>
      <c r="M21" s="56">
        <f>SUMIF('Monthly Pro Forma'!$O$3:$ED$3,M$4,'Monthly Pro Forma'!$O23:$ED23)</f>
        <v>0</v>
      </c>
      <c r="N21" s="57">
        <f>SUMIF('Monthly Pro Forma'!$O$3:$ED$3,N$4,'Monthly Pro Forma'!$O23:$ED23)</f>
        <v>0</v>
      </c>
      <c r="O21" s="1"/>
      <c r="P21" s="1"/>
      <c r="Q21" s="99"/>
    </row>
    <row r="22" spans="2:17" x14ac:dyDescent="0.3">
      <c r="B22" s="98"/>
      <c r="C22" s="2" t="str">
        <f>'Monthly Pro Forma'!L24</f>
        <v>Payout From Funds</v>
      </c>
      <c r="D22" s="1"/>
      <c r="E22" s="56">
        <f>SUMIF('Monthly Pro Forma'!$O$3:$ED$3,E$4,'Monthly Pro Forma'!$O24:$ED24)</f>
        <v>130699.99999999999</v>
      </c>
      <c r="F22" s="56">
        <f>SUMIF('Monthly Pro Forma'!$O$3:$ED$3,F$4,'Monthly Pro Forma'!$O24:$ED24)</f>
        <v>49975</v>
      </c>
      <c r="G22" s="56">
        <f>SUMIF('Monthly Pro Forma'!$O$3:$ED$3,G$4,'Monthly Pro Forma'!$O24:$ED24)</f>
        <v>0</v>
      </c>
      <c r="H22" s="56">
        <f>SUMIF('Monthly Pro Forma'!$O$3:$ED$3,H$4,'Monthly Pro Forma'!$O24:$ED24)</f>
        <v>0</v>
      </c>
      <c r="I22" s="56">
        <f>SUMIF('Monthly Pro Forma'!$O$3:$ED$3,I$4,'Monthly Pro Forma'!$O24:$ED24)</f>
        <v>0</v>
      </c>
      <c r="J22" s="56">
        <f>SUMIF('Monthly Pro Forma'!$O$3:$ED$3,J$4,'Monthly Pro Forma'!$O24:$ED24)</f>
        <v>0</v>
      </c>
      <c r="K22" s="56">
        <f>SUMIF('Monthly Pro Forma'!$O$3:$ED$3,K$4,'Monthly Pro Forma'!$O24:$ED24)</f>
        <v>0</v>
      </c>
      <c r="L22" s="56">
        <f>SUMIF('Monthly Pro Forma'!$O$3:$ED$3,L$4,'Monthly Pro Forma'!$O24:$ED24)</f>
        <v>0</v>
      </c>
      <c r="M22" s="56">
        <f>SUMIF('Monthly Pro Forma'!$O$3:$ED$3,M$4,'Monthly Pro Forma'!$O24:$ED24)</f>
        <v>0</v>
      </c>
      <c r="N22" s="57">
        <f>SUMIF('Monthly Pro Forma'!$O$3:$ED$3,N$4,'Monthly Pro Forma'!$O24:$ED24)</f>
        <v>0</v>
      </c>
      <c r="O22" s="1"/>
      <c r="P22" s="1"/>
      <c r="Q22" s="99"/>
    </row>
    <row r="23" spans="2:17" x14ac:dyDescent="0.3">
      <c r="B23" s="98"/>
      <c r="C23" s="2"/>
      <c r="D23" s="1"/>
      <c r="E23" s="56"/>
      <c r="F23" s="56"/>
      <c r="G23" s="56"/>
      <c r="H23" s="56"/>
      <c r="I23" s="56"/>
      <c r="J23" s="56"/>
      <c r="K23" s="56"/>
      <c r="L23" s="56"/>
      <c r="M23" s="56"/>
      <c r="N23" s="57"/>
      <c r="O23" s="1"/>
      <c r="P23" s="1"/>
      <c r="Q23" s="99"/>
    </row>
    <row r="24" spans="2:17" x14ac:dyDescent="0.3">
      <c r="B24" s="98"/>
      <c r="C24" s="11" t="str">
        <f>'Monthly Pro Forma'!L26</f>
        <v>Cash Flow from Operations</v>
      </c>
      <c r="D24" s="32"/>
      <c r="E24" s="68">
        <f>SUM(E18:E22)</f>
        <v>130347.727</v>
      </c>
      <c r="F24" s="68">
        <f t="shared" ref="F24:N24" si="1">SUM(F18:F22)</f>
        <v>181189.54562000002</v>
      </c>
      <c r="G24" s="68">
        <f t="shared" si="1"/>
        <v>205609.49322839995</v>
      </c>
      <c r="H24" s="68">
        <f t="shared" si="1"/>
        <v>211777.77802525199</v>
      </c>
      <c r="I24" s="68">
        <f t="shared" si="1"/>
        <v>218131.11136600957</v>
      </c>
      <c r="J24" s="68">
        <f t="shared" si="1"/>
        <v>0</v>
      </c>
      <c r="K24" s="68">
        <f t="shared" si="1"/>
        <v>0</v>
      </c>
      <c r="L24" s="68">
        <f t="shared" si="1"/>
        <v>0</v>
      </c>
      <c r="M24" s="68">
        <f t="shared" si="1"/>
        <v>0</v>
      </c>
      <c r="N24" s="69">
        <f t="shared" si="1"/>
        <v>0</v>
      </c>
      <c r="O24" s="1"/>
      <c r="P24" s="1"/>
      <c r="Q24" s="99"/>
    </row>
    <row r="25" spans="2:17" x14ac:dyDescent="0.3">
      <c r="B25" s="98"/>
      <c r="C25" s="70" t="s">
        <v>84</v>
      </c>
      <c r="D25" s="71"/>
      <c r="E25" s="110">
        <f>IF(E4='A&amp;Rs'!$K$9,$P$18/'A&amp;Rs'!$K$14,0)</f>
        <v>0</v>
      </c>
      <c r="F25" s="110">
        <f>IF(F4='A&amp;Rs'!$K$9,$P$18/'A&amp;Rs'!$K$14,0)</f>
        <v>0</v>
      </c>
      <c r="G25" s="110">
        <f>IF(G4='A&amp;Rs'!$K$9,$P$18/'A&amp;Rs'!$K$14,0)</f>
        <v>0</v>
      </c>
      <c r="H25" s="110">
        <f>IF(H4='A&amp;Rs'!$K$9,$P$18/'A&amp;Rs'!$K$14,0)</f>
        <v>0</v>
      </c>
      <c r="I25" s="110">
        <f>IF(I4='A&amp;Rs'!$K$9,$P$18/'A&amp;Rs'!$K$14,0)</f>
        <v>3308910.8204269493</v>
      </c>
      <c r="J25" s="110">
        <f>IF(J4='A&amp;Rs'!$K$9,$P$18/'A&amp;Rs'!$K$14,0)</f>
        <v>0</v>
      </c>
      <c r="K25" s="110">
        <f>IF(K4='A&amp;Rs'!$K$9,$P$18/'A&amp;Rs'!$K$14,0)</f>
        <v>0</v>
      </c>
      <c r="L25" s="110">
        <f>IF(L4='A&amp;Rs'!$K$9,$P$18/'A&amp;Rs'!$K$14,0)</f>
        <v>0</v>
      </c>
      <c r="M25" s="110">
        <f>IF(M4='A&amp;Rs'!$K$9,$P$18/'A&amp;Rs'!$K$14,0)</f>
        <v>0</v>
      </c>
      <c r="N25" s="72">
        <f>IF(N4='A&amp;Rs'!$K$9,$P$18/'A&amp;Rs'!$K$14,0)</f>
        <v>0</v>
      </c>
      <c r="O25" s="1"/>
      <c r="P25" s="1"/>
      <c r="Q25" s="99"/>
    </row>
    <row r="26" spans="2:17" x14ac:dyDescent="0.3">
      <c r="B26" s="98"/>
      <c r="C26" s="32"/>
      <c r="D26" s="32"/>
      <c r="E26" s="68"/>
      <c r="F26" s="68"/>
      <c r="G26" s="68"/>
      <c r="H26" s="68"/>
      <c r="I26" s="68"/>
      <c r="J26" s="68"/>
      <c r="K26" s="68"/>
      <c r="L26" s="68"/>
      <c r="M26" s="68"/>
      <c r="N26" s="109"/>
      <c r="O26" s="1"/>
      <c r="P26" s="1"/>
      <c r="Q26" s="99"/>
    </row>
    <row r="27" spans="2:17" x14ac:dyDescent="0.3">
      <c r="B27" s="98"/>
      <c r="C27" s="286" t="s">
        <v>83</v>
      </c>
      <c r="D27" s="288"/>
      <c r="E27" s="288"/>
      <c r="F27" s="288"/>
      <c r="G27" s="288"/>
      <c r="H27" s="288"/>
      <c r="I27" s="288"/>
      <c r="J27" s="288"/>
      <c r="K27" s="288"/>
      <c r="L27" s="288"/>
      <c r="M27" s="288"/>
      <c r="N27" s="287"/>
      <c r="O27" s="1"/>
      <c r="P27" s="1"/>
      <c r="Q27" s="99"/>
    </row>
    <row r="28" spans="2:17" x14ac:dyDescent="0.3">
      <c r="B28" s="98"/>
      <c r="C28" s="2" t="s">
        <v>83</v>
      </c>
      <c r="D28" s="1"/>
      <c r="E28" s="56">
        <f>SUM(E24:E27)</f>
        <v>130347.727</v>
      </c>
      <c r="F28" s="56">
        <f t="shared" ref="F28:M28" si="2">SUM(F24:F27)</f>
        <v>181189.54562000002</v>
      </c>
      <c r="G28" s="56">
        <f t="shared" si="2"/>
        <v>205609.49322839995</v>
      </c>
      <c r="H28" s="56">
        <f t="shared" si="2"/>
        <v>211777.77802525199</v>
      </c>
      <c r="I28" s="56">
        <f t="shared" si="2"/>
        <v>3527041.9317929586</v>
      </c>
      <c r="J28" s="56">
        <f t="shared" si="2"/>
        <v>0</v>
      </c>
      <c r="K28" s="56">
        <f t="shared" si="2"/>
        <v>0</v>
      </c>
      <c r="L28" s="56">
        <f t="shared" si="2"/>
        <v>0</v>
      </c>
      <c r="M28" s="56">
        <f t="shared" si="2"/>
        <v>0</v>
      </c>
      <c r="N28" s="57">
        <f>SUM(N24:N25)</f>
        <v>0</v>
      </c>
      <c r="O28" s="1"/>
      <c r="P28" s="1"/>
      <c r="Q28" s="99"/>
    </row>
    <row r="29" spans="2:17" x14ac:dyDescent="0.3">
      <c r="B29" s="98"/>
      <c r="C29" s="2" t="s">
        <v>79</v>
      </c>
      <c r="D29" s="58">
        <f>'A&amp;Rs'!K12</f>
        <v>0.11</v>
      </c>
      <c r="E29" s="59">
        <f>E28/(1+$D$29)^E4</f>
        <v>117430.38468468467</v>
      </c>
      <c r="F29" s="59">
        <f t="shared" ref="F29:N29" si="3">F28/(1+$D$29)^F4</f>
        <v>147057.49989448907</v>
      </c>
      <c r="G29" s="59">
        <f t="shared" si="3"/>
        <v>150339.88936226213</v>
      </c>
      <c r="H29" s="59">
        <f t="shared" si="3"/>
        <v>139504.58202083784</v>
      </c>
      <c r="I29" s="59">
        <f t="shared" si="3"/>
        <v>2093127.7185407556</v>
      </c>
      <c r="J29" s="59">
        <f t="shared" si="3"/>
        <v>0</v>
      </c>
      <c r="K29" s="59">
        <f t="shared" si="3"/>
        <v>0</v>
      </c>
      <c r="L29" s="59">
        <f t="shared" si="3"/>
        <v>0</v>
      </c>
      <c r="M29" s="59">
        <f t="shared" si="3"/>
        <v>0</v>
      </c>
      <c r="N29" s="60">
        <f t="shared" si="3"/>
        <v>0</v>
      </c>
      <c r="O29" s="1"/>
      <c r="P29" s="1"/>
      <c r="Q29" s="99"/>
    </row>
    <row r="30" spans="2:17" x14ac:dyDescent="0.3">
      <c r="B30" s="98"/>
      <c r="C30" s="2" t="s">
        <v>80</v>
      </c>
      <c r="D30" s="59">
        <f>SUM(E29:N29)</f>
        <v>2647460.0745030292</v>
      </c>
      <c r="E30" s="56"/>
      <c r="F30" s="56"/>
      <c r="G30" s="56"/>
      <c r="H30" s="56"/>
      <c r="I30" s="56"/>
      <c r="J30" s="56"/>
      <c r="K30" s="56"/>
      <c r="L30" s="56"/>
      <c r="M30" s="56"/>
      <c r="N30" s="57"/>
      <c r="O30" s="1"/>
      <c r="P30" s="1"/>
      <c r="Q30" s="99"/>
    </row>
    <row r="31" spans="2:17" x14ac:dyDescent="0.3">
      <c r="B31" s="98"/>
      <c r="C31" s="8" t="s">
        <v>132</v>
      </c>
      <c r="D31" s="61"/>
      <c r="E31" s="121">
        <f>IF(E24=0,"",E24/$D$30)</f>
        <v>4.9235011419187638E-2</v>
      </c>
      <c r="F31" s="121">
        <f t="shared" ref="F31:N31" si="4">IF(F24=0,"",F24/$D$30)</f>
        <v>6.8439009662501604E-2</v>
      </c>
      <c r="G31" s="121">
        <f t="shared" si="4"/>
        <v>7.7662925008225539E-2</v>
      </c>
      <c r="H31" s="121">
        <f t="shared" si="4"/>
        <v>7.9992812758472323E-2</v>
      </c>
      <c r="I31" s="121">
        <f t="shared" si="4"/>
        <v>8.2392597141226501E-2</v>
      </c>
      <c r="J31" s="121" t="str">
        <f t="shared" si="4"/>
        <v/>
      </c>
      <c r="K31" s="121" t="str">
        <f t="shared" si="4"/>
        <v/>
      </c>
      <c r="L31" s="121" t="str">
        <f t="shared" si="4"/>
        <v/>
      </c>
      <c r="M31" s="121" t="str">
        <f t="shared" si="4"/>
        <v/>
      </c>
      <c r="N31" s="122" t="str">
        <f t="shared" si="4"/>
        <v/>
      </c>
      <c r="O31" s="1"/>
      <c r="P31" s="1"/>
      <c r="Q31" s="99"/>
    </row>
    <row r="32" spans="2:17" x14ac:dyDescent="0.3">
      <c r="B32" s="98"/>
      <c r="C32" s="1"/>
      <c r="D32" s="1"/>
      <c r="E32" s="56"/>
      <c r="F32" s="56"/>
      <c r="G32" s="56"/>
      <c r="H32" s="56"/>
      <c r="I32" s="56"/>
      <c r="J32" s="56"/>
      <c r="K32" s="56"/>
      <c r="L32" s="56"/>
      <c r="M32" s="56"/>
      <c r="N32" s="56"/>
      <c r="O32" s="1"/>
      <c r="P32" s="1"/>
      <c r="Q32" s="99"/>
    </row>
    <row r="33" spans="2:17" x14ac:dyDescent="0.3">
      <c r="B33" s="98"/>
      <c r="C33" s="286" t="s">
        <v>86</v>
      </c>
      <c r="D33" s="288"/>
      <c r="E33" s="288"/>
      <c r="F33" s="288"/>
      <c r="G33" s="288"/>
      <c r="H33" s="288"/>
      <c r="I33" s="288"/>
      <c r="J33" s="288"/>
      <c r="K33" s="288"/>
      <c r="L33" s="288"/>
      <c r="M33" s="288"/>
      <c r="N33" s="287"/>
      <c r="O33" s="1"/>
      <c r="P33" s="1"/>
      <c r="Q33" s="99"/>
    </row>
    <row r="34" spans="2:17" x14ac:dyDescent="0.3">
      <c r="B34" s="98"/>
      <c r="C34" s="2" t="str">
        <f t="shared" ref="C34:N34" si="5">C24</f>
        <v>Cash Flow from Operations</v>
      </c>
      <c r="D34" s="56">
        <f t="shared" si="5"/>
        <v>0</v>
      </c>
      <c r="E34" s="56">
        <f t="shared" si="5"/>
        <v>130347.727</v>
      </c>
      <c r="F34" s="56">
        <f t="shared" si="5"/>
        <v>181189.54562000002</v>
      </c>
      <c r="G34" s="56">
        <f t="shared" si="5"/>
        <v>205609.49322839995</v>
      </c>
      <c r="H34" s="56">
        <f t="shared" si="5"/>
        <v>211777.77802525199</v>
      </c>
      <c r="I34" s="56">
        <f t="shared" si="5"/>
        <v>218131.11136600957</v>
      </c>
      <c r="J34" s="56">
        <f t="shared" si="5"/>
        <v>0</v>
      </c>
      <c r="K34" s="56">
        <f t="shared" si="5"/>
        <v>0</v>
      </c>
      <c r="L34" s="56">
        <f t="shared" si="5"/>
        <v>0</v>
      </c>
      <c r="M34" s="56">
        <f t="shared" si="5"/>
        <v>0</v>
      </c>
      <c r="N34" s="57">
        <f t="shared" si="5"/>
        <v>0</v>
      </c>
      <c r="O34" s="1"/>
      <c r="P34" s="1"/>
      <c r="Q34" s="99"/>
    </row>
    <row r="35" spans="2:17" x14ac:dyDescent="0.3">
      <c r="B35" s="98"/>
      <c r="C35" s="8" t="str">
        <f>'Monthly Pro Forma'!L28</f>
        <v>Loan Payments</v>
      </c>
      <c r="D35" s="62"/>
      <c r="E35" s="62">
        <f>SUMIF('Monthly Pro Forma'!$O$3:$ED$3,E$4,'Monthly Pro Forma'!$O28:$ED28)</f>
        <v>-91558.769989090841</v>
      </c>
      <c r="F35" s="62">
        <f>SUMIF('Monthly Pro Forma'!$O$3:$ED$3,F$4,'Monthly Pro Forma'!$O28:$ED28)</f>
        <v>-91558.769989090841</v>
      </c>
      <c r="G35" s="62">
        <f>SUMIF('Monthly Pro Forma'!$O$3:$ED$3,G$4,'Monthly Pro Forma'!$O28:$ED28)</f>
        <v>-91558.769989090841</v>
      </c>
      <c r="H35" s="62">
        <f>SUMIF('Monthly Pro Forma'!$O$3:$ED$3,H$4,'Monthly Pro Forma'!$O28:$ED28)</f>
        <v>-91558.769989090841</v>
      </c>
      <c r="I35" s="62">
        <f>SUMIF('Monthly Pro Forma'!$O$3:$ED$3,I$4,'Monthly Pro Forma'!$O28:$ED28)</f>
        <v>-91558.769989090841</v>
      </c>
      <c r="J35" s="62">
        <f>SUMIF('Monthly Pro Forma'!$O$3:$ED$3,J$4,'Monthly Pro Forma'!$O28:$ED28)</f>
        <v>0</v>
      </c>
      <c r="K35" s="62">
        <f>SUMIF('Monthly Pro Forma'!$O$3:$ED$3,K$4,'Monthly Pro Forma'!$O28:$ED28)</f>
        <v>0</v>
      </c>
      <c r="L35" s="62">
        <f>SUMIF('Monthly Pro Forma'!$O$3:$ED$3,L$4,'Monthly Pro Forma'!$O28:$ED28)</f>
        <v>0</v>
      </c>
      <c r="M35" s="62">
        <f>SUMIF('Monthly Pro Forma'!$O$3:$ED$3,M$4,'Monthly Pro Forma'!$O28:$ED28)</f>
        <v>0</v>
      </c>
      <c r="N35" s="63">
        <f>SUMIF('Monthly Pro Forma'!$O$3:$ED$3,N$4,'Monthly Pro Forma'!$O28:$ED28)</f>
        <v>0</v>
      </c>
      <c r="O35" s="1"/>
      <c r="P35" s="1"/>
      <c r="Q35" s="99"/>
    </row>
    <row r="36" spans="2:17" s="158" customFormat="1" x14ac:dyDescent="0.3">
      <c r="B36" s="159"/>
      <c r="C36" s="11" t="str">
        <f>'Monthly Pro Forma'!L31</f>
        <v>Cash Flow After Financing</v>
      </c>
      <c r="D36" s="56"/>
      <c r="E36" s="68">
        <f t="shared" ref="E36:N36" si="6">SUM(E35,E24)</f>
        <v>38788.957010909158</v>
      </c>
      <c r="F36" s="68">
        <f t="shared" si="6"/>
        <v>89630.775630909178</v>
      </c>
      <c r="G36" s="68">
        <f t="shared" si="6"/>
        <v>114050.72323930911</v>
      </c>
      <c r="H36" s="68">
        <f t="shared" si="6"/>
        <v>120219.00803616115</v>
      </c>
      <c r="I36" s="68">
        <f t="shared" si="6"/>
        <v>126572.34137691873</v>
      </c>
      <c r="J36" s="68">
        <f t="shared" si="6"/>
        <v>0</v>
      </c>
      <c r="K36" s="68">
        <f t="shared" si="6"/>
        <v>0</v>
      </c>
      <c r="L36" s="68">
        <f t="shared" si="6"/>
        <v>0</v>
      </c>
      <c r="M36" s="68">
        <f t="shared" si="6"/>
        <v>0</v>
      </c>
      <c r="N36" s="69">
        <f t="shared" si="6"/>
        <v>0</v>
      </c>
      <c r="O36" s="32"/>
      <c r="P36" s="32"/>
      <c r="Q36" s="160"/>
    </row>
    <row r="37" spans="2:17" x14ac:dyDescent="0.3">
      <c r="B37" s="98"/>
      <c r="C37" s="2" t="str">
        <f>'Monthly Pro Forma'!L33</f>
        <v>Sales Price</v>
      </c>
      <c r="D37" s="56"/>
      <c r="E37" s="56">
        <f>SUMIF('Monthly Pro Forma'!$O$3:$ED$3,E$4,'Monthly Pro Forma'!$O33:$ED33)</f>
        <v>0</v>
      </c>
      <c r="F37" s="56">
        <f>SUMIF('Monthly Pro Forma'!$O$3:$ED$3,F$4,'Monthly Pro Forma'!$O33:$ED33)</f>
        <v>0</v>
      </c>
      <c r="G37" s="56">
        <f>SUMIF('Monthly Pro Forma'!$O$3:$ED$3,G$4,'Monthly Pro Forma'!$O33:$ED33)</f>
        <v>0</v>
      </c>
      <c r="H37" s="56">
        <f>SUMIF('Monthly Pro Forma'!$O$3:$ED$3,H$4,'Monthly Pro Forma'!$O33:$ED33)</f>
        <v>0</v>
      </c>
      <c r="I37" s="56">
        <f>SUMIF('Monthly Pro Forma'!$O$3:$ED$3,I$4,'Monthly Pro Forma'!$O33:$ED33)</f>
        <v>3308910.8204269507</v>
      </c>
      <c r="J37" s="56">
        <f>SUMIF('Monthly Pro Forma'!$O$3:$ED$3,J$4,'Monthly Pro Forma'!$O33:$ED33)</f>
        <v>0</v>
      </c>
      <c r="K37" s="56">
        <f>SUMIF('Monthly Pro Forma'!$O$3:$ED$3,K$4,'Monthly Pro Forma'!$O33:$ED33)</f>
        <v>0</v>
      </c>
      <c r="L37" s="56">
        <f>SUMIF('Monthly Pro Forma'!$O$3:$ED$3,L$4,'Monthly Pro Forma'!$O33:$ED33)</f>
        <v>0</v>
      </c>
      <c r="M37" s="56">
        <f>SUMIF('Monthly Pro Forma'!$O$3:$ED$3,M$4,'Monthly Pro Forma'!$O33:$ED33)</f>
        <v>0</v>
      </c>
      <c r="N37" s="57">
        <f>SUMIF('Monthly Pro Forma'!$O$3:$ED$3,N$4,'Monthly Pro Forma'!$O33:$ED33)</f>
        <v>0</v>
      </c>
      <c r="O37" s="1"/>
      <c r="P37" s="1"/>
      <c r="Q37" s="99"/>
    </row>
    <row r="38" spans="2:17" x14ac:dyDescent="0.3">
      <c r="B38" s="98"/>
      <c r="C38" s="2" t="str">
        <f>'Monthly Pro Forma'!L34</f>
        <v>Loan Repayment</v>
      </c>
      <c r="D38" s="56"/>
      <c r="E38" s="56">
        <f>SUMIF('Monthly Pro Forma'!$O$3:$ED$3,E$4,'Monthly Pro Forma'!$O34:$ED34)</f>
        <v>0</v>
      </c>
      <c r="F38" s="56">
        <f>SUMIF('Monthly Pro Forma'!$O$3:$ED$3,F$4,'Monthly Pro Forma'!$O34:$ED34)</f>
        <v>0</v>
      </c>
      <c r="G38" s="56">
        <f>SUMIF('Monthly Pro Forma'!$O$3:$ED$3,G$4,'Monthly Pro Forma'!$O34:$ED34)</f>
        <v>0</v>
      </c>
      <c r="H38" s="56">
        <f>SUMIF('Monthly Pro Forma'!$O$3:$ED$3,H$4,'Monthly Pro Forma'!$O34:$ED34)</f>
        <v>0</v>
      </c>
      <c r="I38" s="56">
        <f>SUMIF('Monthly Pro Forma'!$O$3:$ED$3,I$4,'Monthly Pro Forma'!$O34:$ED34)</f>
        <v>-1242477.2683032772</v>
      </c>
      <c r="J38" s="56">
        <f>SUMIF('Monthly Pro Forma'!$O$3:$ED$3,J$4,'Monthly Pro Forma'!$O34:$ED34)</f>
        <v>0</v>
      </c>
      <c r="K38" s="56">
        <f>SUMIF('Monthly Pro Forma'!$O$3:$ED$3,K$4,'Monthly Pro Forma'!$O34:$ED34)</f>
        <v>0</v>
      </c>
      <c r="L38" s="56">
        <f>SUMIF('Monthly Pro Forma'!$O$3:$ED$3,L$4,'Monthly Pro Forma'!$O34:$ED34)</f>
        <v>0</v>
      </c>
      <c r="M38" s="56">
        <f>SUMIF('Monthly Pro Forma'!$O$3:$ED$3,M$4,'Monthly Pro Forma'!$O34:$ED34)</f>
        <v>0</v>
      </c>
      <c r="N38" s="57">
        <f>SUMIF('Monthly Pro Forma'!$O$3:$ED$3,N$4,'Monthly Pro Forma'!$O34:$ED34)</f>
        <v>0</v>
      </c>
      <c r="O38" s="1"/>
      <c r="P38" s="1"/>
      <c r="Q38" s="99"/>
    </row>
    <row r="39" spans="2:17" x14ac:dyDescent="0.3">
      <c r="B39" s="98"/>
      <c r="C39" s="2" t="str">
        <f>'Monthly Pro Forma'!L35</f>
        <v>Selling Costs</v>
      </c>
      <c r="D39" s="56"/>
      <c r="E39" s="56">
        <f>SUMIF('Monthly Pro Forma'!$O$3:$ED$3,E$4,'Monthly Pro Forma'!$O35:$ED35)</f>
        <v>0</v>
      </c>
      <c r="F39" s="56">
        <f>SUMIF('Monthly Pro Forma'!$O$3:$ED$3,F$4,'Monthly Pro Forma'!$O35:$ED35)</f>
        <v>0</v>
      </c>
      <c r="G39" s="56">
        <f>SUMIF('Monthly Pro Forma'!$O$3:$ED$3,G$4,'Monthly Pro Forma'!$O35:$ED35)</f>
        <v>0</v>
      </c>
      <c r="H39" s="56">
        <f>SUMIF('Monthly Pro Forma'!$O$3:$ED$3,H$4,'Monthly Pro Forma'!$O35:$ED35)</f>
        <v>0</v>
      </c>
      <c r="I39" s="56">
        <f>SUMIF('Monthly Pro Forma'!$O$3:$ED$3,I$4,'Monthly Pro Forma'!$O35:$ED35)</f>
        <v>-99267.324612808516</v>
      </c>
      <c r="J39" s="56">
        <f>SUMIF('Monthly Pro Forma'!$O$3:$ED$3,J$4,'Monthly Pro Forma'!$O35:$ED35)</f>
        <v>0</v>
      </c>
      <c r="K39" s="56">
        <f>SUMIF('Monthly Pro Forma'!$O$3:$ED$3,K$4,'Monthly Pro Forma'!$O35:$ED35)</f>
        <v>0</v>
      </c>
      <c r="L39" s="56">
        <f>SUMIF('Monthly Pro Forma'!$O$3:$ED$3,L$4,'Monthly Pro Forma'!$O35:$ED35)</f>
        <v>0</v>
      </c>
      <c r="M39" s="56">
        <f>SUMIF('Monthly Pro Forma'!$O$3:$ED$3,M$4,'Monthly Pro Forma'!$O35:$ED35)</f>
        <v>0</v>
      </c>
      <c r="N39" s="57">
        <f>SUMIF('Monthly Pro Forma'!$O$3:$ED$3,N$4,'Monthly Pro Forma'!$O35:$ED35)</f>
        <v>0</v>
      </c>
      <c r="O39" s="1"/>
      <c r="P39" s="1"/>
      <c r="Q39" s="99"/>
    </row>
    <row r="40" spans="2:17" x14ac:dyDescent="0.3">
      <c r="B40" s="98"/>
      <c r="C40" s="2" t="str">
        <f>'Monthly Pro Forma'!L36</f>
        <v>Sale Proceeds</v>
      </c>
      <c r="D40" s="56"/>
      <c r="E40" s="56">
        <f>SUMIF('Monthly Pro Forma'!$O$3:$ED$3,E$4,'Monthly Pro Forma'!$O36:$ED36)</f>
        <v>0</v>
      </c>
      <c r="F40" s="56">
        <f>SUMIF('Monthly Pro Forma'!$O$3:$ED$3,F$4,'Monthly Pro Forma'!$O36:$ED36)</f>
        <v>0</v>
      </c>
      <c r="G40" s="56">
        <f>SUMIF('Monthly Pro Forma'!$O$3:$ED$3,G$4,'Monthly Pro Forma'!$O36:$ED36)</f>
        <v>0</v>
      </c>
      <c r="H40" s="56">
        <f>SUMIF('Monthly Pro Forma'!$O$3:$ED$3,H$4,'Monthly Pro Forma'!$O36:$ED36)</f>
        <v>0</v>
      </c>
      <c r="I40" s="56">
        <f>SUMIF('Monthly Pro Forma'!$O$3:$ED$3,I$4,'Monthly Pro Forma'!$O36:$ED36)</f>
        <v>1967166.2275108651</v>
      </c>
      <c r="J40" s="56">
        <f>SUMIF('Monthly Pro Forma'!$O$3:$ED$3,J$4,'Monthly Pro Forma'!$O36:$ED36)</f>
        <v>0</v>
      </c>
      <c r="K40" s="56">
        <f>SUMIF('Monthly Pro Forma'!$O$3:$ED$3,K$4,'Monthly Pro Forma'!$O36:$ED36)</f>
        <v>0</v>
      </c>
      <c r="L40" s="56">
        <f>SUMIF('Monthly Pro Forma'!$O$3:$ED$3,L$4,'Monthly Pro Forma'!$O36:$ED36)</f>
        <v>0</v>
      </c>
      <c r="M40" s="56">
        <f>SUMIF('Monthly Pro Forma'!$O$3:$ED$3,M$4,'Monthly Pro Forma'!$O36:$ED36)</f>
        <v>0</v>
      </c>
      <c r="N40" s="57">
        <f>SUMIF('Monthly Pro Forma'!$O$3:$ED$3,N$4,'Monthly Pro Forma'!$O36:$ED36)</f>
        <v>0</v>
      </c>
      <c r="O40" s="1"/>
      <c r="P40" s="173" t="s">
        <v>137</v>
      </c>
      <c r="Q40" s="99"/>
    </row>
    <row r="41" spans="2:17" x14ac:dyDescent="0.3">
      <c r="B41" s="98"/>
      <c r="C41" s="2" t="s">
        <v>0</v>
      </c>
      <c r="D41" s="56">
        <f>-'A&amp;Rs'!K27</f>
        <v>-614304.45714285714</v>
      </c>
      <c r="E41" s="56"/>
      <c r="F41" s="56"/>
      <c r="G41" s="56"/>
      <c r="H41" s="56"/>
      <c r="I41" s="56"/>
      <c r="J41" s="56"/>
      <c r="K41" s="56"/>
      <c r="L41" s="56"/>
      <c r="M41" s="56"/>
      <c r="N41" s="57"/>
      <c r="O41" s="1"/>
      <c r="P41" s="138" t="str">
        <f>IF(P42='Monthly Pro Forma'!EF37,"All Good","Needs A Fixin")</f>
        <v>Needs A Fixin</v>
      </c>
      <c r="Q41" s="99"/>
    </row>
    <row r="42" spans="2:17" x14ac:dyDescent="0.3">
      <c r="B42" s="98"/>
      <c r="C42" s="2" t="str">
        <f>'Monthly Pro Forma'!L37</f>
        <v>Total Cash Flow</v>
      </c>
      <c r="D42" s="56">
        <f>D41</f>
        <v>-614304.45714285714</v>
      </c>
      <c r="E42" s="56">
        <f>SUM(E36,E40)</f>
        <v>38788.957010909158</v>
      </c>
      <c r="F42" s="56">
        <f t="shared" ref="F42:N42" si="7">SUM(F36,F40)</f>
        <v>89630.775630909178</v>
      </c>
      <c r="G42" s="56">
        <f t="shared" si="7"/>
        <v>114050.72323930911</v>
      </c>
      <c r="H42" s="56">
        <f t="shared" si="7"/>
        <v>120219.00803616115</v>
      </c>
      <c r="I42" s="56">
        <f t="shared" si="7"/>
        <v>2093738.5688877839</v>
      </c>
      <c r="J42" s="56">
        <f t="shared" si="7"/>
        <v>0</v>
      </c>
      <c r="K42" s="56">
        <f t="shared" si="7"/>
        <v>0</v>
      </c>
      <c r="L42" s="56">
        <f t="shared" si="7"/>
        <v>0</v>
      </c>
      <c r="M42" s="56">
        <f t="shared" si="7"/>
        <v>0</v>
      </c>
      <c r="N42" s="57">
        <f t="shared" si="7"/>
        <v>0</v>
      </c>
      <c r="O42" s="1"/>
      <c r="P42" s="157">
        <f>SUM(D42:N42)</f>
        <v>1842123.5756622155</v>
      </c>
      <c r="Q42" s="99"/>
    </row>
    <row r="43" spans="2:17" x14ac:dyDescent="0.3">
      <c r="B43" s="98"/>
      <c r="C43" s="2" t="s">
        <v>24</v>
      </c>
      <c r="D43" s="58">
        <f>IRR(D42:N42)</f>
        <v>0.35652483396956458</v>
      </c>
      <c r="E43" s="1"/>
      <c r="F43" s="1"/>
      <c r="G43" s="1"/>
      <c r="H43" s="1"/>
      <c r="I43" s="1"/>
      <c r="J43" s="1"/>
      <c r="K43" s="1"/>
      <c r="L43" s="1"/>
      <c r="M43" s="1"/>
      <c r="N43" s="3"/>
      <c r="O43" s="1"/>
      <c r="P43" s="1"/>
      <c r="Q43" s="99"/>
    </row>
    <row r="44" spans="2:17" x14ac:dyDescent="0.3">
      <c r="B44" s="98"/>
      <c r="C44" s="2" t="str">
        <f>'Monthly Pro Forma'!L39</f>
        <v>Equity Multiple</v>
      </c>
      <c r="D44" s="120">
        <f>SUMIF(D42:N42,"&gt;0")/-SUMIF(D42:N42,"&lt;0")</f>
        <v>3.9987143251897774</v>
      </c>
      <c r="E44" s="1"/>
      <c r="F44" s="1"/>
      <c r="G44" s="1"/>
      <c r="H44" s="1"/>
      <c r="I44" s="1"/>
      <c r="J44" s="1"/>
      <c r="K44" s="1"/>
      <c r="L44" s="1"/>
      <c r="M44" s="1"/>
      <c r="N44" s="3"/>
      <c r="O44" s="1"/>
      <c r="P44" s="1"/>
      <c r="Q44" s="99"/>
    </row>
    <row r="45" spans="2:17" x14ac:dyDescent="0.3">
      <c r="B45" s="98"/>
      <c r="C45" s="2" t="s">
        <v>133</v>
      </c>
      <c r="D45" s="1"/>
      <c r="E45" s="24">
        <f>IF(E36=0,"",E36/-$D$42)</f>
        <v>6.3142887146411739E-2</v>
      </c>
      <c r="F45" s="24">
        <f t="shared" ref="F45:N45" si="8">IF(F36=0,"",F36/-$D$42)</f>
        <v>0.14590611314751611</v>
      </c>
      <c r="G45" s="24">
        <f t="shared" si="8"/>
        <v>0.18565830332692262</v>
      </c>
      <c r="H45" s="24">
        <f t="shared" si="8"/>
        <v>0.195699390812338</v>
      </c>
      <c r="I45" s="24">
        <f t="shared" si="8"/>
        <v>0.20604171092231585</v>
      </c>
      <c r="J45" s="24" t="str">
        <f t="shared" si="8"/>
        <v/>
      </c>
      <c r="K45" s="24" t="str">
        <f t="shared" si="8"/>
        <v/>
      </c>
      <c r="L45" s="24" t="str">
        <f t="shared" si="8"/>
        <v/>
      </c>
      <c r="M45" s="24" t="str">
        <f t="shared" si="8"/>
        <v/>
      </c>
      <c r="N45" s="79" t="str">
        <f t="shared" si="8"/>
        <v/>
      </c>
      <c r="O45" s="1"/>
      <c r="P45" s="1"/>
      <c r="Q45" s="99"/>
    </row>
    <row r="46" spans="2:17" x14ac:dyDescent="0.3">
      <c r="B46" s="98"/>
      <c r="C46" s="8" t="s">
        <v>119</v>
      </c>
      <c r="D46" s="218">
        <f>SUM(E46:N46)</f>
        <v>4.3693952409113423</v>
      </c>
      <c r="E46" s="219">
        <f>IF(E45="","",E4*(E42/(1+$D$43)^E4)/-$D$42)</f>
        <v>4.6547534969660895E-2</v>
      </c>
      <c r="F46" s="219">
        <f t="shared" ref="F46:N46" si="9">IF(F45="","",F4*(F42/(1+$D$43)^F4)/-$D$42)</f>
        <v>0.1585798439997278</v>
      </c>
      <c r="G46" s="219">
        <f t="shared" si="9"/>
        <v>0.2231271331865349</v>
      </c>
      <c r="H46" s="219">
        <f t="shared" si="9"/>
        <v>0.23117372434427796</v>
      </c>
      <c r="I46" s="219">
        <f t="shared" si="9"/>
        <v>3.709967004411141</v>
      </c>
      <c r="J46" s="219" t="str">
        <f t="shared" si="9"/>
        <v/>
      </c>
      <c r="K46" s="219" t="str">
        <f t="shared" si="9"/>
        <v/>
      </c>
      <c r="L46" s="219" t="str">
        <f t="shared" si="9"/>
        <v/>
      </c>
      <c r="M46" s="219" t="str">
        <f t="shared" si="9"/>
        <v/>
      </c>
      <c r="N46" s="220" t="str">
        <f t="shared" si="9"/>
        <v/>
      </c>
      <c r="O46" s="1"/>
      <c r="P46" s="1"/>
      <c r="Q46" s="99"/>
    </row>
    <row r="47" spans="2:17" ht="15" thickBot="1" x14ac:dyDescent="0.35">
      <c r="B47" s="102"/>
      <c r="C47" s="103"/>
      <c r="D47" s="103"/>
      <c r="E47" s="103"/>
      <c r="F47" s="103"/>
      <c r="G47" s="103"/>
      <c r="H47" s="103"/>
      <c r="I47" s="103"/>
      <c r="J47" s="103"/>
      <c r="K47" s="103"/>
      <c r="L47" s="103"/>
      <c r="M47" s="103"/>
      <c r="N47" s="103"/>
      <c r="O47" s="103"/>
      <c r="P47" s="103"/>
      <c r="Q47" s="104"/>
    </row>
  </sheetData>
  <mergeCells count="3">
    <mergeCell ref="C27:N27"/>
    <mergeCell ref="C3:N3"/>
    <mergeCell ref="C33:N33"/>
  </mergeCells>
  <pageMargins left="0.7" right="0.7" top="0.75" bottom="0.75" header="0.3" footer="0.3"/>
  <pageSetup scale="44"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B1:J362"/>
  <sheetViews>
    <sheetView workbookViewId="0">
      <selection activeCell="C3" sqref="C3"/>
    </sheetView>
  </sheetViews>
  <sheetFormatPr defaultColWidth="9.109375" defaultRowHeight="14.4" x14ac:dyDescent="0.3"/>
  <cols>
    <col min="1" max="1" width="2.6640625" style="93" customWidth="1"/>
    <col min="2" max="2" width="28.5546875" style="93" bestFit="1" customWidth="1"/>
    <col min="3" max="3" width="11.109375" style="93" bestFit="1" customWidth="1"/>
    <col min="4" max="4" width="2.6640625" style="93" customWidth="1"/>
    <col min="5" max="5" width="4" style="93" bestFit="1" customWidth="1"/>
    <col min="6" max="6" width="12.6640625" style="93" bestFit="1" customWidth="1"/>
    <col min="7" max="9" width="9.109375" style="93"/>
    <col min="10" max="10" width="12.6640625" style="93" bestFit="1" customWidth="1"/>
    <col min="11" max="16384" width="9.109375" style="93"/>
  </cols>
  <sheetData>
    <row r="1" spans="2:10" ht="15" thickBot="1" x14ac:dyDescent="0.35"/>
    <row r="2" spans="2:10" x14ac:dyDescent="0.3">
      <c r="B2" s="282" t="str">
        <f>'A&amp;Rs'!J28</f>
        <v>Loan Info</v>
      </c>
      <c r="C2" s="283"/>
      <c r="E2" s="208" t="s">
        <v>140</v>
      </c>
      <c r="F2" s="178" t="s">
        <v>16</v>
      </c>
      <c r="G2" s="178" t="s">
        <v>17</v>
      </c>
      <c r="H2" s="178" t="s">
        <v>18</v>
      </c>
      <c r="I2" s="178" t="s">
        <v>19</v>
      </c>
      <c r="J2" s="179" t="s">
        <v>20</v>
      </c>
    </row>
    <row r="3" spans="2:10" x14ac:dyDescent="0.3">
      <c r="B3" s="98" t="str">
        <f>'A&amp;Rs'!J30</f>
        <v>Loan Proceeds</v>
      </c>
      <c r="C3" s="99">
        <f>'A&amp;Rs'!K29*'A&amp;Rs'!K18</f>
        <v>1343790.9999999998</v>
      </c>
      <c r="E3" s="209">
        <v>1</v>
      </c>
      <c r="F3" s="48">
        <f>C3</f>
        <v>1343790.9999999998</v>
      </c>
      <c r="G3" s="48">
        <f>$C$6</f>
        <v>7629.8974990909028</v>
      </c>
      <c r="H3" s="48">
        <f>F3*$C$4/12</f>
        <v>6159.0420833333328</v>
      </c>
      <c r="I3" s="48">
        <f>G3-H3</f>
        <v>1470.85541575757</v>
      </c>
      <c r="J3" s="163">
        <f>F3-I3</f>
        <v>1342320.1445842423</v>
      </c>
    </row>
    <row r="4" spans="2:10" x14ac:dyDescent="0.3">
      <c r="B4" s="98" t="str">
        <f>'A&amp;Rs'!J31</f>
        <v>Interest Rate</v>
      </c>
      <c r="C4" s="161">
        <f>'A&amp;Rs'!K31</f>
        <v>5.5E-2</v>
      </c>
      <c r="E4" s="209">
        <v>2</v>
      </c>
      <c r="F4" s="44">
        <f>J3</f>
        <v>1342320.1445842423</v>
      </c>
      <c r="G4" s="48">
        <f>$C$6</f>
        <v>7629.8974990909028</v>
      </c>
      <c r="H4" s="48">
        <f>F4*$C$4/12</f>
        <v>6152.3006626777778</v>
      </c>
      <c r="I4" s="48">
        <f>G4-H4</f>
        <v>1477.5968364131249</v>
      </c>
      <c r="J4" s="163">
        <f>F4-I4</f>
        <v>1340842.5477478292</v>
      </c>
    </row>
    <row r="5" spans="2:10" x14ac:dyDescent="0.3">
      <c r="B5" s="98" t="str">
        <f>'A&amp;Rs'!J32</f>
        <v>Amortization</v>
      </c>
      <c r="C5" s="99">
        <f>'A&amp;Rs'!K32</f>
        <v>30</v>
      </c>
      <c r="E5" s="209">
        <v>3</v>
      </c>
      <c r="F5" s="44">
        <f t="shared" ref="F5:F68" si="0">J4</f>
        <v>1340842.5477478292</v>
      </c>
      <c r="G5" s="48">
        <f t="shared" ref="G5:G68" si="1">$C$6</f>
        <v>7629.8974990909028</v>
      </c>
      <c r="H5" s="48">
        <f t="shared" ref="H5:H68" si="2">F5*$C$4/12</f>
        <v>6145.5283438442175</v>
      </c>
      <c r="I5" s="48">
        <f t="shared" ref="I5:I68" si="3">G5-H5</f>
        <v>1484.3691552466853</v>
      </c>
      <c r="J5" s="163">
        <f t="shared" ref="J5:J68" si="4">F5-I5</f>
        <v>1339358.1785925825</v>
      </c>
    </row>
    <row r="6" spans="2:10" ht="15" thickBot="1" x14ac:dyDescent="0.35">
      <c r="B6" s="102" t="str">
        <f>'A&amp;Rs'!J34</f>
        <v>Payment</v>
      </c>
      <c r="C6" s="162">
        <f>PMT(C4/12,C5*12,-C3)</f>
        <v>7629.8974990909028</v>
      </c>
      <c r="E6" s="209">
        <v>4</v>
      </c>
      <c r="F6" s="44">
        <f t="shared" si="0"/>
        <v>1339358.1785925825</v>
      </c>
      <c r="G6" s="48">
        <f t="shared" si="1"/>
        <v>7629.8974990909028</v>
      </c>
      <c r="H6" s="48">
        <f t="shared" si="2"/>
        <v>6138.724985216003</v>
      </c>
      <c r="I6" s="48">
        <f t="shared" si="3"/>
        <v>1491.1725138748998</v>
      </c>
      <c r="J6" s="163">
        <f t="shared" si="4"/>
        <v>1337867.0060787075</v>
      </c>
    </row>
    <row r="7" spans="2:10" x14ac:dyDescent="0.3">
      <c r="E7" s="209">
        <v>5</v>
      </c>
      <c r="F7" s="44">
        <f t="shared" si="0"/>
        <v>1337867.0060787075</v>
      </c>
      <c r="G7" s="48">
        <f t="shared" si="1"/>
        <v>7629.8974990909028</v>
      </c>
      <c r="H7" s="48">
        <f t="shared" si="2"/>
        <v>6131.8904445274093</v>
      </c>
      <c r="I7" s="48">
        <f t="shared" si="3"/>
        <v>1498.0070545634935</v>
      </c>
      <c r="J7" s="163">
        <f t="shared" si="4"/>
        <v>1336368.9990241441</v>
      </c>
    </row>
    <row r="8" spans="2:10" x14ac:dyDescent="0.3">
      <c r="E8" s="209">
        <v>6</v>
      </c>
      <c r="F8" s="44">
        <f t="shared" si="0"/>
        <v>1336368.9990241441</v>
      </c>
      <c r="G8" s="48">
        <f t="shared" si="1"/>
        <v>7629.8974990909028</v>
      </c>
      <c r="H8" s="48">
        <f t="shared" si="2"/>
        <v>6125.0245788606599</v>
      </c>
      <c r="I8" s="48">
        <f t="shared" si="3"/>
        <v>1504.8729202302429</v>
      </c>
      <c r="J8" s="163">
        <f t="shared" si="4"/>
        <v>1334864.1261039139</v>
      </c>
    </row>
    <row r="9" spans="2:10" x14ac:dyDescent="0.3">
      <c r="E9" s="209">
        <v>7</v>
      </c>
      <c r="F9" s="44">
        <f t="shared" si="0"/>
        <v>1334864.1261039139</v>
      </c>
      <c r="G9" s="48">
        <f t="shared" si="1"/>
        <v>7629.8974990909028</v>
      </c>
      <c r="H9" s="48">
        <f t="shared" si="2"/>
        <v>6118.1272446429384</v>
      </c>
      <c r="I9" s="48">
        <f t="shared" si="3"/>
        <v>1511.7702544479644</v>
      </c>
      <c r="J9" s="163">
        <f t="shared" si="4"/>
        <v>1333352.3558494658</v>
      </c>
    </row>
    <row r="10" spans="2:10" x14ac:dyDescent="0.3">
      <c r="E10" s="209">
        <v>8</v>
      </c>
      <c r="F10" s="44">
        <f t="shared" si="0"/>
        <v>1333352.3558494658</v>
      </c>
      <c r="G10" s="48">
        <f t="shared" si="1"/>
        <v>7629.8974990909028</v>
      </c>
      <c r="H10" s="48">
        <f t="shared" si="2"/>
        <v>6111.1982976433856</v>
      </c>
      <c r="I10" s="48">
        <f t="shared" si="3"/>
        <v>1518.6992014475172</v>
      </c>
      <c r="J10" s="163">
        <f t="shared" si="4"/>
        <v>1331833.6566480184</v>
      </c>
    </row>
    <row r="11" spans="2:10" x14ac:dyDescent="0.3">
      <c r="E11" s="209">
        <v>9</v>
      </c>
      <c r="F11" s="44">
        <f t="shared" si="0"/>
        <v>1331833.6566480184</v>
      </c>
      <c r="G11" s="48">
        <f t="shared" si="1"/>
        <v>7629.8974990909028</v>
      </c>
      <c r="H11" s="48">
        <f t="shared" si="2"/>
        <v>6104.2375929700838</v>
      </c>
      <c r="I11" s="48">
        <f t="shared" si="3"/>
        <v>1525.659906120819</v>
      </c>
      <c r="J11" s="163">
        <f t="shared" si="4"/>
        <v>1330307.9967418977</v>
      </c>
    </row>
    <row r="12" spans="2:10" x14ac:dyDescent="0.3">
      <c r="E12" s="209">
        <v>10</v>
      </c>
      <c r="F12" s="44">
        <f t="shared" si="0"/>
        <v>1330307.9967418977</v>
      </c>
      <c r="G12" s="48">
        <f t="shared" si="1"/>
        <v>7629.8974990909028</v>
      </c>
      <c r="H12" s="48">
        <f t="shared" si="2"/>
        <v>6097.2449850670309</v>
      </c>
      <c r="I12" s="48">
        <f t="shared" si="3"/>
        <v>1532.6525140238718</v>
      </c>
      <c r="J12" s="163">
        <f t="shared" si="4"/>
        <v>1328775.3442278737</v>
      </c>
    </row>
    <row r="13" spans="2:10" x14ac:dyDescent="0.3">
      <c r="E13" s="209">
        <v>11</v>
      </c>
      <c r="F13" s="44">
        <f t="shared" si="0"/>
        <v>1328775.3442278737</v>
      </c>
      <c r="G13" s="48">
        <f t="shared" si="1"/>
        <v>7629.8974990909028</v>
      </c>
      <c r="H13" s="48">
        <f t="shared" si="2"/>
        <v>6090.2203277110884</v>
      </c>
      <c r="I13" s="48">
        <f t="shared" si="3"/>
        <v>1539.6771713798144</v>
      </c>
      <c r="J13" s="163">
        <f t="shared" si="4"/>
        <v>1327235.6670564939</v>
      </c>
    </row>
    <row r="14" spans="2:10" x14ac:dyDescent="0.3">
      <c r="E14" s="209">
        <v>12</v>
      </c>
      <c r="F14" s="44">
        <f t="shared" si="0"/>
        <v>1327235.6670564939</v>
      </c>
      <c r="G14" s="48">
        <f t="shared" si="1"/>
        <v>7629.8974990909028</v>
      </c>
      <c r="H14" s="48">
        <f t="shared" si="2"/>
        <v>6083.1634740089312</v>
      </c>
      <c r="I14" s="48">
        <f t="shared" si="3"/>
        <v>1546.7340250819716</v>
      </c>
      <c r="J14" s="163">
        <f t="shared" si="4"/>
        <v>1325688.9330314118</v>
      </c>
    </row>
    <row r="15" spans="2:10" x14ac:dyDescent="0.3">
      <c r="E15" s="209">
        <v>13</v>
      </c>
      <c r="F15" s="44">
        <f t="shared" si="0"/>
        <v>1325688.9330314118</v>
      </c>
      <c r="G15" s="48">
        <f t="shared" si="1"/>
        <v>7629.8974990909028</v>
      </c>
      <c r="H15" s="48">
        <f t="shared" si="2"/>
        <v>6076.0742763939706</v>
      </c>
      <c r="I15" s="48">
        <f t="shared" si="3"/>
        <v>1553.8232226969321</v>
      </c>
      <c r="J15" s="163">
        <f t="shared" si="4"/>
        <v>1324135.1098087148</v>
      </c>
    </row>
    <row r="16" spans="2:10" x14ac:dyDescent="0.3">
      <c r="E16" s="209">
        <v>14</v>
      </c>
      <c r="F16" s="44">
        <f t="shared" si="0"/>
        <v>1324135.1098087148</v>
      </c>
      <c r="G16" s="48">
        <f t="shared" si="1"/>
        <v>7629.8974990909028</v>
      </c>
      <c r="H16" s="48">
        <f t="shared" si="2"/>
        <v>6068.9525866232761</v>
      </c>
      <c r="I16" s="48">
        <f t="shared" si="3"/>
        <v>1560.9449124676266</v>
      </c>
      <c r="J16" s="163">
        <f t="shared" si="4"/>
        <v>1322574.1648962472</v>
      </c>
    </row>
    <row r="17" spans="5:10" x14ac:dyDescent="0.3">
      <c r="E17" s="209">
        <v>15</v>
      </c>
      <c r="F17" s="44">
        <f t="shared" si="0"/>
        <v>1322574.1648962472</v>
      </c>
      <c r="G17" s="48">
        <f t="shared" si="1"/>
        <v>7629.8974990909028</v>
      </c>
      <c r="H17" s="48">
        <f t="shared" si="2"/>
        <v>6061.7982557744663</v>
      </c>
      <c r="I17" s="48">
        <f t="shared" si="3"/>
        <v>1568.0992433164365</v>
      </c>
      <c r="J17" s="163">
        <f t="shared" si="4"/>
        <v>1321006.0656529309</v>
      </c>
    </row>
    <row r="18" spans="5:10" x14ac:dyDescent="0.3">
      <c r="E18" s="209">
        <v>16</v>
      </c>
      <c r="F18" s="44">
        <f t="shared" si="0"/>
        <v>1321006.0656529309</v>
      </c>
      <c r="G18" s="48">
        <f t="shared" si="1"/>
        <v>7629.8974990909028</v>
      </c>
      <c r="H18" s="48">
        <f t="shared" si="2"/>
        <v>6054.6111342426002</v>
      </c>
      <c r="I18" s="48">
        <f t="shared" si="3"/>
        <v>1575.2863648483026</v>
      </c>
      <c r="J18" s="163">
        <f t="shared" si="4"/>
        <v>1319430.7792880826</v>
      </c>
    </row>
    <row r="19" spans="5:10" x14ac:dyDescent="0.3">
      <c r="E19" s="209">
        <v>17</v>
      </c>
      <c r="F19" s="44">
        <f t="shared" si="0"/>
        <v>1319430.7792880826</v>
      </c>
      <c r="G19" s="48">
        <f t="shared" si="1"/>
        <v>7629.8974990909028</v>
      </c>
      <c r="H19" s="48">
        <f t="shared" si="2"/>
        <v>6047.3910717370454</v>
      </c>
      <c r="I19" s="48">
        <f t="shared" si="3"/>
        <v>1582.5064273538574</v>
      </c>
      <c r="J19" s="163">
        <f t="shared" si="4"/>
        <v>1317848.2728607287</v>
      </c>
    </row>
    <row r="20" spans="5:10" x14ac:dyDescent="0.3">
      <c r="E20" s="209">
        <v>18</v>
      </c>
      <c r="F20" s="44">
        <f t="shared" si="0"/>
        <v>1317848.2728607287</v>
      </c>
      <c r="G20" s="48">
        <f t="shared" si="1"/>
        <v>7629.8974990909028</v>
      </c>
      <c r="H20" s="48">
        <f t="shared" si="2"/>
        <v>6040.137917278339</v>
      </c>
      <c r="I20" s="48">
        <f t="shared" si="3"/>
        <v>1589.7595818125637</v>
      </c>
      <c r="J20" s="163">
        <f t="shared" si="4"/>
        <v>1316258.513278916</v>
      </c>
    </row>
    <row r="21" spans="5:10" x14ac:dyDescent="0.3">
      <c r="E21" s="209">
        <v>19</v>
      </c>
      <c r="F21" s="44">
        <f t="shared" si="0"/>
        <v>1316258.513278916</v>
      </c>
      <c r="G21" s="48">
        <f t="shared" si="1"/>
        <v>7629.8974990909028</v>
      </c>
      <c r="H21" s="48">
        <f t="shared" si="2"/>
        <v>6032.8515191950319</v>
      </c>
      <c r="I21" s="48">
        <f t="shared" si="3"/>
        <v>1597.0459798958709</v>
      </c>
      <c r="J21" s="163">
        <f t="shared" si="4"/>
        <v>1314661.4672990202</v>
      </c>
    </row>
    <row r="22" spans="5:10" x14ac:dyDescent="0.3">
      <c r="E22" s="209">
        <v>20</v>
      </c>
      <c r="F22" s="44">
        <f t="shared" si="0"/>
        <v>1314661.4672990202</v>
      </c>
      <c r="G22" s="48">
        <f t="shared" si="1"/>
        <v>7629.8974990909028</v>
      </c>
      <c r="H22" s="48">
        <f t="shared" si="2"/>
        <v>6025.5317251205088</v>
      </c>
      <c r="I22" s="48">
        <f t="shared" si="3"/>
        <v>1604.365773970394</v>
      </c>
      <c r="J22" s="163">
        <f t="shared" si="4"/>
        <v>1313057.1015250497</v>
      </c>
    </row>
    <row r="23" spans="5:10" x14ac:dyDescent="0.3">
      <c r="E23" s="209">
        <v>21</v>
      </c>
      <c r="F23" s="44">
        <f t="shared" si="0"/>
        <v>1313057.1015250497</v>
      </c>
      <c r="G23" s="48">
        <f t="shared" si="1"/>
        <v>7629.8974990909028</v>
      </c>
      <c r="H23" s="48">
        <f t="shared" si="2"/>
        <v>6018.178381989811</v>
      </c>
      <c r="I23" s="48">
        <f t="shared" si="3"/>
        <v>1611.7191171010918</v>
      </c>
      <c r="J23" s="163">
        <f t="shared" si="4"/>
        <v>1311445.3824079486</v>
      </c>
    </row>
    <row r="24" spans="5:10" x14ac:dyDescent="0.3">
      <c r="E24" s="209">
        <v>22</v>
      </c>
      <c r="F24" s="44">
        <f t="shared" si="0"/>
        <v>1311445.3824079486</v>
      </c>
      <c r="G24" s="48">
        <f t="shared" si="1"/>
        <v>7629.8974990909028</v>
      </c>
      <c r="H24" s="48">
        <f t="shared" si="2"/>
        <v>6010.7913360364319</v>
      </c>
      <c r="I24" s="48">
        <f t="shared" si="3"/>
        <v>1619.1061630544709</v>
      </c>
      <c r="J24" s="163">
        <f t="shared" si="4"/>
        <v>1309826.2762448941</v>
      </c>
    </row>
    <row r="25" spans="5:10" x14ac:dyDescent="0.3">
      <c r="E25" s="209">
        <v>23</v>
      </c>
      <c r="F25" s="44">
        <f t="shared" si="0"/>
        <v>1309826.2762448941</v>
      </c>
      <c r="G25" s="48">
        <f t="shared" si="1"/>
        <v>7629.8974990909028</v>
      </c>
      <c r="H25" s="48">
        <f t="shared" si="2"/>
        <v>6003.3704327890982</v>
      </c>
      <c r="I25" s="48">
        <f t="shared" si="3"/>
        <v>1626.5270663018046</v>
      </c>
      <c r="J25" s="163">
        <f t="shared" si="4"/>
        <v>1308199.7491785923</v>
      </c>
    </row>
    <row r="26" spans="5:10" x14ac:dyDescent="0.3">
      <c r="E26" s="209">
        <v>24</v>
      </c>
      <c r="F26" s="44">
        <f t="shared" si="0"/>
        <v>1308199.7491785923</v>
      </c>
      <c r="G26" s="48">
        <f t="shared" si="1"/>
        <v>7629.8974990909028</v>
      </c>
      <c r="H26" s="48">
        <f t="shared" si="2"/>
        <v>5995.9155170685481</v>
      </c>
      <c r="I26" s="48">
        <f t="shared" si="3"/>
        <v>1633.9819820223547</v>
      </c>
      <c r="J26" s="163">
        <f t="shared" si="4"/>
        <v>1306565.7671965701</v>
      </c>
    </row>
    <row r="27" spans="5:10" x14ac:dyDescent="0.3">
      <c r="E27" s="209">
        <v>25</v>
      </c>
      <c r="F27" s="44">
        <f t="shared" si="0"/>
        <v>1306565.7671965701</v>
      </c>
      <c r="G27" s="48">
        <f t="shared" si="1"/>
        <v>7629.8974990909028</v>
      </c>
      <c r="H27" s="48">
        <f t="shared" si="2"/>
        <v>5988.4264329842799</v>
      </c>
      <c r="I27" s="48">
        <f t="shared" si="3"/>
        <v>1641.4710661066229</v>
      </c>
      <c r="J27" s="163">
        <f t="shared" si="4"/>
        <v>1304924.2961304635</v>
      </c>
    </row>
    <row r="28" spans="5:10" x14ac:dyDescent="0.3">
      <c r="E28" s="209">
        <v>26</v>
      </c>
      <c r="F28" s="44">
        <f t="shared" si="0"/>
        <v>1304924.2961304635</v>
      </c>
      <c r="G28" s="48">
        <f t="shared" si="1"/>
        <v>7629.8974990909028</v>
      </c>
      <c r="H28" s="48">
        <f t="shared" si="2"/>
        <v>5980.9030239312915</v>
      </c>
      <c r="I28" s="48">
        <f t="shared" si="3"/>
        <v>1648.9944751596113</v>
      </c>
      <c r="J28" s="163">
        <f t="shared" si="4"/>
        <v>1303275.3016553039</v>
      </c>
    </row>
    <row r="29" spans="5:10" x14ac:dyDescent="0.3">
      <c r="E29" s="209">
        <v>27</v>
      </c>
      <c r="F29" s="44">
        <f t="shared" si="0"/>
        <v>1303275.3016553039</v>
      </c>
      <c r="G29" s="48">
        <f t="shared" si="1"/>
        <v>7629.8974990909028</v>
      </c>
      <c r="H29" s="48">
        <f t="shared" si="2"/>
        <v>5973.3451325868091</v>
      </c>
      <c r="I29" s="48">
        <f t="shared" si="3"/>
        <v>1656.5523665040937</v>
      </c>
      <c r="J29" s="163">
        <f t="shared" si="4"/>
        <v>1301618.7492887999</v>
      </c>
    </row>
    <row r="30" spans="5:10" x14ac:dyDescent="0.3">
      <c r="E30" s="209">
        <v>28</v>
      </c>
      <c r="F30" s="44">
        <f t="shared" si="0"/>
        <v>1301618.7492887999</v>
      </c>
      <c r="G30" s="48">
        <f t="shared" si="1"/>
        <v>7629.8974990909028</v>
      </c>
      <c r="H30" s="48">
        <f t="shared" si="2"/>
        <v>5965.7526009069998</v>
      </c>
      <c r="I30" s="48">
        <f t="shared" si="3"/>
        <v>1664.144898183903</v>
      </c>
      <c r="J30" s="163">
        <f t="shared" si="4"/>
        <v>1299954.6043906161</v>
      </c>
    </row>
    <row r="31" spans="5:10" x14ac:dyDescent="0.3">
      <c r="E31" s="209">
        <v>29</v>
      </c>
      <c r="F31" s="44">
        <f t="shared" si="0"/>
        <v>1299954.6043906161</v>
      </c>
      <c r="G31" s="48">
        <f t="shared" si="1"/>
        <v>7629.8974990909028</v>
      </c>
      <c r="H31" s="48">
        <f t="shared" si="2"/>
        <v>5958.1252701236563</v>
      </c>
      <c r="I31" s="48">
        <f t="shared" si="3"/>
        <v>1671.7722289672465</v>
      </c>
      <c r="J31" s="163">
        <f t="shared" si="4"/>
        <v>1298282.8321616489</v>
      </c>
    </row>
    <row r="32" spans="5:10" x14ac:dyDescent="0.3">
      <c r="E32" s="209">
        <v>30</v>
      </c>
      <c r="F32" s="44">
        <f t="shared" si="0"/>
        <v>1298282.8321616489</v>
      </c>
      <c r="G32" s="48">
        <f t="shared" si="1"/>
        <v>7629.8974990909028</v>
      </c>
      <c r="H32" s="48">
        <f t="shared" si="2"/>
        <v>5950.4629807408901</v>
      </c>
      <c r="I32" s="48">
        <f t="shared" si="3"/>
        <v>1679.4345183500127</v>
      </c>
      <c r="J32" s="163">
        <f t="shared" si="4"/>
        <v>1296603.3976432988</v>
      </c>
    </row>
    <row r="33" spans="5:10" x14ac:dyDescent="0.3">
      <c r="E33" s="209">
        <v>31</v>
      </c>
      <c r="F33" s="44">
        <f t="shared" si="0"/>
        <v>1296603.3976432988</v>
      </c>
      <c r="G33" s="48">
        <f t="shared" si="1"/>
        <v>7629.8974990909028</v>
      </c>
      <c r="H33" s="48">
        <f t="shared" si="2"/>
        <v>5942.7655725317863</v>
      </c>
      <c r="I33" s="48">
        <f t="shared" si="3"/>
        <v>1687.1319265591164</v>
      </c>
      <c r="J33" s="163">
        <f t="shared" si="4"/>
        <v>1294916.2657167397</v>
      </c>
    </row>
    <row r="34" spans="5:10" x14ac:dyDescent="0.3">
      <c r="E34" s="209">
        <v>32</v>
      </c>
      <c r="F34" s="44">
        <f t="shared" si="0"/>
        <v>1294916.2657167397</v>
      </c>
      <c r="G34" s="48">
        <f t="shared" si="1"/>
        <v>7629.8974990909028</v>
      </c>
      <c r="H34" s="48">
        <f t="shared" si="2"/>
        <v>5935.0328845350568</v>
      </c>
      <c r="I34" s="48">
        <f t="shared" si="3"/>
        <v>1694.8646145558459</v>
      </c>
      <c r="J34" s="163">
        <f t="shared" si="4"/>
        <v>1293221.4011021839</v>
      </c>
    </row>
    <row r="35" spans="5:10" x14ac:dyDescent="0.3">
      <c r="E35" s="209">
        <v>33</v>
      </c>
      <c r="F35" s="44">
        <f t="shared" si="0"/>
        <v>1293221.4011021839</v>
      </c>
      <c r="G35" s="48">
        <f t="shared" si="1"/>
        <v>7629.8974990909028</v>
      </c>
      <c r="H35" s="48">
        <f t="shared" si="2"/>
        <v>5927.2647550516767</v>
      </c>
      <c r="I35" s="48">
        <f t="shared" si="3"/>
        <v>1702.6327440392261</v>
      </c>
      <c r="J35" s="163">
        <f t="shared" si="4"/>
        <v>1291518.7683581447</v>
      </c>
    </row>
    <row r="36" spans="5:10" x14ac:dyDescent="0.3">
      <c r="E36" s="209">
        <v>34</v>
      </c>
      <c r="F36" s="44">
        <f t="shared" si="0"/>
        <v>1291518.7683581447</v>
      </c>
      <c r="G36" s="48">
        <f t="shared" si="1"/>
        <v>7629.8974990909028</v>
      </c>
      <c r="H36" s="48">
        <f t="shared" si="2"/>
        <v>5919.4610216414958</v>
      </c>
      <c r="I36" s="48">
        <f t="shared" si="3"/>
        <v>1710.436477449407</v>
      </c>
      <c r="J36" s="163">
        <f t="shared" si="4"/>
        <v>1289808.3318806952</v>
      </c>
    </row>
    <row r="37" spans="5:10" x14ac:dyDescent="0.3">
      <c r="E37" s="209">
        <v>35</v>
      </c>
      <c r="F37" s="44">
        <f t="shared" si="0"/>
        <v>1289808.3318806952</v>
      </c>
      <c r="G37" s="48">
        <f t="shared" si="1"/>
        <v>7629.8974990909028</v>
      </c>
      <c r="H37" s="48">
        <f t="shared" si="2"/>
        <v>5911.6215211198532</v>
      </c>
      <c r="I37" s="48">
        <f t="shared" si="3"/>
        <v>1718.2759779710495</v>
      </c>
      <c r="J37" s="163">
        <f t="shared" si="4"/>
        <v>1288090.0559027242</v>
      </c>
    </row>
    <row r="38" spans="5:10" x14ac:dyDescent="0.3">
      <c r="E38" s="209">
        <v>36</v>
      </c>
      <c r="F38" s="44">
        <f t="shared" si="0"/>
        <v>1288090.0559027242</v>
      </c>
      <c r="G38" s="48">
        <f t="shared" si="1"/>
        <v>7629.8974990909028</v>
      </c>
      <c r="H38" s="48">
        <f t="shared" si="2"/>
        <v>5903.7460895541526</v>
      </c>
      <c r="I38" s="48">
        <f t="shared" si="3"/>
        <v>1726.1514095367502</v>
      </c>
      <c r="J38" s="163">
        <f t="shared" si="4"/>
        <v>1286363.9044931873</v>
      </c>
    </row>
    <row r="39" spans="5:10" x14ac:dyDescent="0.3">
      <c r="E39" s="209">
        <v>37</v>
      </c>
      <c r="F39" s="44">
        <f t="shared" si="0"/>
        <v>1286363.9044931873</v>
      </c>
      <c r="G39" s="48">
        <f t="shared" si="1"/>
        <v>7629.8974990909028</v>
      </c>
      <c r="H39" s="48">
        <f t="shared" si="2"/>
        <v>5895.834562260442</v>
      </c>
      <c r="I39" s="48">
        <f t="shared" si="3"/>
        <v>1734.0629368304608</v>
      </c>
      <c r="J39" s="163">
        <f t="shared" si="4"/>
        <v>1284629.8415563568</v>
      </c>
    </row>
    <row r="40" spans="5:10" x14ac:dyDescent="0.3">
      <c r="E40" s="209">
        <v>38</v>
      </c>
      <c r="F40" s="44">
        <f t="shared" si="0"/>
        <v>1284629.8415563568</v>
      </c>
      <c r="G40" s="48">
        <f t="shared" si="1"/>
        <v>7629.8974990909028</v>
      </c>
      <c r="H40" s="48">
        <f t="shared" si="2"/>
        <v>5887.8867737999681</v>
      </c>
      <c r="I40" s="48">
        <f t="shared" si="3"/>
        <v>1742.0107252909347</v>
      </c>
      <c r="J40" s="163">
        <f t="shared" si="4"/>
        <v>1282887.8308310658</v>
      </c>
    </row>
    <row r="41" spans="5:10" x14ac:dyDescent="0.3">
      <c r="E41" s="209">
        <v>39</v>
      </c>
      <c r="F41" s="44">
        <f t="shared" si="0"/>
        <v>1282887.8308310658</v>
      </c>
      <c r="G41" s="48">
        <f t="shared" si="1"/>
        <v>7629.8974990909028</v>
      </c>
      <c r="H41" s="48">
        <f t="shared" si="2"/>
        <v>5879.9025579757181</v>
      </c>
      <c r="I41" s="48">
        <f t="shared" si="3"/>
        <v>1749.9949411151847</v>
      </c>
      <c r="J41" s="163">
        <f t="shared" si="4"/>
        <v>1281137.8358899506</v>
      </c>
    </row>
    <row r="42" spans="5:10" x14ac:dyDescent="0.3">
      <c r="E42" s="209">
        <v>40</v>
      </c>
      <c r="F42" s="44">
        <f t="shared" si="0"/>
        <v>1281137.8358899506</v>
      </c>
      <c r="G42" s="48">
        <f t="shared" si="1"/>
        <v>7629.8974990909028</v>
      </c>
      <c r="H42" s="48">
        <f t="shared" si="2"/>
        <v>5871.8817478289411</v>
      </c>
      <c r="I42" s="48">
        <f t="shared" si="3"/>
        <v>1758.0157512619617</v>
      </c>
      <c r="J42" s="163">
        <f t="shared" si="4"/>
        <v>1279379.8201386887</v>
      </c>
    </row>
    <row r="43" spans="5:10" x14ac:dyDescent="0.3">
      <c r="E43" s="209">
        <v>41</v>
      </c>
      <c r="F43" s="44">
        <f t="shared" si="0"/>
        <v>1279379.8201386887</v>
      </c>
      <c r="G43" s="48">
        <f t="shared" si="1"/>
        <v>7629.8974990909028</v>
      </c>
      <c r="H43" s="48">
        <f t="shared" si="2"/>
        <v>5863.8241756356556</v>
      </c>
      <c r="I43" s="48">
        <f t="shared" si="3"/>
        <v>1766.0733234552472</v>
      </c>
      <c r="J43" s="163">
        <f t="shared" si="4"/>
        <v>1277613.7468152335</v>
      </c>
    </row>
    <row r="44" spans="5:10" x14ac:dyDescent="0.3">
      <c r="E44" s="209">
        <v>42</v>
      </c>
      <c r="F44" s="44">
        <f t="shared" si="0"/>
        <v>1277613.7468152335</v>
      </c>
      <c r="G44" s="48">
        <f t="shared" si="1"/>
        <v>7629.8974990909028</v>
      </c>
      <c r="H44" s="48">
        <f t="shared" si="2"/>
        <v>5855.7296729031541</v>
      </c>
      <c r="I44" s="48">
        <f t="shared" si="3"/>
        <v>1774.1678261877487</v>
      </c>
      <c r="J44" s="163">
        <f t="shared" si="4"/>
        <v>1275839.5789890457</v>
      </c>
    </row>
    <row r="45" spans="5:10" x14ac:dyDescent="0.3">
      <c r="E45" s="209">
        <v>43</v>
      </c>
      <c r="F45" s="44">
        <f t="shared" si="0"/>
        <v>1275839.5789890457</v>
      </c>
      <c r="G45" s="48">
        <f t="shared" si="1"/>
        <v>7629.8974990909028</v>
      </c>
      <c r="H45" s="48">
        <f t="shared" si="2"/>
        <v>5847.59807036646</v>
      </c>
      <c r="I45" s="48">
        <f t="shared" si="3"/>
        <v>1782.2994287244428</v>
      </c>
      <c r="J45" s="163">
        <f t="shared" si="4"/>
        <v>1274057.2795603212</v>
      </c>
    </row>
    <row r="46" spans="5:10" x14ac:dyDescent="0.3">
      <c r="E46" s="209">
        <v>44</v>
      </c>
      <c r="F46" s="44">
        <f t="shared" si="0"/>
        <v>1274057.2795603212</v>
      </c>
      <c r="G46" s="48">
        <f t="shared" si="1"/>
        <v>7629.8974990909028</v>
      </c>
      <c r="H46" s="48">
        <f t="shared" si="2"/>
        <v>5839.4291979848058</v>
      </c>
      <c r="I46" s="48">
        <f t="shared" si="3"/>
        <v>1790.468301106097</v>
      </c>
      <c r="J46" s="163">
        <f t="shared" si="4"/>
        <v>1272266.8112592152</v>
      </c>
    </row>
    <row r="47" spans="5:10" x14ac:dyDescent="0.3">
      <c r="E47" s="209">
        <v>45</v>
      </c>
      <c r="F47" s="44">
        <f t="shared" si="0"/>
        <v>1272266.8112592152</v>
      </c>
      <c r="G47" s="48">
        <f t="shared" si="1"/>
        <v>7629.8974990909028</v>
      </c>
      <c r="H47" s="48">
        <f t="shared" si="2"/>
        <v>5831.2228849380699</v>
      </c>
      <c r="I47" s="48">
        <f t="shared" si="3"/>
        <v>1798.6746141528329</v>
      </c>
      <c r="J47" s="163">
        <f t="shared" si="4"/>
        <v>1270468.1366450624</v>
      </c>
    </row>
    <row r="48" spans="5:10" x14ac:dyDescent="0.3">
      <c r="E48" s="209">
        <v>46</v>
      </c>
      <c r="F48" s="44">
        <f t="shared" si="0"/>
        <v>1270468.1366450624</v>
      </c>
      <c r="G48" s="48">
        <f t="shared" si="1"/>
        <v>7629.8974990909028</v>
      </c>
      <c r="H48" s="48">
        <f t="shared" si="2"/>
        <v>5822.9789596232031</v>
      </c>
      <c r="I48" s="48">
        <f t="shared" si="3"/>
        <v>1806.9185394676997</v>
      </c>
      <c r="J48" s="163">
        <f t="shared" si="4"/>
        <v>1268661.2181055946</v>
      </c>
    </row>
    <row r="49" spans="5:10" x14ac:dyDescent="0.3">
      <c r="E49" s="209">
        <v>47</v>
      </c>
      <c r="F49" s="44">
        <f t="shared" si="0"/>
        <v>1268661.2181055946</v>
      </c>
      <c r="G49" s="48">
        <f t="shared" si="1"/>
        <v>7629.8974990909028</v>
      </c>
      <c r="H49" s="48">
        <f t="shared" si="2"/>
        <v>5814.6972496506423</v>
      </c>
      <c r="I49" s="48">
        <f t="shared" si="3"/>
        <v>1815.2002494402604</v>
      </c>
      <c r="J49" s="163">
        <f t="shared" si="4"/>
        <v>1266846.0178561544</v>
      </c>
    </row>
    <row r="50" spans="5:10" x14ac:dyDescent="0.3">
      <c r="E50" s="209">
        <v>48</v>
      </c>
      <c r="F50" s="44">
        <f t="shared" si="0"/>
        <v>1266846.0178561544</v>
      </c>
      <c r="G50" s="48">
        <f t="shared" si="1"/>
        <v>7629.8974990909028</v>
      </c>
      <c r="H50" s="48">
        <f t="shared" si="2"/>
        <v>5806.3775818407075</v>
      </c>
      <c r="I50" s="48">
        <f t="shared" si="3"/>
        <v>1823.5199172501952</v>
      </c>
      <c r="J50" s="163">
        <f t="shared" si="4"/>
        <v>1265022.4979389042</v>
      </c>
    </row>
    <row r="51" spans="5:10" x14ac:dyDescent="0.3">
      <c r="E51" s="209">
        <v>49</v>
      </c>
      <c r="F51" s="44">
        <f t="shared" si="0"/>
        <v>1265022.4979389042</v>
      </c>
      <c r="G51" s="48">
        <f t="shared" si="1"/>
        <v>7629.8974990909028</v>
      </c>
      <c r="H51" s="48">
        <f t="shared" si="2"/>
        <v>5798.019782219978</v>
      </c>
      <c r="I51" s="48">
        <f t="shared" si="3"/>
        <v>1831.8777168709248</v>
      </c>
      <c r="J51" s="163">
        <f t="shared" si="4"/>
        <v>1263190.6202220332</v>
      </c>
    </row>
    <row r="52" spans="5:10" x14ac:dyDescent="0.3">
      <c r="E52" s="209">
        <v>50</v>
      </c>
      <c r="F52" s="44">
        <f t="shared" si="0"/>
        <v>1263190.6202220332</v>
      </c>
      <c r="G52" s="48">
        <f t="shared" si="1"/>
        <v>7629.8974990909028</v>
      </c>
      <c r="H52" s="48">
        <f t="shared" si="2"/>
        <v>5789.6236760176516</v>
      </c>
      <c r="I52" s="48">
        <f t="shared" si="3"/>
        <v>1840.2738230732512</v>
      </c>
      <c r="J52" s="163">
        <f t="shared" si="4"/>
        <v>1261350.3463989599</v>
      </c>
    </row>
    <row r="53" spans="5:10" x14ac:dyDescent="0.3">
      <c r="E53" s="209">
        <v>51</v>
      </c>
      <c r="F53" s="44">
        <f t="shared" si="0"/>
        <v>1261350.3463989599</v>
      </c>
      <c r="G53" s="48">
        <f t="shared" si="1"/>
        <v>7629.8974990909028</v>
      </c>
      <c r="H53" s="48">
        <f t="shared" si="2"/>
        <v>5781.1890876619</v>
      </c>
      <c r="I53" s="48">
        <f t="shared" si="3"/>
        <v>1848.7084114290028</v>
      </c>
      <c r="J53" s="163">
        <f t="shared" si="4"/>
        <v>1259501.6379875308</v>
      </c>
    </row>
    <row r="54" spans="5:10" x14ac:dyDescent="0.3">
      <c r="E54" s="209">
        <v>52</v>
      </c>
      <c r="F54" s="44">
        <f t="shared" si="0"/>
        <v>1259501.6379875308</v>
      </c>
      <c r="G54" s="48">
        <f t="shared" si="1"/>
        <v>7629.8974990909028</v>
      </c>
      <c r="H54" s="48">
        <f t="shared" si="2"/>
        <v>5772.7158407761826</v>
      </c>
      <c r="I54" s="48">
        <f t="shared" si="3"/>
        <v>1857.1816583147202</v>
      </c>
      <c r="J54" s="163">
        <f t="shared" si="4"/>
        <v>1257644.456329216</v>
      </c>
    </row>
    <row r="55" spans="5:10" x14ac:dyDescent="0.3">
      <c r="E55" s="209">
        <v>53</v>
      </c>
      <c r="F55" s="44">
        <f t="shared" si="0"/>
        <v>1257644.456329216</v>
      </c>
      <c r="G55" s="48">
        <f t="shared" si="1"/>
        <v>7629.8974990909028</v>
      </c>
      <c r="H55" s="48">
        <f t="shared" si="2"/>
        <v>5764.2037581755731</v>
      </c>
      <c r="I55" s="48">
        <f t="shared" si="3"/>
        <v>1865.6937409153297</v>
      </c>
      <c r="J55" s="163">
        <f t="shared" si="4"/>
        <v>1255778.7625883007</v>
      </c>
    </row>
    <row r="56" spans="5:10" x14ac:dyDescent="0.3">
      <c r="E56" s="209">
        <v>54</v>
      </c>
      <c r="F56" s="44">
        <f t="shared" si="0"/>
        <v>1255778.7625883007</v>
      </c>
      <c r="G56" s="48">
        <f t="shared" si="1"/>
        <v>7629.8974990909028</v>
      </c>
      <c r="H56" s="48">
        <f t="shared" si="2"/>
        <v>5755.6526618630451</v>
      </c>
      <c r="I56" s="48">
        <f t="shared" si="3"/>
        <v>1874.2448372278577</v>
      </c>
      <c r="J56" s="163">
        <f t="shared" si="4"/>
        <v>1253904.517751073</v>
      </c>
    </row>
    <row r="57" spans="5:10" x14ac:dyDescent="0.3">
      <c r="E57" s="209">
        <v>55</v>
      </c>
      <c r="F57" s="44">
        <f t="shared" si="0"/>
        <v>1253904.517751073</v>
      </c>
      <c r="G57" s="48">
        <f t="shared" si="1"/>
        <v>7629.8974990909028</v>
      </c>
      <c r="H57" s="48">
        <f t="shared" si="2"/>
        <v>5747.0623730257512</v>
      </c>
      <c r="I57" s="48">
        <f t="shared" si="3"/>
        <v>1882.8351260651516</v>
      </c>
      <c r="J57" s="163">
        <f t="shared" si="4"/>
        <v>1252021.6826250078</v>
      </c>
    </row>
    <row r="58" spans="5:10" x14ac:dyDescent="0.3">
      <c r="E58" s="209">
        <v>56</v>
      </c>
      <c r="F58" s="44">
        <f t="shared" si="0"/>
        <v>1252021.6826250078</v>
      </c>
      <c r="G58" s="48">
        <f t="shared" si="1"/>
        <v>7629.8974990909028</v>
      </c>
      <c r="H58" s="48">
        <f t="shared" si="2"/>
        <v>5738.4327120312855</v>
      </c>
      <c r="I58" s="48">
        <f t="shared" si="3"/>
        <v>1891.4647870596173</v>
      </c>
      <c r="J58" s="163">
        <f t="shared" si="4"/>
        <v>1250130.2178379481</v>
      </c>
    </row>
    <row r="59" spans="5:10" x14ac:dyDescent="0.3">
      <c r="E59" s="209">
        <v>57</v>
      </c>
      <c r="F59" s="44">
        <f t="shared" si="0"/>
        <v>1250130.2178379481</v>
      </c>
      <c r="G59" s="48">
        <f t="shared" si="1"/>
        <v>7629.8974990909028</v>
      </c>
      <c r="H59" s="48">
        <f t="shared" si="2"/>
        <v>5729.7634984239294</v>
      </c>
      <c r="I59" s="48">
        <f t="shared" si="3"/>
        <v>1900.1340006669734</v>
      </c>
      <c r="J59" s="163">
        <f t="shared" si="4"/>
        <v>1248230.0838372812</v>
      </c>
    </row>
    <row r="60" spans="5:10" x14ac:dyDescent="0.3">
      <c r="E60" s="209">
        <v>58</v>
      </c>
      <c r="F60" s="44">
        <f t="shared" si="0"/>
        <v>1248230.0838372812</v>
      </c>
      <c r="G60" s="48">
        <f t="shared" si="1"/>
        <v>7629.8974990909028</v>
      </c>
      <c r="H60" s="48">
        <f t="shared" si="2"/>
        <v>5721.0545509208723</v>
      </c>
      <c r="I60" s="48">
        <f t="shared" si="3"/>
        <v>1908.8429481700305</v>
      </c>
      <c r="J60" s="163">
        <f t="shared" si="4"/>
        <v>1246321.2408891111</v>
      </c>
    </row>
    <row r="61" spans="5:10" x14ac:dyDescent="0.3">
      <c r="E61" s="209">
        <v>59</v>
      </c>
      <c r="F61" s="44">
        <f t="shared" si="0"/>
        <v>1246321.2408891111</v>
      </c>
      <c r="G61" s="48">
        <f t="shared" si="1"/>
        <v>7629.8974990909028</v>
      </c>
      <c r="H61" s="48">
        <f t="shared" si="2"/>
        <v>5712.3056874084259</v>
      </c>
      <c r="I61" s="48">
        <f t="shared" si="3"/>
        <v>1917.5918116824769</v>
      </c>
      <c r="J61" s="163">
        <f t="shared" si="4"/>
        <v>1244403.6490774285</v>
      </c>
    </row>
    <row r="62" spans="5:10" x14ac:dyDescent="0.3">
      <c r="E62" s="209">
        <v>60</v>
      </c>
      <c r="F62" s="44">
        <f t="shared" si="0"/>
        <v>1244403.6490774285</v>
      </c>
      <c r="G62" s="48">
        <f t="shared" si="1"/>
        <v>7629.8974990909028</v>
      </c>
      <c r="H62" s="48">
        <f t="shared" si="2"/>
        <v>5703.5167249382139</v>
      </c>
      <c r="I62" s="48">
        <f t="shared" si="3"/>
        <v>1926.3807741526889</v>
      </c>
      <c r="J62" s="163">
        <f t="shared" si="4"/>
        <v>1242477.2683032758</v>
      </c>
    </row>
    <row r="63" spans="5:10" x14ac:dyDescent="0.3">
      <c r="E63" s="209">
        <v>61</v>
      </c>
      <c r="F63" s="44">
        <f t="shared" si="0"/>
        <v>1242477.2683032758</v>
      </c>
      <c r="G63" s="48">
        <f t="shared" si="1"/>
        <v>7629.8974990909028</v>
      </c>
      <c r="H63" s="48">
        <f t="shared" si="2"/>
        <v>5694.6874797233477</v>
      </c>
      <c r="I63" s="48">
        <f t="shared" si="3"/>
        <v>1935.2100193675551</v>
      </c>
      <c r="J63" s="163">
        <f t="shared" si="4"/>
        <v>1240542.0582839083</v>
      </c>
    </row>
    <row r="64" spans="5:10" x14ac:dyDescent="0.3">
      <c r="E64" s="209">
        <v>62</v>
      </c>
      <c r="F64" s="44">
        <f t="shared" si="0"/>
        <v>1240542.0582839083</v>
      </c>
      <c r="G64" s="48">
        <f t="shared" si="1"/>
        <v>7629.8974990909028</v>
      </c>
      <c r="H64" s="48">
        <f t="shared" si="2"/>
        <v>5685.8177671345802</v>
      </c>
      <c r="I64" s="48">
        <f t="shared" si="3"/>
        <v>1944.0797319563226</v>
      </c>
      <c r="J64" s="163">
        <f t="shared" si="4"/>
        <v>1238597.9785519519</v>
      </c>
    </row>
    <row r="65" spans="5:10" x14ac:dyDescent="0.3">
      <c r="E65" s="209">
        <v>63</v>
      </c>
      <c r="F65" s="44">
        <f t="shared" si="0"/>
        <v>1238597.9785519519</v>
      </c>
      <c r="G65" s="48">
        <f t="shared" si="1"/>
        <v>7629.8974990909028</v>
      </c>
      <c r="H65" s="48">
        <f t="shared" si="2"/>
        <v>5676.9074016964469</v>
      </c>
      <c r="I65" s="48">
        <f t="shared" si="3"/>
        <v>1952.9900973944559</v>
      </c>
      <c r="J65" s="163">
        <f t="shared" si="4"/>
        <v>1236644.9884545575</v>
      </c>
    </row>
    <row r="66" spans="5:10" x14ac:dyDescent="0.3">
      <c r="E66" s="209">
        <v>64</v>
      </c>
      <c r="F66" s="44">
        <f t="shared" si="0"/>
        <v>1236644.9884545575</v>
      </c>
      <c r="G66" s="48">
        <f t="shared" si="1"/>
        <v>7629.8974990909028</v>
      </c>
      <c r="H66" s="48">
        <f t="shared" si="2"/>
        <v>5667.9561970833884</v>
      </c>
      <c r="I66" s="48">
        <f t="shared" si="3"/>
        <v>1961.9413020075144</v>
      </c>
      <c r="J66" s="163">
        <f t="shared" si="4"/>
        <v>1234683.04715255</v>
      </c>
    </row>
    <row r="67" spans="5:10" x14ac:dyDescent="0.3">
      <c r="E67" s="209">
        <v>65</v>
      </c>
      <c r="F67" s="44">
        <f t="shared" si="0"/>
        <v>1234683.04715255</v>
      </c>
      <c r="G67" s="48">
        <f t="shared" si="1"/>
        <v>7629.8974990909028</v>
      </c>
      <c r="H67" s="48">
        <f t="shared" si="2"/>
        <v>5658.9639661158544</v>
      </c>
      <c r="I67" s="48">
        <f t="shared" si="3"/>
        <v>1970.9335329750484</v>
      </c>
      <c r="J67" s="163">
        <f t="shared" si="4"/>
        <v>1232712.1136195748</v>
      </c>
    </row>
    <row r="68" spans="5:10" x14ac:dyDescent="0.3">
      <c r="E68" s="209">
        <v>66</v>
      </c>
      <c r="F68" s="44">
        <f t="shared" si="0"/>
        <v>1232712.1136195748</v>
      </c>
      <c r="G68" s="48">
        <f t="shared" si="1"/>
        <v>7629.8974990909028</v>
      </c>
      <c r="H68" s="48">
        <f t="shared" si="2"/>
        <v>5649.9305207563848</v>
      </c>
      <c r="I68" s="48">
        <f t="shared" si="3"/>
        <v>1979.966978334518</v>
      </c>
      <c r="J68" s="163">
        <f t="shared" si="4"/>
        <v>1230732.1466412402</v>
      </c>
    </row>
    <row r="69" spans="5:10" x14ac:dyDescent="0.3">
      <c r="E69" s="209">
        <v>67</v>
      </c>
      <c r="F69" s="44">
        <f t="shared" ref="F69:F132" si="5">J68</f>
        <v>1230732.1466412402</v>
      </c>
      <c r="G69" s="48">
        <f t="shared" ref="G69:G132" si="6">$C$6</f>
        <v>7629.8974990909028</v>
      </c>
      <c r="H69" s="48">
        <f t="shared" ref="H69:H132" si="7">F69*$C$4/12</f>
        <v>5640.8556721056848</v>
      </c>
      <c r="I69" s="48">
        <f t="shared" ref="I69:I132" si="8">G69-H69</f>
        <v>1989.041826985218</v>
      </c>
      <c r="J69" s="163">
        <f t="shared" ref="J69:J132" si="9">F69-I69</f>
        <v>1228743.1048142549</v>
      </c>
    </row>
    <row r="70" spans="5:10" x14ac:dyDescent="0.3">
      <c r="E70" s="209">
        <v>68</v>
      </c>
      <c r="F70" s="44">
        <f t="shared" si="5"/>
        <v>1228743.1048142549</v>
      </c>
      <c r="G70" s="48">
        <f t="shared" si="6"/>
        <v>7629.8974990909028</v>
      </c>
      <c r="H70" s="48">
        <f t="shared" si="7"/>
        <v>5631.739230398668</v>
      </c>
      <c r="I70" s="48">
        <f t="shared" si="8"/>
        <v>1998.1582686922347</v>
      </c>
      <c r="J70" s="163">
        <f t="shared" si="9"/>
        <v>1226744.9465455627</v>
      </c>
    </row>
    <row r="71" spans="5:10" x14ac:dyDescent="0.3">
      <c r="E71" s="209">
        <v>69</v>
      </c>
      <c r="F71" s="44">
        <f t="shared" si="5"/>
        <v>1226744.9465455627</v>
      </c>
      <c r="G71" s="48">
        <f t="shared" si="6"/>
        <v>7629.8974990909028</v>
      </c>
      <c r="H71" s="48">
        <f t="shared" si="7"/>
        <v>5622.5810050004957</v>
      </c>
      <c r="I71" s="48">
        <f t="shared" si="8"/>
        <v>2007.3164940904071</v>
      </c>
      <c r="J71" s="163">
        <f t="shared" si="9"/>
        <v>1224737.6300514722</v>
      </c>
    </row>
    <row r="72" spans="5:10" x14ac:dyDescent="0.3">
      <c r="E72" s="209">
        <v>70</v>
      </c>
      <c r="F72" s="44">
        <f t="shared" si="5"/>
        <v>1224737.6300514722</v>
      </c>
      <c r="G72" s="48">
        <f t="shared" si="6"/>
        <v>7629.8974990909028</v>
      </c>
      <c r="H72" s="48">
        <f t="shared" si="7"/>
        <v>5613.3808044025818</v>
      </c>
      <c r="I72" s="48">
        <f t="shared" si="8"/>
        <v>2016.516694688321</v>
      </c>
      <c r="J72" s="163">
        <f t="shared" si="9"/>
        <v>1222721.113356784</v>
      </c>
    </row>
    <row r="73" spans="5:10" x14ac:dyDescent="0.3">
      <c r="E73" s="209">
        <v>71</v>
      </c>
      <c r="F73" s="44">
        <f t="shared" si="5"/>
        <v>1222721.113356784</v>
      </c>
      <c r="G73" s="48">
        <f t="shared" si="6"/>
        <v>7629.8974990909028</v>
      </c>
      <c r="H73" s="48">
        <f t="shared" si="7"/>
        <v>5604.1384362185936</v>
      </c>
      <c r="I73" s="48">
        <f t="shared" si="8"/>
        <v>2025.7590628723092</v>
      </c>
      <c r="J73" s="163">
        <f t="shared" si="9"/>
        <v>1220695.3542939117</v>
      </c>
    </row>
    <row r="74" spans="5:10" x14ac:dyDescent="0.3">
      <c r="E74" s="209">
        <v>72</v>
      </c>
      <c r="F74" s="44">
        <f t="shared" si="5"/>
        <v>1220695.3542939117</v>
      </c>
      <c r="G74" s="48">
        <f t="shared" si="6"/>
        <v>7629.8974990909028</v>
      </c>
      <c r="H74" s="48">
        <f t="shared" si="7"/>
        <v>5594.8537071804285</v>
      </c>
      <c r="I74" s="48">
        <f t="shared" si="8"/>
        <v>2035.0437919104743</v>
      </c>
      <c r="J74" s="163">
        <f t="shared" si="9"/>
        <v>1218660.3105020013</v>
      </c>
    </row>
    <row r="75" spans="5:10" x14ac:dyDescent="0.3">
      <c r="E75" s="209">
        <v>73</v>
      </c>
      <c r="F75" s="44">
        <f t="shared" si="5"/>
        <v>1218660.3105020013</v>
      </c>
      <c r="G75" s="48">
        <f t="shared" si="6"/>
        <v>7629.8974990909028</v>
      </c>
      <c r="H75" s="48">
        <f t="shared" si="7"/>
        <v>5585.5264231341725</v>
      </c>
      <c r="I75" s="48">
        <f t="shared" si="8"/>
        <v>2044.3710759567302</v>
      </c>
      <c r="J75" s="163">
        <f t="shared" si="9"/>
        <v>1216615.9394260447</v>
      </c>
    </row>
    <row r="76" spans="5:10" x14ac:dyDescent="0.3">
      <c r="E76" s="209">
        <v>74</v>
      </c>
      <c r="F76" s="44">
        <f t="shared" si="5"/>
        <v>1216615.9394260447</v>
      </c>
      <c r="G76" s="48">
        <f t="shared" si="6"/>
        <v>7629.8974990909028</v>
      </c>
      <c r="H76" s="48">
        <f t="shared" si="7"/>
        <v>5576.1563890360385</v>
      </c>
      <c r="I76" s="48">
        <f t="shared" si="8"/>
        <v>2053.7411100548643</v>
      </c>
      <c r="J76" s="163">
        <f t="shared" si="9"/>
        <v>1214562.1983159899</v>
      </c>
    </row>
    <row r="77" spans="5:10" x14ac:dyDescent="0.3">
      <c r="E77" s="209">
        <v>75</v>
      </c>
      <c r="F77" s="44">
        <f t="shared" si="5"/>
        <v>1214562.1983159899</v>
      </c>
      <c r="G77" s="48">
        <f t="shared" si="6"/>
        <v>7629.8974990909028</v>
      </c>
      <c r="H77" s="48">
        <f t="shared" si="7"/>
        <v>5566.7434089482877</v>
      </c>
      <c r="I77" s="48">
        <f t="shared" si="8"/>
        <v>2063.1540901426151</v>
      </c>
      <c r="J77" s="163">
        <f t="shared" si="9"/>
        <v>1212499.0442258473</v>
      </c>
    </row>
    <row r="78" spans="5:10" x14ac:dyDescent="0.3">
      <c r="E78" s="209">
        <v>76</v>
      </c>
      <c r="F78" s="44">
        <f t="shared" si="5"/>
        <v>1212499.0442258473</v>
      </c>
      <c r="G78" s="48">
        <f t="shared" si="6"/>
        <v>7629.8974990909028</v>
      </c>
      <c r="H78" s="48">
        <f t="shared" si="7"/>
        <v>5557.2872860351335</v>
      </c>
      <c r="I78" s="48">
        <f t="shared" si="8"/>
        <v>2072.6102130557692</v>
      </c>
      <c r="J78" s="163">
        <f t="shared" si="9"/>
        <v>1210426.4340127916</v>
      </c>
    </row>
    <row r="79" spans="5:10" x14ac:dyDescent="0.3">
      <c r="E79" s="209">
        <v>77</v>
      </c>
      <c r="F79" s="44">
        <f t="shared" si="5"/>
        <v>1210426.4340127916</v>
      </c>
      <c r="G79" s="48">
        <f t="shared" si="6"/>
        <v>7629.8974990909028</v>
      </c>
      <c r="H79" s="48">
        <f t="shared" si="7"/>
        <v>5547.7878225586282</v>
      </c>
      <c r="I79" s="48">
        <f t="shared" si="8"/>
        <v>2082.1096765322745</v>
      </c>
      <c r="J79" s="163">
        <f t="shared" si="9"/>
        <v>1208344.3243362594</v>
      </c>
    </row>
    <row r="80" spans="5:10" x14ac:dyDescent="0.3">
      <c r="E80" s="209">
        <v>78</v>
      </c>
      <c r="F80" s="44">
        <f t="shared" si="5"/>
        <v>1208344.3243362594</v>
      </c>
      <c r="G80" s="48">
        <f t="shared" si="6"/>
        <v>7629.8974990909028</v>
      </c>
      <c r="H80" s="48">
        <f t="shared" si="7"/>
        <v>5538.2448198745224</v>
      </c>
      <c r="I80" s="48">
        <f t="shared" si="8"/>
        <v>2091.6526792163804</v>
      </c>
      <c r="J80" s="163">
        <f t="shared" si="9"/>
        <v>1206252.671657043</v>
      </c>
    </row>
    <row r="81" spans="5:10" x14ac:dyDescent="0.3">
      <c r="E81" s="209">
        <v>79</v>
      </c>
      <c r="F81" s="44">
        <f t="shared" si="5"/>
        <v>1206252.671657043</v>
      </c>
      <c r="G81" s="48">
        <f t="shared" si="6"/>
        <v>7629.8974990909028</v>
      </c>
      <c r="H81" s="48">
        <f t="shared" si="7"/>
        <v>5528.6580784281141</v>
      </c>
      <c r="I81" s="48">
        <f t="shared" si="8"/>
        <v>2101.2394206627887</v>
      </c>
      <c r="J81" s="163">
        <f t="shared" si="9"/>
        <v>1204151.4322363802</v>
      </c>
    </row>
    <row r="82" spans="5:10" x14ac:dyDescent="0.3">
      <c r="E82" s="209">
        <v>80</v>
      </c>
      <c r="F82" s="44">
        <f t="shared" si="5"/>
        <v>1204151.4322363802</v>
      </c>
      <c r="G82" s="48">
        <f t="shared" si="6"/>
        <v>7629.8974990909028</v>
      </c>
      <c r="H82" s="48">
        <f t="shared" si="7"/>
        <v>5519.0273977500756</v>
      </c>
      <c r="I82" s="48">
        <f t="shared" si="8"/>
        <v>2110.8701013408272</v>
      </c>
      <c r="J82" s="163">
        <f t="shared" si="9"/>
        <v>1202040.5621350394</v>
      </c>
    </row>
    <row r="83" spans="5:10" x14ac:dyDescent="0.3">
      <c r="E83" s="209">
        <v>81</v>
      </c>
      <c r="F83" s="44">
        <f t="shared" si="5"/>
        <v>1202040.5621350394</v>
      </c>
      <c r="G83" s="48">
        <f t="shared" si="6"/>
        <v>7629.8974990909028</v>
      </c>
      <c r="H83" s="48">
        <f t="shared" si="7"/>
        <v>5509.3525764522637</v>
      </c>
      <c r="I83" s="48">
        <f t="shared" si="8"/>
        <v>2120.544922638639</v>
      </c>
      <c r="J83" s="163">
        <f t="shared" si="9"/>
        <v>1199920.0172124007</v>
      </c>
    </row>
    <row r="84" spans="5:10" x14ac:dyDescent="0.3">
      <c r="E84" s="209">
        <v>82</v>
      </c>
      <c r="F84" s="44">
        <f t="shared" si="5"/>
        <v>1199920.0172124007</v>
      </c>
      <c r="G84" s="48">
        <f t="shared" si="6"/>
        <v>7629.8974990909028</v>
      </c>
      <c r="H84" s="48">
        <f t="shared" si="7"/>
        <v>5499.633412223503</v>
      </c>
      <c r="I84" s="48">
        <f t="shared" si="8"/>
        <v>2130.2640868673998</v>
      </c>
      <c r="J84" s="163">
        <f t="shared" si="9"/>
        <v>1197789.7531255332</v>
      </c>
    </row>
    <row r="85" spans="5:10" x14ac:dyDescent="0.3">
      <c r="E85" s="209">
        <v>83</v>
      </c>
      <c r="F85" s="44">
        <f t="shared" si="5"/>
        <v>1197789.7531255332</v>
      </c>
      <c r="G85" s="48">
        <f t="shared" si="6"/>
        <v>7629.8974990909028</v>
      </c>
      <c r="H85" s="48">
        <f t="shared" si="7"/>
        <v>5489.8697018253615</v>
      </c>
      <c r="I85" s="48">
        <f t="shared" si="8"/>
        <v>2140.0277972655413</v>
      </c>
      <c r="J85" s="163">
        <f t="shared" si="9"/>
        <v>1195649.7253282678</v>
      </c>
    </row>
    <row r="86" spans="5:10" x14ac:dyDescent="0.3">
      <c r="E86" s="209">
        <v>84</v>
      </c>
      <c r="F86" s="44">
        <f t="shared" si="5"/>
        <v>1195649.7253282678</v>
      </c>
      <c r="G86" s="48">
        <f t="shared" si="6"/>
        <v>7629.8974990909028</v>
      </c>
      <c r="H86" s="48">
        <f t="shared" si="7"/>
        <v>5480.0612410878939</v>
      </c>
      <c r="I86" s="48">
        <f t="shared" si="8"/>
        <v>2149.8362580030089</v>
      </c>
      <c r="J86" s="163">
        <f t="shared" si="9"/>
        <v>1193499.8890702648</v>
      </c>
    </row>
    <row r="87" spans="5:10" x14ac:dyDescent="0.3">
      <c r="E87" s="209">
        <v>85</v>
      </c>
      <c r="F87" s="44">
        <f t="shared" si="5"/>
        <v>1193499.8890702648</v>
      </c>
      <c r="G87" s="48">
        <f t="shared" si="6"/>
        <v>7629.8974990909028</v>
      </c>
      <c r="H87" s="48">
        <f t="shared" si="7"/>
        <v>5470.2078249053802</v>
      </c>
      <c r="I87" s="48">
        <f t="shared" si="8"/>
        <v>2159.6896741855226</v>
      </c>
      <c r="J87" s="163">
        <f t="shared" si="9"/>
        <v>1191340.1993960792</v>
      </c>
    </row>
    <row r="88" spans="5:10" x14ac:dyDescent="0.3">
      <c r="E88" s="209">
        <v>86</v>
      </c>
      <c r="F88" s="44">
        <f t="shared" si="5"/>
        <v>1191340.1993960792</v>
      </c>
      <c r="G88" s="48">
        <f t="shared" si="6"/>
        <v>7629.8974990909028</v>
      </c>
      <c r="H88" s="48">
        <f t="shared" si="7"/>
        <v>5460.3092472320295</v>
      </c>
      <c r="I88" s="48">
        <f t="shared" si="8"/>
        <v>2169.5882518588733</v>
      </c>
      <c r="J88" s="163">
        <f t="shared" si="9"/>
        <v>1189170.6111442202</v>
      </c>
    </row>
    <row r="89" spans="5:10" x14ac:dyDescent="0.3">
      <c r="E89" s="209">
        <v>87</v>
      </c>
      <c r="F89" s="44">
        <f t="shared" si="5"/>
        <v>1189170.6111442202</v>
      </c>
      <c r="G89" s="48">
        <f t="shared" si="6"/>
        <v>7629.8974990909028</v>
      </c>
      <c r="H89" s="48">
        <f t="shared" si="7"/>
        <v>5450.3653010776761</v>
      </c>
      <c r="I89" s="48">
        <f t="shared" si="8"/>
        <v>2179.5321980132267</v>
      </c>
      <c r="J89" s="163">
        <f t="shared" si="9"/>
        <v>1186991.078946207</v>
      </c>
    </row>
    <row r="90" spans="5:10" x14ac:dyDescent="0.3">
      <c r="E90" s="209">
        <v>88</v>
      </c>
      <c r="F90" s="44">
        <f t="shared" si="5"/>
        <v>1186991.078946207</v>
      </c>
      <c r="G90" s="48">
        <f t="shared" si="6"/>
        <v>7629.8974990909028</v>
      </c>
      <c r="H90" s="48">
        <f t="shared" si="7"/>
        <v>5440.3757785034486</v>
      </c>
      <c r="I90" s="48">
        <f t="shared" si="8"/>
        <v>2189.5217205874542</v>
      </c>
      <c r="J90" s="163">
        <f t="shared" si="9"/>
        <v>1184801.5572256194</v>
      </c>
    </row>
    <row r="91" spans="5:10" x14ac:dyDescent="0.3">
      <c r="E91" s="209">
        <v>89</v>
      </c>
      <c r="F91" s="44">
        <f t="shared" si="5"/>
        <v>1184801.5572256194</v>
      </c>
      <c r="G91" s="48">
        <f t="shared" si="6"/>
        <v>7629.8974990909028</v>
      </c>
      <c r="H91" s="48">
        <f t="shared" si="7"/>
        <v>5430.3404706174224</v>
      </c>
      <c r="I91" s="48">
        <f t="shared" si="8"/>
        <v>2199.5570284734804</v>
      </c>
      <c r="J91" s="163">
        <f t="shared" si="9"/>
        <v>1182602.0001971459</v>
      </c>
    </row>
    <row r="92" spans="5:10" x14ac:dyDescent="0.3">
      <c r="E92" s="209">
        <v>90</v>
      </c>
      <c r="F92" s="44">
        <f t="shared" si="5"/>
        <v>1182602.0001971459</v>
      </c>
      <c r="G92" s="48">
        <f t="shared" si="6"/>
        <v>7629.8974990909028</v>
      </c>
      <c r="H92" s="48">
        <f t="shared" si="7"/>
        <v>5420.2591675702524</v>
      </c>
      <c r="I92" s="48">
        <f t="shared" si="8"/>
        <v>2209.6383315206504</v>
      </c>
      <c r="J92" s="163">
        <f t="shared" si="9"/>
        <v>1180392.3618656253</v>
      </c>
    </row>
    <row r="93" spans="5:10" x14ac:dyDescent="0.3">
      <c r="E93" s="209">
        <v>91</v>
      </c>
      <c r="F93" s="44">
        <f t="shared" si="5"/>
        <v>1180392.3618656253</v>
      </c>
      <c r="G93" s="48">
        <f t="shared" si="6"/>
        <v>7629.8974990909028</v>
      </c>
      <c r="H93" s="48">
        <f t="shared" si="7"/>
        <v>5410.131658550782</v>
      </c>
      <c r="I93" s="48">
        <f t="shared" si="8"/>
        <v>2219.7658405401207</v>
      </c>
      <c r="J93" s="163">
        <f t="shared" si="9"/>
        <v>1178172.5960250851</v>
      </c>
    </row>
    <row r="94" spans="5:10" x14ac:dyDescent="0.3">
      <c r="E94" s="209">
        <v>92</v>
      </c>
      <c r="F94" s="44">
        <f t="shared" si="5"/>
        <v>1178172.5960250851</v>
      </c>
      <c r="G94" s="48">
        <f t="shared" si="6"/>
        <v>7629.8974990909028</v>
      </c>
      <c r="H94" s="48">
        <f t="shared" si="7"/>
        <v>5399.9577317816402</v>
      </c>
      <c r="I94" s="48">
        <f t="shared" si="8"/>
        <v>2229.9397673092626</v>
      </c>
      <c r="J94" s="163">
        <f t="shared" si="9"/>
        <v>1175942.6562577758</v>
      </c>
    </row>
    <row r="95" spans="5:10" x14ac:dyDescent="0.3">
      <c r="E95" s="209">
        <v>93</v>
      </c>
      <c r="F95" s="44">
        <f t="shared" si="5"/>
        <v>1175942.6562577758</v>
      </c>
      <c r="G95" s="48">
        <f t="shared" si="6"/>
        <v>7629.8974990909028</v>
      </c>
      <c r="H95" s="48">
        <f t="shared" si="7"/>
        <v>5389.7371745148057</v>
      </c>
      <c r="I95" s="48">
        <f t="shared" si="8"/>
        <v>2240.1603245760971</v>
      </c>
      <c r="J95" s="163">
        <f t="shared" si="9"/>
        <v>1173702.4959331998</v>
      </c>
    </row>
    <row r="96" spans="5:10" x14ac:dyDescent="0.3">
      <c r="E96" s="209">
        <v>94</v>
      </c>
      <c r="F96" s="44">
        <f t="shared" si="5"/>
        <v>1173702.4959331998</v>
      </c>
      <c r="G96" s="48">
        <f t="shared" si="6"/>
        <v>7629.8974990909028</v>
      </c>
      <c r="H96" s="48">
        <f t="shared" si="7"/>
        <v>5379.4697730271655</v>
      </c>
      <c r="I96" s="48">
        <f t="shared" si="8"/>
        <v>2250.4277260637373</v>
      </c>
      <c r="J96" s="163">
        <f t="shared" si="9"/>
        <v>1171452.0682071361</v>
      </c>
    </row>
    <row r="97" spans="5:10" x14ac:dyDescent="0.3">
      <c r="E97" s="209">
        <v>95</v>
      </c>
      <c r="F97" s="44">
        <f t="shared" si="5"/>
        <v>1171452.0682071361</v>
      </c>
      <c r="G97" s="48">
        <f t="shared" si="6"/>
        <v>7629.8974990909028</v>
      </c>
      <c r="H97" s="48">
        <f t="shared" si="7"/>
        <v>5369.1553126160406</v>
      </c>
      <c r="I97" s="48">
        <f t="shared" si="8"/>
        <v>2260.7421864748621</v>
      </c>
      <c r="J97" s="163">
        <f t="shared" si="9"/>
        <v>1169191.3260206613</v>
      </c>
    </row>
    <row r="98" spans="5:10" x14ac:dyDescent="0.3">
      <c r="E98" s="209">
        <v>96</v>
      </c>
      <c r="F98" s="44">
        <f t="shared" si="5"/>
        <v>1169191.3260206613</v>
      </c>
      <c r="G98" s="48">
        <f t="shared" si="6"/>
        <v>7629.8974990909028</v>
      </c>
      <c r="H98" s="48">
        <f t="shared" si="7"/>
        <v>5358.793577594698</v>
      </c>
      <c r="I98" s="48">
        <f t="shared" si="8"/>
        <v>2271.1039214962047</v>
      </c>
      <c r="J98" s="163">
        <f t="shared" si="9"/>
        <v>1166920.222099165</v>
      </c>
    </row>
    <row r="99" spans="5:10" x14ac:dyDescent="0.3">
      <c r="E99" s="209">
        <v>97</v>
      </c>
      <c r="F99" s="44">
        <f t="shared" si="5"/>
        <v>1166920.222099165</v>
      </c>
      <c r="G99" s="48">
        <f t="shared" si="6"/>
        <v>7629.8974990909028</v>
      </c>
      <c r="H99" s="48">
        <f t="shared" si="7"/>
        <v>5348.3843512878393</v>
      </c>
      <c r="I99" s="48">
        <f t="shared" si="8"/>
        <v>2281.5131478030635</v>
      </c>
      <c r="J99" s="163">
        <f t="shared" si="9"/>
        <v>1164638.7089513619</v>
      </c>
    </row>
    <row r="100" spans="5:10" x14ac:dyDescent="0.3">
      <c r="E100" s="209">
        <v>98</v>
      </c>
      <c r="F100" s="44">
        <f t="shared" si="5"/>
        <v>1164638.7089513619</v>
      </c>
      <c r="G100" s="48">
        <f t="shared" si="6"/>
        <v>7629.8974990909028</v>
      </c>
      <c r="H100" s="48">
        <f t="shared" si="7"/>
        <v>5337.9274160270752</v>
      </c>
      <c r="I100" s="48">
        <f t="shared" si="8"/>
        <v>2291.9700830638276</v>
      </c>
      <c r="J100" s="163">
        <f t="shared" si="9"/>
        <v>1162346.738868298</v>
      </c>
    </row>
    <row r="101" spans="5:10" x14ac:dyDescent="0.3">
      <c r="E101" s="209">
        <v>99</v>
      </c>
      <c r="F101" s="44">
        <f t="shared" si="5"/>
        <v>1162346.738868298</v>
      </c>
      <c r="G101" s="48">
        <f t="shared" si="6"/>
        <v>7629.8974990909028</v>
      </c>
      <c r="H101" s="48">
        <f t="shared" si="7"/>
        <v>5327.4225531463662</v>
      </c>
      <c r="I101" s="48">
        <f t="shared" si="8"/>
        <v>2302.4749459445366</v>
      </c>
      <c r="J101" s="163">
        <f t="shared" si="9"/>
        <v>1160044.2639223535</v>
      </c>
    </row>
    <row r="102" spans="5:10" x14ac:dyDescent="0.3">
      <c r="E102" s="209">
        <v>100</v>
      </c>
      <c r="F102" s="44">
        <f t="shared" si="5"/>
        <v>1160044.2639223535</v>
      </c>
      <c r="G102" s="48">
        <f t="shared" si="6"/>
        <v>7629.8974990909028</v>
      </c>
      <c r="H102" s="48">
        <f t="shared" si="7"/>
        <v>5316.8695429774534</v>
      </c>
      <c r="I102" s="48">
        <f t="shared" si="8"/>
        <v>2313.0279561134494</v>
      </c>
      <c r="J102" s="163">
        <f t="shared" si="9"/>
        <v>1157731.2359662401</v>
      </c>
    </row>
    <row r="103" spans="5:10" x14ac:dyDescent="0.3">
      <c r="E103" s="209">
        <v>101</v>
      </c>
      <c r="F103" s="44">
        <f t="shared" si="5"/>
        <v>1157731.2359662401</v>
      </c>
      <c r="G103" s="48">
        <f t="shared" si="6"/>
        <v>7629.8974990909028</v>
      </c>
      <c r="H103" s="48">
        <f t="shared" si="7"/>
        <v>5306.2681648452672</v>
      </c>
      <c r="I103" s="48">
        <f t="shared" si="8"/>
        <v>2323.6293342456356</v>
      </c>
      <c r="J103" s="163">
        <f t="shared" si="9"/>
        <v>1155407.6066319945</v>
      </c>
    </row>
    <row r="104" spans="5:10" x14ac:dyDescent="0.3">
      <c r="E104" s="209">
        <v>102</v>
      </c>
      <c r="F104" s="44">
        <f t="shared" si="5"/>
        <v>1155407.6066319945</v>
      </c>
      <c r="G104" s="48">
        <f t="shared" si="6"/>
        <v>7629.8974990909028</v>
      </c>
      <c r="H104" s="48">
        <f t="shared" si="7"/>
        <v>5295.6181970633079</v>
      </c>
      <c r="I104" s="48">
        <f t="shared" si="8"/>
        <v>2334.2793020275949</v>
      </c>
      <c r="J104" s="163">
        <f t="shared" si="9"/>
        <v>1153073.3273299669</v>
      </c>
    </row>
    <row r="105" spans="5:10" x14ac:dyDescent="0.3">
      <c r="E105" s="209">
        <v>103</v>
      </c>
      <c r="F105" s="44">
        <f t="shared" si="5"/>
        <v>1153073.3273299669</v>
      </c>
      <c r="G105" s="48">
        <f t="shared" si="6"/>
        <v>7629.8974990909028</v>
      </c>
      <c r="H105" s="48">
        <f t="shared" si="7"/>
        <v>5284.9194169290149</v>
      </c>
      <c r="I105" s="48">
        <f t="shared" si="8"/>
        <v>2344.9780821618879</v>
      </c>
      <c r="J105" s="163">
        <f t="shared" si="9"/>
        <v>1150728.3492478051</v>
      </c>
    </row>
    <row r="106" spans="5:10" x14ac:dyDescent="0.3">
      <c r="E106" s="209">
        <v>104</v>
      </c>
      <c r="F106" s="44">
        <f t="shared" si="5"/>
        <v>1150728.3492478051</v>
      </c>
      <c r="G106" s="48">
        <f t="shared" si="6"/>
        <v>7629.8974990909028</v>
      </c>
      <c r="H106" s="48">
        <f t="shared" si="7"/>
        <v>5274.1716007191071</v>
      </c>
      <c r="I106" s="48">
        <f t="shared" si="8"/>
        <v>2355.7258983717957</v>
      </c>
      <c r="J106" s="163">
        <f t="shared" si="9"/>
        <v>1148372.6233494333</v>
      </c>
    </row>
    <row r="107" spans="5:10" x14ac:dyDescent="0.3">
      <c r="E107" s="209">
        <v>105</v>
      </c>
      <c r="F107" s="44">
        <f t="shared" si="5"/>
        <v>1148372.6233494333</v>
      </c>
      <c r="G107" s="48">
        <f t="shared" si="6"/>
        <v>7629.8974990909028</v>
      </c>
      <c r="H107" s="48">
        <f t="shared" si="7"/>
        <v>5263.3745236849027</v>
      </c>
      <c r="I107" s="48">
        <f t="shared" si="8"/>
        <v>2366.5229754060001</v>
      </c>
      <c r="J107" s="163">
        <f t="shared" si="9"/>
        <v>1146006.1003740274</v>
      </c>
    </row>
    <row r="108" spans="5:10" x14ac:dyDescent="0.3">
      <c r="E108" s="209">
        <v>106</v>
      </c>
      <c r="F108" s="44">
        <f t="shared" si="5"/>
        <v>1146006.1003740274</v>
      </c>
      <c r="G108" s="48">
        <f t="shared" si="6"/>
        <v>7629.8974990909028</v>
      </c>
      <c r="H108" s="48">
        <f t="shared" si="7"/>
        <v>5252.5279600476251</v>
      </c>
      <c r="I108" s="48">
        <f t="shared" si="8"/>
        <v>2377.3695390432777</v>
      </c>
      <c r="J108" s="163">
        <f t="shared" si="9"/>
        <v>1143628.7308349842</v>
      </c>
    </row>
    <row r="109" spans="5:10" x14ac:dyDescent="0.3">
      <c r="E109" s="209">
        <v>107</v>
      </c>
      <c r="F109" s="44">
        <f t="shared" si="5"/>
        <v>1143628.7308349842</v>
      </c>
      <c r="G109" s="48">
        <f t="shared" si="6"/>
        <v>7629.8974990909028</v>
      </c>
      <c r="H109" s="48">
        <f t="shared" si="7"/>
        <v>5241.6316829936777</v>
      </c>
      <c r="I109" s="48">
        <f t="shared" si="8"/>
        <v>2388.2658160972251</v>
      </c>
      <c r="J109" s="163">
        <f t="shared" si="9"/>
        <v>1141240.4650188871</v>
      </c>
    </row>
    <row r="110" spans="5:10" x14ac:dyDescent="0.3">
      <c r="E110" s="209">
        <v>108</v>
      </c>
      <c r="F110" s="44">
        <f t="shared" si="5"/>
        <v>1141240.4650188871</v>
      </c>
      <c r="G110" s="48">
        <f t="shared" si="6"/>
        <v>7629.8974990909028</v>
      </c>
      <c r="H110" s="48">
        <f t="shared" si="7"/>
        <v>5230.6854646698994</v>
      </c>
      <c r="I110" s="48">
        <f t="shared" si="8"/>
        <v>2399.2120344210034</v>
      </c>
      <c r="J110" s="163">
        <f t="shared" si="9"/>
        <v>1138841.252984466</v>
      </c>
    </row>
    <row r="111" spans="5:10" x14ac:dyDescent="0.3">
      <c r="E111" s="209">
        <v>109</v>
      </c>
      <c r="F111" s="44">
        <f t="shared" si="5"/>
        <v>1138841.252984466</v>
      </c>
      <c r="G111" s="48">
        <f t="shared" si="6"/>
        <v>7629.8974990909028</v>
      </c>
      <c r="H111" s="48">
        <f t="shared" si="7"/>
        <v>5219.6890761788027</v>
      </c>
      <c r="I111" s="48">
        <f t="shared" si="8"/>
        <v>2410.2084229121001</v>
      </c>
      <c r="J111" s="163">
        <f t="shared" si="9"/>
        <v>1136431.044561554</v>
      </c>
    </row>
    <row r="112" spans="5:10" x14ac:dyDescent="0.3">
      <c r="E112" s="209">
        <v>110</v>
      </c>
      <c r="F112" s="44">
        <f t="shared" si="5"/>
        <v>1136431.044561554</v>
      </c>
      <c r="G112" s="48">
        <f t="shared" si="6"/>
        <v>7629.8974990909028</v>
      </c>
      <c r="H112" s="48">
        <f t="shared" si="7"/>
        <v>5208.642287573789</v>
      </c>
      <c r="I112" s="48">
        <f t="shared" si="8"/>
        <v>2421.2552115171138</v>
      </c>
      <c r="J112" s="163">
        <f t="shared" si="9"/>
        <v>1134009.7893500368</v>
      </c>
    </row>
    <row r="113" spans="5:10" x14ac:dyDescent="0.3">
      <c r="E113" s="209">
        <v>111</v>
      </c>
      <c r="F113" s="44">
        <f t="shared" si="5"/>
        <v>1134009.7893500368</v>
      </c>
      <c r="G113" s="48">
        <f t="shared" si="6"/>
        <v>7629.8974990909028</v>
      </c>
      <c r="H113" s="48">
        <f t="shared" si="7"/>
        <v>5197.5448678543353</v>
      </c>
      <c r="I113" s="48">
        <f t="shared" si="8"/>
        <v>2432.3526312365675</v>
      </c>
      <c r="J113" s="163">
        <f t="shared" si="9"/>
        <v>1131577.4367188001</v>
      </c>
    </row>
    <row r="114" spans="5:10" x14ac:dyDescent="0.3">
      <c r="E114" s="209">
        <v>112</v>
      </c>
      <c r="F114" s="44">
        <f t="shared" si="5"/>
        <v>1131577.4367188001</v>
      </c>
      <c r="G114" s="48">
        <f t="shared" si="6"/>
        <v>7629.8974990909028</v>
      </c>
      <c r="H114" s="48">
        <f t="shared" si="7"/>
        <v>5186.3965849611677</v>
      </c>
      <c r="I114" s="48">
        <f t="shared" si="8"/>
        <v>2443.5009141297351</v>
      </c>
      <c r="J114" s="163">
        <f t="shared" si="9"/>
        <v>1129133.9358046704</v>
      </c>
    </row>
    <row r="115" spans="5:10" x14ac:dyDescent="0.3">
      <c r="E115" s="209">
        <v>113</v>
      </c>
      <c r="F115" s="44">
        <f t="shared" si="5"/>
        <v>1129133.9358046704</v>
      </c>
      <c r="G115" s="48">
        <f t="shared" si="6"/>
        <v>7629.8974990909028</v>
      </c>
      <c r="H115" s="48">
        <f t="shared" si="7"/>
        <v>5175.1972057714065</v>
      </c>
      <c r="I115" s="48">
        <f t="shared" si="8"/>
        <v>2454.7002933194963</v>
      </c>
      <c r="J115" s="163">
        <f t="shared" si="9"/>
        <v>1126679.2355113509</v>
      </c>
    </row>
    <row r="116" spans="5:10" x14ac:dyDescent="0.3">
      <c r="E116" s="209">
        <v>114</v>
      </c>
      <c r="F116" s="44">
        <f t="shared" si="5"/>
        <v>1126679.2355113509</v>
      </c>
      <c r="G116" s="48">
        <f t="shared" si="6"/>
        <v>7629.8974990909028</v>
      </c>
      <c r="H116" s="48">
        <f t="shared" si="7"/>
        <v>5163.9464960936921</v>
      </c>
      <c r="I116" s="48">
        <f t="shared" si="8"/>
        <v>2465.9510029972107</v>
      </c>
      <c r="J116" s="163">
        <f t="shared" si="9"/>
        <v>1124213.2845083538</v>
      </c>
    </row>
    <row r="117" spans="5:10" x14ac:dyDescent="0.3">
      <c r="E117" s="209">
        <v>115</v>
      </c>
      <c r="F117" s="44">
        <f t="shared" si="5"/>
        <v>1124213.2845083538</v>
      </c>
      <c r="G117" s="48">
        <f t="shared" si="6"/>
        <v>7629.8974990909028</v>
      </c>
      <c r="H117" s="48">
        <f t="shared" si="7"/>
        <v>5152.6442206632883</v>
      </c>
      <c r="I117" s="48">
        <f t="shared" si="8"/>
        <v>2477.2532784276145</v>
      </c>
      <c r="J117" s="163">
        <f t="shared" si="9"/>
        <v>1121736.0312299263</v>
      </c>
    </row>
    <row r="118" spans="5:10" x14ac:dyDescent="0.3">
      <c r="E118" s="209">
        <v>116</v>
      </c>
      <c r="F118" s="44">
        <f t="shared" si="5"/>
        <v>1121736.0312299263</v>
      </c>
      <c r="G118" s="48">
        <f t="shared" si="6"/>
        <v>7629.8974990909028</v>
      </c>
      <c r="H118" s="48">
        <f t="shared" si="7"/>
        <v>5141.290143137162</v>
      </c>
      <c r="I118" s="48">
        <f t="shared" si="8"/>
        <v>2488.6073559537408</v>
      </c>
      <c r="J118" s="163">
        <f t="shared" si="9"/>
        <v>1119247.4238739726</v>
      </c>
    </row>
    <row r="119" spans="5:10" x14ac:dyDescent="0.3">
      <c r="E119" s="209">
        <v>117</v>
      </c>
      <c r="F119" s="44">
        <f t="shared" si="5"/>
        <v>1119247.4238739726</v>
      </c>
      <c r="G119" s="48">
        <f t="shared" si="6"/>
        <v>7629.8974990909028</v>
      </c>
      <c r="H119" s="48">
        <f t="shared" si="7"/>
        <v>5129.8840260890411</v>
      </c>
      <c r="I119" s="48">
        <f t="shared" si="8"/>
        <v>2500.0134730018617</v>
      </c>
      <c r="J119" s="163">
        <f t="shared" si="9"/>
        <v>1116747.4104009708</v>
      </c>
    </row>
    <row r="120" spans="5:10" x14ac:dyDescent="0.3">
      <c r="E120" s="209">
        <v>118</v>
      </c>
      <c r="F120" s="44">
        <f t="shared" si="5"/>
        <v>1116747.4104009708</v>
      </c>
      <c r="G120" s="48">
        <f t="shared" si="6"/>
        <v>7629.8974990909028</v>
      </c>
      <c r="H120" s="48">
        <f t="shared" si="7"/>
        <v>5118.4256310044502</v>
      </c>
      <c r="I120" s="48">
        <f t="shared" si="8"/>
        <v>2511.4718680864526</v>
      </c>
      <c r="J120" s="163">
        <f t="shared" si="9"/>
        <v>1114235.9385328845</v>
      </c>
    </row>
    <row r="121" spans="5:10" x14ac:dyDescent="0.3">
      <c r="E121" s="209">
        <v>119</v>
      </c>
      <c r="F121" s="44">
        <f t="shared" si="5"/>
        <v>1114235.9385328845</v>
      </c>
      <c r="G121" s="48">
        <f t="shared" si="6"/>
        <v>7629.8974990909028</v>
      </c>
      <c r="H121" s="48">
        <f t="shared" si="7"/>
        <v>5106.9147182757206</v>
      </c>
      <c r="I121" s="48">
        <f t="shared" si="8"/>
        <v>2522.9827808151822</v>
      </c>
      <c r="J121" s="163">
        <f t="shared" si="9"/>
        <v>1111712.9557520694</v>
      </c>
    </row>
    <row r="122" spans="5:10" x14ac:dyDescent="0.3">
      <c r="E122" s="209">
        <v>120</v>
      </c>
      <c r="F122" s="44">
        <f t="shared" si="5"/>
        <v>1111712.9557520694</v>
      </c>
      <c r="G122" s="48">
        <f t="shared" si="6"/>
        <v>7629.8974990909028</v>
      </c>
      <c r="H122" s="48">
        <f t="shared" si="7"/>
        <v>5095.3510471969848</v>
      </c>
      <c r="I122" s="48">
        <f t="shared" si="8"/>
        <v>2534.5464518939179</v>
      </c>
      <c r="J122" s="163">
        <f t="shared" si="9"/>
        <v>1109178.4093001755</v>
      </c>
    </row>
    <row r="123" spans="5:10" x14ac:dyDescent="0.3">
      <c r="E123" s="209">
        <v>121</v>
      </c>
      <c r="F123" s="44">
        <f t="shared" si="5"/>
        <v>1109178.4093001755</v>
      </c>
      <c r="G123" s="48">
        <f t="shared" si="6"/>
        <v>7629.8974990909028</v>
      </c>
      <c r="H123" s="48">
        <f t="shared" si="7"/>
        <v>5083.7343759591377</v>
      </c>
      <c r="I123" s="48">
        <f t="shared" si="8"/>
        <v>2546.1631231317651</v>
      </c>
      <c r="J123" s="163">
        <f t="shared" si="9"/>
        <v>1106632.2461770438</v>
      </c>
    </row>
    <row r="124" spans="5:10" x14ac:dyDescent="0.3">
      <c r="E124" s="209">
        <v>122</v>
      </c>
      <c r="F124" s="44">
        <f t="shared" si="5"/>
        <v>1106632.2461770438</v>
      </c>
      <c r="G124" s="48">
        <f t="shared" si="6"/>
        <v>7629.8974990909028</v>
      </c>
      <c r="H124" s="48">
        <f t="shared" si="7"/>
        <v>5072.0644616447835</v>
      </c>
      <c r="I124" s="48">
        <f t="shared" si="8"/>
        <v>2557.8330374461193</v>
      </c>
      <c r="J124" s="163">
        <f t="shared" si="9"/>
        <v>1104074.4131395977</v>
      </c>
    </row>
    <row r="125" spans="5:10" x14ac:dyDescent="0.3">
      <c r="E125" s="209">
        <v>123</v>
      </c>
      <c r="F125" s="44">
        <f t="shared" si="5"/>
        <v>1104074.4131395977</v>
      </c>
      <c r="G125" s="48">
        <f t="shared" si="6"/>
        <v>7629.8974990909028</v>
      </c>
      <c r="H125" s="48">
        <f t="shared" si="7"/>
        <v>5060.3410602231561</v>
      </c>
      <c r="I125" s="48">
        <f t="shared" si="8"/>
        <v>2569.5564388677467</v>
      </c>
      <c r="J125" s="163">
        <f t="shared" si="9"/>
        <v>1101504.85670073</v>
      </c>
    </row>
    <row r="126" spans="5:10" x14ac:dyDescent="0.3">
      <c r="E126" s="209">
        <v>124</v>
      </c>
      <c r="F126" s="44">
        <f t="shared" si="5"/>
        <v>1101504.85670073</v>
      </c>
      <c r="G126" s="48">
        <f t="shared" si="6"/>
        <v>7629.8974990909028</v>
      </c>
      <c r="H126" s="48">
        <f t="shared" si="7"/>
        <v>5048.5639265450127</v>
      </c>
      <c r="I126" s="48">
        <f t="shared" si="8"/>
        <v>2581.3335725458901</v>
      </c>
      <c r="J126" s="163">
        <f t="shared" si="9"/>
        <v>1098923.5231281843</v>
      </c>
    </row>
    <row r="127" spans="5:10" x14ac:dyDescent="0.3">
      <c r="E127" s="209">
        <v>125</v>
      </c>
      <c r="F127" s="44">
        <f t="shared" si="5"/>
        <v>1098923.5231281843</v>
      </c>
      <c r="G127" s="48">
        <f t="shared" si="6"/>
        <v>7629.8974990909028</v>
      </c>
      <c r="H127" s="48">
        <f t="shared" si="7"/>
        <v>5036.7328143375116</v>
      </c>
      <c r="I127" s="48">
        <f t="shared" si="8"/>
        <v>2593.1646847533912</v>
      </c>
      <c r="J127" s="163">
        <f t="shared" si="9"/>
        <v>1096330.3584434309</v>
      </c>
    </row>
    <row r="128" spans="5:10" x14ac:dyDescent="0.3">
      <c r="E128" s="209">
        <v>126</v>
      </c>
      <c r="F128" s="44">
        <f t="shared" si="5"/>
        <v>1096330.3584434309</v>
      </c>
      <c r="G128" s="48">
        <f t="shared" si="6"/>
        <v>7629.8974990909028</v>
      </c>
      <c r="H128" s="48">
        <f t="shared" si="7"/>
        <v>5024.8474761990583</v>
      </c>
      <c r="I128" s="48">
        <f t="shared" si="8"/>
        <v>2605.0500228918445</v>
      </c>
      <c r="J128" s="163">
        <f t="shared" si="9"/>
        <v>1093725.3084205389</v>
      </c>
    </row>
    <row r="129" spans="5:10" x14ac:dyDescent="0.3">
      <c r="E129" s="209">
        <v>127</v>
      </c>
      <c r="F129" s="44">
        <f t="shared" si="5"/>
        <v>1093725.3084205389</v>
      </c>
      <c r="G129" s="48">
        <f t="shared" si="6"/>
        <v>7629.8974990909028</v>
      </c>
      <c r="H129" s="48">
        <f t="shared" si="7"/>
        <v>5012.9076635941365</v>
      </c>
      <c r="I129" s="48">
        <f t="shared" si="8"/>
        <v>2616.9898354967663</v>
      </c>
      <c r="J129" s="163">
        <f t="shared" si="9"/>
        <v>1091108.3185850421</v>
      </c>
    </row>
    <row r="130" spans="5:10" x14ac:dyDescent="0.3">
      <c r="E130" s="209">
        <v>128</v>
      </c>
      <c r="F130" s="44">
        <f t="shared" si="5"/>
        <v>1091108.3185850421</v>
      </c>
      <c r="G130" s="48">
        <f t="shared" si="6"/>
        <v>7629.8974990909028</v>
      </c>
      <c r="H130" s="48">
        <f t="shared" si="7"/>
        <v>5000.9131268481096</v>
      </c>
      <c r="I130" s="48">
        <f t="shared" si="8"/>
        <v>2628.9843722427931</v>
      </c>
      <c r="J130" s="163">
        <f t="shared" si="9"/>
        <v>1088479.3342127993</v>
      </c>
    </row>
    <row r="131" spans="5:10" x14ac:dyDescent="0.3">
      <c r="E131" s="209">
        <v>129</v>
      </c>
      <c r="F131" s="44">
        <f t="shared" si="5"/>
        <v>1088479.3342127993</v>
      </c>
      <c r="G131" s="48">
        <f t="shared" si="6"/>
        <v>7629.8974990909028</v>
      </c>
      <c r="H131" s="48">
        <f t="shared" si="7"/>
        <v>4988.8636151419969</v>
      </c>
      <c r="I131" s="48">
        <f t="shared" si="8"/>
        <v>2641.0338839489059</v>
      </c>
      <c r="J131" s="163">
        <f t="shared" si="9"/>
        <v>1085838.3003288505</v>
      </c>
    </row>
    <row r="132" spans="5:10" x14ac:dyDescent="0.3">
      <c r="E132" s="209">
        <v>130</v>
      </c>
      <c r="F132" s="44">
        <f t="shared" si="5"/>
        <v>1085838.3003288505</v>
      </c>
      <c r="G132" s="48">
        <f t="shared" si="6"/>
        <v>7629.8974990909028</v>
      </c>
      <c r="H132" s="48">
        <f t="shared" si="7"/>
        <v>4976.7588765072314</v>
      </c>
      <c r="I132" s="48">
        <f t="shared" si="8"/>
        <v>2653.1386225836713</v>
      </c>
      <c r="J132" s="163">
        <f t="shared" si="9"/>
        <v>1083185.1617062669</v>
      </c>
    </row>
    <row r="133" spans="5:10" x14ac:dyDescent="0.3">
      <c r="E133" s="209">
        <v>131</v>
      </c>
      <c r="F133" s="44">
        <f t="shared" ref="F133:F196" si="10">J132</f>
        <v>1083185.1617062669</v>
      </c>
      <c r="G133" s="48">
        <f t="shared" ref="G133:G196" si="11">$C$6</f>
        <v>7629.8974990909028</v>
      </c>
      <c r="H133" s="48">
        <f t="shared" ref="H133:H196" si="12">F133*$C$4/12</f>
        <v>4964.5986578203901</v>
      </c>
      <c r="I133" s="48">
        <f t="shared" ref="I133:I196" si="13">G133-H133</f>
        <v>2665.2988412705126</v>
      </c>
      <c r="J133" s="163">
        <f t="shared" ref="J133:J196" si="14">F133-I133</f>
        <v>1080519.8628649963</v>
      </c>
    </row>
    <row r="134" spans="5:10" x14ac:dyDescent="0.3">
      <c r="E134" s="209">
        <v>132</v>
      </c>
      <c r="F134" s="44">
        <f t="shared" si="10"/>
        <v>1080519.8628649963</v>
      </c>
      <c r="G134" s="48">
        <f t="shared" si="11"/>
        <v>7629.8974990909028</v>
      </c>
      <c r="H134" s="48">
        <f t="shared" si="12"/>
        <v>4952.3827047979003</v>
      </c>
      <c r="I134" s="48">
        <f t="shared" si="13"/>
        <v>2677.5147942930025</v>
      </c>
      <c r="J134" s="163">
        <f t="shared" si="14"/>
        <v>1077842.3480707032</v>
      </c>
    </row>
    <row r="135" spans="5:10" x14ac:dyDescent="0.3">
      <c r="E135" s="209">
        <v>133</v>
      </c>
      <c r="F135" s="44">
        <f t="shared" si="10"/>
        <v>1077842.3480707032</v>
      </c>
      <c r="G135" s="48">
        <f t="shared" si="11"/>
        <v>7629.8974990909028</v>
      </c>
      <c r="H135" s="48">
        <f t="shared" si="12"/>
        <v>4940.1107619907225</v>
      </c>
      <c r="I135" s="48">
        <f t="shared" si="13"/>
        <v>2689.7867371001803</v>
      </c>
      <c r="J135" s="163">
        <f t="shared" si="14"/>
        <v>1075152.561333603</v>
      </c>
    </row>
    <row r="136" spans="5:10" x14ac:dyDescent="0.3">
      <c r="E136" s="209">
        <v>134</v>
      </c>
      <c r="F136" s="44">
        <f t="shared" si="10"/>
        <v>1075152.561333603</v>
      </c>
      <c r="G136" s="48">
        <f t="shared" si="11"/>
        <v>7629.8974990909028</v>
      </c>
      <c r="H136" s="48">
        <f t="shared" si="12"/>
        <v>4927.7825727790141</v>
      </c>
      <c r="I136" s="48">
        <f t="shared" si="13"/>
        <v>2702.1149263118887</v>
      </c>
      <c r="J136" s="163">
        <f t="shared" si="14"/>
        <v>1072450.4464072911</v>
      </c>
    </row>
    <row r="137" spans="5:10" x14ac:dyDescent="0.3">
      <c r="E137" s="209">
        <v>135</v>
      </c>
      <c r="F137" s="44">
        <f t="shared" si="10"/>
        <v>1072450.4464072911</v>
      </c>
      <c r="G137" s="48">
        <f t="shared" si="11"/>
        <v>7629.8974990909028</v>
      </c>
      <c r="H137" s="48">
        <f t="shared" si="12"/>
        <v>4915.3978793667511</v>
      </c>
      <c r="I137" s="48">
        <f t="shared" si="13"/>
        <v>2714.4996197241517</v>
      </c>
      <c r="J137" s="163">
        <f t="shared" si="14"/>
        <v>1069735.9467875669</v>
      </c>
    </row>
    <row r="138" spans="5:10" x14ac:dyDescent="0.3">
      <c r="E138" s="209">
        <v>136</v>
      </c>
      <c r="F138" s="44">
        <f t="shared" si="10"/>
        <v>1069735.9467875669</v>
      </c>
      <c r="G138" s="48">
        <f t="shared" si="11"/>
        <v>7629.8974990909028</v>
      </c>
      <c r="H138" s="48">
        <f t="shared" si="12"/>
        <v>4902.9564227763485</v>
      </c>
      <c r="I138" s="48">
        <f t="shared" si="13"/>
        <v>2726.9410763145543</v>
      </c>
      <c r="J138" s="163">
        <f t="shared" si="14"/>
        <v>1067009.0057112523</v>
      </c>
    </row>
    <row r="139" spans="5:10" x14ac:dyDescent="0.3">
      <c r="E139" s="209">
        <v>137</v>
      </c>
      <c r="F139" s="44">
        <f t="shared" si="10"/>
        <v>1067009.0057112523</v>
      </c>
      <c r="G139" s="48">
        <f t="shared" si="11"/>
        <v>7629.8974990909028</v>
      </c>
      <c r="H139" s="48">
        <f t="shared" si="12"/>
        <v>4890.4579428432398</v>
      </c>
      <c r="I139" s="48">
        <f t="shared" si="13"/>
        <v>2739.4395562476629</v>
      </c>
      <c r="J139" s="163">
        <f t="shared" si="14"/>
        <v>1064269.5661550048</v>
      </c>
    </row>
    <row r="140" spans="5:10" x14ac:dyDescent="0.3">
      <c r="E140" s="209">
        <v>138</v>
      </c>
      <c r="F140" s="44">
        <f t="shared" si="10"/>
        <v>1064269.5661550048</v>
      </c>
      <c r="G140" s="48">
        <f t="shared" si="11"/>
        <v>7629.8974990909028</v>
      </c>
      <c r="H140" s="48">
        <f t="shared" si="12"/>
        <v>4877.9021782104383</v>
      </c>
      <c r="I140" s="48">
        <f t="shared" si="13"/>
        <v>2751.9953208804645</v>
      </c>
      <c r="J140" s="163">
        <f t="shared" si="14"/>
        <v>1061517.5708341242</v>
      </c>
    </row>
    <row r="141" spans="5:10" x14ac:dyDescent="0.3">
      <c r="E141" s="209">
        <v>139</v>
      </c>
      <c r="F141" s="44">
        <f t="shared" si="10"/>
        <v>1061517.5708341242</v>
      </c>
      <c r="G141" s="48">
        <f t="shared" si="11"/>
        <v>7629.8974990909028</v>
      </c>
      <c r="H141" s="48">
        <f t="shared" si="12"/>
        <v>4865.2888663230697</v>
      </c>
      <c r="I141" s="48">
        <f t="shared" si="13"/>
        <v>2764.6086327678331</v>
      </c>
      <c r="J141" s="163">
        <f t="shared" si="14"/>
        <v>1058752.9622013564</v>
      </c>
    </row>
    <row r="142" spans="5:10" x14ac:dyDescent="0.3">
      <c r="E142" s="209">
        <v>140</v>
      </c>
      <c r="F142" s="44">
        <f t="shared" si="10"/>
        <v>1058752.9622013564</v>
      </c>
      <c r="G142" s="48">
        <f t="shared" si="11"/>
        <v>7629.8974990909028</v>
      </c>
      <c r="H142" s="48">
        <f t="shared" si="12"/>
        <v>4852.6177434228839</v>
      </c>
      <c r="I142" s="48">
        <f t="shared" si="13"/>
        <v>2777.2797556680189</v>
      </c>
      <c r="J142" s="163">
        <f t="shared" si="14"/>
        <v>1055975.6824456884</v>
      </c>
    </row>
    <row r="143" spans="5:10" x14ac:dyDescent="0.3">
      <c r="E143" s="209">
        <v>141</v>
      </c>
      <c r="F143" s="44">
        <f t="shared" si="10"/>
        <v>1055975.6824456884</v>
      </c>
      <c r="G143" s="48">
        <f t="shared" si="11"/>
        <v>7629.8974990909028</v>
      </c>
      <c r="H143" s="48">
        <f t="shared" si="12"/>
        <v>4839.8885445427386</v>
      </c>
      <c r="I143" s="48">
        <f t="shared" si="13"/>
        <v>2790.0089545481642</v>
      </c>
      <c r="J143" s="163">
        <f t="shared" si="14"/>
        <v>1053185.6734911401</v>
      </c>
    </row>
    <row r="144" spans="5:10" x14ac:dyDescent="0.3">
      <c r="E144" s="209">
        <v>142</v>
      </c>
      <c r="F144" s="44">
        <f t="shared" si="10"/>
        <v>1053185.6734911401</v>
      </c>
      <c r="G144" s="48">
        <f t="shared" si="11"/>
        <v>7629.8974990909028</v>
      </c>
      <c r="H144" s="48">
        <f t="shared" si="12"/>
        <v>4827.1010035010595</v>
      </c>
      <c r="I144" s="48">
        <f t="shared" si="13"/>
        <v>2802.7964955898433</v>
      </c>
      <c r="J144" s="163">
        <f t="shared" si="14"/>
        <v>1050382.8769955502</v>
      </c>
    </row>
    <row r="145" spans="5:10" x14ac:dyDescent="0.3">
      <c r="E145" s="209">
        <v>143</v>
      </c>
      <c r="F145" s="44">
        <f t="shared" si="10"/>
        <v>1050382.8769955502</v>
      </c>
      <c r="G145" s="48">
        <f t="shared" si="11"/>
        <v>7629.8974990909028</v>
      </c>
      <c r="H145" s="48">
        <f t="shared" si="12"/>
        <v>4814.2548528962716</v>
      </c>
      <c r="I145" s="48">
        <f t="shared" si="13"/>
        <v>2815.6426461946312</v>
      </c>
      <c r="J145" s="163">
        <f t="shared" si="14"/>
        <v>1047567.2343493556</v>
      </c>
    </row>
    <row r="146" spans="5:10" x14ac:dyDescent="0.3">
      <c r="E146" s="209">
        <v>144</v>
      </c>
      <c r="F146" s="44">
        <f t="shared" si="10"/>
        <v>1047567.2343493556</v>
      </c>
      <c r="G146" s="48">
        <f t="shared" si="11"/>
        <v>7629.8974990909028</v>
      </c>
      <c r="H146" s="48">
        <f t="shared" si="12"/>
        <v>4801.349824101213</v>
      </c>
      <c r="I146" s="48">
        <f t="shared" si="13"/>
        <v>2828.5476749896898</v>
      </c>
      <c r="J146" s="163">
        <f t="shared" si="14"/>
        <v>1044738.6866743659</v>
      </c>
    </row>
    <row r="147" spans="5:10" x14ac:dyDescent="0.3">
      <c r="E147" s="209">
        <v>145</v>
      </c>
      <c r="F147" s="44">
        <f t="shared" si="10"/>
        <v>1044738.6866743659</v>
      </c>
      <c r="G147" s="48">
        <f t="shared" si="11"/>
        <v>7629.8974990909028</v>
      </c>
      <c r="H147" s="48">
        <f t="shared" si="12"/>
        <v>4788.3856472575108</v>
      </c>
      <c r="I147" s="48">
        <f t="shared" si="13"/>
        <v>2841.511851833392</v>
      </c>
      <c r="J147" s="163">
        <f t="shared" si="14"/>
        <v>1041897.1748225325</v>
      </c>
    </row>
    <row r="148" spans="5:10" x14ac:dyDescent="0.3">
      <c r="E148" s="209">
        <v>146</v>
      </c>
      <c r="F148" s="44">
        <f t="shared" si="10"/>
        <v>1041897.1748225325</v>
      </c>
      <c r="G148" s="48">
        <f t="shared" si="11"/>
        <v>7629.8974990909028</v>
      </c>
      <c r="H148" s="48">
        <f t="shared" si="12"/>
        <v>4775.3620512699408</v>
      </c>
      <c r="I148" s="48">
        <f t="shared" si="13"/>
        <v>2854.535447820962</v>
      </c>
      <c r="J148" s="163">
        <f t="shared" si="14"/>
        <v>1039042.6393747116</v>
      </c>
    </row>
    <row r="149" spans="5:10" x14ac:dyDescent="0.3">
      <c r="E149" s="209">
        <v>147</v>
      </c>
      <c r="F149" s="44">
        <f t="shared" si="10"/>
        <v>1039042.6393747116</v>
      </c>
      <c r="G149" s="48">
        <f t="shared" si="11"/>
        <v>7629.8974990909028</v>
      </c>
      <c r="H149" s="48">
        <f t="shared" si="12"/>
        <v>4762.2787638007612</v>
      </c>
      <c r="I149" s="48">
        <f t="shared" si="13"/>
        <v>2867.6187352901416</v>
      </c>
      <c r="J149" s="163">
        <f t="shared" si="14"/>
        <v>1036175.0206394214</v>
      </c>
    </row>
    <row r="150" spans="5:10" x14ac:dyDescent="0.3">
      <c r="E150" s="209">
        <v>148</v>
      </c>
      <c r="F150" s="44">
        <f t="shared" si="10"/>
        <v>1036175.0206394214</v>
      </c>
      <c r="G150" s="48">
        <f t="shared" si="11"/>
        <v>7629.8974990909028</v>
      </c>
      <c r="H150" s="48">
        <f t="shared" si="12"/>
        <v>4749.1355112640149</v>
      </c>
      <c r="I150" s="48">
        <f t="shared" si="13"/>
        <v>2880.7619878268879</v>
      </c>
      <c r="J150" s="163">
        <f t="shared" si="14"/>
        <v>1033294.2586515945</v>
      </c>
    </row>
    <row r="151" spans="5:10" x14ac:dyDescent="0.3">
      <c r="E151" s="209">
        <v>149</v>
      </c>
      <c r="F151" s="44">
        <f t="shared" si="10"/>
        <v>1033294.2586515945</v>
      </c>
      <c r="G151" s="48">
        <f t="shared" si="11"/>
        <v>7629.8974990909028</v>
      </c>
      <c r="H151" s="48">
        <f t="shared" si="12"/>
        <v>4735.932018819808</v>
      </c>
      <c r="I151" s="48">
        <f t="shared" si="13"/>
        <v>2893.9654802710947</v>
      </c>
      <c r="J151" s="163">
        <f t="shared" si="14"/>
        <v>1030400.2931713234</v>
      </c>
    </row>
    <row r="152" spans="5:10" x14ac:dyDescent="0.3">
      <c r="E152" s="209">
        <v>150</v>
      </c>
      <c r="F152" s="44">
        <f t="shared" si="10"/>
        <v>1030400.2931713234</v>
      </c>
      <c r="G152" s="48">
        <f t="shared" si="11"/>
        <v>7629.8974990909028</v>
      </c>
      <c r="H152" s="48">
        <f t="shared" si="12"/>
        <v>4722.6680103685658</v>
      </c>
      <c r="I152" s="48">
        <f t="shared" si="13"/>
        <v>2907.229488722337</v>
      </c>
      <c r="J152" s="163">
        <f t="shared" si="14"/>
        <v>1027493.0636826011</v>
      </c>
    </row>
    <row r="153" spans="5:10" x14ac:dyDescent="0.3">
      <c r="E153" s="209">
        <v>151</v>
      </c>
      <c r="F153" s="44">
        <f t="shared" si="10"/>
        <v>1027493.0636826011</v>
      </c>
      <c r="G153" s="48">
        <f t="shared" si="11"/>
        <v>7629.8974990909028</v>
      </c>
      <c r="H153" s="48">
        <f t="shared" si="12"/>
        <v>4709.343208545255</v>
      </c>
      <c r="I153" s="48">
        <f t="shared" si="13"/>
        <v>2920.5542905456477</v>
      </c>
      <c r="J153" s="163">
        <f t="shared" si="14"/>
        <v>1024572.5093920555</v>
      </c>
    </row>
    <row r="154" spans="5:10" x14ac:dyDescent="0.3">
      <c r="E154" s="209">
        <v>152</v>
      </c>
      <c r="F154" s="44">
        <f t="shared" si="10"/>
        <v>1024572.5093920555</v>
      </c>
      <c r="G154" s="48">
        <f t="shared" si="11"/>
        <v>7629.8974990909028</v>
      </c>
      <c r="H154" s="48">
        <f t="shared" si="12"/>
        <v>4695.9573347135874</v>
      </c>
      <c r="I154" s="48">
        <f t="shared" si="13"/>
        <v>2933.9401643773153</v>
      </c>
      <c r="J154" s="163">
        <f t="shared" si="14"/>
        <v>1021638.5692276781</v>
      </c>
    </row>
    <row r="155" spans="5:10" x14ac:dyDescent="0.3">
      <c r="E155" s="209">
        <v>153</v>
      </c>
      <c r="F155" s="44">
        <f t="shared" si="10"/>
        <v>1021638.5692276781</v>
      </c>
      <c r="G155" s="48">
        <f t="shared" si="11"/>
        <v>7629.8974990909028</v>
      </c>
      <c r="H155" s="48">
        <f t="shared" si="12"/>
        <v>4682.5101089601912</v>
      </c>
      <c r="I155" s="48">
        <f t="shared" si="13"/>
        <v>2947.3873901307115</v>
      </c>
      <c r="J155" s="163">
        <f t="shared" si="14"/>
        <v>1018691.1818375475</v>
      </c>
    </row>
    <row r="156" spans="5:10" x14ac:dyDescent="0.3">
      <c r="E156" s="209">
        <v>154</v>
      </c>
      <c r="F156" s="44">
        <f t="shared" si="10"/>
        <v>1018691.1818375475</v>
      </c>
      <c r="G156" s="48">
        <f t="shared" si="11"/>
        <v>7629.8974990909028</v>
      </c>
      <c r="H156" s="48">
        <f t="shared" si="12"/>
        <v>4669.0012500887597</v>
      </c>
      <c r="I156" s="48">
        <f t="shared" si="13"/>
        <v>2960.8962490021431</v>
      </c>
      <c r="J156" s="163">
        <f t="shared" si="14"/>
        <v>1015730.2855885453</v>
      </c>
    </row>
    <row r="157" spans="5:10" x14ac:dyDescent="0.3">
      <c r="E157" s="209">
        <v>155</v>
      </c>
      <c r="F157" s="44">
        <f t="shared" si="10"/>
        <v>1015730.2855885453</v>
      </c>
      <c r="G157" s="48">
        <f t="shared" si="11"/>
        <v>7629.8974990909028</v>
      </c>
      <c r="H157" s="48">
        <f t="shared" si="12"/>
        <v>4655.4304756141655</v>
      </c>
      <c r="I157" s="48">
        <f t="shared" si="13"/>
        <v>2974.4670234767373</v>
      </c>
      <c r="J157" s="163">
        <f t="shared" si="14"/>
        <v>1012755.8185650685</v>
      </c>
    </row>
    <row r="158" spans="5:10" x14ac:dyDescent="0.3">
      <c r="E158" s="209">
        <v>156</v>
      </c>
      <c r="F158" s="44">
        <f t="shared" si="10"/>
        <v>1012755.8185650685</v>
      </c>
      <c r="G158" s="48">
        <f t="shared" si="11"/>
        <v>7629.8974990909028</v>
      </c>
      <c r="H158" s="48">
        <f t="shared" si="12"/>
        <v>4641.7975017565641</v>
      </c>
      <c r="I158" s="48">
        <f t="shared" si="13"/>
        <v>2988.0999973343387</v>
      </c>
      <c r="J158" s="163">
        <f t="shared" si="14"/>
        <v>1009767.7185677342</v>
      </c>
    </row>
    <row r="159" spans="5:10" x14ac:dyDescent="0.3">
      <c r="E159" s="209">
        <v>157</v>
      </c>
      <c r="F159" s="44">
        <f t="shared" si="10"/>
        <v>1009767.7185677342</v>
      </c>
      <c r="G159" s="48">
        <f t="shared" si="11"/>
        <v>7629.8974990909028</v>
      </c>
      <c r="H159" s="48">
        <f t="shared" si="12"/>
        <v>4628.1020434354486</v>
      </c>
      <c r="I159" s="48">
        <f t="shared" si="13"/>
        <v>3001.7954556554541</v>
      </c>
      <c r="J159" s="163">
        <f t="shared" si="14"/>
        <v>1006765.9231120788</v>
      </c>
    </row>
    <row r="160" spans="5:10" x14ac:dyDescent="0.3">
      <c r="E160" s="209">
        <v>158</v>
      </c>
      <c r="F160" s="44">
        <f t="shared" si="10"/>
        <v>1006765.9231120788</v>
      </c>
      <c r="G160" s="48">
        <f t="shared" si="11"/>
        <v>7629.8974990909028</v>
      </c>
      <c r="H160" s="48">
        <f t="shared" si="12"/>
        <v>4614.3438142636942</v>
      </c>
      <c r="I160" s="48">
        <f t="shared" si="13"/>
        <v>3015.5536848272086</v>
      </c>
      <c r="J160" s="163">
        <f t="shared" si="14"/>
        <v>1003750.3694272516</v>
      </c>
    </row>
    <row r="161" spans="5:10" x14ac:dyDescent="0.3">
      <c r="E161" s="209">
        <v>159</v>
      </c>
      <c r="F161" s="44">
        <f t="shared" si="10"/>
        <v>1003750.3694272516</v>
      </c>
      <c r="G161" s="48">
        <f t="shared" si="11"/>
        <v>7629.8974990909028</v>
      </c>
      <c r="H161" s="48">
        <f t="shared" si="12"/>
        <v>4600.5225265415702</v>
      </c>
      <c r="I161" s="48">
        <f t="shared" si="13"/>
        <v>3029.3749725493326</v>
      </c>
      <c r="J161" s="163">
        <f t="shared" si="14"/>
        <v>1000720.9944547022</v>
      </c>
    </row>
    <row r="162" spans="5:10" x14ac:dyDescent="0.3">
      <c r="E162" s="209">
        <v>160</v>
      </c>
      <c r="F162" s="44">
        <f t="shared" si="10"/>
        <v>1000720.9944547022</v>
      </c>
      <c r="G162" s="48">
        <f t="shared" si="11"/>
        <v>7629.8974990909028</v>
      </c>
      <c r="H162" s="48">
        <f t="shared" si="12"/>
        <v>4586.6378912507189</v>
      </c>
      <c r="I162" s="48">
        <f t="shared" si="13"/>
        <v>3043.2596078401839</v>
      </c>
      <c r="J162" s="163">
        <f t="shared" si="14"/>
        <v>997677.73484686203</v>
      </c>
    </row>
    <row r="163" spans="5:10" x14ac:dyDescent="0.3">
      <c r="E163" s="209">
        <v>161</v>
      </c>
      <c r="F163" s="44">
        <f t="shared" si="10"/>
        <v>997677.73484686203</v>
      </c>
      <c r="G163" s="48">
        <f t="shared" si="11"/>
        <v>7629.8974990909028</v>
      </c>
      <c r="H163" s="48">
        <f t="shared" si="12"/>
        <v>4572.6896180481172</v>
      </c>
      <c r="I163" s="48">
        <f t="shared" si="13"/>
        <v>3057.2078810427856</v>
      </c>
      <c r="J163" s="163">
        <f t="shared" si="14"/>
        <v>994620.5269658193</v>
      </c>
    </row>
    <row r="164" spans="5:10" x14ac:dyDescent="0.3">
      <c r="E164" s="209">
        <v>162</v>
      </c>
      <c r="F164" s="44">
        <f t="shared" si="10"/>
        <v>994620.5269658193</v>
      </c>
      <c r="G164" s="48">
        <f t="shared" si="11"/>
        <v>7629.8974990909028</v>
      </c>
      <c r="H164" s="48">
        <f t="shared" si="12"/>
        <v>4558.6774152600055</v>
      </c>
      <c r="I164" s="48">
        <f t="shared" si="13"/>
        <v>3071.2200838308972</v>
      </c>
      <c r="J164" s="163">
        <f t="shared" si="14"/>
        <v>991549.30688198842</v>
      </c>
    </row>
    <row r="165" spans="5:10" x14ac:dyDescent="0.3">
      <c r="E165" s="209">
        <v>163</v>
      </c>
      <c r="F165" s="44">
        <f t="shared" si="10"/>
        <v>991549.30688198842</v>
      </c>
      <c r="G165" s="48">
        <f t="shared" si="11"/>
        <v>7629.8974990909028</v>
      </c>
      <c r="H165" s="48">
        <f t="shared" si="12"/>
        <v>4544.6009898757802</v>
      </c>
      <c r="I165" s="48">
        <f t="shared" si="13"/>
        <v>3085.2965092151226</v>
      </c>
      <c r="J165" s="163">
        <f t="shared" si="14"/>
        <v>988464.01037277328</v>
      </c>
    </row>
    <row r="166" spans="5:10" x14ac:dyDescent="0.3">
      <c r="E166" s="209">
        <v>164</v>
      </c>
      <c r="F166" s="44">
        <f t="shared" si="10"/>
        <v>988464.01037277328</v>
      </c>
      <c r="G166" s="48">
        <f t="shared" si="11"/>
        <v>7629.8974990909028</v>
      </c>
      <c r="H166" s="48">
        <f t="shared" si="12"/>
        <v>4530.4600475418774</v>
      </c>
      <c r="I166" s="48">
        <f t="shared" si="13"/>
        <v>3099.4374515490254</v>
      </c>
      <c r="J166" s="163">
        <f t="shared" si="14"/>
        <v>985364.57292122429</v>
      </c>
    </row>
    <row r="167" spans="5:10" x14ac:dyDescent="0.3">
      <c r="E167" s="209">
        <v>165</v>
      </c>
      <c r="F167" s="44">
        <f t="shared" si="10"/>
        <v>985364.57292122429</v>
      </c>
      <c r="G167" s="48">
        <f t="shared" si="11"/>
        <v>7629.8974990909028</v>
      </c>
      <c r="H167" s="48">
        <f t="shared" si="12"/>
        <v>4516.2542925556108</v>
      </c>
      <c r="I167" s="48">
        <f t="shared" si="13"/>
        <v>3113.6432065352919</v>
      </c>
      <c r="J167" s="163">
        <f t="shared" si="14"/>
        <v>982250.92971468903</v>
      </c>
    </row>
    <row r="168" spans="5:10" x14ac:dyDescent="0.3">
      <c r="E168" s="209">
        <v>166</v>
      </c>
      <c r="F168" s="44">
        <f t="shared" si="10"/>
        <v>982250.92971468903</v>
      </c>
      <c r="G168" s="48">
        <f t="shared" si="11"/>
        <v>7629.8974990909028</v>
      </c>
      <c r="H168" s="48">
        <f t="shared" si="12"/>
        <v>4501.9834278589915</v>
      </c>
      <c r="I168" s="48">
        <f t="shared" si="13"/>
        <v>3127.9140712319113</v>
      </c>
      <c r="J168" s="163">
        <f t="shared" si="14"/>
        <v>979123.01564345707</v>
      </c>
    </row>
    <row r="169" spans="5:10" x14ac:dyDescent="0.3">
      <c r="E169" s="209">
        <v>167</v>
      </c>
      <c r="F169" s="44">
        <f t="shared" si="10"/>
        <v>979123.01564345707</v>
      </c>
      <c r="G169" s="48">
        <f t="shared" si="11"/>
        <v>7629.8974990909028</v>
      </c>
      <c r="H169" s="48">
        <f t="shared" si="12"/>
        <v>4487.6471550325114</v>
      </c>
      <c r="I169" s="48">
        <f t="shared" si="13"/>
        <v>3142.2503440583914</v>
      </c>
      <c r="J169" s="163">
        <f t="shared" si="14"/>
        <v>975980.76529939868</v>
      </c>
    </row>
    <row r="170" spans="5:10" x14ac:dyDescent="0.3">
      <c r="E170" s="209">
        <v>168</v>
      </c>
      <c r="F170" s="44">
        <f t="shared" si="10"/>
        <v>975980.76529939868</v>
      </c>
      <c r="G170" s="48">
        <f t="shared" si="11"/>
        <v>7629.8974990909028</v>
      </c>
      <c r="H170" s="48">
        <f t="shared" si="12"/>
        <v>4473.2451742889107</v>
      </c>
      <c r="I170" s="48">
        <f t="shared" si="13"/>
        <v>3156.6523248019921</v>
      </c>
      <c r="J170" s="163">
        <f t="shared" si="14"/>
        <v>972824.11297459668</v>
      </c>
    </row>
    <row r="171" spans="5:10" x14ac:dyDescent="0.3">
      <c r="E171" s="209">
        <v>169</v>
      </c>
      <c r="F171" s="44">
        <f t="shared" si="10"/>
        <v>972824.11297459668</v>
      </c>
      <c r="G171" s="48">
        <f t="shared" si="11"/>
        <v>7629.8974990909028</v>
      </c>
      <c r="H171" s="48">
        <f t="shared" si="12"/>
        <v>4458.7771844669014</v>
      </c>
      <c r="I171" s="48">
        <f t="shared" si="13"/>
        <v>3171.1203146240014</v>
      </c>
      <c r="J171" s="163">
        <f t="shared" si="14"/>
        <v>969652.99265997263</v>
      </c>
    </row>
    <row r="172" spans="5:10" x14ac:dyDescent="0.3">
      <c r="E172" s="209">
        <v>170</v>
      </c>
      <c r="F172" s="44">
        <f t="shared" si="10"/>
        <v>969652.99265997263</v>
      </c>
      <c r="G172" s="48">
        <f t="shared" si="11"/>
        <v>7629.8974990909028</v>
      </c>
      <c r="H172" s="48">
        <f t="shared" si="12"/>
        <v>4444.2428830248746</v>
      </c>
      <c r="I172" s="48">
        <f t="shared" si="13"/>
        <v>3185.6546160660282</v>
      </c>
      <c r="J172" s="163">
        <f t="shared" si="14"/>
        <v>966467.33804390661</v>
      </c>
    </row>
    <row r="173" spans="5:10" x14ac:dyDescent="0.3">
      <c r="E173" s="209">
        <v>171</v>
      </c>
      <c r="F173" s="44">
        <f t="shared" si="10"/>
        <v>966467.33804390661</v>
      </c>
      <c r="G173" s="48">
        <f t="shared" si="11"/>
        <v>7629.8974990909028</v>
      </c>
      <c r="H173" s="48">
        <f t="shared" si="12"/>
        <v>4429.6419660345719</v>
      </c>
      <c r="I173" s="48">
        <f t="shared" si="13"/>
        <v>3200.2555330563309</v>
      </c>
      <c r="J173" s="163">
        <f t="shared" si="14"/>
        <v>963267.08251085028</v>
      </c>
    </row>
    <row r="174" spans="5:10" x14ac:dyDescent="0.3">
      <c r="E174" s="209">
        <v>172</v>
      </c>
      <c r="F174" s="44">
        <f t="shared" si="10"/>
        <v>963267.08251085028</v>
      </c>
      <c r="G174" s="48">
        <f t="shared" si="11"/>
        <v>7629.8974990909028</v>
      </c>
      <c r="H174" s="48">
        <f t="shared" si="12"/>
        <v>4414.974128174731</v>
      </c>
      <c r="I174" s="48">
        <f t="shared" si="13"/>
        <v>3214.9233709161717</v>
      </c>
      <c r="J174" s="163">
        <f t="shared" si="14"/>
        <v>960052.15913993411</v>
      </c>
    </row>
    <row r="175" spans="5:10" x14ac:dyDescent="0.3">
      <c r="E175" s="209">
        <v>173</v>
      </c>
      <c r="F175" s="44">
        <f t="shared" si="10"/>
        <v>960052.15913993411</v>
      </c>
      <c r="G175" s="48">
        <f t="shared" si="11"/>
        <v>7629.8974990909028</v>
      </c>
      <c r="H175" s="48">
        <f t="shared" si="12"/>
        <v>4400.2390627246978</v>
      </c>
      <c r="I175" s="48">
        <f t="shared" si="13"/>
        <v>3229.658436366205</v>
      </c>
      <c r="J175" s="163">
        <f t="shared" si="14"/>
        <v>956822.50070356787</v>
      </c>
    </row>
    <row r="176" spans="5:10" x14ac:dyDescent="0.3">
      <c r="E176" s="209">
        <v>174</v>
      </c>
      <c r="F176" s="44">
        <f t="shared" si="10"/>
        <v>956822.50070356787</v>
      </c>
      <c r="G176" s="48">
        <f t="shared" si="11"/>
        <v>7629.8974990909028</v>
      </c>
      <c r="H176" s="48">
        <f t="shared" si="12"/>
        <v>4385.4364615580189</v>
      </c>
      <c r="I176" s="48">
        <f t="shared" si="13"/>
        <v>3244.4610375328839</v>
      </c>
      <c r="J176" s="163">
        <f t="shared" si="14"/>
        <v>953578.03966603498</v>
      </c>
    </row>
    <row r="177" spans="5:10" x14ac:dyDescent="0.3">
      <c r="E177" s="209">
        <v>175</v>
      </c>
      <c r="F177" s="44">
        <f t="shared" si="10"/>
        <v>953578.03966603498</v>
      </c>
      <c r="G177" s="48">
        <f t="shared" si="11"/>
        <v>7629.8974990909028</v>
      </c>
      <c r="H177" s="48">
        <f t="shared" si="12"/>
        <v>4370.5660151359934</v>
      </c>
      <c r="I177" s="48">
        <f t="shared" si="13"/>
        <v>3259.3314839549093</v>
      </c>
      <c r="J177" s="163">
        <f t="shared" si="14"/>
        <v>950318.70818208007</v>
      </c>
    </row>
    <row r="178" spans="5:10" x14ac:dyDescent="0.3">
      <c r="E178" s="209">
        <v>176</v>
      </c>
      <c r="F178" s="44">
        <f t="shared" si="10"/>
        <v>950318.70818208007</v>
      </c>
      <c r="G178" s="48">
        <f t="shared" si="11"/>
        <v>7629.8974990909028</v>
      </c>
      <c r="H178" s="48">
        <f t="shared" si="12"/>
        <v>4355.6274125012005</v>
      </c>
      <c r="I178" s="48">
        <f t="shared" si="13"/>
        <v>3274.2700865897023</v>
      </c>
      <c r="J178" s="163">
        <f t="shared" si="14"/>
        <v>947044.43809549033</v>
      </c>
    </row>
    <row r="179" spans="5:10" x14ac:dyDescent="0.3">
      <c r="E179" s="209">
        <v>177</v>
      </c>
      <c r="F179" s="44">
        <f t="shared" si="10"/>
        <v>947044.43809549033</v>
      </c>
      <c r="G179" s="48">
        <f t="shared" si="11"/>
        <v>7629.8974990909028</v>
      </c>
      <c r="H179" s="48">
        <f t="shared" si="12"/>
        <v>4340.6203412709974</v>
      </c>
      <c r="I179" s="48">
        <f t="shared" si="13"/>
        <v>3289.2771578199054</v>
      </c>
      <c r="J179" s="163">
        <f t="shared" si="14"/>
        <v>943755.16093767039</v>
      </c>
    </row>
    <row r="180" spans="5:10" x14ac:dyDescent="0.3">
      <c r="E180" s="209">
        <v>178</v>
      </c>
      <c r="F180" s="44">
        <f t="shared" si="10"/>
        <v>943755.16093767039</v>
      </c>
      <c r="G180" s="48">
        <f t="shared" si="11"/>
        <v>7629.8974990909028</v>
      </c>
      <c r="H180" s="48">
        <f t="shared" si="12"/>
        <v>4325.5444876309894</v>
      </c>
      <c r="I180" s="48">
        <f t="shared" si="13"/>
        <v>3304.3530114599134</v>
      </c>
      <c r="J180" s="163">
        <f t="shared" si="14"/>
        <v>940450.80792621046</v>
      </c>
    </row>
    <row r="181" spans="5:10" x14ac:dyDescent="0.3">
      <c r="E181" s="209">
        <v>179</v>
      </c>
      <c r="F181" s="44">
        <f t="shared" si="10"/>
        <v>940450.80792621046</v>
      </c>
      <c r="G181" s="48">
        <f t="shared" si="11"/>
        <v>7629.8974990909028</v>
      </c>
      <c r="H181" s="48">
        <f t="shared" si="12"/>
        <v>4310.3995363284648</v>
      </c>
      <c r="I181" s="48">
        <f t="shared" si="13"/>
        <v>3319.497962762438</v>
      </c>
      <c r="J181" s="163">
        <f t="shared" si="14"/>
        <v>937131.30996344797</v>
      </c>
    </row>
    <row r="182" spans="5:10" x14ac:dyDescent="0.3">
      <c r="E182" s="209">
        <v>180</v>
      </c>
      <c r="F182" s="44">
        <f t="shared" si="10"/>
        <v>937131.30996344797</v>
      </c>
      <c r="G182" s="48">
        <f t="shared" si="11"/>
        <v>7629.8974990909028</v>
      </c>
      <c r="H182" s="48">
        <f t="shared" si="12"/>
        <v>4295.1851706658035</v>
      </c>
      <c r="I182" s="48">
        <f t="shared" si="13"/>
        <v>3334.7123284250993</v>
      </c>
      <c r="J182" s="163">
        <f t="shared" si="14"/>
        <v>933796.59763502283</v>
      </c>
    </row>
    <row r="183" spans="5:10" x14ac:dyDescent="0.3">
      <c r="E183" s="209">
        <v>181</v>
      </c>
      <c r="F183" s="44">
        <f t="shared" si="10"/>
        <v>933796.59763502283</v>
      </c>
      <c r="G183" s="48">
        <f t="shared" si="11"/>
        <v>7629.8974990909028</v>
      </c>
      <c r="H183" s="48">
        <f t="shared" si="12"/>
        <v>4279.9010724938544</v>
      </c>
      <c r="I183" s="48">
        <f t="shared" si="13"/>
        <v>3349.9964265970484</v>
      </c>
      <c r="J183" s="163">
        <f t="shared" si="14"/>
        <v>930446.60120842583</v>
      </c>
    </row>
    <row r="184" spans="5:10" x14ac:dyDescent="0.3">
      <c r="E184" s="209">
        <v>182</v>
      </c>
      <c r="F184" s="44">
        <f t="shared" si="10"/>
        <v>930446.60120842583</v>
      </c>
      <c r="G184" s="48">
        <f t="shared" si="11"/>
        <v>7629.8974990909028</v>
      </c>
      <c r="H184" s="48">
        <f t="shared" si="12"/>
        <v>4264.5469222052852</v>
      </c>
      <c r="I184" s="48">
        <f t="shared" si="13"/>
        <v>3365.3505768856176</v>
      </c>
      <c r="J184" s="163">
        <f t="shared" si="14"/>
        <v>927081.2506315402</v>
      </c>
    </row>
    <row r="185" spans="5:10" x14ac:dyDescent="0.3">
      <c r="E185" s="209">
        <v>183</v>
      </c>
      <c r="F185" s="44">
        <f t="shared" si="10"/>
        <v>927081.2506315402</v>
      </c>
      <c r="G185" s="48">
        <f t="shared" si="11"/>
        <v>7629.8974990909028</v>
      </c>
      <c r="H185" s="48">
        <f t="shared" si="12"/>
        <v>4249.1223987278927</v>
      </c>
      <c r="I185" s="48">
        <f t="shared" si="13"/>
        <v>3380.7751003630101</v>
      </c>
      <c r="J185" s="163">
        <f t="shared" si="14"/>
        <v>923700.47553117725</v>
      </c>
    </row>
    <row r="186" spans="5:10" x14ac:dyDescent="0.3">
      <c r="E186" s="209">
        <v>184</v>
      </c>
      <c r="F186" s="44">
        <f t="shared" si="10"/>
        <v>923700.47553117725</v>
      </c>
      <c r="G186" s="48">
        <f t="shared" si="11"/>
        <v>7629.8974990909028</v>
      </c>
      <c r="H186" s="48">
        <f t="shared" si="12"/>
        <v>4233.6271795178955</v>
      </c>
      <c r="I186" s="48">
        <f t="shared" si="13"/>
        <v>3396.2703195730073</v>
      </c>
      <c r="J186" s="163">
        <f t="shared" si="14"/>
        <v>920304.20521160425</v>
      </c>
    </row>
    <row r="187" spans="5:10" x14ac:dyDescent="0.3">
      <c r="E187" s="209">
        <v>185</v>
      </c>
      <c r="F187" s="44">
        <f t="shared" si="10"/>
        <v>920304.20521160425</v>
      </c>
      <c r="G187" s="48">
        <f t="shared" si="11"/>
        <v>7629.8974990909028</v>
      </c>
      <c r="H187" s="48">
        <f t="shared" si="12"/>
        <v>4218.0609405531859</v>
      </c>
      <c r="I187" s="48">
        <f t="shared" si="13"/>
        <v>3411.8365585377169</v>
      </c>
      <c r="J187" s="163">
        <f t="shared" si="14"/>
        <v>916892.36865306657</v>
      </c>
    </row>
    <row r="188" spans="5:10" x14ac:dyDescent="0.3">
      <c r="E188" s="209">
        <v>186</v>
      </c>
      <c r="F188" s="44">
        <f t="shared" si="10"/>
        <v>916892.36865306657</v>
      </c>
      <c r="G188" s="48">
        <f t="shared" si="11"/>
        <v>7629.8974990909028</v>
      </c>
      <c r="H188" s="48">
        <f t="shared" si="12"/>
        <v>4202.4233563265552</v>
      </c>
      <c r="I188" s="48">
        <f t="shared" si="13"/>
        <v>3427.4741427643476</v>
      </c>
      <c r="J188" s="163">
        <f t="shared" si="14"/>
        <v>913464.89451030223</v>
      </c>
    </row>
    <row r="189" spans="5:10" x14ac:dyDescent="0.3">
      <c r="E189" s="209">
        <v>187</v>
      </c>
      <c r="F189" s="44">
        <f t="shared" si="10"/>
        <v>913464.89451030223</v>
      </c>
      <c r="G189" s="48">
        <f t="shared" si="11"/>
        <v>7629.8974990909028</v>
      </c>
      <c r="H189" s="48">
        <f t="shared" si="12"/>
        <v>4186.714099838885</v>
      </c>
      <c r="I189" s="48">
        <f t="shared" si="13"/>
        <v>3443.1833992520178</v>
      </c>
      <c r="J189" s="163">
        <f t="shared" si="14"/>
        <v>910021.71111105022</v>
      </c>
    </row>
    <row r="190" spans="5:10" x14ac:dyDescent="0.3">
      <c r="E190" s="209">
        <v>188</v>
      </c>
      <c r="F190" s="44">
        <f t="shared" si="10"/>
        <v>910021.71111105022</v>
      </c>
      <c r="G190" s="48">
        <f t="shared" si="11"/>
        <v>7629.8974990909028</v>
      </c>
      <c r="H190" s="48">
        <f t="shared" si="12"/>
        <v>4170.9328425923131</v>
      </c>
      <c r="I190" s="48">
        <f t="shared" si="13"/>
        <v>3458.9646564985896</v>
      </c>
      <c r="J190" s="163">
        <f t="shared" si="14"/>
        <v>906562.74645455158</v>
      </c>
    </row>
    <row r="191" spans="5:10" x14ac:dyDescent="0.3">
      <c r="E191" s="209">
        <v>189</v>
      </c>
      <c r="F191" s="44">
        <f t="shared" si="10"/>
        <v>906562.74645455158</v>
      </c>
      <c r="G191" s="48">
        <f t="shared" si="11"/>
        <v>7629.8974990909028</v>
      </c>
      <c r="H191" s="48">
        <f t="shared" si="12"/>
        <v>4155.0792545833619</v>
      </c>
      <c r="I191" s="48">
        <f t="shared" si="13"/>
        <v>3474.8182445075408</v>
      </c>
      <c r="J191" s="163">
        <f t="shared" si="14"/>
        <v>903087.92821004405</v>
      </c>
    </row>
    <row r="192" spans="5:10" x14ac:dyDescent="0.3">
      <c r="E192" s="209">
        <v>190</v>
      </c>
      <c r="F192" s="44">
        <f t="shared" si="10"/>
        <v>903087.92821004405</v>
      </c>
      <c r="G192" s="48">
        <f t="shared" si="11"/>
        <v>7629.8974990909028</v>
      </c>
      <c r="H192" s="48">
        <f t="shared" si="12"/>
        <v>4139.1530042960358</v>
      </c>
      <c r="I192" s="48">
        <f t="shared" si="13"/>
        <v>3490.744494794867</v>
      </c>
      <c r="J192" s="163">
        <f t="shared" si="14"/>
        <v>899597.18371524918</v>
      </c>
    </row>
    <row r="193" spans="5:10" x14ac:dyDescent="0.3">
      <c r="E193" s="209">
        <v>191</v>
      </c>
      <c r="F193" s="44">
        <f t="shared" si="10"/>
        <v>899597.18371524918</v>
      </c>
      <c r="G193" s="48">
        <f t="shared" si="11"/>
        <v>7629.8974990909028</v>
      </c>
      <c r="H193" s="48">
        <f t="shared" si="12"/>
        <v>4123.1537586948916</v>
      </c>
      <c r="I193" s="48">
        <f t="shared" si="13"/>
        <v>3506.7437403960112</v>
      </c>
      <c r="J193" s="163">
        <f t="shared" si="14"/>
        <v>896090.43997485319</v>
      </c>
    </row>
    <row r="194" spans="5:10" x14ac:dyDescent="0.3">
      <c r="E194" s="209">
        <v>192</v>
      </c>
      <c r="F194" s="44">
        <f t="shared" si="10"/>
        <v>896090.43997485319</v>
      </c>
      <c r="G194" s="48">
        <f t="shared" si="11"/>
        <v>7629.8974990909028</v>
      </c>
      <c r="H194" s="48">
        <f t="shared" si="12"/>
        <v>4107.0811832180771</v>
      </c>
      <c r="I194" s="48">
        <f t="shared" si="13"/>
        <v>3522.8163158728257</v>
      </c>
      <c r="J194" s="163">
        <f t="shared" si="14"/>
        <v>892567.62365898036</v>
      </c>
    </row>
    <row r="195" spans="5:10" x14ac:dyDescent="0.3">
      <c r="E195" s="209">
        <v>193</v>
      </c>
      <c r="F195" s="44">
        <f t="shared" si="10"/>
        <v>892567.62365898036</v>
      </c>
      <c r="G195" s="48">
        <f t="shared" si="11"/>
        <v>7629.8974990909028</v>
      </c>
      <c r="H195" s="48">
        <f t="shared" si="12"/>
        <v>4090.9349417703265</v>
      </c>
      <c r="I195" s="48">
        <f t="shared" si="13"/>
        <v>3538.9625573205763</v>
      </c>
      <c r="J195" s="163">
        <f t="shared" si="14"/>
        <v>889028.66110165976</v>
      </c>
    </row>
    <row r="196" spans="5:10" x14ac:dyDescent="0.3">
      <c r="E196" s="209">
        <v>194</v>
      </c>
      <c r="F196" s="44">
        <f t="shared" si="10"/>
        <v>889028.66110165976</v>
      </c>
      <c r="G196" s="48">
        <f t="shared" si="11"/>
        <v>7629.8974990909028</v>
      </c>
      <c r="H196" s="48">
        <f t="shared" si="12"/>
        <v>4074.7146967159406</v>
      </c>
      <c r="I196" s="48">
        <f t="shared" si="13"/>
        <v>3555.1828023749622</v>
      </c>
      <c r="J196" s="163">
        <f t="shared" si="14"/>
        <v>885473.47829928482</v>
      </c>
    </row>
    <row r="197" spans="5:10" x14ac:dyDescent="0.3">
      <c r="E197" s="209">
        <v>195</v>
      </c>
      <c r="F197" s="44">
        <f t="shared" ref="F197:F260" si="15">J196</f>
        <v>885473.47829928482</v>
      </c>
      <c r="G197" s="48">
        <f t="shared" ref="G197:G260" si="16">$C$6</f>
        <v>7629.8974990909028</v>
      </c>
      <c r="H197" s="48">
        <f t="shared" ref="H197:H260" si="17">F197*$C$4/12</f>
        <v>4058.4201088717218</v>
      </c>
      <c r="I197" s="48">
        <f t="shared" ref="I197:I260" si="18">G197-H197</f>
        <v>3571.477390219181</v>
      </c>
      <c r="J197" s="163">
        <f t="shared" ref="J197:J260" si="19">F197-I197</f>
        <v>881902.00090906559</v>
      </c>
    </row>
    <row r="198" spans="5:10" x14ac:dyDescent="0.3">
      <c r="E198" s="209">
        <v>196</v>
      </c>
      <c r="F198" s="44">
        <f t="shared" si="15"/>
        <v>881902.00090906559</v>
      </c>
      <c r="G198" s="48">
        <f t="shared" si="16"/>
        <v>7629.8974990909028</v>
      </c>
      <c r="H198" s="48">
        <f t="shared" si="17"/>
        <v>4042.050837499884</v>
      </c>
      <c r="I198" s="48">
        <f t="shared" si="18"/>
        <v>3587.8466615910188</v>
      </c>
      <c r="J198" s="163">
        <f t="shared" si="19"/>
        <v>878314.15424747462</v>
      </c>
    </row>
    <row r="199" spans="5:10" x14ac:dyDescent="0.3">
      <c r="E199" s="209">
        <v>197</v>
      </c>
      <c r="F199" s="44">
        <f t="shared" si="15"/>
        <v>878314.15424747462</v>
      </c>
      <c r="G199" s="48">
        <f t="shared" si="16"/>
        <v>7629.8974990909028</v>
      </c>
      <c r="H199" s="48">
        <f t="shared" si="17"/>
        <v>4025.6065403009252</v>
      </c>
      <c r="I199" s="48">
        <f t="shared" si="18"/>
        <v>3604.2909587899776</v>
      </c>
      <c r="J199" s="163">
        <f t="shared" si="19"/>
        <v>874709.86328868463</v>
      </c>
    </row>
    <row r="200" spans="5:10" x14ac:dyDescent="0.3">
      <c r="E200" s="209">
        <v>198</v>
      </c>
      <c r="F200" s="44">
        <f t="shared" si="15"/>
        <v>874709.86328868463</v>
      </c>
      <c r="G200" s="48">
        <f t="shared" si="16"/>
        <v>7629.8974990909028</v>
      </c>
      <c r="H200" s="48">
        <f t="shared" si="17"/>
        <v>4009.0868734064711</v>
      </c>
      <c r="I200" s="48">
        <f t="shared" si="18"/>
        <v>3620.8106256844317</v>
      </c>
      <c r="J200" s="163">
        <f t="shared" si="19"/>
        <v>871089.05266300018</v>
      </c>
    </row>
    <row r="201" spans="5:10" x14ac:dyDescent="0.3">
      <c r="E201" s="209">
        <v>199</v>
      </c>
      <c r="F201" s="44">
        <f t="shared" si="15"/>
        <v>871089.05266300018</v>
      </c>
      <c r="G201" s="48">
        <f t="shared" si="16"/>
        <v>7629.8974990909028</v>
      </c>
      <c r="H201" s="48">
        <f t="shared" si="17"/>
        <v>3992.4914913720841</v>
      </c>
      <c r="I201" s="48">
        <f t="shared" si="18"/>
        <v>3637.4060077188187</v>
      </c>
      <c r="J201" s="163">
        <f t="shared" si="19"/>
        <v>867451.64665528131</v>
      </c>
    </row>
    <row r="202" spans="5:10" x14ac:dyDescent="0.3">
      <c r="E202" s="209">
        <v>200</v>
      </c>
      <c r="F202" s="44">
        <f t="shared" si="15"/>
        <v>867451.64665528131</v>
      </c>
      <c r="G202" s="48">
        <f t="shared" si="16"/>
        <v>7629.8974990909028</v>
      </c>
      <c r="H202" s="48">
        <f t="shared" si="17"/>
        <v>3975.8200471700397</v>
      </c>
      <c r="I202" s="48">
        <f t="shared" si="18"/>
        <v>3654.077451920863</v>
      </c>
      <c r="J202" s="163">
        <f t="shared" si="19"/>
        <v>863797.56920336047</v>
      </c>
    </row>
    <row r="203" spans="5:10" x14ac:dyDescent="0.3">
      <c r="E203" s="209">
        <v>201</v>
      </c>
      <c r="F203" s="44">
        <f t="shared" si="15"/>
        <v>863797.56920336047</v>
      </c>
      <c r="G203" s="48">
        <f t="shared" si="16"/>
        <v>7629.8974990909028</v>
      </c>
      <c r="H203" s="48">
        <f t="shared" si="17"/>
        <v>3959.0721921820691</v>
      </c>
      <c r="I203" s="48">
        <f t="shared" si="18"/>
        <v>3670.8253069088337</v>
      </c>
      <c r="J203" s="163">
        <f t="shared" si="19"/>
        <v>860126.74389645166</v>
      </c>
    </row>
    <row r="204" spans="5:10" x14ac:dyDescent="0.3">
      <c r="E204" s="209">
        <v>202</v>
      </c>
      <c r="F204" s="44">
        <f t="shared" si="15"/>
        <v>860126.74389645166</v>
      </c>
      <c r="G204" s="48">
        <f t="shared" si="16"/>
        <v>7629.8974990909028</v>
      </c>
      <c r="H204" s="48">
        <f t="shared" si="17"/>
        <v>3942.24757619207</v>
      </c>
      <c r="I204" s="48">
        <f t="shared" si="18"/>
        <v>3687.6499228988328</v>
      </c>
      <c r="J204" s="163">
        <f t="shared" si="19"/>
        <v>856439.09397355281</v>
      </c>
    </row>
    <row r="205" spans="5:10" x14ac:dyDescent="0.3">
      <c r="E205" s="209">
        <v>203</v>
      </c>
      <c r="F205" s="44">
        <f t="shared" si="15"/>
        <v>856439.09397355281</v>
      </c>
      <c r="G205" s="48">
        <f t="shared" si="16"/>
        <v>7629.8974990909028</v>
      </c>
      <c r="H205" s="48">
        <f t="shared" si="17"/>
        <v>3925.3458473787837</v>
      </c>
      <c r="I205" s="48">
        <f t="shared" si="18"/>
        <v>3704.5516517121191</v>
      </c>
      <c r="J205" s="163">
        <f t="shared" si="19"/>
        <v>852734.54232184065</v>
      </c>
    </row>
    <row r="206" spans="5:10" x14ac:dyDescent="0.3">
      <c r="E206" s="209">
        <v>204</v>
      </c>
      <c r="F206" s="44">
        <f t="shared" si="15"/>
        <v>852734.54232184065</v>
      </c>
      <c r="G206" s="48">
        <f t="shared" si="16"/>
        <v>7629.8974990909028</v>
      </c>
      <c r="H206" s="48">
        <f t="shared" si="17"/>
        <v>3908.3666523084362</v>
      </c>
      <c r="I206" s="48">
        <f t="shared" si="18"/>
        <v>3721.5308467824666</v>
      </c>
      <c r="J206" s="163">
        <f t="shared" si="19"/>
        <v>849013.01147505816</v>
      </c>
    </row>
    <row r="207" spans="5:10" x14ac:dyDescent="0.3">
      <c r="E207" s="209">
        <v>205</v>
      </c>
      <c r="F207" s="44">
        <f t="shared" si="15"/>
        <v>849013.01147505816</v>
      </c>
      <c r="G207" s="48">
        <f t="shared" si="16"/>
        <v>7629.8974990909028</v>
      </c>
      <c r="H207" s="48">
        <f t="shared" si="17"/>
        <v>3891.30963592735</v>
      </c>
      <c r="I207" s="48">
        <f t="shared" si="18"/>
        <v>3738.5878631635528</v>
      </c>
      <c r="J207" s="163">
        <f t="shared" si="19"/>
        <v>845274.4236118946</v>
      </c>
    </row>
    <row r="208" spans="5:10" x14ac:dyDescent="0.3">
      <c r="E208" s="209">
        <v>206</v>
      </c>
      <c r="F208" s="44">
        <f t="shared" si="15"/>
        <v>845274.4236118946</v>
      </c>
      <c r="G208" s="48">
        <f t="shared" si="16"/>
        <v>7629.8974990909028</v>
      </c>
      <c r="H208" s="48">
        <f t="shared" si="17"/>
        <v>3874.1744415545168</v>
      </c>
      <c r="I208" s="48">
        <f t="shared" si="18"/>
        <v>3755.723057536386</v>
      </c>
      <c r="J208" s="163">
        <f t="shared" si="19"/>
        <v>841518.70055435819</v>
      </c>
    </row>
    <row r="209" spans="5:10" x14ac:dyDescent="0.3">
      <c r="E209" s="209">
        <v>207</v>
      </c>
      <c r="F209" s="44">
        <f t="shared" si="15"/>
        <v>841518.70055435819</v>
      </c>
      <c r="G209" s="48">
        <f t="shared" si="16"/>
        <v>7629.8974990909028</v>
      </c>
      <c r="H209" s="48">
        <f t="shared" si="17"/>
        <v>3856.960710874142</v>
      </c>
      <c r="I209" s="48">
        <f t="shared" si="18"/>
        <v>3772.9367882167608</v>
      </c>
      <c r="J209" s="163">
        <f t="shared" si="19"/>
        <v>837745.76376614138</v>
      </c>
    </row>
    <row r="210" spans="5:10" x14ac:dyDescent="0.3">
      <c r="E210" s="209">
        <v>208</v>
      </c>
      <c r="F210" s="44">
        <f t="shared" si="15"/>
        <v>837745.76376614138</v>
      </c>
      <c r="G210" s="48">
        <f t="shared" si="16"/>
        <v>7629.8974990909028</v>
      </c>
      <c r="H210" s="48">
        <f t="shared" si="17"/>
        <v>3839.6680839281476</v>
      </c>
      <c r="I210" s="48">
        <f t="shared" si="18"/>
        <v>3790.2294151627552</v>
      </c>
      <c r="J210" s="163">
        <f t="shared" si="19"/>
        <v>833955.53435097868</v>
      </c>
    </row>
    <row r="211" spans="5:10" x14ac:dyDescent="0.3">
      <c r="E211" s="209">
        <v>209</v>
      </c>
      <c r="F211" s="44">
        <f t="shared" si="15"/>
        <v>833955.53435097868</v>
      </c>
      <c r="G211" s="48">
        <f t="shared" si="16"/>
        <v>7629.8974990909028</v>
      </c>
      <c r="H211" s="48">
        <f t="shared" si="17"/>
        <v>3822.2961991086522</v>
      </c>
      <c r="I211" s="48">
        <f t="shared" si="18"/>
        <v>3807.6012999822506</v>
      </c>
      <c r="J211" s="163">
        <f t="shared" si="19"/>
        <v>830147.93305099639</v>
      </c>
    </row>
    <row r="212" spans="5:10" x14ac:dyDescent="0.3">
      <c r="E212" s="209">
        <v>210</v>
      </c>
      <c r="F212" s="44">
        <f t="shared" si="15"/>
        <v>830147.93305099639</v>
      </c>
      <c r="G212" s="48">
        <f t="shared" si="16"/>
        <v>7629.8974990909028</v>
      </c>
      <c r="H212" s="48">
        <f t="shared" si="17"/>
        <v>3804.8446931504004</v>
      </c>
      <c r="I212" s="48">
        <f t="shared" si="18"/>
        <v>3825.0528059405024</v>
      </c>
      <c r="J212" s="163">
        <f t="shared" si="19"/>
        <v>826322.88024505589</v>
      </c>
    </row>
    <row r="213" spans="5:10" x14ac:dyDescent="0.3">
      <c r="E213" s="209">
        <v>211</v>
      </c>
      <c r="F213" s="44">
        <f t="shared" si="15"/>
        <v>826322.88024505589</v>
      </c>
      <c r="G213" s="48">
        <f t="shared" si="16"/>
        <v>7629.8974990909028</v>
      </c>
      <c r="H213" s="48">
        <f t="shared" si="17"/>
        <v>3787.3132011231733</v>
      </c>
      <c r="I213" s="48">
        <f t="shared" si="18"/>
        <v>3842.5842979677295</v>
      </c>
      <c r="J213" s="163">
        <f t="shared" si="19"/>
        <v>822480.29594708816</v>
      </c>
    </row>
    <row r="214" spans="5:10" x14ac:dyDescent="0.3">
      <c r="E214" s="209">
        <v>212</v>
      </c>
      <c r="F214" s="44">
        <f t="shared" si="15"/>
        <v>822480.29594708816</v>
      </c>
      <c r="G214" s="48">
        <f t="shared" si="16"/>
        <v>7629.8974990909028</v>
      </c>
      <c r="H214" s="48">
        <f t="shared" si="17"/>
        <v>3769.7013564241538</v>
      </c>
      <c r="I214" s="48">
        <f t="shared" si="18"/>
        <v>3860.196142666749</v>
      </c>
      <c r="J214" s="163">
        <f t="shared" si="19"/>
        <v>818620.09980442142</v>
      </c>
    </row>
    <row r="215" spans="5:10" x14ac:dyDescent="0.3">
      <c r="E215" s="209">
        <v>213</v>
      </c>
      <c r="F215" s="44">
        <f t="shared" si="15"/>
        <v>818620.09980442142</v>
      </c>
      <c r="G215" s="48">
        <f t="shared" si="16"/>
        <v>7629.8974990909028</v>
      </c>
      <c r="H215" s="48">
        <f t="shared" si="17"/>
        <v>3752.008790770265</v>
      </c>
      <c r="I215" s="48">
        <f t="shared" si="18"/>
        <v>3877.8887083206378</v>
      </c>
      <c r="J215" s="163">
        <f t="shared" si="19"/>
        <v>814742.21109610074</v>
      </c>
    </row>
    <row r="216" spans="5:10" x14ac:dyDescent="0.3">
      <c r="E216" s="209">
        <v>214</v>
      </c>
      <c r="F216" s="44">
        <f t="shared" si="15"/>
        <v>814742.21109610074</v>
      </c>
      <c r="G216" s="48">
        <f t="shared" si="16"/>
        <v>7629.8974990909028</v>
      </c>
      <c r="H216" s="48">
        <f t="shared" si="17"/>
        <v>3734.2351341904618</v>
      </c>
      <c r="I216" s="48">
        <f t="shared" si="18"/>
        <v>3895.6623649004409</v>
      </c>
      <c r="J216" s="163">
        <f t="shared" si="19"/>
        <v>810846.54873120028</v>
      </c>
    </row>
    <row r="217" spans="5:10" x14ac:dyDescent="0.3">
      <c r="E217" s="209">
        <v>215</v>
      </c>
      <c r="F217" s="44">
        <f t="shared" si="15"/>
        <v>810846.54873120028</v>
      </c>
      <c r="G217" s="48">
        <f t="shared" si="16"/>
        <v>7629.8974990909028</v>
      </c>
      <c r="H217" s="48">
        <f t="shared" si="17"/>
        <v>3716.3800150180014</v>
      </c>
      <c r="I217" s="48">
        <f t="shared" si="18"/>
        <v>3913.5174840729014</v>
      </c>
      <c r="J217" s="163">
        <f t="shared" si="19"/>
        <v>806933.03124712734</v>
      </c>
    </row>
    <row r="218" spans="5:10" x14ac:dyDescent="0.3">
      <c r="E218" s="209">
        <v>216</v>
      </c>
      <c r="F218" s="44">
        <f t="shared" si="15"/>
        <v>806933.03124712734</v>
      </c>
      <c r="G218" s="48">
        <f t="shared" si="16"/>
        <v>7629.8974990909028</v>
      </c>
      <c r="H218" s="48">
        <f t="shared" si="17"/>
        <v>3698.4430598826671</v>
      </c>
      <c r="I218" s="48">
        <f t="shared" si="18"/>
        <v>3931.4544392082357</v>
      </c>
      <c r="J218" s="163">
        <f t="shared" si="19"/>
        <v>803001.57680791907</v>
      </c>
    </row>
    <row r="219" spans="5:10" x14ac:dyDescent="0.3">
      <c r="E219" s="209">
        <v>217</v>
      </c>
      <c r="F219" s="44">
        <f t="shared" si="15"/>
        <v>803001.57680791907</v>
      </c>
      <c r="G219" s="48">
        <f t="shared" si="16"/>
        <v>7629.8974990909028</v>
      </c>
      <c r="H219" s="48">
        <f t="shared" si="17"/>
        <v>3680.4238937029622</v>
      </c>
      <c r="I219" s="48">
        <f t="shared" si="18"/>
        <v>3949.4736053879406</v>
      </c>
      <c r="J219" s="163">
        <f t="shared" si="19"/>
        <v>799052.10320253111</v>
      </c>
    </row>
    <row r="220" spans="5:10" x14ac:dyDescent="0.3">
      <c r="E220" s="209">
        <v>218</v>
      </c>
      <c r="F220" s="44">
        <f t="shared" si="15"/>
        <v>799052.10320253111</v>
      </c>
      <c r="G220" s="48">
        <f t="shared" si="16"/>
        <v>7629.8974990909028</v>
      </c>
      <c r="H220" s="48">
        <f t="shared" si="17"/>
        <v>3662.3221396782678</v>
      </c>
      <c r="I220" s="48">
        <f t="shared" si="18"/>
        <v>3967.575359412635</v>
      </c>
      <c r="J220" s="163">
        <f t="shared" si="19"/>
        <v>795084.52784311853</v>
      </c>
    </row>
    <row r="221" spans="5:10" x14ac:dyDescent="0.3">
      <c r="E221" s="209">
        <v>219</v>
      </c>
      <c r="F221" s="44">
        <f t="shared" si="15"/>
        <v>795084.52784311853</v>
      </c>
      <c r="G221" s="48">
        <f t="shared" si="16"/>
        <v>7629.8974990909028</v>
      </c>
      <c r="H221" s="48">
        <f t="shared" si="17"/>
        <v>3644.1374192809599</v>
      </c>
      <c r="I221" s="48">
        <f t="shared" si="18"/>
        <v>3985.7600798099429</v>
      </c>
      <c r="J221" s="163">
        <f t="shared" si="19"/>
        <v>791098.7677633086</v>
      </c>
    </row>
    <row r="222" spans="5:10" x14ac:dyDescent="0.3">
      <c r="E222" s="209">
        <v>220</v>
      </c>
      <c r="F222" s="44">
        <f t="shared" si="15"/>
        <v>791098.7677633086</v>
      </c>
      <c r="G222" s="48">
        <f t="shared" si="16"/>
        <v>7629.8974990909028</v>
      </c>
      <c r="H222" s="48">
        <f t="shared" si="17"/>
        <v>3625.8693522484978</v>
      </c>
      <c r="I222" s="48">
        <f t="shared" si="18"/>
        <v>4004.028146842405</v>
      </c>
      <c r="J222" s="163">
        <f t="shared" si="19"/>
        <v>787094.73961646622</v>
      </c>
    </row>
    <row r="223" spans="5:10" x14ac:dyDescent="0.3">
      <c r="E223" s="209">
        <v>221</v>
      </c>
      <c r="F223" s="44">
        <f t="shared" si="15"/>
        <v>787094.73961646622</v>
      </c>
      <c r="G223" s="48">
        <f t="shared" si="16"/>
        <v>7629.8974990909028</v>
      </c>
      <c r="H223" s="48">
        <f t="shared" si="17"/>
        <v>3607.5175565754703</v>
      </c>
      <c r="I223" s="48">
        <f t="shared" si="18"/>
        <v>4022.3799425154325</v>
      </c>
      <c r="J223" s="163">
        <f t="shared" si="19"/>
        <v>783072.35967395082</v>
      </c>
    </row>
    <row r="224" spans="5:10" x14ac:dyDescent="0.3">
      <c r="E224" s="209">
        <v>222</v>
      </c>
      <c r="F224" s="44">
        <f t="shared" si="15"/>
        <v>783072.35967395082</v>
      </c>
      <c r="G224" s="48">
        <f t="shared" si="16"/>
        <v>7629.8974990909028</v>
      </c>
      <c r="H224" s="48">
        <f t="shared" si="17"/>
        <v>3589.081648505608</v>
      </c>
      <c r="I224" s="48">
        <f t="shared" si="18"/>
        <v>4040.8158505852948</v>
      </c>
      <c r="J224" s="163">
        <f t="shared" si="19"/>
        <v>779031.54382336547</v>
      </c>
    </row>
    <row r="225" spans="5:10" x14ac:dyDescent="0.3">
      <c r="E225" s="209">
        <v>223</v>
      </c>
      <c r="F225" s="44">
        <f t="shared" si="15"/>
        <v>779031.54382336547</v>
      </c>
      <c r="G225" s="48">
        <f t="shared" si="16"/>
        <v>7629.8974990909028</v>
      </c>
      <c r="H225" s="48">
        <f t="shared" si="17"/>
        <v>3570.5612425237582</v>
      </c>
      <c r="I225" s="48">
        <f t="shared" si="18"/>
        <v>4059.3362565671446</v>
      </c>
      <c r="J225" s="163">
        <f t="shared" si="19"/>
        <v>774972.20756679832</v>
      </c>
    </row>
    <row r="226" spans="5:10" x14ac:dyDescent="0.3">
      <c r="E226" s="209">
        <v>224</v>
      </c>
      <c r="F226" s="44">
        <f t="shared" si="15"/>
        <v>774972.20756679832</v>
      </c>
      <c r="G226" s="48">
        <f t="shared" si="16"/>
        <v>7629.8974990909028</v>
      </c>
      <c r="H226" s="48">
        <f t="shared" si="17"/>
        <v>3551.9559513478257</v>
      </c>
      <c r="I226" s="48">
        <f t="shared" si="18"/>
        <v>4077.9415477430771</v>
      </c>
      <c r="J226" s="163">
        <f t="shared" si="19"/>
        <v>770894.26601905527</v>
      </c>
    </row>
    <row r="227" spans="5:10" x14ac:dyDescent="0.3">
      <c r="E227" s="209">
        <v>225</v>
      </c>
      <c r="F227" s="44">
        <f t="shared" si="15"/>
        <v>770894.26601905527</v>
      </c>
      <c r="G227" s="48">
        <f t="shared" si="16"/>
        <v>7629.8974990909028</v>
      </c>
      <c r="H227" s="48">
        <f t="shared" si="17"/>
        <v>3533.2653859206698</v>
      </c>
      <c r="I227" s="48">
        <f t="shared" si="18"/>
        <v>4096.6321131702334</v>
      </c>
      <c r="J227" s="163">
        <f t="shared" si="19"/>
        <v>766797.63390588504</v>
      </c>
    </row>
    <row r="228" spans="5:10" x14ac:dyDescent="0.3">
      <c r="E228" s="209">
        <v>226</v>
      </c>
      <c r="F228" s="44">
        <f t="shared" si="15"/>
        <v>766797.63390588504</v>
      </c>
      <c r="G228" s="48">
        <f t="shared" si="16"/>
        <v>7629.8974990909028</v>
      </c>
      <c r="H228" s="48">
        <f t="shared" si="17"/>
        <v>3514.4891554019728</v>
      </c>
      <c r="I228" s="48">
        <f t="shared" si="18"/>
        <v>4115.4083436889305</v>
      </c>
      <c r="J228" s="163">
        <f t="shared" si="19"/>
        <v>762682.22556219611</v>
      </c>
    </row>
    <row r="229" spans="5:10" x14ac:dyDescent="0.3">
      <c r="E229" s="209">
        <v>227</v>
      </c>
      <c r="F229" s="44">
        <f t="shared" si="15"/>
        <v>762682.22556219611</v>
      </c>
      <c r="G229" s="48">
        <f t="shared" si="16"/>
        <v>7629.8974990909028</v>
      </c>
      <c r="H229" s="48">
        <f t="shared" si="17"/>
        <v>3495.6268671600651</v>
      </c>
      <c r="I229" s="48">
        <f t="shared" si="18"/>
        <v>4134.2706319308381</v>
      </c>
      <c r="J229" s="163">
        <f t="shared" si="19"/>
        <v>758547.95493026532</v>
      </c>
    </row>
    <row r="230" spans="5:10" x14ac:dyDescent="0.3">
      <c r="E230" s="209">
        <v>228</v>
      </c>
      <c r="F230" s="44">
        <f t="shared" si="15"/>
        <v>758547.95493026532</v>
      </c>
      <c r="G230" s="48">
        <f t="shared" si="16"/>
        <v>7629.8974990909028</v>
      </c>
      <c r="H230" s="48">
        <f t="shared" si="17"/>
        <v>3476.6781267637161</v>
      </c>
      <c r="I230" s="48">
        <f t="shared" si="18"/>
        <v>4153.2193723271866</v>
      </c>
      <c r="J230" s="163">
        <f t="shared" si="19"/>
        <v>754394.73555793811</v>
      </c>
    </row>
    <row r="231" spans="5:10" x14ac:dyDescent="0.3">
      <c r="E231" s="209">
        <v>229</v>
      </c>
      <c r="F231" s="44">
        <f t="shared" si="15"/>
        <v>754394.73555793811</v>
      </c>
      <c r="G231" s="48">
        <f t="shared" si="16"/>
        <v>7629.8974990909028</v>
      </c>
      <c r="H231" s="48">
        <f t="shared" si="17"/>
        <v>3457.642537973883</v>
      </c>
      <c r="I231" s="48">
        <f t="shared" si="18"/>
        <v>4172.2549611170198</v>
      </c>
      <c r="J231" s="163">
        <f t="shared" si="19"/>
        <v>750222.48059682106</v>
      </c>
    </row>
    <row r="232" spans="5:10" x14ac:dyDescent="0.3">
      <c r="E232" s="209">
        <v>230</v>
      </c>
      <c r="F232" s="44">
        <f t="shared" si="15"/>
        <v>750222.48059682106</v>
      </c>
      <c r="G232" s="48">
        <f t="shared" si="16"/>
        <v>7629.8974990909028</v>
      </c>
      <c r="H232" s="48">
        <f t="shared" si="17"/>
        <v>3438.5197027354297</v>
      </c>
      <c r="I232" s="48">
        <f t="shared" si="18"/>
        <v>4191.377796355473</v>
      </c>
      <c r="J232" s="163">
        <f t="shared" si="19"/>
        <v>746031.10280046554</v>
      </c>
    </row>
    <row r="233" spans="5:10" x14ac:dyDescent="0.3">
      <c r="E233" s="209">
        <v>231</v>
      </c>
      <c r="F233" s="44">
        <f t="shared" si="15"/>
        <v>746031.10280046554</v>
      </c>
      <c r="G233" s="48">
        <f t="shared" si="16"/>
        <v>7629.8974990909028</v>
      </c>
      <c r="H233" s="48">
        <f t="shared" si="17"/>
        <v>3419.3092211688004</v>
      </c>
      <c r="I233" s="48">
        <f t="shared" si="18"/>
        <v>4210.5882779221029</v>
      </c>
      <c r="J233" s="163">
        <f t="shared" si="19"/>
        <v>741820.51452254341</v>
      </c>
    </row>
    <row r="234" spans="5:10" x14ac:dyDescent="0.3">
      <c r="E234" s="209">
        <v>232</v>
      </c>
      <c r="F234" s="44">
        <f t="shared" si="15"/>
        <v>741820.51452254341</v>
      </c>
      <c r="G234" s="48">
        <f t="shared" si="16"/>
        <v>7629.8974990909028</v>
      </c>
      <c r="H234" s="48">
        <f t="shared" si="17"/>
        <v>3400.0106915616575</v>
      </c>
      <c r="I234" s="48">
        <f t="shared" si="18"/>
        <v>4229.8868075292448</v>
      </c>
      <c r="J234" s="163">
        <f t="shared" si="19"/>
        <v>737590.62771501415</v>
      </c>
    </row>
    <row r="235" spans="5:10" x14ac:dyDescent="0.3">
      <c r="E235" s="209">
        <v>233</v>
      </c>
      <c r="F235" s="44">
        <f t="shared" si="15"/>
        <v>737590.62771501415</v>
      </c>
      <c r="G235" s="48">
        <f t="shared" si="16"/>
        <v>7629.8974990909028</v>
      </c>
      <c r="H235" s="48">
        <f t="shared" si="17"/>
        <v>3380.6237103604817</v>
      </c>
      <c r="I235" s="48">
        <f t="shared" si="18"/>
        <v>4249.2737887304211</v>
      </c>
      <c r="J235" s="163">
        <f t="shared" si="19"/>
        <v>733341.35392628377</v>
      </c>
    </row>
    <row r="236" spans="5:10" x14ac:dyDescent="0.3">
      <c r="E236" s="209">
        <v>234</v>
      </c>
      <c r="F236" s="44">
        <f t="shared" si="15"/>
        <v>733341.35392628377</v>
      </c>
      <c r="G236" s="48">
        <f t="shared" si="16"/>
        <v>7629.8974990909028</v>
      </c>
      <c r="H236" s="48">
        <f t="shared" si="17"/>
        <v>3361.1478721621338</v>
      </c>
      <c r="I236" s="48">
        <f t="shared" si="18"/>
        <v>4268.7496269287694</v>
      </c>
      <c r="J236" s="163">
        <f t="shared" si="19"/>
        <v>729072.60429935495</v>
      </c>
    </row>
    <row r="237" spans="5:10" x14ac:dyDescent="0.3">
      <c r="E237" s="209">
        <v>235</v>
      </c>
      <c r="F237" s="44">
        <f t="shared" si="15"/>
        <v>729072.60429935495</v>
      </c>
      <c r="G237" s="48">
        <f t="shared" si="16"/>
        <v>7629.8974990909028</v>
      </c>
      <c r="H237" s="48">
        <f t="shared" si="17"/>
        <v>3341.5827697053769</v>
      </c>
      <c r="I237" s="48">
        <f t="shared" si="18"/>
        <v>4288.3147293855254</v>
      </c>
      <c r="J237" s="163">
        <f t="shared" si="19"/>
        <v>724784.28956996941</v>
      </c>
    </row>
    <row r="238" spans="5:10" x14ac:dyDescent="0.3">
      <c r="E238" s="209">
        <v>236</v>
      </c>
      <c r="F238" s="44">
        <f t="shared" si="15"/>
        <v>724784.28956996941</v>
      </c>
      <c r="G238" s="48">
        <f t="shared" si="16"/>
        <v>7629.8974990909028</v>
      </c>
      <c r="H238" s="48">
        <f t="shared" si="17"/>
        <v>3321.9279938623599</v>
      </c>
      <c r="I238" s="48">
        <f t="shared" si="18"/>
        <v>4307.9695052285424</v>
      </c>
      <c r="J238" s="163">
        <f t="shared" si="19"/>
        <v>720476.32006474084</v>
      </c>
    </row>
    <row r="239" spans="5:10" x14ac:dyDescent="0.3">
      <c r="E239" s="209">
        <v>237</v>
      </c>
      <c r="F239" s="44">
        <f t="shared" si="15"/>
        <v>720476.32006474084</v>
      </c>
      <c r="G239" s="48">
        <f t="shared" si="16"/>
        <v>7629.8974990909028</v>
      </c>
      <c r="H239" s="48">
        <f t="shared" si="17"/>
        <v>3302.183133630062</v>
      </c>
      <c r="I239" s="48">
        <f t="shared" si="18"/>
        <v>4327.7143654608408</v>
      </c>
      <c r="J239" s="163">
        <f t="shared" si="19"/>
        <v>716148.60569928004</v>
      </c>
    </row>
    <row r="240" spans="5:10" x14ac:dyDescent="0.3">
      <c r="E240" s="209">
        <v>238</v>
      </c>
      <c r="F240" s="44">
        <f t="shared" si="15"/>
        <v>716148.60569928004</v>
      </c>
      <c r="G240" s="48">
        <f t="shared" si="16"/>
        <v>7629.8974990909028</v>
      </c>
      <c r="H240" s="48">
        <f t="shared" si="17"/>
        <v>3282.3477761217</v>
      </c>
      <c r="I240" s="48">
        <f t="shared" si="18"/>
        <v>4347.5497229692028</v>
      </c>
      <c r="J240" s="163">
        <f t="shared" si="19"/>
        <v>711801.05597631086</v>
      </c>
    </row>
    <row r="241" spans="5:10" x14ac:dyDescent="0.3">
      <c r="E241" s="209">
        <v>239</v>
      </c>
      <c r="F241" s="44">
        <f t="shared" si="15"/>
        <v>711801.05597631086</v>
      </c>
      <c r="G241" s="48">
        <f t="shared" si="16"/>
        <v>7629.8974990909028</v>
      </c>
      <c r="H241" s="48">
        <f t="shared" si="17"/>
        <v>3262.4215065580916</v>
      </c>
      <c r="I241" s="48">
        <f t="shared" si="18"/>
        <v>4367.4759925328108</v>
      </c>
      <c r="J241" s="163">
        <f t="shared" si="19"/>
        <v>707433.57998377807</v>
      </c>
    </row>
    <row r="242" spans="5:10" x14ac:dyDescent="0.3">
      <c r="E242" s="209">
        <v>240</v>
      </c>
      <c r="F242" s="44">
        <f t="shared" si="15"/>
        <v>707433.57998377807</v>
      </c>
      <c r="G242" s="48">
        <f t="shared" si="16"/>
        <v>7629.8974990909028</v>
      </c>
      <c r="H242" s="48">
        <f t="shared" si="17"/>
        <v>3242.4039082589829</v>
      </c>
      <c r="I242" s="48">
        <f t="shared" si="18"/>
        <v>4387.4935908319203</v>
      </c>
      <c r="J242" s="163">
        <f t="shared" si="19"/>
        <v>703046.08639294619</v>
      </c>
    </row>
    <row r="243" spans="5:10" x14ac:dyDescent="0.3">
      <c r="E243" s="209">
        <v>241</v>
      </c>
      <c r="F243" s="44">
        <f t="shared" si="15"/>
        <v>703046.08639294619</v>
      </c>
      <c r="G243" s="48">
        <f t="shared" si="16"/>
        <v>7629.8974990909028</v>
      </c>
      <c r="H243" s="48">
        <f t="shared" si="17"/>
        <v>3222.2945626343367</v>
      </c>
      <c r="I243" s="48">
        <f t="shared" si="18"/>
        <v>4407.6029364565657</v>
      </c>
      <c r="J243" s="163">
        <f t="shared" si="19"/>
        <v>698638.48345648963</v>
      </c>
    </row>
    <row r="244" spans="5:10" x14ac:dyDescent="0.3">
      <c r="E244" s="209">
        <v>242</v>
      </c>
      <c r="F244" s="44">
        <f t="shared" si="15"/>
        <v>698638.48345648963</v>
      </c>
      <c r="G244" s="48">
        <f t="shared" si="16"/>
        <v>7629.8974990909028</v>
      </c>
      <c r="H244" s="48">
        <f t="shared" si="17"/>
        <v>3202.0930491755776</v>
      </c>
      <c r="I244" s="48">
        <f t="shared" si="18"/>
        <v>4427.8044499153257</v>
      </c>
      <c r="J244" s="163">
        <f t="shared" si="19"/>
        <v>694210.67900657433</v>
      </c>
    </row>
    <row r="245" spans="5:10" x14ac:dyDescent="0.3">
      <c r="E245" s="209">
        <v>243</v>
      </c>
      <c r="F245" s="44">
        <f t="shared" si="15"/>
        <v>694210.67900657433</v>
      </c>
      <c r="G245" s="48">
        <f t="shared" si="16"/>
        <v>7629.8974990909028</v>
      </c>
      <c r="H245" s="48">
        <f t="shared" si="17"/>
        <v>3181.7989454467988</v>
      </c>
      <c r="I245" s="48">
        <f t="shared" si="18"/>
        <v>4448.098553644104</v>
      </c>
      <c r="J245" s="163">
        <f t="shared" si="19"/>
        <v>689762.58045293018</v>
      </c>
    </row>
    <row r="246" spans="5:10" x14ac:dyDescent="0.3">
      <c r="E246" s="209">
        <v>244</v>
      </c>
      <c r="F246" s="44">
        <f t="shared" si="15"/>
        <v>689762.58045293018</v>
      </c>
      <c r="G246" s="48">
        <f t="shared" si="16"/>
        <v>7629.8974990909028</v>
      </c>
      <c r="H246" s="48">
        <f t="shared" si="17"/>
        <v>3161.41182707593</v>
      </c>
      <c r="I246" s="48">
        <f t="shared" si="18"/>
        <v>4468.4856720149728</v>
      </c>
      <c r="J246" s="163">
        <f t="shared" si="19"/>
        <v>685294.09478091518</v>
      </c>
    </row>
    <row r="247" spans="5:10" x14ac:dyDescent="0.3">
      <c r="E247" s="209">
        <v>245</v>
      </c>
      <c r="F247" s="44">
        <f t="shared" si="15"/>
        <v>685294.09478091518</v>
      </c>
      <c r="G247" s="48">
        <f t="shared" si="16"/>
        <v>7629.8974990909028</v>
      </c>
      <c r="H247" s="48">
        <f t="shared" si="17"/>
        <v>3140.9312677458615</v>
      </c>
      <c r="I247" s="48">
        <f t="shared" si="18"/>
        <v>4488.9662313450408</v>
      </c>
      <c r="J247" s="163">
        <f t="shared" si="19"/>
        <v>680805.1285495701</v>
      </c>
    </row>
    <row r="248" spans="5:10" x14ac:dyDescent="0.3">
      <c r="E248" s="209">
        <v>246</v>
      </c>
      <c r="F248" s="44">
        <f t="shared" si="15"/>
        <v>680805.1285495701</v>
      </c>
      <c r="G248" s="48">
        <f t="shared" si="16"/>
        <v>7629.8974990909028</v>
      </c>
      <c r="H248" s="48">
        <f t="shared" si="17"/>
        <v>3120.3568391855297</v>
      </c>
      <c r="I248" s="48">
        <f t="shared" si="18"/>
        <v>4509.5406599053731</v>
      </c>
      <c r="J248" s="163">
        <f t="shared" si="19"/>
        <v>676295.58788966469</v>
      </c>
    </row>
    <row r="249" spans="5:10" x14ac:dyDescent="0.3">
      <c r="E249" s="209">
        <v>247</v>
      </c>
      <c r="F249" s="44">
        <f t="shared" si="15"/>
        <v>676295.58788966469</v>
      </c>
      <c r="G249" s="48">
        <f t="shared" si="16"/>
        <v>7629.8974990909028</v>
      </c>
      <c r="H249" s="48">
        <f t="shared" si="17"/>
        <v>3099.6881111609632</v>
      </c>
      <c r="I249" s="48">
        <f t="shared" si="18"/>
        <v>4530.2093879299391</v>
      </c>
      <c r="J249" s="163">
        <f t="shared" si="19"/>
        <v>671765.3785017347</v>
      </c>
    </row>
    <row r="250" spans="5:10" x14ac:dyDescent="0.3">
      <c r="E250" s="209">
        <v>248</v>
      </c>
      <c r="F250" s="44">
        <f t="shared" si="15"/>
        <v>671765.3785017347</v>
      </c>
      <c r="G250" s="48">
        <f t="shared" si="16"/>
        <v>7629.8974990909028</v>
      </c>
      <c r="H250" s="48">
        <f t="shared" si="17"/>
        <v>3078.9246514662841</v>
      </c>
      <c r="I250" s="48">
        <f t="shared" si="18"/>
        <v>4550.9728476246182</v>
      </c>
      <c r="J250" s="163">
        <f t="shared" si="19"/>
        <v>667214.40565411013</v>
      </c>
    </row>
    <row r="251" spans="5:10" x14ac:dyDescent="0.3">
      <c r="E251" s="209">
        <v>249</v>
      </c>
      <c r="F251" s="44">
        <f t="shared" si="15"/>
        <v>667214.40565411013</v>
      </c>
      <c r="G251" s="48">
        <f t="shared" si="16"/>
        <v>7629.8974990909028</v>
      </c>
      <c r="H251" s="48">
        <f t="shared" si="17"/>
        <v>3058.0660259146716</v>
      </c>
      <c r="I251" s="48">
        <f t="shared" si="18"/>
        <v>4571.8314731762312</v>
      </c>
      <c r="J251" s="163">
        <f t="shared" si="19"/>
        <v>662642.57418093388</v>
      </c>
    </row>
    <row r="252" spans="5:10" x14ac:dyDescent="0.3">
      <c r="E252" s="209">
        <v>250</v>
      </c>
      <c r="F252" s="44">
        <f t="shared" si="15"/>
        <v>662642.57418093388</v>
      </c>
      <c r="G252" s="48">
        <f t="shared" si="16"/>
        <v>7629.8974990909028</v>
      </c>
      <c r="H252" s="48">
        <f t="shared" si="17"/>
        <v>3037.1117983292802</v>
      </c>
      <c r="I252" s="48">
        <f t="shared" si="18"/>
        <v>4592.7857007616221</v>
      </c>
      <c r="J252" s="163">
        <f t="shared" si="19"/>
        <v>658049.78848017228</v>
      </c>
    </row>
    <row r="253" spans="5:10" x14ac:dyDescent="0.3">
      <c r="E253" s="209">
        <v>251</v>
      </c>
      <c r="F253" s="44">
        <f t="shared" si="15"/>
        <v>658049.78848017228</v>
      </c>
      <c r="G253" s="48">
        <f t="shared" si="16"/>
        <v>7629.8974990909028</v>
      </c>
      <c r="H253" s="48">
        <f t="shared" si="17"/>
        <v>3016.061530534123</v>
      </c>
      <c r="I253" s="48">
        <f t="shared" si="18"/>
        <v>4613.8359685567793</v>
      </c>
      <c r="J253" s="163">
        <f t="shared" si="19"/>
        <v>653435.95251161547</v>
      </c>
    </row>
    <row r="254" spans="5:10" x14ac:dyDescent="0.3">
      <c r="E254" s="209">
        <v>252</v>
      </c>
      <c r="F254" s="44">
        <f t="shared" si="15"/>
        <v>653435.95251161547</v>
      </c>
      <c r="G254" s="48">
        <f t="shared" si="16"/>
        <v>7629.8974990909028</v>
      </c>
      <c r="H254" s="48">
        <f t="shared" si="17"/>
        <v>2994.9147823449043</v>
      </c>
      <c r="I254" s="48">
        <f t="shared" si="18"/>
        <v>4634.9827167459989</v>
      </c>
      <c r="J254" s="163">
        <f t="shared" si="19"/>
        <v>648800.96979486942</v>
      </c>
    </row>
    <row r="255" spans="5:10" x14ac:dyDescent="0.3">
      <c r="E255" s="209">
        <v>253</v>
      </c>
      <c r="F255" s="44">
        <f t="shared" si="15"/>
        <v>648800.96979486942</v>
      </c>
      <c r="G255" s="48">
        <f t="shared" si="16"/>
        <v>7629.8974990909028</v>
      </c>
      <c r="H255" s="48">
        <f t="shared" si="17"/>
        <v>2973.6711115598187</v>
      </c>
      <c r="I255" s="48">
        <f t="shared" si="18"/>
        <v>4656.2263875310837</v>
      </c>
      <c r="J255" s="163">
        <f t="shared" si="19"/>
        <v>644144.74340733839</v>
      </c>
    </row>
    <row r="256" spans="5:10" x14ac:dyDescent="0.3">
      <c r="E256" s="209">
        <v>254</v>
      </c>
      <c r="F256" s="44">
        <f t="shared" si="15"/>
        <v>644144.74340733839</v>
      </c>
      <c r="G256" s="48">
        <f t="shared" si="16"/>
        <v>7629.8974990909028</v>
      </c>
      <c r="H256" s="48">
        <f t="shared" si="17"/>
        <v>2952.3300739503011</v>
      </c>
      <c r="I256" s="48">
        <f t="shared" si="18"/>
        <v>4677.5674251406017</v>
      </c>
      <c r="J256" s="163">
        <f t="shared" si="19"/>
        <v>639467.17598219775</v>
      </c>
    </row>
    <row r="257" spans="5:10" x14ac:dyDescent="0.3">
      <c r="E257" s="209">
        <v>255</v>
      </c>
      <c r="F257" s="44">
        <f t="shared" si="15"/>
        <v>639467.17598219775</v>
      </c>
      <c r="G257" s="48">
        <f t="shared" si="16"/>
        <v>7629.8974990909028</v>
      </c>
      <c r="H257" s="48">
        <f t="shared" si="17"/>
        <v>2930.8912232517396</v>
      </c>
      <c r="I257" s="48">
        <f t="shared" si="18"/>
        <v>4699.0062758391632</v>
      </c>
      <c r="J257" s="163">
        <f t="shared" si="19"/>
        <v>634768.16970635857</v>
      </c>
    </row>
    <row r="258" spans="5:10" x14ac:dyDescent="0.3">
      <c r="E258" s="209">
        <v>256</v>
      </c>
      <c r="F258" s="44">
        <f t="shared" si="15"/>
        <v>634768.16970635857</v>
      </c>
      <c r="G258" s="48">
        <f t="shared" si="16"/>
        <v>7629.8974990909028</v>
      </c>
      <c r="H258" s="48">
        <f t="shared" si="17"/>
        <v>2909.3541111541435</v>
      </c>
      <c r="I258" s="48">
        <f t="shared" si="18"/>
        <v>4720.5433879367592</v>
      </c>
      <c r="J258" s="163">
        <f t="shared" si="19"/>
        <v>630047.6263184218</v>
      </c>
    </row>
    <row r="259" spans="5:10" x14ac:dyDescent="0.3">
      <c r="E259" s="209">
        <v>257</v>
      </c>
      <c r="F259" s="44">
        <f t="shared" si="15"/>
        <v>630047.6263184218</v>
      </c>
      <c r="G259" s="48">
        <f t="shared" si="16"/>
        <v>7629.8974990909028</v>
      </c>
      <c r="H259" s="48">
        <f t="shared" si="17"/>
        <v>2887.7182872927665</v>
      </c>
      <c r="I259" s="48">
        <f t="shared" si="18"/>
        <v>4742.1792117981367</v>
      </c>
      <c r="J259" s="163">
        <f t="shared" si="19"/>
        <v>625305.44710662367</v>
      </c>
    </row>
    <row r="260" spans="5:10" x14ac:dyDescent="0.3">
      <c r="E260" s="209">
        <v>258</v>
      </c>
      <c r="F260" s="44">
        <f t="shared" si="15"/>
        <v>625305.44710662367</v>
      </c>
      <c r="G260" s="48">
        <f t="shared" si="16"/>
        <v>7629.8974990909028</v>
      </c>
      <c r="H260" s="48">
        <f t="shared" si="17"/>
        <v>2865.9832992386914</v>
      </c>
      <c r="I260" s="48">
        <f t="shared" si="18"/>
        <v>4763.9141998522118</v>
      </c>
      <c r="J260" s="163">
        <f t="shared" si="19"/>
        <v>620541.5329067714</v>
      </c>
    </row>
    <row r="261" spans="5:10" x14ac:dyDescent="0.3">
      <c r="E261" s="209">
        <v>259</v>
      </c>
      <c r="F261" s="44">
        <f t="shared" ref="F261:F324" si="20">J260</f>
        <v>620541.5329067714</v>
      </c>
      <c r="G261" s="48">
        <f t="shared" ref="G261:G324" si="21">$C$6</f>
        <v>7629.8974990909028</v>
      </c>
      <c r="H261" s="48">
        <f t="shared" ref="H261:H324" si="22">F261*$C$4/12</f>
        <v>2844.1486924893688</v>
      </c>
      <c r="I261" s="48">
        <f t="shared" ref="I261:I324" si="23">G261-H261</f>
        <v>4785.7488066015339</v>
      </c>
      <c r="J261" s="163">
        <f t="shared" ref="J261:J324" si="24">F261-I261</f>
        <v>615755.7841001699</v>
      </c>
    </row>
    <row r="262" spans="5:10" x14ac:dyDescent="0.3">
      <c r="E262" s="209">
        <v>260</v>
      </c>
      <c r="F262" s="44">
        <f t="shared" si="20"/>
        <v>615755.7841001699</v>
      </c>
      <c r="G262" s="48">
        <f t="shared" si="21"/>
        <v>7629.8974990909028</v>
      </c>
      <c r="H262" s="48">
        <f t="shared" si="22"/>
        <v>2822.2140104591122</v>
      </c>
      <c r="I262" s="48">
        <f t="shared" si="23"/>
        <v>4807.6834886317902</v>
      </c>
      <c r="J262" s="163">
        <f t="shared" si="24"/>
        <v>610948.10061153816</v>
      </c>
    </row>
    <row r="263" spans="5:10" x14ac:dyDescent="0.3">
      <c r="E263" s="209">
        <v>261</v>
      </c>
      <c r="F263" s="44">
        <f t="shared" si="20"/>
        <v>610948.10061153816</v>
      </c>
      <c r="G263" s="48">
        <f t="shared" si="21"/>
        <v>7629.8974990909028</v>
      </c>
      <c r="H263" s="48">
        <f t="shared" si="22"/>
        <v>2800.1787944695498</v>
      </c>
      <c r="I263" s="48">
        <f t="shared" si="23"/>
        <v>4829.718704621353</v>
      </c>
      <c r="J263" s="163">
        <f t="shared" si="24"/>
        <v>606118.38190691685</v>
      </c>
    </row>
    <row r="264" spans="5:10" x14ac:dyDescent="0.3">
      <c r="E264" s="209">
        <v>262</v>
      </c>
      <c r="F264" s="44">
        <f t="shared" si="20"/>
        <v>606118.38190691685</v>
      </c>
      <c r="G264" s="48">
        <f t="shared" si="21"/>
        <v>7629.8974990909028</v>
      </c>
      <c r="H264" s="48">
        <f t="shared" si="22"/>
        <v>2778.0425837400358</v>
      </c>
      <c r="I264" s="48">
        <f t="shared" si="23"/>
        <v>4851.8549153508666</v>
      </c>
      <c r="J264" s="163">
        <f t="shared" si="24"/>
        <v>601266.52699156594</v>
      </c>
    </row>
    <row r="265" spans="5:10" x14ac:dyDescent="0.3">
      <c r="E265" s="209">
        <v>263</v>
      </c>
      <c r="F265" s="44">
        <f t="shared" si="20"/>
        <v>601266.52699156594</v>
      </c>
      <c r="G265" s="48">
        <f t="shared" si="21"/>
        <v>7629.8974990909028</v>
      </c>
      <c r="H265" s="48">
        <f t="shared" si="22"/>
        <v>2755.8049153780107</v>
      </c>
      <c r="I265" s="48">
        <f t="shared" si="23"/>
        <v>4874.0925837128925</v>
      </c>
      <c r="J265" s="163">
        <f t="shared" si="24"/>
        <v>596392.43440785306</v>
      </c>
    </row>
    <row r="266" spans="5:10" x14ac:dyDescent="0.3">
      <c r="E266" s="209">
        <v>264</v>
      </c>
      <c r="F266" s="44">
        <f t="shared" si="20"/>
        <v>596392.43440785306</v>
      </c>
      <c r="G266" s="48">
        <f t="shared" si="21"/>
        <v>7629.8974990909028</v>
      </c>
      <c r="H266" s="48">
        <f t="shared" si="22"/>
        <v>2733.4653243693265</v>
      </c>
      <c r="I266" s="48">
        <f t="shared" si="23"/>
        <v>4896.4321747215763</v>
      </c>
      <c r="J266" s="163">
        <f t="shared" si="24"/>
        <v>591496.00223313144</v>
      </c>
    </row>
    <row r="267" spans="5:10" x14ac:dyDescent="0.3">
      <c r="E267" s="209">
        <v>265</v>
      </c>
      <c r="F267" s="44">
        <f t="shared" si="20"/>
        <v>591496.00223313144</v>
      </c>
      <c r="G267" s="48">
        <f t="shared" si="21"/>
        <v>7629.8974990909028</v>
      </c>
      <c r="H267" s="48">
        <f t="shared" si="22"/>
        <v>2711.0233435685191</v>
      </c>
      <c r="I267" s="48">
        <f t="shared" si="23"/>
        <v>4918.8741555223842</v>
      </c>
      <c r="J267" s="163">
        <f t="shared" si="24"/>
        <v>586577.128077609</v>
      </c>
    </row>
    <row r="268" spans="5:10" x14ac:dyDescent="0.3">
      <c r="E268" s="209">
        <v>266</v>
      </c>
      <c r="F268" s="44">
        <f t="shared" si="20"/>
        <v>586577.128077609</v>
      </c>
      <c r="G268" s="48">
        <f t="shared" si="21"/>
        <v>7629.8974990909028</v>
      </c>
      <c r="H268" s="48">
        <f t="shared" si="22"/>
        <v>2688.4785036890412</v>
      </c>
      <c r="I268" s="48">
        <f t="shared" si="23"/>
        <v>4941.418995401862</v>
      </c>
      <c r="J268" s="163">
        <f t="shared" si="24"/>
        <v>581635.70908220718</v>
      </c>
    </row>
    <row r="269" spans="5:10" x14ac:dyDescent="0.3">
      <c r="E269" s="209">
        <v>267</v>
      </c>
      <c r="F269" s="44">
        <f t="shared" si="20"/>
        <v>581635.70908220718</v>
      </c>
      <c r="G269" s="48">
        <f t="shared" si="21"/>
        <v>7629.8974990909028</v>
      </c>
      <c r="H269" s="48">
        <f t="shared" si="22"/>
        <v>2665.8303332934497</v>
      </c>
      <c r="I269" s="48">
        <f t="shared" si="23"/>
        <v>4964.0671657974526</v>
      </c>
      <c r="J269" s="163">
        <f t="shared" si="24"/>
        <v>576671.64191640972</v>
      </c>
    </row>
    <row r="270" spans="5:10" x14ac:dyDescent="0.3">
      <c r="E270" s="209">
        <v>268</v>
      </c>
      <c r="F270" s="44">
        <f t="shared" si="20"/>
        <v>576671.64191640972</v>
      </c>
      <c r="G270" s="48">
        <f t="shared" si="21"/>
        <v>7629.8974990909028</v>
      </c>
      <c r="H270" s="48">
        <f t="shared" si="22"/>
        <v>2643.0783587835444</v>
      </c>
      <c r="I270" s="48">
        <f t="shared" si="23"/>
        <v>4986.8191403073579</v>
      </c>
      <c r="J270" s="163">
        <f t="shared" si="24"/>
        <v>571684.82277610234</v>
      </c>
    </row>
    <row r="271" spans="5:10" x14ac:dyDescent="0.3">
      <c r="E271" s="209">
        <v>269</v>
      </c>
      <c r="F271" s="44">
        <f t="shared" si="20"/>
        <v>571684.82277610234</v>
      </c>
      <c r="G271" s="48">
        <f t="shared" si="21"/>
        <v>7629.8974990909028</v>
      </c>
      <c r="H271" s="48">
        <f t="shared" si="22"/>
        <v>2620.2221043904692</v>
      </c>
      <c r="I271" s="48">
        <f t="shared" si="23"/>
        <v>5009.6753947004336</v>
      </c>
      <c r="J271" s="163">
        <f t="shared" si="24"/>
        <v>566675.14738140185</v>
      </c>
    </row>
    <row r="272" spans="5:10" x14ac:dyDescent="0.3">
      <c r="E272" s="209">
        <v>270</v>
      </c>
      <c r="F272" s="44">
        <f t="shared" si="20"/>
        <v>566675.14738140185</v>
      </c>
      <c r="G272" s="48">
        <f t="shared" si="21"/>
        <v>7629.8974990909028</v>
      </c>
      <c r="H272" s="48">
        <f t="shared" si="22"/>
        <v>2597.2610921647588</v>
      </c>
      <c r="I272" s="48">
        <f t="shared" si="23"/>
        <v>5032.6364069261435</v>
      </c>
      <c r="J272" s="163">
        <f t="shared" si="24"/>
        <v>561642.51097447576</v>
      </c>
    </row>
    <row r="273" spans="5:10" x14ac:dyDescent="0.3">
      <c r="E273" s="209">
        <v>271</v>
      </c>
      <c r="F273" s="44">
        <f t="shared" si="20"/>
        <v>561642.51097447576</v>
      </c>
      <c r="G273" s="48">
        <f t="shared" si="21"/>
        <v>7629.8974990909028</v>
      </c>
      <c r="H273" s="48">
        <f t="shared" si="22"/>
        <v>2574.1948419663472</v>
      </c>
      <c r="I273" s="48">
        <f t="shared" si="23"/>
        <v>5055.7026571245551</v>
      </c>
      <c r="J273" s="163">
        <f t="shared" si="24"/>
        <v>556586.80831735115</v>
      </c>
    </row>
    <row r="274" spans="5:10" x14ac:dyDescent="0.3">
      <c r="E274" s="209">
        <v>272</v>
      </c>
      <c r="F274" s="44">
        <f t="shared" si="20"/>
        <v>556586.80831735115</v>
      </c>
      <c r="G274" s="48">
        <f t="shared" si="21"/>
        <v>7629.8974990909028</v>
      </c>
      <c r="H274" s="48">
        <f t="shared" si="22"/>
        <v>2551.022871454526</v>
      </c>
      <c r="I274" s="48">
        <f t="shared" si="23"/>
        <v>5078.8746276363763</v>
      </c>
      <c r="J274" s="163">
        <f t="shared" si="24"/>
        <v>551507.93368971476</v>
      </c>
    </row>
    <row r="275" spans="5:10" x14ac:dyDescent="0.3">
      <c r="E275" s="209">
        <v>273</v>
      </c>
      <c r="F275" s="44">
        <f t="shared" si="20"/>
        <v>551507.93368971476</v>
      </c>
      <c r="G275" s="48">
        <f t="shared" si="21"/>
        <v>7629.8974990909028</v>
      </c>
      <c r="H275" s="48">
        <f t="shared" si="22"/>
        <v>2527.7446960778593</v>
      </c>
      <c r="I275" s="48">
        <f t="shared" si="23"/>
        <v>5102.152803013043</v>
      </c>
      <c r="J275" s="163">
        <f t="shared" si="24"/>
        <v>546405.78088670177</v>
      </c>
    </row>
    <row r="276" spans="5:10" x14ac:dyDescent="0.3">
      <c r="E276" s="209">
        <v>274</v>
      </c>
      <c r="F276" s="44">
        <f t="shared" si="20"/>
        <v>546405.78088670177</v>
      </c>
      <c r="G276" s="48">
        <f t="shared" si="21"/>
        <v>7629.8974990909028</v>
      </c>
      <c r="H276" s="48">
        <f t="shared" si="22"/>
        <v>2504.3598290640498</v>
      </c>
      <c r="I276" s="48">
        <f t="shared" si="23"/>
        <v>5125.5376700268534</v>
      </c>
      <c r="J276" s="163">
        <f t="shared" si="24"/>
        <v>541280.24321667489</v>
      </c>
    </row>
    <row r="277" spans="5:10" x14ac:dyDescent="0.3">
      <c r="E277" s="209">
        <v>275</v>
      </c>
      <c r="F277" s="44">
        <f t="shared" si="20"/>
        <v>541280.24321667489</v>
      </c>
      <c r="G277" s="48">
        <f t="shared" si="21"/>
        <v>7629.8974990909028</v>
      </c>
      <c r="H277" s="48">
        <f t="shared" si="22"/>
        <v>2480.86778140976</v>
      </c>
      <c r="I277" s="48">
        <f t="shared" si="23"/>
        <v>5149.0297176811428</v>
      </c>
      <c r="J277" s="163">
        <f t="shared" si="24"/>
        <v>536131.21349899378</v>
      </c>
    </row>
    <row r="278" spans="5:10" x14ac:dyDescent="0.3">
      <c r="E278" s="209">
        <v>276</v>
      </c>
      <c r="F278" s="44">
        <f t="shared" si="20"/>
        <v>536131.21349899378</v>
      </c>
      <c r="G278" s="48">
        <f t="shared" si="21"/>
        <v>7629.8974990909028</v>
      </c>
      <c r="H278" s="48">
        <f t="shared" si="22"/>
        <v>2457.268061870388</v>
      </c>
      <c r="I278" s="48">
        <f t="shared" si="23"/>
        <v>5172.6294372205148</v>
      </c>
      <c r="J278" s="163">
        <f t="shared" si="24"/>
        <v>530958.58406177326</v>
      </c>
    </row>
    <row r="279" spans="5:10" x14ac:dyDescent="0.3">
      <c r="E279" s="209">
        <v>277</v>
      </c>
      <c r="F279" s="44">
        <f t="shared" si="20"/>
        <v>530958.58406177326</v>
      </c>
      <c r="G279" s="48">
        <f t="shared" si="21"/>
        <v>7629.8974990909028</v>
      </c>
      <c r="H279" s="48">
        <f t="shared" si="22"/>
        <v>2433.5601769497939</v>
      </c>
      <c r="I279" s="48">
        <f t="shared" si="23"/>
        <v>5196.3373221411093</v>
      </c>
      <c r="J279" s="163">
        <f t="shared" si="24"/>
        <v>525762.2467396321</v>
      </c>
    </row>
    <row r="280" spans="5:10" x14ac:dyDescent="0.3">
      <c r="E280" s="209">
        <v>278</v>
      </c>
      <c r="F280" s="44">
        <f t="shared" si="20"/>
        <v>525762.2467396321</v>
      </c>
      <c r="G280" s="48">
        <f t="shared" si="21"/>
        <v>7629.8974990909028</v>
      </c>
      <c r="H280" s="48">
        <f t="shared" si="22"/>
        <v>2409.7436308899805</v>
      </c>
      <c r="I280" s="48">
        <f t="shared" si="23"/>
        <v>5220.1538682009223</v>
      </c>
      <c r="J280" s="163">
        <f t="shared" si="24"/>
        <v>520542.0928714312</v>
      </c>
    </row>
    <row r="281" spans="5:10" x14ac:dyDescent="0.3">
      <c r="E281" s="209">
        <v>279</v>
      </c>
      <c r="F281" s="44">
        <f t="shared" si="20"/>
        <v>520542.0928714312</v>
      </c>
      <c r="G281" s="48">
        <f t="shared" si="21"/>
        <v>7629.8974990909028</v>
      </c>
      <c r="H281" s="48">
        <f t="shared" si="22"/>
        <v>2385.8179256607264</v>
      </c>
      <c r="I281" s="48">
        <f t="shared" si="23"/>
        <v>5244.0795734301764</v>
      </c>
      <c r="J281" s="163">
        <f t="shared" si="24"/>
        <v>515298.01329800102</v>
      </c>
    </row>
    <row r="282" spans="5:10" x14ac:dyDescent="0.3">
      <c r="E282" s="209">
        <v>280</v>
      </c>
      <c r="F282" s="44">
        <f t="shared" si="20"/>
        <v>515298.01329800102</v>
      </c>
      <c r="G282" s="48">
        <f t="shared" si="21"/>
        <v>7629.8974990909028</v>
      </c>
      <c r="H282" s="48">
        <f t="shared" si="22"/>
        <v>2361.7825609491715</v>
      </c>
      <c r="I282" s="48">
        <f t="shared" si="23"/>
        <v>5268.1149381417308</v>
      </c>
      <c r="J282" s="163">
        <f t="shared" si="24"/>
        <v>510029.8983598593</v>
      </c>
    </row>
    <row r="283" spans="5:10" x14ac:dyDescent="0.3">
      <c r="E283" s="209">
        <v>281</v>
      </c>
      <c r="F283" s="44">
        <f t="shared" si="20"/>
        <v>510029.8983598593</v>
      </c>
      <c r="G283" s="48">
        <f t="shared" si="21"/>
        <v>7629.8974990909028</v>
      </c>
      <c r="H283" s="48">
        <f t="shared" si="22"/>
        <v>2337.6370341493553</v>
      </c>
      <c r="I283" s="48">
        <f t="shared" si="23"/>
        <v>5292.260464941548</v>
      </c>
      <c r="J283" s="163">
        <f t="shared" si="24"/>
        <v>504737.63789491775</v>
      </c>
    </row>
    <row r="284" spans="5:10" x14ac:dyDescent="0.3">
      <c r="E284" s="209">
        <v>282</v>
      </c>
      <c r="F284" s="44">
        <f t="shared" si="20"/>
        <v>504737.63789491775</v>
      </c>
      <c r="G284" s="48">
        <f t="shared" si="21"/>
        <v>7629.8974990909028</v>
      </c>
      <c r="H284" s="48">
        <f t="shared" si="22"/>
        <v>2313.3808403517064</v>
      </c>
      <c r="I284" s="48">
        <f t="shared" si="23"/>
        <v>5316.5166587391959</v>
      </c>
      <c r="J284" s="163">
        <f t="shared" si="24"/>
        <v>499421.12123617856</v>
      </c>
    </row>
    <row r="285" spans="5:10" x14ac:dyDescent="0.3">
      <c r="E285" s="209">
        <v>283</v>
      </c>
      <c r="F285" s="44">
        <f t="shared" si="20"/>
        <v>499421.12123617856</v>
      </c>
      <c r="G285" s="48">
        <f t="shared" si="21"/>
        <v>7629.8974990909028</v>
      </c>
      <c r="H285" s="48">
        <f t="shared" si="22"/>
        <v>2289.013472332485</v>
      </c>
      <c r="I285" s="48">
        <f t="shared" si="23"/>
        <v>5340.8840267584183</v>
      </c>
      <c r="J285" s="163">
        <f t="shared" si="24"/>
        <v>494080.23720942013</v>
      </c>
    </row>
    <row r="286" spans="5:10" x14ac:dyDescent="0.3">
      <c r="E286" s="209">
        <v>284</v>
      </c>
      <c r="F286" s="44">
        <f t="shared" si="20"/>
        <v>494080.23720942013</v>
      </c>
      <c r="G286" s="48">
        <f t="shared" si="21"/>
        <v>7629.8974990909028</v>
      </c>
      <c r="H286" s="48">
        <f t="shared" si="22"/>
        <v>2264.5344205431757</v>
      </c>
      <c r="I286" s="48">
        <f t="shared" si="23"/>
        <v>5365.3630785477271</v>
      </c>
      <c r="J286" s="163">
        <f t="shared" si="24"/>
        <v>488714.87413087243</v>
      </c>
    </row>
    <row r="287" spans="5:10" x14ac:dyDescent="0.3">
      <c r="E287" s="209">
        <v>285</v>
      </c>
      <c r="F287" s="44">
        <f t="shared" si="20"/>
        <v>488714.87413087243</v>
      </c>
      <c r="G287" s="48">
        <f t="shared" si="21"/>
        <v>7629.8974990909028</v>
      </c>
      <c r="H287" s="48">
        <f t="shared" si="22"/>
        <v>2239.9431730998317</v>
      </c>
      <c r="I287" s="48">
        <f t="shared" si="23"/>
        <v>5389.9543259910715</v>
      </c>
      <c r="J287" s="163">
        <f t="shared" si="24"/>
        <v>483324.91980488133</v>
      </c>
    </row>
    <row r="288" spans="5:10" x14ac:dyDescent="0.3">
      <c r="E288" s="209">
        <v>286</v>
      </c>
      <c r="F288" s="44">
        <f t="shared" si="20"/>
        <v>483324.91980488133</v>
      </c>
      <c r="G288" s="48">
        <f t="shared" si="21"/>
        <v>7629.8974990909028</v>
      </c>
      <c r="H288" s="48">
        <f t="shared" si="22"/>
        <v>2215.239215772373</v>
      </c>
      <c r="I288" s="48">
        <f t="shared" si="23"/>
        <v>5414.6582833185294</v>
      </c>
      <c r="J288" s="163">
        <f t="shared" si="24"/>
        <v>477910.26152156282</v>
      </c>
    </row>
    <row r="289" spans="5:10" x14ac:dyDescent="0.3">
      <c r="E289" s="209">
        <v>287</v>
      </c>
      <c r="F289" s="44">
        <f t="shared" si="20"/>
        <v>477910.26152156282</v>
      </c>
      <c r="G289" s="48">
        <f t="shared" si="21"/>
        <v>7629.8974990909028</v>
      </c>
      <c r="H289" s="48">
        <f t="shared" si="22"/>
        <v>2190.4220319738297</v>
      </c>
      <c r="I289" s="48">
        <f t="shared" si="23"/>
        <v>5439.4754671170731</v>
      </c>
      <c r="J289" s="163">
        <f t="shared" si="24"/>
        <v>472470.78605444572</v>
      </c>
    </row>
    <row r="290" spans="5:10" x14ac:dyDescent="0.3">
      <c r="E290" s="209">
        <v>288</v>
      </c>
      <c r="F290" s="44">
        <f t="shared" si="20"/>
        <v>472470.78605444572</v>
      </c>
      <c r="G290" s="48">
        <f t="shared" si="21"/>
        <v>7629.8974990909028</v>
      </c>
      <c r="H290" s="48">
        <f t="shared" si="22"/>
        <v>2165.4911027495432</v>
      </c>
      <c r="I290" s="48">
        <f t="shared" si="23"/>
        <v>5464.4063963413591</v>
      </c>
      <c r="J290" s="163">
        <f t="shared" si="24"/>
        <v>467006.37965810439</v>
      </c>
    </row>
    <row r="291" spans="5:10" x14ac:dyDescent="0.3">
      <c r="E291" s="209">
        <v>289</v>
      </c>
      <c r="F291" s="44">
        <f t="shared" si="20"/>
        <v>467006.37965810439</v>
      </c>
      <c r="G291" s="48">
        <f t="shared" si="21"/>
        <v>7629.8974990909028</v>
      </c>
      <c r="H291" s="48">
        <f t="shared" si="22"/>
        <v>2140.4459067663115</v>
      </c>
      <c r="I291" s="48">
        <f t="shared" si="23"/>
        <v>5489.4515923245908</v>
      </c>
      <c r="J291" s="163">
        <f t="shared" si="24"/>
        <v>461516.92806577979</v>
      </c>
    </row>
    <row r="292" spans="5:10" x14ac:dyDescent="0.3">
      <c r="E292" s="209">
        <v>290</v>
      </c>
      <c r="F292" s="44">
        <f t="shared" si="20"/>
        <v>461516.92806577979</v>
      </c>
      <c r="G292" s="48">
        <f t="shared" si="21"/>
        <v>7629.8974990909028</v>
      </c>
      <c r="H292" s="48">
        <f t="shared" si="22"/>
        <v>2115.2859203014909</v>
      </c>
      <c r="I292" s="48">
        <f t="shared" si="23"/>
        <v>5514.6115787894123</v>
      </c>
      <c r="J292" s="163">
        <f t="shared" si="24"/>
        <v>456002.31648699037</v>
      </c>
    </row>
    <row r="293" spans="5:10" x14ac:dyDescent="0.3">
      <c r="E293" s="209">
        <v>291</v>
      </c>
      <c r="F293" s="44">
        <f t="shared" si="20"/>
        <v>456002.31648699037</v>
      </c>
      <c r="G293" s="48">
        <f t="shared" si="21"/>
        <v>7629.8974990909028</v>
      </c>
      <c r="H293" s="48">
        <f t="shared" si="22"/>
        <v>2090.0106172320393</v>
      </c>
      <c r="I293" s="48">
        <f t="shared" si="23"/>
        <v>5539.8868818588635</v>
      </c>
      <c r="J293" s="163">
        <f t="shared" si="24"/>
        <v>450462.4296051315</v>
      </c>
    </row>
    <row r="294" spans="5:10" x14ac:dyDescent="0.3">
      <c r="E294" s="209">
        <v>292</v>
      </c>
      <c r="F294" s="44">
        <f t="shared" si="20"/>
        <v>450462.4296051315</v>
      </c>
      <c r="G294" s="48">
        <f t="shared" si="21"/>
        <v>7629.8974990909028</v>
      </c>
      <c r="H294" s="48">
        <f t="shared" si="22"/>
        <v>2064.6194690235193</v>
      </c>
      <c r="I294" s="48">
        <f t="shared" si="23"/>
        <v>5565.278030067384</v>
      </c>
      <c r="J294" s="163">
        <f t="shared" si="24"/>
        <v>444897.15157506411</v>
      </c>
    </row>
    <row r="295" spans="5:10" x14ac:dyDescent="0.3">
      <c r="E295" s="209">
        <v>293</v>
      </c>
      <c r="F295" s="44">
        <f t="shared" si="20"/>
        <v>444897.15157506411</v>
      </c>
      <c r="G295" s="48">
        <f t="shared" si="21"/>
        <v>7629.8974990909028</v>
      </c>
      <c r="H295" s="48">
        <f t="shared" si="22"/>
        <v>2039.111944719044</v>
      </c>
      <c r="I295" s="48">
        <f t="shared" si="23"/>
        <v>5590.7855543718588</v>
      </c>
      <c r="J295" s="163">
        <f t="shared" si="24"/>
        <v>439306.36602069228</v>
      </c>
    </row>
    <row r="296" spans="5:10" x14ac:dyDescent="0.3">
      <c r="E296" s="209">
        <v>294</v>
      </c>
      <c r="F296" s="44">
        <f t="shared" si="20"/>
        <v>439306.36602069228</v>
      </c>
      <c r="G296" s="48">
        <f t="shared" si="21"/>
        <v>7629.8974990909028</v>
      </c>
      <c r="H296" s="48">
        <f t="shared" si="22"/>
        <v>2013.4875109281729</v>
      </c>
      <c r="I296" s="48">
        <f t="shared" si="23"/>
        <v>5616.4099881627299</v>
      </c>
      <c r="J296" s="163">
        <f t="shared" si="24"/>
        <v>433689.95603252953</v>
      </c>
    </row>
    <row r="297" spans="5:10" x14ac:dyDescent="0.3">
      <c r="E297" s="209">
        <v>295</v>
      </c>
      <c r="F297" s="44">
        <f t="shared" si="20"/>
        <v>433689.95603252953</v>
      </c>
      <c r="G297" s="48">
        <f t="shared" si="21"/>
        <v>7629.8974990909028</v>
      </c>
      <c r="H297" s="48">
        <f t="shared" si="22"/>
        <v>1987.7456318157604</v>
      </c>
      <c r="I297" s="48">
        <f t="shared" si="23"/>
        <v>5642.1518672751426</v>
      </c>
      <c r="J297" s="163">
        <f t="shared" si="24"/>
        <v>428047.80416525441</v>
      </c>
    </row>
    <row r="298" spans="5:10" x14ac:dyDescent="0.3">
      <c r="E298" s="209">
        <v>296</v>
      </c>
      <c r="F298" s="44">
        <f t="shared" si="20"/>
        <v>428047.80416525441</v>
      </c>
      <c r="G298" s="48">
        <f t="shared" si="21"/>
        <v>7629.8974990909028</v>
      </c>
      <c r="H298" s="48">
        <f t="shared" si="22"/>
        <v>1961.8857690907496</v>
      </c>
      <c r="I298" s="48">
        <f t="shared" si="23"/>
        <v>5668.011730000153</v>
      </c>
      <c r="J298" s="163">
        <f t="shared" si="24"/>
        <v>422379.79243525426</v>
      </c>
    </row>
    <row r="299" spans="5:10" x14ac:dyDescent="0.3">
      <c r="E299" s="209">
        <v>297</v>
      </c>
      <c r="F299" s="44">
        <f t="shared" si="20"/>
        <v>422379.79243525426</v>
      </c>
      <c r="G299" s="48">
        <f t="shared" si="21"/>
        <v>7629.8974990909028</v>
      </c>
      <c r="H299" s="48">
        <f t="shared" si="22"/>
        <v>1935.9073819949153</v>
      </c>
      <c r="I299" s="48">
        <f t="shared" si="23"/>
        <v>5693.9901170959874</v>
      </c>
      <c r="J299" s="163">
        <f t="shared" si="24"/>
        <v>416685.80231815827</v>
      </c>
    </row>
    <row r="300" spans="5:10" x14ac:dyDescent="0.3">
      <c r="E300" s="209">
        <v>298</v>
      </c>
      <c r="F300" s="44">
        <f t="shared" si="20"/>
        <v>416685.80231815827</v>
      </c>
      <c r="G300" s="48">
        <f t="shared" si="21"/>
        <v>7629.8974990909028</v>
      </c>
      <c r="H300" s="48">
        <f t="shared" si="22"/>
        <v>1909.8099272915588</v>
      </c>
      <c r="I300" s="48">
        <f t="shared" si="23"/>
        <v>5720.087571799344</v>
      </c>
      <c r="J300" s="163">
        <f t="shared" si="24"/>
        <v>410965.71474635892</v>
      </c>
    </row>
    <row r="301" spans="5:10" x14ac:dyDescent="0.3">
      <c r="E301" s="209">
        <v>299</v>
      </c>
      <c r="F301" s="44">
        <f t="shared" si="20"/>
        <v>410965.71474635892</v>
      </c>
      <c r="G301" s="48">
        <f t="shared" si="21"/>
        <v>7629.8974990909028</v>
      </c>
      <c r="H301" s="48">
        <f t="shared" si="22"/>
        <v>1883.592859254145</v>
      </c>
      <c r="I301" s="48">
        <f t="shared" si="23"/>
        <v>5746.3046398367578</v>
      </c>
      <c r="J301" s="163">
        <f t="shared" si="24"/>
        <v>405219.41010652215</v>
      </c>
    </row>
    <row r="302" spans="5:10" x14ac:dyDescent="0.3">
      <c r="E302" s="209">
        <v>300</v>
      </c>
      <c r="F302" s="44">
        <f t="shared" si="20"/>
        <v>405219.41010652215</v>
      </c>
      <c r="G302" s="48">
        <f t="shared" si="21"/>
        <v>7629.8974990909028</v>
      </c>
      <c r="H302" s="48">
        <f t="shared" si="22"/>
        <v>1857.255629654893</v>
      </c>
      <c r="I302" s="48">
        <f t="shared" si="23"/>
        <v>5772.64186943601</v>
      </c>
      <c r="J302" s="163">
        <f t="shared" si="24"/>
        <v>399446.76823708613</v>
      </c>
    </row>
    <row r="303" spans="5:10" x14ac:dyDescent="0.3">
      <c r="E303" s="209">
        <v>301</v>
      </c>
      <c r="F303" s="44">
        <f t="shared" si="20"/>
        <v>399446.76823708613</v>
      </c>
      <c r="G303" s="48">
        <f t="shared" si="21"/>
        <v>7629.8974990909028</v>
      </c>
      <c r="H303" s="48">
        <f t="shared" si="22"/>
        <v>1830.7976877533113</v>
      </c>
      <c r="I303" s="48">
        <f t="shared" si="23"/>
        <v>5799.0998113375917</v>
      </c>
      <c r="J303" s="163">
        <f t="shared" si="24"/>
        <v>393647.66842574853</v>
      </c>
    </row>
    <row r="304" spans="5:10" x14ac:dyDescent="0.3">
      <c r="E304" s="209">
        <v>302</v>
      </c>
      <c r="F304" s="44">
        <f t="shared" si="20"/>
        <v>393647.66842574853</v>
      </c>
      <c r="G304" s="48">
        <f t="shared" si="21"/>
        <v>7629.8974990909028</v>
      </c>
      <c r="H304" s="48">
        <f t="shared" si="22"/>
        <v>1804.2184802846807</v>
      </c>
      <c r="I304" s="48">
        <f t="shared" si="23"/>
        <v>5825.6790188062223</v>
      </c>
      <c r="J304" s="163">
        <f t="shared" si="24"/>
        <v>387821.98940694233</v>
      </c>
    </row>
    <row r="305" spans="5:10" x14ac:dyDescent="0.3">
      <c r="E305" s="209">
        <v>303</v>
      </c>
      <c r="F305" s="44">
        <f t="shared" si="20"/>
        <v>387821.98940694233</v>
      </c>
      <c r="G305" s="48">
        <f t="shared" si="21"/>
        <v>7629.8974990909028</v>
      </c>
      <c r="H305" s="48">
        <f t="shared" si="22"/>
        <v>1777.5174514484859</v>
      </c>
      <c r="I305" s="48">
        <f t="shared" si="23"/>
        <v>5852.3800476424167</v>
      </c>
      <c r="J305" s="163">
        <f t="shared" si="24"/>
        <v>381969.60935929994</v>
      </c>
    </row>
    <row r="306" spans="5:10" x14ac:dyDescent="0.3">
      <c r="E306" s="209">
        <v>304</v>
      </c>
      <c r="F306" s="44">
        <f t="shared" si="20"/>
        <v>381969.60935929994</v>
      </c>
      <c r="G306" s="48">
        <f t="shared" si="21"/>
        <v>7629.8974990909028</v>
      </c>
      <c r="H306" s="48">
        <f t="shared" si="22"/>
        <v>1750.6940428967912</v>
      </c>
      <c r="I306" s="48">
        <f t="shared" si="23"/>
        <v>5879.2034561941118</v>
      </c>
      <c r="J306" s="163">
        <f t="shared" si="24"/>
        <v>376090.4059031058</v>
      </c>
    </row>
    <row r="307" spans="5:10" x14ac:dyDescent="0.3">
      <c r="E307" s="209">
        <v>305</v>
      </c>
      <c r="F307" s="44">
        <f t="shared" si="20"/>
        <v>376090.4059031058</v>
      </c>
      <c r="G307" s="48">
        <f t="shared" si="21"/>
        <v>7629.8974990909028</v>
      </c>
      <c r="H307" s="48">
        <f t="shared" si="22"/>
        <v>1723.7476937225683</v>
      </c>
      <c r="I307" s="48">
        <f t="shared" si="23"/>
        <v>5906.1498053683345</v>
      </c>
      <c r="J307" s="163">
        <f t="shared" si="24"/>
        <v>370184.25609773747</v>
      </c>
    </row>
    <row r="308" spans="5:10" x14ac:dyDescent="0.3">
      <c r="E308" s="209">
        <v>306</v>
      </c>
      <c r="F308" s="44">
        <f t="shared" si="20"/>
        <v>370184.25609773747</v>
      </c>
      <c r="G308" s="48">
        <f t="shared" si="21"/>
        <v>7629.8974990909028</v>
      </c>
      <c r="H308" s="48">
        <f t="shared" si="22"/>
        <v>1696.6778404479635</v>
      </c>
      <c r="I308" s="48">
        <f t="shared" si="23"/>
        <v>5933.2196586429391</v>
      </c>
      <c r="J308" s="163">
        <f t="shared" si="24"/>
        <v>364251.03643909452</v>
      </c>
    </row>
    <row r="309" spans="5:10" x14ac:dyDescent="0.3">
      <c r="E309" s="209">
        <v>307</v>
      </c>
      <c r="F309" s="44">
        <f t="shared" si="20"/>
        <v>364251.03643909452</v>
      </c>
      <c r="G309" s="48">
        <f t="shared" si="21"/>
        <v>7629.8974990909028</v>
      </c>
      <c r="H309" s="48">
        <f t="shared" si="22"/>
        <v>1669.4839170125167</v>
      </c>
      <c r="I309" s="48">
        <f t="shared" si="23"/>
        <v>5960.4135820783858</v>
      </c>
      <c r="J309" s="163">
        <f t="shared" si="24"/>
        <v>358290.6228570161</v>
      </c>
    </row>
    <row r="310" spans="5:10" x14ac:dyDescent="0.3">
      <c r="E310" s="209">
        <v>308</v>
      </c>
      <c r="F310" s="44">
        <f t="shared" si="20"/>
        <v>358290.6228570161</v>
      </c>
      <c r="G310" s="48">
        <f t="shared" si="21"/>
        <v>7629.8974990909028</v>
      </c>
      <c r="H310" s="48">
        <f t="shared" si="22"/>
        <v>1642.1653547613239</v>
      </c>
      <c r="I310" s="48">
        <f t="shared" si="23"/>
        <v>5987.7321443295787</v>
      </c>
      <c r="J310" s="163">
        <f t="shared" si="24"/>
        <v>352302.89071268652</v>
      </c>
    </row>
    <row r="311" spans="5:10" x14ac:dyDescent="0.3">
      <c r="E311" s="209">
        <v>309</v>
      </c>
      <c r="F311" s="44">
        <f t="shared" si="20"/>
        <v>352302.89071268652</v>
      </c>
      <c r="G311" s="48">
        <f t="shared" si="21"/>
        <v>7629.8974990909028</v>
      </c>
      <c r="H311" s="48">
        <f t="shared" si="22"/>
        <v>1614.7215824331468</v>
      </c>
      <c r="I311" s="48">
        <f t="shared" si="23"/>
        <v>6015.1759166577558</v>
      </c>
      <c r="J311" s="163">
        <f t="shared" si="24"/>
        <v>346287.71479602874</v>
      </c>
    </row>
    <row r="312" spans="5:10" x14ac:dyDescent="0.3">
      <c r="E312" s="209">
        <v>310</v>
      </c>
      <c r="F312" s="44">
        <f t="shared" si="20"/>
        <v>346287.71479602874</v>
      </c>
      <c r="G312" s="48">
        <f t="shared" si="21"/>
        <v>7629.8974990909028</v>
      </c>
      <c r="H312" s="48">
        <f t="shared" si="22"/>
        <v>1587.152026148465</v>
      </c>
      <c r="I312" s="48">
        <f t="shared" si="23"/>
        <v>6042.745472942438</v>
      </c>
      <c r="J312" s="163">
        <f t="shared" si="24"/>
        <v>340244.96932308632</v>
      </c>
    </row>
    <row r="313" spans="5:10" x14ac:dyDescent="0.3">
      <c r="E313" s="209">
        <v>311</v>
      </c>
      <c r="F313" s="44">
        <f t="shared" si="20"/>
        <v>340244.96932308632</v>
      </c>
      <c r="G313" s="48">
        <f t="shared" si="21"/>
        <v>7629.8974990909028</v>
      </c>
      <c r="H313" s="48">
        <f t="shared" si="22"/>
        <v>1559.4561093974789</v>
      </c>
      <c r="I313" s="48">
        <f t="shared" si="23"/>
        <v>6070.4413896934238</v>
      </c>
      <c r="J313" s="163">
        <f t="shared" si="24"/>
        <v>334174.52793339291</v>
      </c>
    </row>
    <row r="314" spans="5:10" x14ac:dyDescent="0.3">
      <c r="E314" s="209">
        <v>312</v>
      </c>
      <c r="F314" s="44">
        <f t="shared" si="20"/>
        <v>334174.52793339291</v>
      </c>
      <c r="G314" s="48">
        <f t="shared" si="21"/>
        <v>7629.8974990909028</v>
      </c>
      <c r="H314" s="48">
        <f t="shared" si="22"/>
        <v>1531.6332530280508</v>
      </c>
      <c r="I314" s="48">
        <f t="shared" si="23"/>
        <v>6098.2642460628522</v>
      </c>
      <c r="J314" s="163">
        <f t="shared" si="24"/>
        <v>328076.26368733007</v>
      </c>
    </row>
    <row r="315" spans="5:10" x14ac:dyDescent="0.3">
      <c r="E315" s="209">
        <v>313</v>
      </c>
      <c r="F315" s="44">
        <f t="shared" si="20"/>
        <v>328076.26368733007</v>
      </c>
      <c r="G315" s="48">
        <f t="shared" si="21"/>
        <v>7629.8974990909028</v>
      </c>
      <c r="H315" s="48">
        <f t="shared" si="22"/>
        <v>1503.6828752335962</v>
      </c>
      <c r="I315" s="48">
        <f t="shared" si="23"/>
        <v>6126.2146238573068</v>
      </c>
      <c r="J315" s="163">
        <f t="shared" si="24"/>
        <v>321950.04906347278</v>
      </c>
    </row>
    <row r="316" spans="5:10" x14ac:dyDescent="0.3">
      <c r="E316" s="209">
        <v>314</v>
      </c>
      <c r="F316" s="44">
        <f t="shared" si="20"/>
        <v>321950.04906347278</v>
      </c>
      <c r="G316" s="48">
        <f t="shared" si="21"/>
        <v>7629.8974990909028</v>
      </c>
      <c r="H316" s="48">
        <f t="shared" si="22"/>
        <v>1475.604391540917</v>
      </c>
      <c r="I316" s="48">
        <f t="shared" si="23"/>
        <v>6154.2931075499855</v>
      </c>
      <c r="J316" s="163">
        <f t="shared" si="24"/>
        <v>315795.75595592277</v>
      </c>
    </row>
    <row r="317" spans="5:10" x14ac:dyDescent="0.3">
      <c r="E317" s="209">
        <v>315</v>
      </c>
      <c r="F317" s="44">
        <f t="shared" si="20"/>
        <v>315795.75595592277</v>
      </c>
      <c r="G317" s="48">
        <f t="shared" si="21"/>
        <v>7629.8974990909028</v>
      </c>
      <c r="H317" s="48">
        <f t="shared" si="22"/>
        <v>1447.3972147979794</v>
      </c>
      <c r="I317" s="48">
        <f t="shared" si="23"/>
        <v>6182.5002842929234</v>
      </c>
      <c r="J317" s="163">
        <f t="shared" si="24"/>
        <v>309613.25567162986</v>
      </c>
    </row>
    <row r="318" spans="5:10" x14ac:dyDescent="0.3">
      <c r="E318" s="209">
        <v>316</v>
      </c>
      <c r="F318" s="44">
        <f t="shared" si="20"/>
        <v>309613.25567162986</v>
      </c>
      <c r="G318" s="48">
        <f t="shared" si="21"/>
        <v>7629.8974990909028</v>
      </c>
      <c r="H318" s="48">
        <f t="shared" si="22"/>
        <v>1419.0607551616367</v>
      </c>
      <c r="I318" s="48">
        <f t="shared" si="23"/>
        <v>6210.836743929266</v>
      </c>
      <c r="J318" s="163">
        <f t="shared" si="24"/>
        <v>303402.41892770061</v>
      </c>
    </row>
    <row r="319" spans="5:10" x14ac:dyDescent="0.3">
      <c r="E319" s="209">
        <v>317</v>
      </c>
      <c r="F319" s="44">
        <f t="shared" si="20"/>
        <v>303402.41892770061</v>
      </c>
      <c r="G319" s="48">
        <f t="shared" si="21"/>
        <v>7629.8974990909028</v>
      </c>
      <c r="H319" s="48">
        <f t="shared" si="22"/>
        <v>1390.5944200852946</v>
      </c>
      <c r="I319" s="48">
        <f t="shared" si="23"/>
        <v>6239.3030790056082</v>
      </c>
      <c r="J319" s="163">
        <f t="shared" si="24"/>
        <v>297163.11584869499</v>
      </c>
    </row>
    <row r="320" spans="5:10" x14ac:dyDescent="0.3">
      <c r="E320" s="209">
        <v>318</v>
      </c>
      <c r="F320" s="44">
        <f t="shared" si="20"/>
        <v>297163.11584869499</v>
      </c>
      <c r="G320" s="48">
        <f t="shared" si="21"/>
        <v>7629.8974990909028</v>
      </c>
      <c r="H320" s="48">
        <f t="shared" si="22"/>
        <v>1361.9976143065187</v>
      </c>
      <c r="I320" s="48">
        <f t="shared" si="23"/>
        <v>6267.8998847843841</v>
      </c>
      <c r="J320" s="163">
        <f t="shared" si="24"/>
        <v>290895.21596391062</v>
      </c>
    </row>
    <row r="321" spans="5:10" x14ac:dyDescent="0.3">
      <c r="E321" s="209">
        <v>319</v>
      </c>
      <c r="F321" s="44">
        <f t="shared" si="20"/>
        <v>290895.21596391062</v>
      </c>
      <c r="G321" s="48">
        <f t="shared" si="21"/>
        <v>7629.8974990909028</v>
      </c>
      <c r="H321" s="48">
        <f t="shared" si="22"/>
        <v>1333.2697398345904</v>
      </c>
      <c r="I321" s="48">
        <f t="shared" si="23"/>
        <v>6296.6277592563129</v>
      </c>
      <c r="J321" s="163">
        <f t="shared" si="24"/>
        <v>284598.58820465428</v>
      </c>
    </row>
    <row r="322" spans="5:10" x14ac:dyDescent="0.3">
      <c r="E322" s="209">
        <v>320</v>
      </c>
      <c r="F322" s="44">
        <f t="shared" si="20"/>
        <v>284598.58820465428</v>
      </c>
      <c r="G322" s="48">
        <f t="shared" si="21"/>
        <v>7629.8974990909028</v>
      </c>
      <c r="H322" s="48">
        <f t="shared" si="22"/>
        <v>1304.4101959379989</v>
      </c>
      <c r="I322" s="48">
        <f t="shared" si="23"/>
        <v>6325.4873031529041</v>
      </c>
      <c r="J322" s="163">
        <f t="shared" si="24"/>
        <v>278273.10090150137</v>
      </c>
    </row>
    <row r="323" spans="5:10" x14ac:dyDescent="0.3">
      <c r="E323" s="209">
        <v>321</v>
      </c>
      <c r="F323" s="44">
        <f t="shared" si="20"/>
        <v>278273.10090150137</v>
      </c>
      <c r="G323" s="48">
        <f t="shared" si="21"/>
        <v>7629.8974990909028</v>
      </c>
      <c r="H323" s="48">
        <f t="shared" si="22"/>
        <v>1275.4183791318812</v>
      </c>
      <c r="I323" s="48">
        <f t="shared" si="23"/>
        <v>6354.4791199590218</v>
      </c>
      <c r="J323" s="163">
        <f t="shared" si="24"/>
        <v>271918.62178154237</v>
      </c>
    </row>
    <row r="324" spans="5:10" x14ac:dyDescent="0.3">
      <c r="E324" s="209">
        <v>322</v>
      </c>
      <c r="F324" s="44">
        <f t="shared" si="20"/>
        <v>271918.62178154237</v>
      </c>
      <c r="G324" s="48">
        <f t="shared" si="21"/>
        <v>7629.8974990909028</v>
      </c>
      <c r="H324" s="48">
        <f t="shared" si="22"/>
        <v>1246.2936831654026</v>
      </c>
      <c r="I324" s="48">
        <f t="shared" si="23"/>
        <v>6383.6038159255004</v>
      </c>
      <c r="J324" s="163">
        <f t="shared" si="24"/>
        <v>265535.01796561689</v>
      </c>
    </row>
    <row r="325" spans="5:10" x14ac:dyDescent="0.3">
      <c r="E325" s="209">
        <v>323</v>
      </c>
      <c r="F325" s="44">
        <f t="shared" ref="F325:F362" si="25">J324</f>
        <v>265535.01796561689</v>
      </c>
      <c r="G325" s="48">
        <f t="shared" ref="G325:G362" si="26">$C$6</f>
        <v>7629.8974990909028</v>
      </c>
      <c r="H325" s="48">
        <f t="shared" ref="H325:H362" si="27">F325*$C$4/12</f>
        <v>1217.0354990090775</v>
      </c>
      <c r="I325" s="48">
        <f t="shared" ref="I325:I362" si="28">G325-H325</f>
        <v>6412.8620000818255</v>
      </c>
      <c r="J325" s="163">
        <f t="shared" ref="J325:J362" si="29">F325-I325</f>
        <v>259122.15596553506</v>
      </c>
    </row>
    <row r="326" spans="5:10" x14ac:dyDescent="0.3">
      <c r="E326" s="209">
        <v>324</v>
      </c>
      <c r="F326" s="44">
        <f t="shared" si="25"/>
        <v>259122.15596553506</v>
      </c>
      <c r="G326" s="48">
        <f t="shared" si="26"/>
        <v>7629.8974990909028</v>
      </c>
      <c r="H326" s="48">
        <f t="shared" si="27"/>
        <v>1187.6432148420356</v>
      </c>
      <c r="I326" s="48">
        <f t="shared" si="28"/>
        <v>6442.2542842488674</v>
      </c>
      <c r="J326" s="163">
        <f t="shared" si="29"/>
        <v>252679.9016812862</v>
      </c>
    </row>
    <row r="327" spans="5:10" x14ac:dyDescent="0.3">
      <c r="E327" s="209">
        <v>325</v>
      </c>
      <c r="F327" s="44">
        <f t="shared" si="25"/>
        <v>252679.9016812862</v>
      </c>
      <c r="G327" s="48">
        <f t="shared" si="26"/>
        <v>7629.8974990909028</v>
      </c>
      <c r="H327" s="48">
        <f t="shared" si="27"/>
        <v>1158.1162160392284</v>
      </c>
      <c r="I327" s="48">
        <f t="shared" si="28"/>
        <v>6471.7812830516741</v>
      </c>
      <c r="J327" s="163">
        <f t="shared" si="29"/>
        <v>246208.12039823452</v>
      </c>
    </row>
    <row r="328" spans="5:10" x14ac:dyDescent="0.3">
      <c r="E328" s="209">
        <v>326</v>
      </c>
      <c r="F328" s="44">
        <f t="shared" si="25"/>
        <v>246208.12039823452</v>
      </c>
      <c r="G328" s="48">
        <f t="shared" si="26"/>
        <v>7629.8974990909028</v>
      </c>
      <c r="H328" s="48">
        <f t="shared" si="27"/>
        <v>1128.4538851585748</v>
      </c>
      <c r="I328" s="48">
        <f t="shared" si="28"/>
        <v>6501.4436139323279</v>
      </c>
      <c r="J328" s="163">
        <f t="shared" si="29"/>
        <v>239706.6767843022</v>
      </c>
    </row>
    <row r="329" spans="5:10" x14ac:dyDescent="0.3">
      <c r="E329" s="209">
        <v>327</v>
      </c>
      <c r="F329" s="44">
        <f t="shared" si="25"/>
        <v>239706.6767843022</v>
      </c>
      <c r="G329" s="48">
        <f t="shared" si="26"/>
        <v>7629.8974990909028</v>
      </c>
      <c r="H329" s="48">
        <f t="shared" si="27"/>
        <v>1098.6556019280517</v>
      </c>
      <c r="I329" s="48">
        <f t="shared" si="28"/>
        <v>6531.2418971628513</v>
      </c>
      <c r="J329" s="163">
        <f t="shared" si="29"/>
        <v>233175.43488713933</v>
      </c>
    </row>
    <row r="330" spans="5:10" x14ac:dyDescent="0.3">
      <c r="E330" s="209">
        <v>328</v>
      </c>
      <c r="F330" s="44">
        <f t="shared" si="25"/>
        <v>233175.43488713933</v>
      </c>
      <c r="G330" s="48">
        <f t="shared" si="26"/>
        <v>7629.8974990909028</v>
      </c>
      <c r="H330" s="48">
        <f t="shared" si="27"/>
        <v>1068.720743232722</v>
      </c>
      <c r="I330" s="48">
        <f t="shared" si="28"/>
        <v>6561.1767558581805</v>
      </c>
      <c r="J330" s="163">
        <f t="shared" si="29"/>
        <v>226614.25813128115</v>
      </c>
    </row>
    <row r="331" spans="5:10" x14ac:dyDescent="0.3">
      <c r="E331" s="209">
        <v>329</v>
      </c>
      <c r="F331" s="44">
        <f t="shared" si="25"/>
        <v>226614.25813128115</v>
      </c>
      <c r="G331" s="48">
        <f t="shared" si="26"/>
        <v>7629.8974990909028</v>
      </c>
      <c r="H331" s="48">
        <f t="shared" si="27"/>
        <v>1038.6486831017053</v>
      </c>
      <c r="I331" s="48">
        <f t="shared" si="28"/>
        <v>6591.2488159891973</v>
      </c>
      <c r="J331" s="163">
        <f t="shared" si="29"/>
        <v>220023.00931529194</v>
      </c>
    </row>
    <row r="332" spans="5:10" x14ac:dyDescent="0.3">
      <c r="E332" s="209">
        <v>330</v>
      </c>
      <c r="F332" s="44">
        <f t="shared" si="25"/>
        <v>220023.00931529194</v>
      </c>
      <c r="G332" s="48">
        <f t="shared" si="26"/>
        <v>7629.8974990909028</v>
      </c>
      <c r="H332" s="48">
        <f t="shared" si="27"/>
        <v>1008.4387926950881</v>
      </c>
      <c r="I332" s="48">
        <f t="shared" si="28"/>
        <v>6621.4587063958152</v>
      </c>
      <c r="J332" s="163">
        <f t="shared" si="29"/>
        <v>213401.55060889613</v>
      </c>
    </row>
    <row r="333" spans="5:10" x14ac:dyDescent="0.3">
      <c r="E333" s="209">
        <v>331</v>
      </c>
      <c r="F333" s="44">
        <f t="shared" si="25"/>
        <v>213401.55060889613</v>
      </c>
      <c r="G333" s="48">
        <f t="shared" si="26"/>
        <v>7629.8974990909028</v>
      </c>
      <c r="H333" s="48">
        <f t="shared" si="27"/>
        <v>978.09044029077393</v>
      </c>
      <c r="I333" s="48">
        <f t="shared" si="28"/>
        <v>6651.8070588001292</v>
      </c>
      <c r="J333" s="163">
        <f t="shared" si="29"/>
        <v>206749.743550096</v>
      </c>
    </row>
    <row r="334" spans="5:10" x14ac:dyDescent="0.3">
      <c r="E334" s="209">
        <v>332</v>
      </c>
      <c r="F334" s="44">
        <f t="shared" si="25"/>
        <v>206749.743550096</v>
      </c>
      <c r="G334" s="48">
        <f t="shared" si="26"/>
        <v>7629.8974990909028</v>
      </c>
      <c r="H334" s="48">
        <f t="shared" si="27"/>
        <v>947.60299127127337</v>
      </c>
      <c r="I334" s="48">
        <f t="shared" si="28"/>
        <v>6682.2945078196299</v>
      </c>
      <c r="J334" s="163">
        <f t="shared" si="29"/>
        <v>200067.44904227636</v>
      </c>
    </row>
    <row r="335" spans="5:10" x14ac:dyDescent="0.3">
      <c r="E335" s="209">
        <v>333</v>
      </c>
      <c r="F335" s="44">
        <f t="shared" si="25"/>
        <v>200067.44904227636</v>
      </c>
      <c r="G335" s="48">
        <f t="shared" si="26"/>
        <v>7629.8974990909028</v>
      </c>
      <c r="H335" s="48">
        <f t="shared" si="27"/>
        <v>916.97580811043326</v>
      </c>
      <c r="I335" s="48">
        <f t="shared" si="28"/>
        <v>6712.9216909804691</v>
      </c>
      <c r="J335" s="163">
        <f t="shared" si="29"/>
        <v>193354.5273512959</v>
      </c>
    </row>
    <row r="336" spans="5:10" x14ac:dyDescent="0.3">
      <c r="E336" s="209">
        <v>334</v>
      </c>
      <c r="F336" s="44">
        <f t="shared" si="25"/>
        <v>193354.5273512959</v>
      </c>
      <c r="G336" s="48">
        <f t="shared" si="26"/>
        <v>7629.8974990909028</v>
      </c>
      <c r="H336" s="48">
        <f t="shared" si="27"/>
        <v>886.20825036010626</v>
      </c>
      <c r="I336" s="48">
        <f t="shared" si="28"/>
        <v>6743.6892487307969</v>
      </c>
      <c r="J336" s="163">
        <f t="shared" si="29"/>
        <v>186610.83810256509</v>
      </c>
    </row>
    <row r="337" spans="5:10" x14ac:dyDescent="0.3">
      <c r="E337" s="209">
        <v>335</v>
      </c>
      <c r="F337" s="44">
        <f t="shared" si="25"/>
        <v>186610.83810256509</v>
      </c>
      <c r="G337" s="48">
        <f t="shared" si="26"/>
        <v>7629.8974990909028</v>
      </c>
      <c r="H337" s="48">
        <f t="shared" si="27"/>
        <v>855.29967463675666</v>
      </c>
      <c r="I337" s="48">
        <f t="shared" si="28"/>
        <v>6774.5978244541457</v>
      </c>
      <c r="J337" s="163">
        <f t="shared" si="29"/>
        <v>179836.24027811096</v>
      </c>
    </row>
    <row r="338" spans="5:10" x14ac:dyDescent="0.3">
      <c r="E338" s="209">
        <v>336</v>
      </c>
      <c r="F338" s="44">
        <f t="shared" si="25"/>
        <v>179836.24027811096</v>
      </c>
      <c r="G338" s="48">
        <f t="shared" si="26"/>
        <v>7629.8974990909028</v>
      </c>
      <c r="H338" s="48">
        <f t="shared" si="27"/>
        <v>824.24943460800853</v>
      </c>
      <c r="I338" s="48">
        <f t="shared" si="28"/>
        <v>6805.6480644828944</v>
      </c>
      <c r="J338" s="163">
        <f t="shared" si="29"/>
        <v>173030.59221362806</v>
      </c>
    </row>
    <row r="339" spans="5:10" x14ac:dyDescent="0.3">
      <c r="E339" s="209">
        <v>337</v>
      </c>
      <c r="F339" s="44">
        <f t="shared" si="25"/>
        <v>173030.59221362806</v>
      </c>
      <c r="G339" s="48">
        <f t="shared" si="26"/>
        <v>7629.8974990909028</v>
      </c>
      <c r="H339" s="48">
        <f t="shared" si="27"/>
        <v>793.05688097912855</v>
      </c>
      <c r="I339" s="48">
        <f t="shared" si="28"/>
        <v>6836.8406181117743</v>
      </c>
      <c r="J339" s="163">
        <f t="shared" si="29"/>
        <v>166193.75159551628</v>
      </c>
    </row>
    <row r="340" spans="5:10" x14ac:dyDescent="0.3">
      <c r="E340" s="209">
        <v>338</v>
      </c>
      <c r="F340" s="44">
        <f t="shared" si="25"/>
        <v>166193.75159551628</v>
      </c>
      <c r="G340" s="48">
        <f t="shared" si="26"/>
        <v>7629.8974990909028</v>
      </c>
      <c r="H340" s="48">
        <f t="shared" si="27"/>
        <v>761.72136147944957</v>
      </c>
      <c r="I340" s="48">
        <f t="shared" si="28"/>
        <v>6868.1761376114537</v>
      </c>
      <c r="J340" s="163">
        <f t="shared" si="29"/>
        <v>159325.57545790484</v>
      </c>
    </row>
    <row r="341" spans="5:10" x14ac:dyDescent="0.3">
      <c r="E341" s="209">
        <v>339</v>
      </c>
      <c r="F341" s="44">
        <f t="shared" si="25"/>
        <v>159325.57545790484</v>
      </c>
      <c r="G341" s="48">
        <f t="shared" si="26"/>
        <v>7629.8974990909028</v>
      </c>
      <c r="H341" s="48">
        <f t="shared" si="27"/>
        <v>730.24222084873054</v>
      </c>
      <c r="I341" s="48">
        <f t="shared" si="28"/>
        <v>6899.6552782421722</v>
      </c>
      <c r="J341" s="163">
        <f t="shared" si="29"/>
        <v>152425.92017966267</v>
      </c>
    </row>
    <row r="342" spans="5:10" x14ac:dyDescent="0.3">
      <c r="E342" s="209">
        <v>340</v>
      </c>
      <c r="F342" s="44">
        <f t="shared" si="25"/>
        <v>152425.92017966267</v>
      </c>
      <c r="G342" s="48">
        <f t="shared" si="26"/>
        <v>7629.8974990909028</v>
      </c>
      <c r="H342" s="48">
        <f t="shared" si="27"/>
        <v>698.61880082345397</v>
      </c>
      <c r="I342" s="48">
        <f t="shared" si="28"/>
        <v>6931.2786982674488</v>
      </c>
      <c r="J342" s="163">
        <f t="shared" si="29"/>
        <v>145494.64148139523</v>
      </c>
    </row>
    <row r="343" spans="5:10" x14ac:dyDescent="0.3">
      <c r="E343" s="209">
        <v>341</v>
      </c>
      <c r="F343" s="44">
        <f t="shared" si="25"/>
        <v>145494.64148139523</v>
      </c>
      <c r="G343" s="48">
        <f t="shared" si="26"/>
        <v>7629.8974990909028</v>
      </c>
      <c r="H343" s="48">
        <f t="shared" si="27"/>
        <v>666.8504401230615</v>
      </c>
      <c r="I343" s="48">
        <f t="shared" si="28"/>
        <v>6963.0470589678416</v>
      </c>
      <c r="J343" s="163">
        <f t="shared" si="29"/>
        <v>138531.59442242738</v>
      </c>
    </row>
    <row r="344" spans="5:10" x14ac:dyDescent="0.3">
      <c r="E344" s="209">
        <v>342</v>
      </c>
      <c r="F344" s="44">
        <f t="shared" si="25"/>
        <v>138531.59442242738</v>
      </c>
      <c r="G344" s="48">
        <f t="shared" si="26"/>
        <v>7629.8974990909028</v>
      </c>
      <c r="H344" s="48">
        <f t="shared" si="27"/>
        <v>634.93647443612554</v>
      </c>
      <c r="I344" s="48">
        <f t="shared" si="28"/>
        <v>6994.9610246547772</v>
      </c>
      <c r="J344" s="163">
        <f t="shared" si="29"/>
        <v>131536.63339777262</v>
      </c>
    </row>
    <row r="345" spans="5:10" x14ac:dyDescent="0.3">
      <c r="E345" s="209">
        <v>343</v>
      </c>
      <c r="F345" s="44">
        <f t="shared" si="25"/>
        <v>131536.63339777262</v>
      </c>
      <c r="G345" s="48">
        <f t="shared" si="26"/>
        <v>7629.8974990909028</v>
      </c>
      <c r="H345" s="48">
        <f t="shared" si="27"/>
        <v>602.87623640645791</v>
      </c>
      <c r="I345" s="48">
        <f t="shared" si="28"/>
        <v>7027.021262684445</v>
      </c>
      <c r="J345" s="163">
        <f t="shared" si="29"/>
        <v>124509.61213508817</v>
      </c>
    </row>
    <row r="346" spans="5:10" x14ac:dyDescent="0.3">
      <c r="E346" s="209">
        <v>344</v>
      </c>
      <c r="F346" s="44">
        <f t="shared" si="25"/>
        <v>124509.61213508817</v>
      </c>
      <c r="G346" s="48">
        <f t="shared" si="26"/>
        <v>7629.8974990909028</v>
      </c>
      <c r="H346" s="48">
        <f t="shared" si="27"/>
        <v>570.66905561915416</v>
      </c>
      <c r="I346" s="48">
        <f t="shared" si="28"/>
        <v>7059.2284434717485</v>
      </c>
      <c r="J346" s="163">
        <f t="shared" si="29"/>
        <v>117450.38369161643</v>
      </c>
    </row>
    <row r="347" spans="5:10" x14ac:dyDescent="0.3">
      <c r="E347" s="209">
        <v>345</v>
      </c>
      <c r="F347" s="44">
        <f t="shared" si="25"/>
        <v>117450.38369161643</v>
      </c>
      <c r="G347" s="48">
        <f t="shared" si="26"/>
        <v>7629.8974990909028</v>
      </c>
      <c r="H347" s="48">
        <f t="shared" si="27"/>
        <v>538.31425858657531</v>
      </c>
      <c r="I347" s="48">
        <f t="shared" si="28"/>
        <v>7091.5832405043275</v>
      </c>
      <c r="J347" s="163">
        <f t="shared" si="29"/>
        <v>110358.8004511121</v>
      </c>
    </row>
    <row r="348" spans="5:10" x14ac:dyDescent="0.3">
      <c r="E348" s="209">
        <v>346</v>
      </c>
      <c r="F348" s="44">
        <f t="shared" si="25"/>
        <v>110358.8004511121</v>
      </c>
      <c r="G348" s="48">
        <f t="shared" si="26"/>
        <v>7629.8974990909028</v>
      </c>
      <c r="H348" s="48">
        <f t="shared" si="27"/>
        <v>505.81116873426373</v>
      </c>
      <c r="I348" s="48">
        <f t="shared" si="28"/>
        <v>7124.0863303566393</v>
      </c>
      <c r="J348" s="163">
        <f t="shared" si="29"/>
        <v>103234.71412075545</v>
      </c>
    </row>
    <row r="349" spans="5:10" x14ac:dyDescent="0.3">
      <c r="E349" s="209">
        <v>347</v>
      </c>
      <c r="F349" s="44">
        <f t="shared" si="25"/>
        <v>103234.71412075545</v>
      </c>
      <c r="G349" s="48">
        <f t="shared" si="26"/>
        <v>7629.8974990909028</v>
      </c>
      <c r="H349" s="48">
        <f t="shared" si="27"/>
        <v>473.15910638679583</v>
      </c>
      <c r="I349" s="48">
        <f t="shared" si="28"/>
        <v>7156.7383927041074</v>
      </c>
      <c r="J349" s="163">
        <f t="shared" si="29"/>
        <v>96077.975728051344</v>
      </c>
    </row>
    <row r="350" spans="5:10" x14ac:dyDescent="0.3">
      <c r="E350" s="209">
        <v>348</v>
      </c>
      <c r="F350" s="44">
        <f t="shared" si="25"/>
        <v>96077.975728051344</v>
      </c>
      <c r="G350" s="48">
        <f t="shared" si="26"/>
        <v>7629.8974990909028</v>
      </c>
      <c r="H350" s="48">
        <f t="shared" si="27"/>
        <v>440.35738875356861</v>
      </c>
      <c r="I350" s="48">
        <f t="shared" si="28"/>
        <v>7189.5401103373342</v>
      </c>
      <c r="J350" s="163">
        <f t="shared" si="29"/>
        <v>88888.435617714014</v>
      </c>
    </row>
    <row r="351" spans="5:10" x14ac:dyDescent="0.3">
      <c r="E351" s="209">
        <v>349</v>
      </c>
      <c r="F351" s="44">
        <f t="shared" si="25"/>
        <v>88888.435617714014</v>
      </c>
      <c r="G351" s="48">
        <f t="shared" si="26"/>
        <v>7629.8974990909028</v>
      </c>
      <c r="H351" s="48">
        <f t="shared" si="27"/>
        <v>407.40532991452255</v>
      </c>
      <c r="I351" s="48">
        <f t="shared" si="28"/>
        <v>7222.4921691763802</v>
      </c>
      <c r="J351" s="163">
        <f t="shared" si="29"/>
        <v>81665.943448537641</v>
      </c>
    </row>
    <row r="352" spans="5:10" x14ac:dyDescent="0.3">
      <c r="E352" s="209">
        <v>350</v>
      </c>
      <c r="F352" s="44">
        <f t="shared" si="25"/>
        <v>81665.943448537641</v>
      </c>
      <c r="G352" s="48">
        <f t="shared" si="26"/>
        <v>7629.8974990909028</v>
      </c>
      <c r="H352" s="48">
        <f t="shared" si="27"/>
        <v>374.30224080579751</v>
      </c>
      <c r="I352" s="48">
        <f t="shared" si="28"/>
        <v>7255.595258285105</v>
      </c>
      <c r="J352" s="163">
        <f t="shared" si="29"/>
        <v>74410.348190252538</v>
      </c>
    </row>
    <row r="353" spans="5:10" x14ac:dyDescent="0.3">
      <c r="E353" s="209">
        <v>351</v>
      </c>
      <c r="F353" s="44">
        <f t="shared" si="25"/>
        <v>74410.348190252538</v>
      </c>
      <c r="G353" s="48">
        <f t="shared" si="26"/>
        <v>7629.8974990909028</v>
      </c>
      <c r="H353" s="48">
        <f t="shared" si="27"/>
        <v>341.04742920532414</v>
      </c>
      <c r="I353" s="48">
        <f t="shared" si="28"/>
        <v>7288.8500698855787</v>
      </c>
      <c r="J353" s="163">
        <f t="shared" si="29"/>
        <v>67121.498120366959</v>
      </c>
    </row>
    <row r="354" spans="5:10" x14ac:dyDescent="0.3">
      <c r="E354" s="209">
        <v>352</v>
      </c>
      <c r="F354" s="44">
        <f t="shared" si="25"/>
        <v>67121.498120366959</v>
      </c>
      <c r="G354" s="48">
        <f t="shared" si="26"/>
        <v>7629.8974990909028</v>
      </c>
      <c r="H354" s="48">
        <f t="shared" si="27"/>
        <v>307.64019971834858</v>
      </c>
      <c r="I354" s="48">
        <f t="shared" si="28"/>
        <v>7322.2572993725544</v>
      </c>
      <c r="J354" s="163">
        <f t="shared" si="29"/>
        <v>59799.240820994404</v>
      </c>
    </row>
    <row r="355" spans="5:10" x14ac:dyDescent="0.3">
      <c r="E355" s="209">
        <v>353</v>
      </c>
      <c r="F355" s="44">
        <f t="shared" si="25"/>
        <v>59799.240820994404</v>
      </c>
      <c r="G355" s="48">
        <f t="shared" si="26"/>
        <v>7629.8974990909028</v>
      </c>
      <c r="H355" s="48">
        <f t="shared" si="27"/>
        <v>274.07985376289099</v>
      </c>
      <c r="I355" s="48">
        <f t="shared" si="28"/>
        <v>7355.8176453280121</v>
      </c>
      <c r="J355" s="163">
        <f t="shared" si="29"/>
        <v>52443.423175666394</v>
      </c>
    </row>
    <row r="356" spans="5:10" x14ac:dyDescent="0.3">
      <c r="E356" s="209">
        <v>354</v>
      </c>
      <c r="F356" s="44">
        <f t="shared" si="25"/>
        <v>52443.423175666394</v>
      </c>
      <c r="G356" s="48">
        <f t="shared" si="26"/>
        <v>7629.8974990909028</v>
      </c>
      <c r="H356" s="48">
        <f t="shared" si="27"/>
        <v>240.36568955513766</v>
      </c>
      <c r="I356" s="48">
        <f t="shared" si="28"/>
        <v>7389.5318095357652</v>
      </c>
      <c r="J356" s="163">
        <f t="shared" si="29"/>
        <v>45053.891366130629</v>
      </c>
    </row>
    <row r="357" spans="5:10" x14ac:dyDescent="0.3">
      <c r="E357" s="209">
        <v>355</v>
      </c>
      <c r="F357" s="44">
        <f t="shared" si="25"/>
        <v>45053.891366130629</v>
      </c>
      <c r="G357" s="48">
        <f t="shared" si="26"/>
        <v>7629.8974990909028</v>
      </c>
      <c r="H357" s="48">
        <f t="shared" si="27"/>
        <v>206.49700209476541</v>
      </c>
      <c r="I357" s="48">
        <f t="shared" si="28"/>
        <v>7423.400496996137</v>
      </c>
      <c r="J357" s="163">
        <f t="shared" si="29"/>
        <v>37630.49086913449</v>
      </c>
    </row>
    <row r="358" spans="5:10" x14ac:dyDescent="0.3">
      <c r="E358" s="209">
        <v>356</v>
      </c>
      <c r="F358" s="44">
        <f t="shared" si="25"/>
        <v>37630.49086913449</v>
      </c>
      <c r="G358" s="48">
        <f t="shared" si="26"/>
        <v>7629.8974990909028</v>
      </c>
      <c r="H358" s="48">
        <f t="shared" si="27"/>
        <v>172.47308315019976</v>
      </c>
      <c r="I358" s="48">
        <f t="shared" si="28"/>
        <v>7457.4244159407026</v>
      </c>
      <c r="J358" s="163">
        <f t="shared" si="29"/>
        <v>30173.066453193787</v>
      </c>
    </row>
    <row r="359" spans="5:10" x14ac:dyDescent="0.3">
      <c r="E359" s="209">
        <v>357</v>
      </c>
      <c r="F359" s="44">
        <f t="shared" si="25"/>
        <v>30173.066453193787</v>
      </c>
      <c r="G359" s="48">
        <f t="shared" si="26"/>
        <v>7629.8974990909028</v>
      </c>
      <c r="H359" s="48">
        <f t="shared" si="27"/>
        <v>138.29322124380485</v>
      </c>
      <c r="I359" s="48">
        <f t="shared" si="28"/>
        <v>7491.6042778470983</v>
      </c>
      <c r="J359" s="163">
        <f t="shared" si="29"/>
        <v>22681.462175346689</v>
      </c>
    </row>
    <row r="360" spans="5:10" x14ac:dyDescent="0.3">
      <c r="E360" s="209">
        <v>358</v>
      </c>
      <c r="F360" s="44">
        <f t="shared" si="25"/>
        <v>22681.462175346689</v>
      </c>
      <c r="G360" s="48">
        <f t="shared" si="26"/>
        <v>7629.8974990909028</v>
      </c>
      <c r="H360" s="48">
        <f t="shared" si="27"/>
        <v>103.95670163700566</v>
      </c>
      <c r="I360" s="48">
        <f t="shared" si="28"/>
        <v>7525.9407974538972</v>
      </c>
      <c r="J360" s="163">
        <f t="shared" si="29"/>
        <v>15155.521377892792</v>
      </c>
    </row>
    <row r="361" spans="5:10" x14ac:dyDescent="0.3">
      <c r="E361" s="209">
        <v>359</v>
      </c>
      <c r="F361" s="44">
        <f t="shared" si="25"/>
        <v>15155.521377892792</v>
      </c>
      <c r="G361" s="48">
        <f t="shared" si="26"/>
        <v>7629.8974990909028</v>
      </c>
      <c r="H361" s="48">
        <f t="shared" si="27"/>
        <v>69.462806315341965</v>
      </c>
      <c r="I361" s="48">
        <f t="shared" si="28"/>
        <v>7560.4346927755605</v>
      </c>
      <c r="J361" s="163">
        <f t="shared" si="29"/>
        <v>7595.0866851172314</v>
      </c>
    </row>
    <row r="362" spans="5:10" ht="15" thickBot="1" x14ac:dyDescent="0.35">
      <c r="E362" s="210">
        <v>360</v>
      </c>
      <c r="F362" s="164">
        <f t="shared" si="25"/>
        <v>7595.0866851172314</v>
      </c>
      <c r="G362" s="165">
        <f t="shared" si="26"/>
        <v>7629.8974990909028</v>
      </c>
      <c r="H362" s="165">
        <f t="shared" si="27"/>
        <v>34.810813973453982</v>
      </c>
      <c r="I362" s="165">
        <f t="shared" si="28"/>
        <v>7595.0866851174487</v>
      </c>
      <c r="J362" s="162">
        <f t="shared" si="29"/>
        <v>-2.1736923372372985E-10</v>
      </c>
    </row>
  </sheetData>
  <mergeCells count="1">
    <mergeCell ref="B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C2:FC12"/>
  <sheetViews>
    <sheetView topLeftCell="DV1" zoomScale="70" zoomScaleNormal="70" workbookViewId="0">
      <selection activeCell="DY3" sqref="DY3"/>
    </sheetView>
  </sheetViews>
  <sheetFormatPr defaultColWidth="9.109375" defaultRowHeight="14.4" x14ac:dyDescent="0.3"/>
  <cols>
    <col min="1" max="2" width="9.109375" style="92"/>
    <col min="3" max="3" width="11.5546875" style="92" bestFit="1" customWidth="1"/>
    <col min="4" max="21" width="12" style="92" bestFit="1" customWidth="1"/>
    <col min="22" max="22" width="9.6640625" style="92" bestFit="1" customWidth="1"/>
    <col min="23" max="23" width="12" style="92" bestFit="1" customWidth="1"/>
    <col min="24" max="24" width="9" style="92" bestFit="1" customWidth="1"/>
    <col min="25" max="30" width="12" style="92" bestFit="1" customWidth="1"/>
    <col min="31" max="31" width="10" style="92" bestFit="1" customWidth="1"/>
    <col min="32" max="33" width="12" style="92" bestFit="1" customWidth="1"/>
    <col min="34" max="34" width="10" style="92" bestFit="1" customWidth="1"/>
    <col min="35" max="53" width="12" style="92" bestFit="1" customWidth="1"/>
    <col min="54" max="54" width="11" style="92" bestFit="1" customWidth="1"/>
    <col min="55" max="64" width="12" style="92" bestFit="1" customWidth="1"/>
    <col min="65" max="66" width="11" style="92" bestFit="1" customWidth="1"/>
    <col min="67" max="79" width="12" style="92" bestFit="1" customWidth="1"/>
    <col min="80" max="80" width="11" style="92" bestFit="1" customWidth="1"/>
    <col min="81" max="84" width="12" style="92" bestFit="1" customWidth="1"/>
    <col min="85" max="85" width="11" style="92" bestFit="1" customWidth="1"/>
    <col min="86" max="94" width="12" style="92" bestFit="1" customWidth="1"/>
    <col min="95" max="95" width="11" style="92" bestFit="1" customWidth="1"/>
    <col min="96" max="104" width="12" style="92" bestFit="1" customWidth="1"/>
    <col min="105" max="109" width="11" style="92" bestFit="1" customWidth="1"/>
    <col min="110" max="120" width="12" style="92" bestFit="1" customWidth="1"/>
    <col min="121" max="121" width="10" style="92" bestFit="1" customWidth="1"/>
    <col min="122" max="160" width="12" style="92" bestFit="1" customWidth="1"/>
    <col min="161" max="161" width="2" style="92" bestFit="1" customWidth="1"/>
    <col min="162" max="16384" width="9.109375" style="92"/>
  </cols>
  <sheetData>
    <row r="2" spans="3:159" x14ac:dyDescent="0.3">
      <c r="C2" s="92" t="s">
        <v>21</v>
      </c>
      <c r="D2" s="211">
        <f>IF(D3="","",UnitsBreakdown!F23)</f>
        <v>46204</v>
      </c>
      <c r="E2" s="211">
        <f>IF(E3="","",UnitsBreakdown!G23)</f>
        <v>46235</v>
      </c>
      <c r="F2" s="211">
        <f>IF(F3="","",UnitsBreakdown!H23)</f>
        <v>46266</v>
      </c>
      <c r="G2" s="211">
        <f>IF(G3="","",UnitsBreakdown!I23)</f>
        <v>46296</v>
      </c>
      <c r="H2" s="211">
        <f>IF(H3="","",UnitsBreakdown!J23)</f>
        <v>46327</v>
      </c>
      <c r="I2" s="211">
        <f>IF(I3="","",UnitsBreakdown!K23)</f>
        <v>46357</v>
      </c>
      <c r="J2" s="211">
        <f>IF(J3="","",UnitsBreakdown!L23)</f>
        <v>46388</v>
      </c>
      <c r="K2" s="211">
        <f>IF(K3="","",UnitsBreakdown!M23)</f>
        <v>46419</v>
      </c>
      <c r="L2" s="211">
        <f>IF(L3="","",UnitsBreakdown!N23)</f>
        <v>46447</v>
      </c>
      <c r="M2" s="211">
        <f>IF(M3="","",UnitsBreakdown!O23)</f>
        <v>46478</v>
      </c>
      <c r="N2" s="211">
        <f>IF(N3="","",UnitsBreakdown!P23)</f>
        <v>46508</v>
      </c>
      <c r="O2" s="211">
        <f>IF(O3="","",UnitsBreakdown!Q23)</f>
        <v>46539</v>
      </c>
      <c r="P2" s="211">
        <f>IF(P3="","",UnitsBreakdown!R23)</f>
        <v>46569</v>
      </c>
      <c r="Q2" s="211">
        <f>IF(Q3="","",UnitsBreakdown!S23)</f>
        <v>46600</v>
      </c>
      <c r="R2" s="211">
        <f>IF(R3="","",UnitsBreakdown!T23)</f>
        <v>46631</v>
      </c>
      <c r="S2" s="211">
        <f>IF(S3="","",UnitsBreakdown!U23)</f>
        <v>46661</v>
      </c>
      <c r="T2" s="211">
        <f>IF(T3="","",UnitsBreakdown!V23)</f>
        <v>46692</v>
      </c>
      <c r="U2" s="211">
        <f>IF(U3="","",UnitsBreakdown!W23)</f>
        <v>46722</v>
      </c>
      <c r="V2" s="211">
        <f>IF(V3="","",UnitsBreakdown!X23)</f>
        <v>46753</v>
      </c>
      <c r="W2" s="211">
        <f>IF(W3="","",UnitsBreakdown!Y23)</f>
        <v>46784</v>
      </c>
      <c r="X2" s="211">
        <f>IF(X3="","",UnitsBreakdown!Z23)</f>
        <v>46813</v>
      </c>
      <c r="Y2" s="211">
        <f>IF(Y3="","",UnitsBreakdown!AA23)</f>
        <v>46844</v>
      </c>
      <c r="Z2" s="211">
        <f>IF(Z3="","",UnitsBreakdown!AB23)</f>
        <v>46874</v>
      </c>
      <c r="AA2" s="211">
        <f>IF(AA3="","",UnitsBreakdown!AC23)</f>
        <v>46905</v>
      </c>
      <c r="AB2" s="211">
        <f>IF(AB3="","",UnitsBreakdown!AD23)</f>
        <v>46935</v>
      </c>
      <c r="AC2" s="211">
        <f>IF(AC3="","",UnitsBreakdown!AE23)</f>
        <v>46966</v>
      </c>
      <c r="AD2" s="211">
        <f>IF(AD3="","",UnitsBreakdown!AF23)</f>
        <v>46997</v>
      </c>
      <c r="AE2" s="211">
        <f>IF(AE3="","",UnitsBreakdown!AG23)</f>
        <v>47027</v>
      </c>
      <c r="AF2" s="211">
        <f>IF(AF3="","",UnitsBreakdown!AH23)</f>
        <v>47058</v>
      </c>
      <c r="AG2" s="211">
        <f>IF(AG3="","",UnitsBreakdown!AI23)</f>
        <v>47088</v>
      </c>
      <c r="AH2" s="211">
        <f>IF(AH3="","",UnitsBreakdown!AJ23)</f>
        <v>47119</v>
      </c>
      <c r="AI2" s="211">
        <f>IF(AI3="","",UnitsBreakdown!AK23)</f>
        <v>47150</v>
      </c>
      <c r="AJ2" s="211">
        <f>IF(AJ3="","",UnitsBreakdown!AL23)</f>
        <v>47178</v>
      </c>
      <c r="AK2" s="211">
        <f>IF(AK3="","",UnitsBreakdown!AM23)</f>
        <v>47209</v>
      </c>
      <c r="AL2" s="211">
        <f>IF(AL3="","",UnitsBreakdown!AN23)</f>
        <v>47239</v>
      </c>
      <c r="AM2" s="211">
        <f>IF(AM3="","",UnitsBreakdown!AO23)</f>
        <v>47270</v>
      </c>
      <c r="AN2" s="211">
        <f>IF(AN3="","",UnitsBreakdown!AP23)</f>
        <v>47300</v>
      </c>
      <c r="AO2" s="211">
        <f>IF(AO3="","",UnitsBreakdown!AQ23)</f>
        <v>47331</v>
      </c>
      <c r="AP2" s="211">
        <f>IF(AP3="","",UnitsBreakdown!AR23)</f>
        <v>47362</v>
      </c>
      <c r="AQ2" s="211">
        <f>IF(AQ3="","",UnitsBreakdown!AS23)</f>
        <v>47392</v>
      </c>
      <c r="AR2" s="211">
        <f>IF(AR3="","",UnitsBreakdown!AT23)</f>
        <v>47423</v>
      </c>
      <c r="AS2" s="211">
        <f>IF(AS3="","",UnitsBreakdown!AU23)</f>
        <v>47453</v>
      </c>
      <c r="AT2" s="211">
        <f>IF(AT3="","",UnitsBreakdown!AV23)</f>
        <v>47484</v>
      </c>
      <c r="AU2" s="211">
        <f>IF(AU3="","",UnitsBreakdown!AW23)</f>
        <v>47515</v>
      </c>
      <c r="AV2" s="211">
        <f>IF(AV3="","",UnitsBreakdown!AX23)</f>
        <v>47543</v>
      </c>
      <c r="AW2" s="211">
        <f>IF(AW3="","",UnitsBreakdown!AY23)</f>
        <v>47574</v>
      </c>
      <c r="AX2" s="211">
        <f>IF(AX3="","",UnitsBreakdown!AZ23)</f>
        <v>47604</v>
      </c>
      <c r="AY2" s="211">
        <f>IF(AY3="","",UnitsBreakdown!BA23)</f>
        <v>47635</v>
      </c>
      <c r="AZ2" s="211">
        <f>IF(AZ3="","",UnitsBreakdown!BB23)</f>
        <v>47665</v>
      </c>
      <c r="BA2" s="211">
        <f>IF(BA3="","",UnitsBreakdown!BC23)</f>
        <v>47696</v>
      </c>
      <c r="BB2" s="211">
        <f>IF(BB3="","",UnitsBreakdown!BD23)</f>
        <v>47727</v>
      </c>
      <c r="BC2" s="211">
        <f>IF(BC3="","",UnitsBreakdown!BE23)</f>
        <v>47757</v>
      </c>
      <c r="BD2" s="211">
        <f>IF(BD3="","",UnitsBreakdown!BF23)</f>
        <v>47788</v>
      </c>
      <c r="BE2" s="211">
        <f>IF(BE3="","",UnitsBreakdown!BG23)</f>
        <v>47818</v>
      </c>
      <c r="BF2" s="211">
        <f>IF(BF3="","",UnitsBreakdown!BH23)</f>
        <v>47849</v>
      </c>
      <c r="BG2" s="211">
        <f>IF(BG3="","",UnitsBreakdown!BI23)</f>
        <v>47880</v>
      </c>
      <c r="BH2" s="211">
        <f>IF(BH3="","",UnitsBreakdown!BJ23)</f>
        <v>47908</v>
      </c>
      <c r="BI2" s="211">
        <f>IF(BI3="","",UnitsBreakdown!BK23)</f>
        <v>47939</v>
      </c>
      <c r="BJ2" s="211">
        <f>IF(BJ3="","",UnitsBreakdown!BL23)</f>
        <v>47969</v>
      </c>
      <c r="BK2" s="211">
        <f>IF(BK3="","",UnitsBreakdown!BM23)</f>
        <v>48000</v>
      </c>
      <c r="BL2" s="211" t="str">
        <f>IF(BL3="","",UnitsBreakdown!BN23)</f>
        <v/>
      </c>
      <c r="BM2" s="211" t="str">
        <f>IF(BM3="","",UnitsBreakdown!BO23)</f>
        <v/>
      </c>
      <c r="BN2" s="211" t="str">
        <f>IF(BN3="","",UnitsBreakdown!BP23)</f>
        <v/>
      </c>
      <c r="BO2" s="211" t="str">
        <f>IF(BO3="","",UnitsBreakdown!BQ23)</f>
        <v/>
      </c>
      <c r="BP2" s="211" t="str">
        <f>IF(BP3="","",UnitsBreakdown!BR23)</f>
        <v/>
      </c>
      <c r="BQ2" s="211" t="str">
        <f>IF(BQ3="","",UnitsBreakdown!BS23)</f>
        <v/>
      </c>
      <c r="BR2" s="211" t="str">
        <f>IF(BR3="","",UnitsBreakdown!BT23)</f>
        <v/>
      </c>
      <c r="BS2" s="211" t="str">
        <f>IF(BS3="","",UnitsBreakdown!BU23)</f>
        <v/>
      </c>
      <c r="BT2" s="211" t="str">
        <f>IF(BT3="","",UnitsBreakdown!BV23)</f>
        <v/>
      </c>
      <c r="BU2" s="211" t="str">
        <f>IF(BU3="","",UnitsBreakdown!BW23)</f>
        <v/>
      </c>
      <c r="BV2" s="211" t="str">
        <f>IF(BV3="","",UnitsBreakdown!BX23)</f>
        <v/>
      </c>
      <c r="BW2" s="211" t="str">
        <f>IF(BW3="","",UnitsBreakdown!BY23)</f>
        <v/>
      </c>
      <c r="BX2" s="211" t="str">
        <f>IF(BX3="","",UnitsBreakdown!BZ23)</f>
        <v/>
      </c>
      <c r="BY2" s="211" t="str">
        <f>IF(BY3="","",UnitsBreakdown!CA23)</f>
        <v/>
      </c>
      <c r="BZ2" s="211" t="str">
        <f>IF(BZ3="","",UnitsBreakdown!CB23)</f>
        <v/>
      </c>
      <c r="CA2" s="211" t="str">
        <f>IF(CA3="","",UnitsBreakdown!CC23)</f>
        <v/>
      </c>
      <c r="CB2" s="211" t="str">
        <f>IF(CB3="","",UnitsBreakdown!CD23)</f>
        <v/>
      </c>
      <c r="CC2" s="211" t="str">
        <f>IF(CC3="","",UnitsBreakdown!CE23)</f>
        <v/>
      </c>
      <c r="CD2" s="211" t="str">
        <f>IF(CD3="","",UnitsBreakdown!CF23)</f>
        <v/>
      </c>
      <c r="CE2" s="211" t="str">
        <f>IF(CE3="","",UnitsBreakdown!CG23)</f>
        <v/>
      </c>
      <c r="CF2" s="211" t="str">
        <f>IF(CF3="","",UnitsBreakdown!CH23)</f>
        <v/>
      </c>
      <c r="CG2" s="211" t="str">
        <f>IF(CG3="","",UnitsBreakdown!CI23)</f>
        <v/>
      </c>
      <c r="CH2" s="211" t="str">
        <f>IF(CH3="","",UnitsBreakdown!CJ23)</f>
        <v/>
      </c>
      <c r="CI2" s="211" t="str">
        <f>IF(CI3="","",UnitsBreakdown!CK23)</f>
        <v/>
      </c>
      <c r="CJ2" s="211" t="str">
        <f>IF(CJ3="","",UnitsBreakdown!CL23)</f>
        <v/>
      </c>
      <c r="CK2" s="211" t="str">
        <f>IF(CK3="","",UnitsBreakdown!CM23)</f>
        <v/>
      </c>
      <c r="CL2" s="211" t="str">
        <f>IF(CL3="","",UnitsBreakdown!CN23)</f>
        <v/>
      </c>
      <c r="CM2" s="211" t="str">
        <f>IF(CM3="","",UnitsBreakdown!CO23)</f>
        <v/>
      </c>
      <c r="CN2" s="211" t="str">
        <f>IF(CN3="","",UnitsBreakdown!CP23)</f>
        <v/>
      </c>
      <c r="CO2" s="211" t="str">
        <f>IF(CO3="","",UnitsBreakdown!CQ23)</f>
        <v/>
      </c>
      <c r="CP2" s="211" t="str">
        <f>IF(CP3="","",UnitsBreakdown!CR23)</f>
        <v/>
      </c>
      <c r="CQ2" s="211" t="str">
        <f>IF(CQ3="","",UnitsBreakdown!CS23)</f>
        <v/>
      </c>
      <c r="CR2" s="211" t="str">
        <f>IF(CR3="","",UnitsBreakdown!CT23)</f>
        <v/>
      </c>
      <c r="CS2" s="211" t="str">
        <f>IF(CS3="","",UnitsBreakdown!CU23)</f>
        <v/>
      </c>
      <c r="CT2" s="211" t="str">
        <f>IF(CT3="","",UnitsBreakdown!CV23)</f>
        <v/>
      </c>
      <c r="CU2" s="211" t="str">
        <f>IF(CU3="","",UnitsBreakdown!CW23)</f>
        <v/>
      </c>
      <c r="CV2" s="211" t="str">
        <f>IF(CV3="","",UnitsBreakdown!CX23)</f>
        <v/>
      </c>
      <c r="CW2" s="211" t="str">
        <f>IF(CW3="","",UnitsBreakdown!CY23)</f>
        <v/>
      </c>
      <c r="CX2" s="211" t="str">
        <f>IF(CX3="","",UnitsBreakdown!CZ23)</f>
        <v/>
      </c>
      <c r="CY2" s="211" t="str">
        <f>IF(CY3="","",UnitsBreakdown!DA23)</f>
        <v/>
      </c>
      <c r="CZ2" s="211" t="str">
        <f>IF(CZ3="","",UnitsBreakdown!DB23)</f>
        <v/>
      </c>
      <c r="DA2" s="211" t="str">
        <f>IF(DA3="","",UnitsBreakdown!DC23)</f>
        <v/>
      </c>
      <c r="DB2" s="211" t="str">
        <f>IF(DB3="","",UnitsBreakdown!DD23)</f>
        <v/>
      </c>
      <c r="DC2" s="211" t="str">
        <f>IF(DC3="","",UnitsBreakdown!DE23)</f>
        <v/>
      </c>
      <c r="DD2" s="211" t="str">
        <f>IF(DD3="","",UnitsBreakdown!DF23)</f>
        <v/>
      </c>
      <c r="DE2" s="211" t="str">
        <f>IF(DE3="","",UnitsBreakdown!DG23)</f>
        <v/>
      </c>
      <c r="DF2" s="211" t="str">
        <f>IF(DF3="","",UnitsBreakdown!DH23)</f>
        <v/>
      </c>
      <c r="DG2" s="211" t="str">
        <f>IF(DG3="","",UnitsBreakdown!DI23)</f>
        <v/>
      </c>
      <c r="DH2" s="211" t="str">
        <f>IF(DH3="","",UnitsBreakdown!DJ23)</f>
        <v/>
      </c>
      <c r="DI2" s="211" t="str">
        <f>IF(DI3="","",UnitsBreakdown!DK23)</f>
        <v/>
      </c>
      <c r="DJ2" s="211" t="str">
        <f>IF(DJ3="","",UnitsBreakdown!DL23)</f>
        <v/>
      </c>
      <c r="DK2" s="211" t="str">
        <f>IF(DK3="","",UnitsBreakdown!DM23)</f>
        <v/>
      </c>
      <c r="DL2" s="211" t="str">
        <f>IF(DL3="","",UnitsBreakdown!DN23)</f>
        <v/>
      </c>
      <c r="DM2" s="211" t="str">
        <f>IF(DM3="","",UnitsBreakdown!DO23)</f>
        <v/>
      </c>
      <c r="DN2" s="211" t="str">
        <f>IF(DN3="","",UnitsBreakdown!DP23)</f>
        <v/>
      </c>
      <c r="DO2" s="211" t="str">
        <f>IF(DO3="","",UnitsBreakdown!DQ23)</f>
        <v/>
      </c>
      <c r="DP2" s="211" t="str">
        <f>IF(DP3="","",UnitsBreakdown!DR23)</f>
        <v/>
      </c>
      <c r="DQ2" s="211" t="str">
        <f>IF(DQ3="","",UnitsBreakdown!DS23)</f>
        <v/>
      </c>
      <c r="DR2" s="211" t="str">
        <f>IF(DR3="","",UnitsBreakdown!DT23)</f>
        <v/>
      </c>
      <c r="DS2" s="211" t="str">
        <f>IF(DS3="","",UnitsBreakdown!DU23)</f>
        <v/>
      </c>
      <c r="DT2" s="211"/>
      <c r="DU2" s="211" t="s">
        <v>141</v>
      </c>
      <c r="DV2" s="211" t="s">
        <v>47</v>
      </c>
      <c r="DW2" s="211" t="s">
        <v>146</v>
      </c>
      <c r="DX2" s="211"/>
      <c r="DY2" s="211" t="s">
        <v>154</v>
      </c>
      <c r="DZ2" s="211"/>
      <c r="EA2" s="211"/>
      <c r="EB2" s="211"/>
      <c r="EC2" s="211"/>
      <c r="ED2" s="211"/>
      <c r="EE2" s="211"/>
      <c r="EF2" s="211"/>
      <c r="EG2" s="211"/>
      <c r="EH2" s="211"/>
      <c r="EI2" s="211"/>
      <c r="EJ2" s="211"/>
      <c r="EK2" s="211"/>
      <c r="EL2" s="211"/>
      <c r="EM2" s="211"/>
      <c r="EN2" s="211"/>
      <c r="EO2" s="211"/>
      <c r="EP2" s="211"/>
      <c r="EQ2" s="211"/>
      <c r="ER2" s="211"/>
      <c r="ES2" s="211"/>
      <c r="ET2" s="211"/>
      <c r="EU2" s="211"/>
      <c r="EV2" s="211"/>
      <c r="EW2" s="211"/>
      <c r="EX2" s="211"/>
      <c r="EY2" s="211"/>
      <c r="EZ2" s="211"/>
      <c r="FA2" s="211"/>
      <c r="FB2" s="211"/>
      <c r="FC2" s="211"/>
    </row>
    <row r="3" spans="3:159" x14ac:dyDescent="0.3">
      <c r="C3" s="92" t="s">
        <v>120</v>
      </c>
      <c r="D3" s="212">
        <f>UnitsBreakdown!F39</f>
        <v>1.4510833333333333</v>
      </c>
      <c r="E3" s="212">
        <f>UnitsBreakdown!G39</f>
        <v>1.1560833333333334</v>
      </c>
      <c r="F3" s="212">
        <f>UnitsBreakdown!H39</f>
        <v>1.1560833333333334</v>
      </c>
      <c r="G3" s="212">
        <f>UnitsBreakdown!I39</f>
        <v>1.3034166666666667</v>
      </c>
      <c r="H3" s="212">
        <f>UnitsBreakdown!J39</f>
        <v>1.3034166666666667</v>
      </c>
      <c r="I3" s="212">
        <f>UnitsBreakdown!K39</f>
        <v>1.1912499999999999</v>
      </c>
      <c r="J3" s="212">
        <f>UnitsBreakdown!L39</f>
        <v>1.4489166666666666</v>
      </c>
      <c r="K3" s="212">
        <f>UnitsBreakdown!M39</f>
        <v>1.2078333333333333</v>
      </c>
      <c r="L3" s="212">
        <f>UnitsBreakdown!N39</f>
        <v>1.0685</v>
      </c>
      <c r="M3" s="212">
        <f>UnitsBreakdown!O39</f>
        <v>1.0685</v>
      </c>
      <c r="N3" s="212">
        <f>UnitsBreakdown!P39</f>
        <v>1.0685</v>
      </c>
      <c r="O3" s="212">
        <f>UnitsBreakdown!Q39</f>
        <v>1.3545833333333333</v>
      </c>
      <c r="P3" s="212">
        <f>UnitsBreakdown!R39</f>
        <v>1.4035058333333332</v>
      </c>
      <c r="Q3" s="212">
        <f>UnitsBreakdown!S39</f>
        <v>1.4035058333333332</v>
      </c>
      <c r="R3" s="212">
        <f>UnitsBreakdown!T39</f>
        <v>1.4035058333333332</v>
      </c>
      <c r="S3" s="212">
        <f>UnitsBreakdown!U39</f>
        <v>1.4035058333333332</v>
      </c>
      <c r="T3" s="212">
        <f>UnitsBreakdown!V39</f>
        <v>1.4035058333333332</v>
      </c>
      <c r="U3" s="212">
        <f>UnitsBreakdown!W39</f>
        <v>1.7782991666666668</v>
      </c>
      <c r="V3" s="212">
        <f>UnitsBreakdown!X39</f>
        <v>1.7782991666666668</v>
      </c>
      <c r="W3" s="212">
        <f>UnitsBreakdown!Y39</f>
        <v>1.7782991666666668</v>
      </c>
      <c r="X3" s="212">
        <f>UnitsBreakdown!Z39</f>
        <v>1.7782991666666668</v>
      </c>
      <c r="Y3" s="212">
        <f>UnitsBreakdown!AA39</f>
        <v>1.7782991666666668</v>
      </c>
      <c r="Z3" s="212">
        <f>UnitsBreakdown!AB39</f>
        <v>1.7782991666666668</v>
      </c>
      <c r="AA3" s="212">
        <f>UnitsBreakdown!AC39</f>
        <v>1.7782991666666668</v>
      </c>
      <c r="AB3" s="212">
        <f>UnitsBreakdown!AD39</f>
        <v>1.81386515</v>
      </c>
      <c r="AC3" s="212">
        <f>UnitsBreakdown!AE39</f>
        <v>1.81386515</v>
      </c>
      <c r="AD3" s="212">
        <f>UnitsBreakdown!AF39</f>
        <v>1.81386515</v>
      </c>
      <c r="AE3" s="212">
        <f>UnitsBreakdown!AG39</f>
        <v>1.81386515</v>
      </c>
      <c r="AF3" s="212">
        <f>UnitsBreakdown!AH39</f>
        <v>1.81386515</v>
      </c>
      <c r="AG3" s="212">
        <f>UnitsBreakdown!AI39</f>
        <v>1.81386515</v>
      </c>
      <c r="AH3" s="212">
        <f>UnitsBreakdown!AJ39</f>
        <v>1.81386515</v>
      </c>
      <c r="AI3" s="212">
        <f>UnitsBreakdown!AK39</f>
        <v>1.81386515</v>
      </c>
      <c r="AJ3" s="212">
        <f>UnitsBreakdown!AL39</f>
        <v>1.81386515</v>
      </c>
      <c r="AK3" s="212">
        <f>UnitsBreakdown!AM39</f>
        <v>1.81386515</v>
      </c>
      <c r="AL3" s="212">
        <f>UnitsBreakdown!AN39</f>
        <v>1.81386515</v>
      </c>
      <c r="AM3" s="212">
        <f>UnitsBreakdown!AO39</f>
        <v>1.81386515</v>
      </c>
      <c r="AN3" s="212">
        <f>UnitsBreakdown!AP39</f>
        <v>1.8682811044999998</v>
      </c>
      <c r="AO3" s="212">
        <f>UnitsBreakdown!AQ39</f>
        <v>1.8682811044999998</v>
      </c>
      <c r="AP3" s="212">
        <f>UnitsBreakdown!AR39</f>
        <v>1.8682811044999998</v>
      </c>
      <c r="AQ3" s="212">
        <f>UnitsBreakdown!AS39</f>
        <v>1.8682811044999998</v>
      </c>
      <c r="AR3" s="212">
        <f>UnitsBreakdown!AT39</f>
        <v>1.8682811044999998</v>
      </c>
      <c r="AS3" s="212">
        <f>UnitsBreakdown!AU39</f>
        <v>1.8682811044999998</v>
      </c>
      <c r="AT3" s="212">
        <f>UnitsBreakdown!AV39</f>
        <v>1.8682811044999998</v>
      </c>
      <c r="AU3" s="212">
        <f>UnitsBreakdown!AW39</f>
        <v>1.8682811044999998</v>
      </c>
      <c r="AV3" s="212">
        <f>UnitsBreakdown!AX39</f>
        <v>1.8682811044999998</v>
      </c>
      <c r="AW3" s="212">
        <f>UnitsBreakdown!AY39</f>
        <v>1.8682811044999998</v>
      </c>
      <c r="AX3" s="212">
        <f>UnitsBreakdown!AZ39</f>
        <v>1.8682811044999998</v>
      </c>
      <c r="AY3" s="212">
        <f>UnitsBreakdown!BA39</f>
        <v>1.8682811044999998</v>
      </c>
      <c r="AZ3" s="212">
        <f>UnitsBreakdown!BB39</f>
        <v>1.9243295376350003</v>
      </c>
      <c r="BA3" s="212">
        <f>UnitsBreakdown!BC39</f>
        <v>1.9243295376350003</v>
      </c>
      <c r="BB3" s="212">
        <f>UnitsBreakdown!BD39</f>
        <v>1.9243295376350003</v>
      </c>
      <c r="BC3" s="212">
        <f>UnitsBreakdown!BE39</f>
        <v>1.9243295376350003</v>
      </c>
      <c r="BD3" s="212">
        <f>UnitsBreakdown!BF39</f>
        <v>1.9243295376350003</v>
      </c>
      <c r="BE3" s="212">
        <f>UnitsBreakdown!BG39</f>
        <v>1.9243295376350003</v>
      </c>
      <c r="BF3" s="212">
        <f>UnitsBreakdown!BH39</f>
        <v>1.9243295376350003</v>
      </c>
      <c r="BG3" s="212">
        <f>UnitsBreakdown!BI39</f>
        <v>1.9243295376350003</v>
      </c>
      <c r="BH3" s="212">
        <f>UnitsBreakdown!BJ39</f>
        <v>1.9243295376350003</v>
      </c>
      <c r="BI3" s="212">
        <f>UnitsBreakdown!BK39</f>
        <v>1.9243295376350003</v>
      </c>
      <c r="BJ3" s="212">
        <f>UnitsBreakdown!BL39</f>
        <v>1.9243295376350003</v>
      </c>
      <c r="BK3" s="212">
        <f>UnitsBreakdown!BM39</f>
        <v>1.9243295376350003</v>
      </c>
      <c r="BL3" s="212" t="str">
        <f>UnitsBreakdown!BN39</f>
        <v/>
      </c>
      <c r="BM3" s="212" t="str">
        <f>UnitsBreakdown!BO39</f>
        <v/>
      </c>
      <c r="BN3" s="212" t="str">
        <f>UnitsBreakdown!BP39</f>
        <v/>
      </c>
      <c r="BO3" s="212" t="str">
        <f>UnitsBreakdown!BQ39</f>
        <v/>
      </c>
      <c r="BP3" s="212" t="str">
        <f>UnitsBreakdown!BR39</f>
        <v/>
      </c>
      <c r="BQ3" s="212" t="str">
        <f>UnitsBreakdown!BS39</f>
        <v/>
      </c>
      <c r="BR3" s="212" t="str">
        <f>UnitsBreakdown!BT39</f>
        <v/>
      </c>
      <c r="BS3" s="212" t="str">
        <f>UnitsBreakdown!BU39</f>
        <v/>
      </c>
      <c r="BT3" s="212" t="str">
        <f>UnitsBreakdown!BV39</f>
        <v/>
      </c>
      <c r="BU3" s="212" t="str">
        <f>UnitsBreakdown!BW39</f>
        <v/>
      </c>
      <c r="BV3" s="212" t="str">
        <f>UnitsBreakdown!BX39</f>
        <v/>
      </c>
      <c r="BW3" s="212" t="str">
        <f>UnitsBreakdown!BY39</f>
        <v/>
      </c>
      <c r="BX3" s="212" t="str">
        <f>UnitsBreakdown!BZ39</f>
        <v/>
      </c>
      <c r="BY3" s="212" t="str">
        <f>UnitsBreakdown!CA39</f>
        <v/>
      </c>
      <c r="BZ3" s="212" t="str">
        <f>UnitsBreakdown!CB39</f>
        <v/>
      </c>
      <c r="CA3" s="212" t="str">
        <f>UnitsBreakdown!CC39</f>
        <v/>
      </c>
      <c r="CB3" s="212" t="str">
        <f>UnitsBreakdown!CD39</f>
        <v/>
      </c>
      <c r="CC3" s="212" t="str">
        <f>UnitsBreakdown!CE39</f>
        <v/>
      </c>
      <c r="CD3" s="212" t="str">
        <f>UnitsBreakdown!CF39</f>
        <v/>
      </c>
      <c r="CE3" s="212" t="str">
        <f>UnitsBreakdown!CG39</f>
        <v/>
      </c>
      <c r="CF3" s="212" t="str">
        <f>UnitsBreakdown!CH39</f>
        <v/>
      </c>
      <c r="CG3" s="212" t="str">
        <f>UnitsBreakdown!CI39</f>
        <v/>
      </c>
      <c r="CH3" s="212" t="str">
        <f>UnitsBreakdown!CJ39</f>
        <v/>
      </c>
      <c r="CI3" s="212" t="str">
        <f>UnitsBreakdown!CK39</f>
        <v/>
      </c>
      <c r="CJ3" s="212" t="str">
        <f>UnitsBreakdown!CL39</f>
        <v/>
      </c>
      <c r="CK3" s="212" t="str">
        <f>UnitsBreakdown!CM39</f>
        <v/>
      </c>
      <c r="CL3" s="212" t="str">
        <f>UnitsBreakdown!CN39</f>
        <v/>
      </c>
      <c r="CM3" s="212" t="str">
        <f>UnitsBreakdown!CO39</f>
        <v/>
      </c>
      <c r="CN3" s="212" t="str">
        <f>UnitsBreakdown!CP39</f>
        <v/>
      </c>
      <c r="CO3" s="212" t="str">
        <f>UnitsBreakdown!CQ39</f>
        <v/>
      </c>
      <c r="CP3" s="212" t="str">
        <f>UnitsBreakdown!CR39</f>
        <v/>
      </c>
      <c r="CQ3" s="212" t="str">
        <f>UnitsBreakdown!CS39</f>
        <v/>
      </c>
      <c r="CR3" s="212" t="str">
        <f>UnitsBreakdown!CT39</f>
        <v/>
      </c>
      <c r="CS3" s="212" t="str">
        <f>UnitsBreakdown!CU39</f>
        <v/>
      </c>
      <c r="CT3" s="212" t="str">
        <f>UnitsBreakdown!CV39</f>
        <v/>
      </c>
      <c r="CU3" s="212" t="str">
        <f>UnitsBreakdown!CW39</f>
        <v/>
      </c>
      <c r="CV3" s="212" t="str">
        <f>UnitsBreakdown!CX39</f>
        <v/>
      </c>
      <c r="CW3" s="212" t="str">
        <f>UnitsBreakdown!CY39</f>
        <v/>
      </c>
      <c r="CX3" s="212" t="str">
        <f>UnitsBreakdown!CZ39</f>
        <v/>
      </c>
      <c r="CY3" s="212" t="str">
        <f>UnitsBreakdown!DA39</f>
        <v/>
      </c>
      <c r="CZ3" s="212" t="str">
        <f>UnitsBreakdown!DB39</f>
        <v/>
      </c>
      <c r="DA3" s="212" t="str">
        <f>UnitsBreakdown!DC39</f>
        <v/>
      </c>
      <c r="DB3" s="212" t="str">
        <f>UnitsBreakdown!DD39</f>
        <v/>
      </c>
      <c r="DC3" s="212" t="str">
        <f>UnitsBreakdown!DE39</f>
        <v/>
      </c>
      <c r="DD3" s="212" t="str">
        <f>UnitsBreakdown!DF39</f>
        <v/>
      </c>
      <c r="DE3" s="212" t="str">
        <f>UnitsBreakdown!DG39</f>
        <v/>
      </c>
      <c r="DF3" s="212" t="str">
        <f>UnitsBreakdown!DH39</f>
        <v/>
      </c>
      <c r="DG3" s="212" t="str">
        <f>UnitsBreakdown!DI39</f>
        <v/>
      </c>
      <c r="DH3" s="212" t="str">
        <f>UnitsBreakdown!DJ39</f>
        <v/>
      </c>
      <c r="DI3" s="212" t="str">
        <f>UnitsBreakdown!DK39</f>
        <v/>
      </c>
      <c r="DJ3" s="212" t="str">
        <f>UnitsBreakdown!DL39</f>
        <v/>
      </c>
      <c r="DK3" s="212" t="str">
        <f>UnitsBreakdown!DM39</f>
        <v/>
      </c>
      <c r="DL3" s="212" t="str">
        <f>UnitsBreakdown!DN39</f>
        <v/>
      </c>
      <c r="DM3" s="212" t="str">
        <f>UnitsBreakdown!DO39</f>
        <v/>
      </c>
      <c r="DN3" s="212" t="str">
        <f>UnitsBreakdown!DP39</f>
        <v/>
      </c>
      <c r="DO3" s="212" t="str">
        <f>UnitsBreakdown!DQ39</f>
        <v/>
      </c>
      <c r="DP3" s="212" t="str">
        <f>UnitsBreakdown!DR39</f>
        <v/>
      </c>
      <c r="DQ3" s="212" t="str">
        <f>UnitsBreakdown!DS39</f>
        <v/>
      </c>
      <c r="DR3" s="212" t="str">
        <f>UnitsBreakdown!DT39</f>
        <v/>
      </c>
      <c r="DS3" s="212" t="str">
        <f>UnitsBreakdown!DU39</f>
        <v/>
      </c>
      <c r="DT3" s="212"/>
      <c r="DU3" s="212" t="s">
        <v>53</v>
      </c>
      <c r="DV3" s="213">
        <v>1</v>
      </c>
      <c r="DW3" s="212"/>
      <c r="DX3" s="212"/>
      <c r="DY3" s="211">
        <f>MAX('A&amp;Rs'!X10:X22)</f>
        <v>46783</v>
      </c>
      <c r="DZ3" s="212"/>
      <c r="EA3" s="212"/>
      <c r="EB3" s="212"/>
      <c r="EC3" s="212"/>
      <c r="ED3" s="212"/>
      <c r="EE3" s="212"/>
      <c r="EF3" s="212"/>
      <c r="EG3" s="212"/>
      <c r="EH3" s="212"/>
      <c r="EI3" s="212"/>
      <c r="EJ3" s="212"/>
      <c r="EK3" s="212"/>
      <c r="EL3" s="212"/>
      <c r="EM3" s="212"/>
      <c r="EN3" s="212"/>
      <c r="EO3" s="212"/>
      <c r="EP3" s="212"/>
      <c r="EQ3" s="212"/>
      <c r="ER3" s="212"/>
      <c r="ES3" s="212"/>
      <c r="ET3" s="212"/>
      <c r="EU3" s="212"/>
      <c r="EV3" s="212"/>
      <c r="EW3" s="212"/>
      <c r="EX3" s="212"/>
      <c r="EY3" s="212"/>
      <c r="EZ3" s="212"/>
      <c r="FA3" s="212"/>
      <c r="FB3" s="212"/>
      <c r="FC3" s="212"/>
    </row>
    <row r="4" spans="3:159" x14ac:dyDescent="0.3">
      <c r="C4" s="92" t="s">
        <v>122</v>
      </c>
      <c r="D4" s="212">
        <f>IF(D3="","",'Monthly Pro Forma'!O20/'A&amp;Rs'!$H$27)</f>
        <v>1.1417791666666666</v>
      </c>
      <c r="E4" s="212">
        <f>IF(E3="","",'Monthly Pro Forma'!P20/'A&amp;Rs'!$H$27)</f>
        <v>0.86152916666666668</v>
      </c>
      <c r="F4" s="212">
        <f>IF(F3="","",'Monthly Pro Forma'!Q20/'A&amp;Rs'!$H$27)</f>
        <v>0.86152916666666668</v>
      </c>
      <c r="G4" s="212">
        <f>IF(G3="","",'Monthly Pro Forma'!R20/'A&amp;Rs'!$H$27)</f>
        <v>1.0014958333333335</v>
      </c>
      <c r="H4" s="212">
        <f>IF(H3="","",'Monthly Pro Forma'!S20/'A&amp;Rs'!$H$27)</f>
        <v>1.0014958333333335</v>
      </c>
      <c r="I4" s="212">
        <f>IF(I3="","",'Monthly Pro Forma'!T20/'A&amp;Rs'!$H$27)</f>
        <v>0.89493750000000005</v>
      </c>
      <c r="J4" s="212">
        <f>IF(J3="","",'Monthly Pro Forma'!U20/'A&amp;Rs'!$H$27)</f>
        <v>1.1397208333333335</v>
      </c>
      <c r="K4" s="212">
        <f>IF(K3="","",'Monthly Pro Forma'!V20/'A&amp;Rs'!$H$27)</f>
        <v>0.91069166666666657</v>
      </c>
      <c r="L4" s="212">
        <f>IF(L3="","",'Monthly Pro Forma'!W20/'A&amp;Rs'!$H$27)</f>
        <v>0.77832499999999993</v>
      </c>
      <c r="M4" s="212">
        <f>IF(M3="","",'Monthly Pro Forma'!X20/'A&amp;Rs'!$H$27)</f>
        <v>0.77832499999999993</v>
      </c>
      <c r="N4" s="212">
        <f>IF(N3="","",'Monthly Pro Forma'!Y20/'A&amp;Rs'!$H$27)</f>
        <v>0.77832499999999993</v>
      </c>
      <c r="O4" s="212">
        <f>IF(O3="","",'Monthly Pro Forma'!Z20/'A&amp;Rs'!$H$27)</f>
        <v>1.0501041666666666</v>
      </c>
      <c r="P4" s="212">
        <f>IF(P3="","",'Monthly Pro Forma'!AA20/'A&amp;Rs'!$H$27)</f>
        <v>1.0894780416666667</v>
      </c>
      <c r="Q4" s="212">
        <f>IF(Q3="","",'Monthly Pro Forma'!AB20/'A&amp;Rs'!$H$27)</f>
        <v>1.0894780416666667</v>
      </c>
      <c r="R4" s="212">
        <f>IF(R3="","",'Monthly Pro Forma'!AC20/'A&amp;Rs'!$H$27)</f>
        <v>1.0894780416666667</v>
      </c>
      <c r="S4" s="212">
        <f>IF(S3="","",'Monthly Pro Forma'!AD20/'A&amp;Rs'!$H$27)</f>
        <v>1.0894780416666667</v>
      </c>
      <c r="T4" s="212">
        <f>IF(T3="","",'Monthly Pro Forma'!AE20/'A&amp;Rs'!$H$27)</f>
        <v>1.0894780416666667</v>
      </c>
      <c r="U4" s="212">
        <f>IF(U3="","",'Monthly Pro Forma'!AF20/'A&amp;Rs'!$H$27)</f>
        <v>1.4455317083333332</v>
      </c>
      <c r="V4" s="212">
        <f>IF(V3="","",'Monthly Pro Forma'!AG20/'A&amp;Rs'!$H$27)</f>
        <v>1.4455317083333332</v>
      </c>
      <c r="W4" s="212">
        <f>IF(W3="","",'Monthly Pro Forma'!AH20/'A&amp;Rs'!$H$27)</f>
        <v>1.4455317083333332</v>
      </c>
      <c r="X4" s="212">
        <f>IF(X3="","",'Monthly Pro Forma'!AI20/'A&amp;Rs'!$H$27)</f>
        <v>1.4455317083333332</v>
      </c>
      <c r="Y4" s="212">
        <f>IF(Y3="","",'Monthly Pro Forma'!AJ20/'A&amp;Rs'!$H$27)</f>
        <v>1.4455317083333332</v>
      </c>
      <c r="Z4" s="212">
        <f>IF(Z3="","",'Monthly Pro Forma'!AK20/'A&amp;Rs'!$H$27)</f>
        <v>1.4455317083333332</v>
      </c>
      <c r="AA4" s="212">
        <f>IF(AA3="","",'Monthly Pro Forma'!AL20/'A&amp;Rs'!$H$27)</f>
        <v>1.4455317083333332</v>
      </c>
      <c r="AB4" s="212">
        <f>IF(AB3="","",'Monthly Pro Forma'!AM20/'A&amp;Rs'!$H$27)</f>
        <v>1.4720038174999996</v>
      </c>
      <c r="AC4" s="212">
        <f>IF(AC3="","",'Monthly Pro Forma'!AN20/'A&amp;Rs'!$H$27)</f>
        <v>1.4720038174999996</v>
      </c>
      <c r="AD4" s="212">
        <f>IF(AD3="","",'Monthly Pro Forma'!AO20/'A&amp;Rs'!$H$27)</f>
        <v>1.4720038174999996</v>
      </c>
      <c r="AE4" s="212">
        <f>IF(AE3="","",'Monthly Pro Forma'!AP20/'A&amp;Rs'!$H$27)</f>
        <v>1.4720038174999996</v>
      </c>
      <c r="AF4" s="212">
        <f>IF(AF3="","",'Monthly Pro Forma'!AQ20/'A&amp;Rs'!$H$27)</f>
        <v>1.4720038174999996</v>
      </c>
      <c r="AG4" s="212">
        <f>IF(AG3="","",'Monthly Pro Forma'!AR20/'A&amp;Rs'!$H$27)</f>
        <v>1.4720038174999996</v>
      </c>
      <c r="AH4" s="212">
        <f>IF(AH3="","",'Monthly Pro Forma'!AS20/'A&amp;Rs'!$H$27)</f>
        <v>1.4720038174999996</v>
      </c>
      <c r="AI4" s="212">
        <f>IF(AI3="","",'Monthly Pro Forma'!AT20/'A&amp;Rs'!$H$27)</f>
        <v>1.4720038174999996</v>
      </c>
      <c r="AJ4" s="212">
        <f>IF(AJ3="","",'Monthly Pro Forma'!AU20/'A&amp;Rs'!$H$27)</f>
        <v>1.4720038174999996</v>
      </c>
      <c r="AK4" s="212">
        <f>IF(AK3="","",'Monthly Pro Forma'!AV20/'A&amp;Rs'!$H$27)</f>
        <v>1.4720038174999996</v>
      </c>
      <c r="AL4" s="212">
        <f>IF(AL3="","",'Monthly Pro Forma'!AW20/'A&amp;Rs'!$H$27)</f>
        <v>1.4720038174999996</v>
      </c>
      <c r="AM4" s="212">
        <f>IF(AM3="","",'Monthly Pro Forma'!AX20/'A&amp;Rs'!$H$27)</f>
        <v>1.4720038174999996</v>
      </c>
      <c r="AN4" s="212">
        <f>IF(AN3="","",'Monthly Pro Forma'!AY20/'A&amp;Rs'!$H$27)</f>
        <v>1.5161639320249998</v>
      </c>
      <c r="AO4" s="212">
        <f>IF(AO3="","",'Monthly Pro Forma'!AZ20/'A&amp;Rs'!$H$27)</f>
        <v>1.5161639320249998</v>
      </c>
      <c r="AP4" s="212">
        <f>IF(AP3="","",'Monthly Pro Forma'!BA20/'A&amp;Rs'!$H$27)</f>
        <v>1.5161639320249998</v>
      </c>
      <c r="AQ4" s="212">
        <f>IF(AQ3="","",'Monthly Pro Forma'!BB20/'A&amp;Rs'!$H$27)</f>
        <v>1.5161639320249998</v>
      </c>
      <c r="AR4" s="212">
        <f>IF(AR3="","",'Monthly Pro Forma'!BC20/'A&amp;Rs'!$H$27)</f>
        <v>1.5161639320249998</v>
      </c>
      <c r="AS4" s="212">
        <f>IF(AS3="","",'Monthly Pro Forma'!BD20/'A&amp;Rs'!$H$27)</f>
        <v>1.5161639320249998</v>
      </c>
      <c r="AT4" s="212">
        <f>IF(AT3="","",'Monthly Pro Forma'!BE20/'A&amp;Rs'!$H$27)</f>
        <v>1.5161639320249998</v>
      </c>
      <c r="AU4" s="212">
        <f>IF(AU3="","",'Monthly Pro Forma'!BF20/'A&amp;Rs'!$H$27)</f>
        <v>1.5161639320249998</v>
      </c>
      <c r="AV4" s="212">
        <f>IF(AV3="","",'Monthly Pro Forma'!BG20/'A&amp;Rs'!$H$27)</f>
        <v>1.5161639320249998</v>
      </c>
      <c r="AW4" s="212">
        <f>IF(AW3="","",'Monthly Pro Forma'!BH20/'A&amp;Rs'!$H$27)</f>
        <v>1.5161639320249998</v>
      </c>
      <c r="AX4" s="212">
        <f>IF(AX3="","",'Monthly Pro Forma'!BI20/'A&amp;Rs'!$H$27)</f>
        <v>1.5161639320249998</v>
      </c>
      <c r="AY4" s="212">
        <f>IF(AY3="","",'Monthly Pro Forma'!BJ20/'A&amp;Rs'!$H$27)</f>
        <v>1.5161639320249998</v>
      </c>
      <c r="AZ4" s="212">
        <f>IF(AZ3="","",'Monthly Pro Forma'!BK20/'A&amp;Rs'!$H$27)</f>
        <v>1.5616488499857506</v>
      </c>
      <c r="BA4" s="212">
        <f>IF(BA3="","",'Monthly Pro Forma'!BL20/'A&amp;Rs'!$H$27)</f>
        <v>1.5616488499857506</v>
      </c>
      <c r="BB4" s="212">
        <f>IF(BB3="","",'Monthly Pro Forma'!BM20/'A&amp;Rs'!$H$27)</f>
        <v>1.5616488499857506</v>
      </c>
      <c r="BC4" s="212">
        <f>IF(BC3="","",'Monthly Pro Forma'!BN20/'A&amp;Rs'!$H$27)</f>
        <v>1.5616488499857506</v>
      </c>
      <c r="BD4" s="212">
        <f>IF(BD3="","",'Monthly Pro Forma'!BO20/'A&amp;Rs'!$H$27)</f>
        <v>1.5616488499857506</v>
      </c>
      <c r="BE4" s="212">
        <f>IF(BE3="","",'Monthly Pro Forma'!BP20/'A&amp;Rs'!$H$27)</f>
        <v>1.5616488499857506</v>
      </c>
      <c r="BF4" s="212">
        <f>IF(BF3="","",'Monthly Pro Forma'!BQ20/'A&amp;Rs'!$H$27)</f>
        <v>1.5616488499857506</v>
      </c>
      <c r="BG4" s="212">
        <f>IF(BG3="","",'Monthly Pro Forma'!BR20/'A&amp;Rs'!$H$27)</f>
        <v>1.5616488499857506</v>
      </c>
      <c r="BH4" s="212">
        <f>IF(BH3="","",'Monthly Pro Forma'!BS20/'A&amp;Rs'!$H$27)</f>
        <v>1.5616488499857506</v>
      </c>
      <c r="BI4" s="212">
        <f>IF(BI3="","",'Monthly Pro Forma'!BT20/'A&amp;Rs'!$H$27)</f>
        <v>1.5616488499857506</v>
      </c>
      <c r="BJ4" s="212">
        <f>IF(BJ3="","",'Monthly Pro Forma'!BU20/'A&amp;Rs'!$H$27)</f>
        <v>1.5616488499857506</v>
      </c>
      <c r="BK4" s="212">
        <f>IF(BK3="","",'Monthly Pro Forma'!BV20/'A&amp;Rs'!$H$27)</f>
        <v>1.5616488499857506</v>
      </c>
      <c r="BL4" s="212" t="str">
        <f>IF(BL3="","",'Monthly Pro Forma'!BW20/'A&amp;Rs'!$H$27)</f>
        <v/>
      </c>
      <c r="BM4" s="212" t="str">
        <f>IF(BM3="","",'Monthly Pro Forma'!BX20/'A&amp;Rs'!$H$27)</f>
        <v/>
      </c>
      <c r="BN4" s="212" t="str">
        <f>IF(BN3="","",'Monthly Pro Forma'!BY20/'A&amp;Rs'!$H$27)</f>
        <v/>
      </c>
      <c r="BO4" s="212" t="str">
        <f>IF(BO3="","",'Monthly Pro Forma'!BZ20/'A&amp;Rs'!$H$27)</f>
        <v/>
      </c>
      <c r="BP4" s="212" t="str">
        <f>IF(BP3="","",'Monthly Pro Forma'!CA20/'A&amp;Rs'!$H$27)</f>
        <v/>
      </c>
      <c r="BQ4" s="212" t="str">
        <f>IF(BQ3="","",'Monthly Pro Forma'!CB20/'A&amp;Rs'!$H$27)</f>
        <v/>
      </c>
      <c r="BR4" s="212" t="str">
        <f>IF(BR3="","",'Monthly Pro Forma'!CC20/'A&amp;Rs'!$H$27)</f>
        <v/>
      </c>
      <c r="BS4" s="212" t="str">
        <f>IF(BS3="","",'Monthly Pro Forma'!CD20/'A&amp;Rs'!$H$27)</f>
        <v/>
      </c>
      <c r="BT4" s="212" t="str">
        <f>IF(BT3="","",'Monthly Pro Forma'!CE20/'A&amp;Rs'!$H$27)</f>
        <v/>
      </c>
      <c r="BU4" s="212" t="str">
        <f>IF(BU3="","",'Monthly Pro Forma'!CF20/'A&amp;Rs'!$H$27)</f>
        <v/>
      </c>
      <c r="BV4" s="212" t="str">
        <f>IF(BV3="","",'Monthly Pro Forma'!CG20/'A&amp;Rs'!$H$27)</f>
        <v/>
      </c>
      <c r="BW4" s="212" t="str">
        <f>IF(BW3="","",'Monthly Pro Forma'!CH20/'A&amp;Rs'!$H$27)</f>
        <v/>
      </c>
      <c r="BX4" s="212" t="str">
        <f>IF(BX3="","",'Monthly Pro Forma'!CI20/'A&amp;Rs'!$H$27)</f>
        <v/>
      </c>
      <c r="BY4" s="212" t="str">
        <f>IF(BY3="","",'Monthly Pro Forma'!CJ20/'A&amp;Rs'!$H$27)</f>
        <v/>
      </c>
      <c r="BZ4" s="212" t="str">
        <f>IF(BZ3="","",'Monthly Pro Forma'!CK20/'A&amp;Rs'!$H$27)</f>
        <v/>
      </c>
      <c r="CA4" s="212" t="str">
        <f>IF(CA3="","",'Monthly Pro Forma'!CL20/'A&amp;Rs'!$H$27)</f>
        <v/>
      </c>
      <c r="CB4" s="212" t="str">
        <f>IF(CB3="","",'Monthly Pro Forma'!CM20/'A&amp;Rs'!$H$27)</f>
        <v/>
      </c>
      <c r="CC4" s="212" t="str">
        <f>IF(CC3="","",'Monthly Pro Forma'!CN20/'A&amp;Rs'!$H$27)</f>
        <v/>
      </c>
      <c r="CD4" s="212" t="str">
        <f>IF(CD3="","",'Monthly Pro Forma'!CO20/'A&amp;Rs'!$H$27)</f>
        <v/>
      </c>
      <c r="CE4" s="212" t="str">
        <f>IF(CE3="","",'Monthly Pro Forma'!CP20/'A&amp;Rs'!$H$27)</f>
        <v/>
      </c>
      <c r="CF4" s="212" t="str">
        <f>IF(CF3="","",'Monthly Pro Forma'!CQ20/'A&amp;Rs'!$H$27)</f>
        <v/>
      </c>
      <c r="CG4" s="212" t="str">
        <f>IF(CG3="","",'Monthly Pro Forma'!CR20/'A&amp;Rs'!$H$27)</f>
        <v/>
      </c>
      <c r="CH4" s="212" t="str">
        <f>IF(CH3="","",'Monthly Pro Forma'!CS20/'A&amp;Rs'!$H$27)</f>
        <v/>
      </c>
      <c r="CI4" s="212" t="str">
        <f>IF(CI3="","",'Monthly Pro Forma'!CT20/'A&amp;Rs'!$H$27)</f>
        <v/>
      </c>
      <c r="CJ4" s="212" t="str">
        <f>IF(CJ3="","",'Monthly Pro Forma'!CU20/'A&amp;Rs'!$H$27)</f>
        <v/>
      </c>
      <c r="CK4" s="212" t="str">
        <f>IF(CK3="","",'Monthly Pro Forma'!CV20/'A&amp;Rs'!$H$27)</f>
        <v/>
      </c>
      <c r="CL4" s="212" t="str">
        <f>IF(CL3="","",'Monthly Pro Forma'!CW20/'A&amp;Rs'!$H$27)</f>
        <v/>
      </c>
      <c r="CM4" s="212" t="str">
        <f>IF(CM3="","",'Monthly Pro Forma'!CX20/'A&amp;Rs'!$H$27)</f>
        <v/>
      </c>
      <c r="CN4" s="212" t="str">
        <f>IF(CN3="","",'Monthly Pro Forma'!CY20/'A&amp;Rs'!$H$27)</f>
        <v/>
      </c>
      <c r="CO4" s="212" t="str">
        <f>IF(CO3="","",'Monthly Pro Forma'!CZ20/'A&amp;Rs'!$H$27)</f>
        <v/>
      </c>
      <c r="CP4" s="212" t="str">
        <f>IF(CP3="","",'Monthly Pro Forma'!DA20/'A&amp;Rs'!$H$27)</f>
        <v/>
      </c>
      <c r="CQ4" s="212" t="str">
        <f>IF(CQ3="","",'Monthly Pro Forma'!DB20/'A&amp;Rs'!$H$27)</f>
        <v/>
      </c>
      <c r="CR4" s="212" t="str">
        <f>IF(CR3="","",'Monthly Pro Forma'!DC20/'A&amp;Rs'!$H$27)</f>
        <v/>
      </c>
      <c r="CS4" s="212" t="str">
        <f>IF(CS3="","",'Monthly Pro Forma'!DD20/'A&amp;Rs'!$H$27)</f>
        <v/>
      </c>
      <c r="CT4" s="212" t="str">
        <f>IF(CT3="","",'Monthly Pro Forma'!DE20/'A&amp;Rs'!$H$27)</f>
        <v/>
      </c>
      <c r="CU4" s="212" t="str">
        <f>IF(CU3="","",'Monthly Pro Forma'!DF20/'A&amp;Rs'!$H$27)</f>
        <v/>
      </c>
      <c r="CV4" s="212" t="str">
        <f>IF(CV3="","",'Monthly Pro Forma'!DG20/'A&amp;Rs'!$H$27)</f>
        <v/>
      </c>
      <c r="CW4" s="212" t="str">
        <f>IF(CW3="","",'Monthly Pro Forma'!DH20/'A&amp;Rs'!$H$27)</f>
        <v/>
      </c>
      <c r="CX4" s="212" t="str">
        <f>IF(CX3="","",'Monthly Pro Forma'!DI20/'A&amp;Rs'!$H$27)</f>
        <v/>
      </c>
      <c r="CY4" s="212" t="str">
        <f>IF(CY3="","",'Monthly Pro Forma'!DJ20/'A&amp;Rs'!$H$27)</f>
        <v/>
      </c>
      <c r="CZ4" s="212" t="str">
        <f>IF(CZ3="","",'Monthly Pro Forma'!DK20/'A&amp;Rs'!$H$27)</f>
        <v/>
      </c>
      <c r="DA4" s="212" t="str">
        <f>IF(DA3="","",'Monthly Pro Forma'!DL20/'A&amp;Rs'!$H$27)</f>
        <v/>
      </c>
      <c r="DB4" s="212" t="str">
        <f>IF(DB3="","",'Monthly Pro Forma'!DM20/'A&amp;Rs'!$H$27)</f>
        <v/>
      </c>
      <c r="DC4" s="212" t="str">
        <f>IF(DC3="","",'Monthly Pro Forma'!DN20/'A&amp;Rs'!$H$27)</f>
        <v/>
      </c>
      <c r="DD4" s="212" t="str">
        <f>IF(DD3="","",'Monthly Pro Forma'!DO20/'A&amp;Rs'!$H$27)</f>
        <v/>
      </c>
      <c r="DE4" s="212" t="str">
        <f>IF(DE3="","",'Monthly Pro Forma'!DP20/'A&amp;Rs'!$H$27)</f>
        <v/>
      </c>
      <c r="DF4" s="212" t="str">
        <f>IF(DF3="","",'Monthly Pro Forma'!DQ20/'A&amp;Rs'!$H$27)</f>
        <v/>
      </c>
      <c r="DG4" s="212" t="str">
        <f>IF(DG3="","",'Monthly Pro Forma'!DR20/'A&amp;Rs'!$H$27)</f>
        <v/>
      </c>
      <c r="DH4" s="212" t="str">
        <f>IF(DH3="","",'Monthly Pro Forma'!DS20/'A&amp;Rs'!$H$27)</f>
        <v/>
      </c>
      <c r="DI4" s="212" t="str">
        <f>IF(DI3="","",'Monthly Pro Forma'!DT20/'A&amp;Rs'!$H$27)</f>
        <v/>
      </c>
      <c r="DJ4" s="212" t="str">
        <f>IF(DJ3="","",'Monthly Pro Forma'!DU20/'A&amp;Rs'!$H$27)</f>
        <v/>
      </c>
      <c r="DK4" s="212" t="str">
        <f>IF(DK3="","",'Monthly Pro Forma'!DV20/'A&amp;Rs'!$H$27)</f>
        <v/>
      </c>
      <c r="DL4" s="212" t="str">
        <f>IF(DL3="","",'Monthly Pro Forma'!DW20/'A&amp;Rs'!$H$27)</f>
        <v/>
      </c>
      <c r="DM4" s="212" t="str">
        <f>IF(DM3="","",'Monthly Pro Forma'!DX20/'A&amp;Rs'!$H$27)</f>
        <v/>
      </c>
      <c r="DN4" s="212" t="str">
        <f>IF(DN3="","",'Monthly Pro Forma'!DY20/'A&amp;Rs'!$H$27)</f>
        <v/>
      </c>
      <c r="DO4" s="212" t="str">
        <f>IF(DO3="","",'Monthly Pro Forma'!DZ20/'A&amp;Rs'!$H$27)</f>
        <v/>
      </c>
      <c r="DP4" s="212" t="str">
        <f>IF(DP3="","",'Monthly Pro Forma'!EA20/'A&amp;Rs'!$H$27)</f>
        <v/>
      </c>
      <c r="DQ4" s="212" t="str">
        <f>IF(DQ3="","",'Monthly Pro Forma'!EB20/'A&amp;Rs'!$H$27)</f>
        <v/>
      </c>
      <c r="DR4" s="212" t="str">
        <f>IF(DR3="","",'Monthly Pro Forma'!EC20/'A&amp;Rs'!$H$27)</f>
        <v/>
      </c>
      <c r="DS4" s="212" t="str">
        <f>IF(DS3="","",'Monthly Pro Forma'!ED20/'A&amp;Rs'!$H$27)</f>
        <v/>
      </c>
      <c r="DT4" s="212"/>
      <c r="DU4" s="212" t="s">
        <v>54</v>
      </c>
      <c r="DV4" s="213">
        <v>2</v>
      </c>
      <c r="DW4" s="212" t="s">
        <v>97</v>
      </c>
      <c r="DX4" s="212"/>
      <c r="DY4" s="212"/>
      <c r="DZ4" s="212"/>
      <c r="EA4" s="212"/>
      <c r="EB4" s="212"/>
      <c r="EC4" s="212"/>
      <c r="ED4" s="212"/>
      <c r="EE4" s="212"/>
      <c r="EF4" s="212"/>
      <c r="EG4" s="212"/>
      <c r="EH4" s="212"/>
      <c r="EI4" s="212"/>
      <c r="EJ4" s="212"/>
      <c r="EK4" s="212"/>
      <c r="EL4" s="212"/>
      <c r="EM4" s="212"/>
      <c r="EN4" s="212"/>
      <c r="EO4" s="212"/>
      <c r="EP4" s="212"/>
      <c r="EQ4" s="212"/>
      <c r="ER4" s="212"/>
      <c r="ES4" s="212"/>
      <c r="ET4" s="212"/>
      <c r="EU4" s="212"/>
      <c r="EV4" s="212"/>
      <c r="EW4" s="212"/>
      <c r="EX4" s="212"/>
      <c r="EY4" s="212"/>
      <c r="EZ4" s="212"/>
      <c r="FA4" s="212"/>
      <c r="FB4" s="212"/>
      <c r="FC4" s="212"/>
    </row>
    <row r="5" spans="3:159" x14ac:dyDescent="0.3">
      <c r="C5" s="92" t="s">
        <v>123</v>
      </c>
      <c r="D5" s="212">
        <f>IF(D4="","",'Monthly Pro Forma'!O31/'A&amp;Rs'!$H$27)</f>
        <v>0.47170100007575805</v>
      </c>
      <c r="E5" s="212">
        <f>IF(E4="","",'Monthly Pro Forma'!P31/'A&amp;Rs'!$H$27)</f>
        <v>0.19985850007575814</v>
      </c>
      <c r="F5" s="212">
        <f>IF(F4="","",'Monthly Pro Forma'!Q31/'A&amp;Rs'!$H$27)</f>
        <v>0.19985850007575814</v>
      </c>
      <c r="G5" s="212">
        <f>IF(G4="","",'Monthly Pro Forma'!R31/'A&amp;Rs'!$H$27)</f>
        <v>0.33562616674242479</v>
      </c>
      <c r="H5" s="212">
        <f>IF(H4="","",'Monthly Pro Forma'!S31/'A&amp;Rs'!$H$27)</f>
        <v>0.33562616674242479</v>
      </c>
      <c r="I5" s="212">
        <f>IF(I4="","",'Monthly Pro Forma'!T31/'A&amp;Rs'!$H$27)</f>
        <v>0.23226458340909145</v>
      </c>
      <c r="J5" s="212">
        <f>IF(J4="","",'Monthly Pro Forma'!U31/'A&amp;Rs'!$H$27)</f>
        <v>0.4697044167424248</v>
      </c>
      <c r="K5" s="212">
        <f>IF(K4="","",'Monthly Pro Forma'!V31/'A&amp;Rs'!$H$27)</f>
        <v>0.24754612507575802</v>
      </c>
      <c r="L5" s="212">
        <f>IF(L4="","",'Monthly Pro Forma'!W31/'A&amp;Rs'!$H$27)</f>
        <v>0.1191504584090914</v>
      </c>
      <c r="M5" s="212">
        <f>IF(M4="","",'Monthly Pro Forma'!X31/'A&amp;Rs'!$H$27)</f>
        <v>0.1191504584090914</v>
      </c>
      <c r="N5" s="212">
        <f>IF(N4="","",'Monthly Pro Forma'!Y31/'A&amp;Rs'!$H$27)</f>
        <v>0.1191504584090914</v>
      </c>
      <c r="O5" s="212">
        <f>IF(O4="","",'Monthly Pro Forma'!Z31/'A&amp;Rs'!$H$27)</f>
        <v>0.38277625007575805</v>
      </c>
      <c r="P5" s="212">
        <f>IF(P4="","",'Monthly Pro Forma'!AA31/'A&amp;Rs'!$H$27)</f>
        <v>0.4209689088257581</v>
      </c>
      <c r="Q5" s="212">
        <f>IF(Q4="","",'Monthly Pro Forma'!AB31/'A&amp;Rs'!$H$27)</f>
        <v>0.4209689088257581</v>
      </c>
      <c r="R5" s="212">
        <f>IF(R4="","",'Monthly Pro Forma'!AC31/'A&amp;Rs'!$H$27)</f>
        <v>0.4209689088257581</v>
      </c>
      <c r="S5" s="212">
        <f>IF(S4="","",'Monthly Pro Forma'!AD31/'A&amp;Rs'!$H$27)</f>
        <v>0.4209689088257581</v>
      </c>
      <c r="T5" s="212">
        <f>IF(T4="","",'Monthly Pro Forma'!AE31/'A&amp;Rs'!$H$27)</f>
        <v>0.4209689088257581</v>
      </c>
      <c r="U5" s="212">
        <f>IF(U4="","",'Monthly Pro Forma'!AF31/'A&amp;Rs'!$H$27)</f>
        <v>0.76634096549242481</v>
      </c>
      <c r="V5" s="212">
        <f>IF(V4="","",'Monthly Pro Forma'!AG31/'A&amp;Rs'!$H$27)</f>
        <v>0.76634096549242481</v>
      </c>
      <c r="W5" s="212">
        <f>IF(W4="","",'Monthly Pro Forma'!AH31/'A&amp;Rs'!$H$27)</f>
        <v>0.76634096549242481</v>
      </c>
      <c r="X5" s="212">
        <f>IF(X4="","",'Monthly Pro Forma'!AI31/'A&amp;Rs'!$H$27)</f>
        <v>0.76634096549242481</v>
      </c>
      <c r="Y5" s="212">
        <f>IF(Y4="","",'Monthly Pro Forma'!AJ31/'A&amp;Rs'!$H$27)</f>
        <v>0.76634096549242481</v>
      </c>
      <c r="Z5" s="212">
        <f>IF(Z4="","",'Monthly Pro Forma'!AK31/'A&amp;Rs'!$H$27)</f>
        <v>0.76634096549242481</v>
      </c>
      <c r="AA5" s="212">
        <f>IF(AA4="","",'Monthly Pro Forma'!AL31/'A&amp;Rs'!$H$27)</f>
        <v>0.76634096549242481</v>
      </c>
      <c r="AB5" s="212">
        <f>IF(AB4="","",'Monthly Pro Forma'!AM31/'A&amp;Rs'!$H$27)</f>
        <v>0.79201891138409108</v>
      </c>
      <c r="AC5" s="212">
        <f>IF(AC4="","",'Monthly Pro Forma'!AN31/'A&amp;Rs'!$H$27)</f>
        <v>0.79201891138409108</v>
      </c>
      <c r="AD5" s="212">
        <f>IF(AD4="","",'Monthly Pro Forma'!AO31/'A&amp;Rs'!$H$27)</f>
        <v>0.79201891138409108</v>
      </c>
      <c r="AE5" s="212">
        <f>IF(AE4="","",'Monthly Pro Forma'!AP31/'A&amp;Rs'!$H$27)</f>
        <v>0.79201891138409108</v>
      </c>
      <c r="AF5" s="212">
        <f>IF(AF4="","",'Monthly Pro Forma'!AQ31/'A&amp;Rs'!$H$27)</f>
        <v>0.79201891138409108</v>
      </c>
      <c r="AG5" s="212">
        <f>IF(AG4="","",'Monthly Pro Forma'!AR31/'A&amp;Rs'!$H$27)</f>
        <v>0.79201891138409108</v>
      </c>
      <c r="AH5" s="212">
        <f>IF(AH4="","",'Monthly Pro Forma'!AS31/'A&amp;Rs'!$H$27)</f>
        <v>0.79201891138409108</v>
      </c>
      <c r="AI5" s="212">
        <f>IF(AI4="","",'Monthly Pro Forma'!AT31/'A&amp;Rs'!$H$27)</f>
        <v>0.79201891138409108</v>
      </c>
      <c r="AJ5" s="212">
        <f>IF(AJ4="","",'Monthly Pro Forma'!AU31/'A&amp;Rs'!$H$27)</f>
        <v>0.79201891138409108</v>
      </c>
      <c r="AK5" s="212">
        <f>IF(AK4="","",'Monthly Pro Forma'!AV31/'A&amp;Rs'!$H$27)</f>
        <v>0.79201891138409108</v>
      </c>
      <c r="AL5" s="212">
        <f>IF(AL4="","",'Monthly Pro Forma'!AW31/'A&amp;Rs'!$H$27)</f>
        <v>0.79201891138409108</v>
      </c>
      <c r="AM5" s="212">
        <f>IF(AM4="","",'Monthly Pro Forma'!AX31/'A&amp;Rs'!$H$27)</f>
        <v>0.79201891138409108</v>
      </c>
      <c r="AN5" s="212">
        <f>IF(AN4="","",'Monthly Pro Forma'!AY31/'A&amp;Rs'!$H$27)</f>
        <v>0.83485422247334118</v>
      </c>
      <c r="AO5" s="212">
        <f>IF(AO4="","",'Monthly Pro Forma'!AZ31/'A&amp;Rs'!$H$27)</f>
        <v>0.83485422247334118</v>
      </c>
      <c r="AP5" s="212">
        <f>IF(AP4="","",'Monthly Pro Forma'!BA31/'A&amp;Rs'!$H$27)</f>
        <v>0.83485422247334118</v>
      </c>
      <c r="AQ5" s="212">
        <f>IF(AQ4="","",'Monthly Pro Forma'!BB31/'A&amp;Rs'!$H$27)</f>
        <v>0.83485422247334118</v>
      </c>
      <c r="AR5" s="212">
        <f>IF(AR4="","",'Monthly Pro Forma'!BC31/'A&amp;Rs'!$H$27)</f>
        <v>0.83485422247334118</v>
      </c>
      <c r="AS5" s="212">
        <f>IF(AS4="","",'Monthly Pro Forma'!BD31/'A&amp;Rs'!$H$27)</f>
        <v>0.83485422247334118</v>
      </c>
      <c r="AT5" s="212">
        <f>IF(AT4="","",'Monthly Pro Forma'!BE31/'A&amp;Rs'!$H$27)</f>
        <v>0.83485422247334118</v>
      </c>
      <c r="AU5" s="212">
        <f>IF(AU4="","",'Monthly Pro Forma'!BF31/'A&amp;Rs'!$H$27)</f>
        <v>0.83485422247334118</v>
      </c>
      <c r="AV5" s="212">
        <f>IF(AV4="","",'Monthly Pro Forma'!BG31/'A&amp;Rs'!$H$27)</f>
        <v>0.83485422247334118</v>
      </c>
      <c r="AW5" s="212">
        <f>IF(AW4="","",'Monthly Pro Forma'!BH31/'A&amp;Rs'!$H$27)</f>
        <v>0.83485422247334118</v>
      </c>
      <c r="AX5" s="212">
        <f>IF(AX4="","",'Monthly Pro Forma'!BI31/'A&amp;Rs'!$H$27)</f>
        <v>0.83485422247334118</v>
      </c>
      <c r="AY5" s="212">
        <f>IF(AY4="","",'Monthly Pro Forma'!BJ31/'A&amp;Rs'!$H$27)</f>
        <v>0.83485422247334118</v>
      </c>
      <c r="AZ5" s="212">
        <f>IF(AZ4="","",'Monthly Pro Forma'!BK31/'A&amp;Rs'!$H$27)</f>
        <v>0.87897459289526936</v>
      </c>
      <c r="BA5" s="212">
        <f>IF(BA4="","",'Monthly Pro Forma'!BL31/'A&amp;Rs'!$H$27)</f>
        <v>0.87897459289526936</v>
      </c>
      <c r="BB5" s="212">
        <f>IF(BB4="","",'Monthly Pro Forma'!BM31/'A&amp;Rs'!$H$27)</f>
        <v>0.87897459289526936</v>
      </c>
      <c r="BC5" s="212">
        <f>IF(BC4="","",'Monthly Pro Forma'!BN31/'A&amp;Rs'!$H$27)</f>
        <v>0.87897459289526936</v>
      </c>
      <c r="BD5" s="212">
        <f>IF(BD4="","",'Monthly Pro Forma'!BO31/'A&amp;Rs'!$H$27)</f>
        <v>0.87897459289526936</v>
      </c>
      <c r="BE5" s="212">
        <f>IF(BE4="","",'Monthly Pro Forma'!BP31/'A&amp;Rs'!$H$27)</f>
        <v>0.87897459289526936</v>
      </c>
      <c r="BF5" s="212">
        <f>IF(BF4="","",'Monthly Pro Forma'!BQ31/'A&amp;Rs'!$H$27)</f>
        <v>0.87897459289526936</v>
      </c>
      <c r="BG5" s="212">
        <f>IF(BG4="","",'Monthly Pro Forma'!BR31/'A&amp;Rs'!$H$27)</f>
        <v>0.87897459289526936</v>
      </c>
      <c r="BH5" s="212">
        <f>IF(BH4="","",'Monthly Pro Forma'!BS31/'A&amp;Rs'!$H$27)</f>
        <v>0.87897459289526936</v>
      </c>
      <c r="BI5" s="212">
        <f>IF(BI4="","",'Monthly Pro Forma'!BT31/'A&amp;Rs'!$H$27)</f>
        <v>0.87897459289526936</v>
      </c>
      <c r="BJ5" s="212">
        <f>IF(BJ4="","",'Monthly Pro Forma'!BU31/'A&amp;Rs'!$H$27)</f>
        <v>0.87897459289526936</v>
      </c>
      <c r="BK5" s="212">
        <f>IF(BK4="","",'Monthly Pro Forma'!BV31/'A&amp;Rs'!$H$27)</f>
        <v>0.87897459289526936</v>
      </c>
      <c r="BL5" s="212" t="str">
        <f>IF(BL4="","",'Monthly Pro Forma'!BW31/'A&amp;Rs'!$H$27)</f>
        <v/>
      </c>
      <c r="BM5" s="212" t="str">
        <f>IF(BM4="","",'Monthly Pro Forma'!BX31/'A&amp;Rs'!$H$27)</f>
        <v/>
      </c>
      <c r="BN5" s="212" t="str">
        <f>IF(BN4="","",'Monthly Pro Forma'!BY31/'A&amp;Rs'!$H$27)</f>
        <v/>
      </c>
      <c r="BO5" s="212" t="str">
        <f>IF(BO4="","",'Monthly Pro Forma'!BZ31/'A&amp;Rs'!$H$27)</f>
        <v/>
      </c>
      <c r="BP5" s="212" t="str">
        <f>IF(BP4="","",'Monthly Pro Forma'!CA31/'A&amp;Rs'!$H$27)</f>
        <v/>
      </c>
      <c r="BQ5" s="212" t="str">
        <f>IF(BQ4="","",'Monthly Pro Forma'!CB31/'A&amp;Rs'!$H$27)</f>
        <v/>
      </c>
      <c r="BR5" s="212" t="str">
        <f>IF(BR4="","",'Monthly Pro Forma'!CC31/'A&amp;Rs'!$H$27)</f>
        <v/>
      </c>
      <c r="BS5" s="212" t="str">
        <f>IF(BS4="","",'Monthly Pro Forma'!CD31/'A&amp;Rs'!$H$27)</f>
        <v/>
      </c>
      <c r="BT5" s="212" t="str">
        <f>IF(BT4="","",'Monthly Pro Forma'!CE31/'A&amp;Rs'!$H$27)</f>
        <v/>
      </c>
      <c r="BU5" s="212" t="str">
        <f>IF(BU4="","",'Monthly Pro Forma'!CF31/'A&amp;Rs'!$H$27)</f>
        <v/>
      </c>
      <c r="BV5" s="212" t="str">
        <f>IF(BV4="","",'Monthly Pro Forma'!CG31/'A&amp;Rs'!$H$27)</f>
        <v/>
      </c>
      <c r="BW5" s="212" t="str">
        <f>IF(BW4="","",'Monthly Pro Forma'!CH31/'A&amp;Rs'!$H$27)</f>
        <v/>
      </c>
      <c r="BX5" s="212" t="str">
        <f>IF(BX4="","",'Monthly Pro Forma'!CI31/'A&amp;Rs'!$H$27)</f>
        <v/>
      </c>
      <c r="BY5" s="212" t="str">
        <f>IF(BY4="","",'Monthly Pro Forma'!CJ31/'A&amp;Rs'!$H$27)</f>
        <v/>
      </c>
      <c r="BZ5" s="212" t="str">
        <f>IF(BZ4="","",'Monthly Pro Forma'!CK31/'A&amp;Rs'!$H$27)</f>
        <v/>
      </c>
      <c r="CA5" s="212" t="str">
        <f>IF(CA4="","",'Monthly Pro Forma'!CL31/'A&amp;Rs'!$H$27)</f>
        <v/>
      </c>
      <c r="CB5" s="212" t="str">
        <f>IF(CB4="","",'Monthly Pro Forma'!CM31/'A&amp;Rs'!$H$27)</f>
        <v/>
      </c>
      <c r="CC5" s="212" t="str">
        <f>IF(CC4="","",'Monthly Pro Forma'!CN31/'A&amp;Rs'!$H$27)</f>
        <v/>
      </c>
      <c r="CD5" s="212" t="str">
        <f>IF(CD4="","",'Monthly Pro Forma'!CO31/'A&amp;Rs'!$H$27)</f>
        <v/>
      </c>
      <c r="CE5" s="212" t="str">
        <f>IF(CE4="","",'Monthly Pro Forma'!CP31/'A&amp;Rs'!$H$27)</f>
        <v/>
      </c>
      <c r="CF5" s="212" t="str">
        <f>IF(CF4="","",'Monthly Pro Forma'!CQ31/'A&amp;Rs'!$H$27)</f>
        <v/>
      </c>
      <c r="CG5" s="212" t="str">
        <f>IF(CG4="","",'Monthly Pro Forma'!CR31/'A&amp;Rs'!$H$27)</f>
        <v/>
      </c>
      <c r="CH5" s="212" t="str">
        <f>IF(CH4="","",'Monthly Pro Forma'!CS31/'A&amp;Rs'!$H$27)</f>
        <v/>
      </c>
      <c r="CI5" s="212" t="str">
        <f>IF(CI4="","",'Monthly Pro Forma'!CT31/'A&amp;Rs'!$H$27)</f>
        <v/>
      </c>
      <c r="CJ5" s="212" t="str">
        <f>IF(CJ4="","",'Monthly Pro Forma'!CU31/'A&amp;Rs'!$H$27)</f>
        <v/>
      </c>
      <c r="CK5" s="212" t="str">
        <f>IF(CK4="","",'Monthly Pro Forma'!CV31/'A&amp;Rs'!$H$27)</f>
        <v/>
      </c>
      <c r="CL5" s="212" t="str">
        <f>IF(CL4="","",'Monthly Pro Forma'!CW31/'A&amp;Rs'!$H$27)</f>
        <v/>
      </c>
      <c r="CM5" s="212" t="str">
        <f>IF(CM4="","",'Monthly Pro Forma'!CX31/'A&amp;Rs'!$H$27)</f>
        <v/>
      </c>
      <c r="CN5" s="212" t="str">
        <f>IF(CN4="","",'Monthly Pro Forma'!CY31/'A&amp;Rs'!$H$27)</f>
        <v/>
      </c>
      <c r="CO5" s="212" t="str">
        <f>IF(CO4="","",'Monthly Pro Forma'!CZ31/'A&amp;Rs'!$H$27)</f>
        <v/>
      </c>
      <c r="CP5" s="212" t="str">
        <f>IF(CP4="","",'Monthly Pro Forma'!DA31/'A&amp;Rs'!$H$27)</f>
        <v/>
      </c>
      <c r="CQ5" s="212" t="str">
        <f>IF(CQ4="","",'Monthly Pro Forma'!DB31/'A&amp;Rs'!$H$27)</f>
        <v/>
      </c>
      <c r="CR5" s="212" t="str">
        <f>IF(CR4="","",'Monthly Pro Forma'!DC31/'A&amp;Rs'!$H$27)</f>
        <v/>
      </c>
      <c r="CS5" s="212" t="str">
        <f>IF(CS4="","",'Monthly Pro Forma'!DD31/'A&amp;Rs'!$H$27)</f>
        <v/>
      </c>
      <c r="CT5" s="212" t="str">
        <f>IF(CT4="","",'Monthly Pro Forma'!DE31/'A&amp;Rs'!$H$27)</f>
        <v/>
      </c>
      <c r="CU5" s="212" t="str">
        <f>IF(CU4="","",'Monthly Pro Forma'!DF31/'A&amp;Rs'!$H$27)</f>
        <v/>
      </c>
      <c r="CV5" s="212" t="str">
        <f>IF(CV4="","",'Monthly Pro Forma'!DG31/'A&amp;Rs'!$H$27)</f>
        <v/>
      </c>
      <c r="CW5" s="212" t="str">
        <f>IF(CW4="","",'Monthly Pro Forma'!DH31/'A&amp;Rs'!$H$27)</f>
        <v/>
      </c>
      <c r="CX5" s="212" t="str">
        <f>IF(CX4="","",'Monthly Pro Forma'!DI31/'A&amp;Rs'!$H$27)</f>
        <v/>
      </c>
      <c r="CY5" s="212" t="str">
        <f>IF(CY4="","",'Monthly Pro Forma'!DJ31/'A&amp;Rs'!$H$27)</f>
        <v/>
      </c>
      <c r="CZ5" s="212" t="str">
        <f>IF(CZ4="","",'Monthly Pro Forma'!DK31/'A&amp;Rs'!$H$27)</f>
        <v/>
      </c>
      <c r="DA5" s="212" t="str">
        <f>IF(DA4="","",'Monthly Pro Forma'!DL31/'A&amp;Rs'!$H$27)</f>
        <v/>
      </c>
      <c r="DB5" s="212" t="str">
        <f>IF(DB4="","",'Monthly Pro Forma'!DM31/'A&amp;Rs'!$H$27)</f>
        <v/>
      </c>
      <c r="DC5" s="212" t="str">
        <f>IF(DC4="","",'Monthly Pro Forma'!DN31/'A&amp;Rs'!$H$27)</f>
        <v/>
      </c>
      <c r="DD5" s="212" t="str">
        <f>IF(DD4="","",'Monthly Pro Forma'!DO31/'A&amp;Rs'!$H$27)</f>
        <v/>
      </c>
      <c r="DE5" s="212" t="str">
        <f>IF(DE4="","",'Monthly Pro Forma'!DP31/'A&amp;Rs'!$H$27)</f>
        <v/>
      </c>
      <c r="DF5" s="212" t="str">
        <f>IF(DF4="","",'Monthly Pro Forma'!DQ31/'A&amp;Rs'!$H$27)</f>
        <v/>
      </c>
      <c r="DG5" s="212" t="str">
        <f>IF(DG4="","",'Monthly Pro Forma'!DR31/'A&amp;Rs'!$H$27)</f>
        <v/>
      </c>
      <c r="DH5" s="212" t="str">
        <f>IF(DH4="","",'Monthly Pro Forma'!DS31/'A&amp;Rs'!$H$27)</f>
        <v/>
      </c>
      <c r="DI5" s="212" t="str">
        <f>IF(DI4="","",'Monthly Pro Forma'!DT31/'A&amp;Rs'!$H$27)</f>
        <v/>
      </c>
      <c r="DJ5" s="212" t="str">
        <f>IF(DJ4="","",'Monthly Pro Forma'!DU31/'A&amp;Rs'!$H$27)</f>
        <v/>
      </c>
      <c r="DK5" s="212" t="str">
        <f>IF(DK4="","",'Monthly Pro Forma'!DV31/'A&amp;Rs'!$H$27)</f>
        <v/>
      </c>
      <c r="DL5" s="212" t="str">
        <f>IF(DL4="","",'Monthly Pro Forma'!DW31/'A&amp;Rs'!$H$27)</f>
        <v/>
      </c>
      <c r="DM5" s="212" t="str">
        <f>IF(DM4="","",'Monthly Pro Forma'!DX31/'A&amp;Rs'!$H$27)</f>
        <v/>
      </c>
      <c r="DN5" s="212" t="str">
        <f>IF(DN4="","",'Monthly Pro Forma'!DY31/'A&amp;Rs'!$H$27)</f>
        <v/>
      </c>
      <c r="DO5" s="212" t="str">
        <f>IF(DO4="","",'Monthly Pro Forma'!DZ31/'A&amp;Rs'!$H$27)</f>
        <v/>
      </c>
      <c r="DP5" s="212" t="str">
        <f>IF(DP4="","",'Monthly Pro Forma'!EA31/'A&amp;Rs'!$H$27)</f>
        <v/>
      </c>
      <c r="DQ5" s="212" t="str">
        <f>IF(DQ4="","",'Monthly Pro Forma'!EB31/'A&amp;Rs'!$H$27)</f>
        <v/>
      </c>
      <c r="DR5" s="212" t="str">
        <f>IF(DR4="","",'Monthly Pro Forma'!EC31/'A&amp;Rs'!$H$27)</f>
        <v/>
      </c>
      <c r="DS5" s="212" t="str">
        <f>IF(DS4="","",'Monthly Pro Forma'!ED31/'A&amp;Rs'!$H$27)</f>
        <v/>
      </c>
      <c r="DT5" s="212"/>
      <c r="DU5" s="212"/>
      <c r="DV5" s="213">
        <v>3</v>
      </c>
      <c r="DW5" s="212" t="s">
        <v>147</v>
      </c>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row>
    <row r="6" spans="3:159" x14ac:dyDescent="0.3">
      <c r="DV6" s="213">
        <v>4</v>
      </c>
      <c r="DW6" s="92" t="s">
        <v>148</v>
      </c>
    </row>
    <row r="7" spans="3:159" x14ac:dyDescent="0.3">
      <c r="DV7" s="213">
        <v>5</v>
      </c>
      <c r="DW7" s="92" t="s">
        <v>149</v>
      </c>
    </row>
    <row r="8" spans="3:159" x14ac:dyDescent="0.3">
      <c r="DV8" s="213">
        <v>6</v>
      </c>
    </row>
    <row r="9" spans="3:159" x14ac:dyDescent="0.3">
      <c r="DV9" s="213">
        <v>7</v>
      </c>
    </row>
    <row r="10" spans="3:159" x14ac:dyDescent="0.3">
      <c r="DV10" s="213">
        <v>8</v>
      </c>
    </row>
    <row r="11" spans="3:159" x14ac:dyDescent="0.3">
      <c r="DV11" s="213">
        <v>9</v>
      </c>
    </row>
    <row r="12" spans="3:159" x14ac:dyDescent="0.3">
      <c r="DV12" s="213">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Version</vt:lpstr>
      <vt:lpstr>A&amp;Rs</vt:lpstr>
      <vt:lpstr>UnitsBreakdown</vt:lpstr>
      <vt:lpstr>Monthly Pro Forma</vt:lpstr>
      <vt:lpstr>YearProForma&amp;Returns</vt:lpstr>
      <vt:lpstr>Amortization Schedule</vt:lpstr>
      <vt:lpstr>Data</vt:lpstr>
      <vt:lpstr>'A&amp;Rs'!Print_Area</vt:lpstr>
      <vt:lpstr>'Monthly Pro Forma'!Print_Area</vt:lpstr>
      <vt:lpstr>'YearProForma&amp;Returns'!Print_Area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Belasco</dc:creator>
  <cp:lastModifiedBy>Rebeca Lopez</cp:lastModifiedBy>
  <dcterms:created xsi:type="dcterms:W3CDTF">2015-04-29T02:47:41Z</dcterms:created>
  <dcterms:modified xsi:type="dcterms:W3CDTF">2026-03-27T17:55:27Z</dcterms:modified>
</cp:coreProperties>
</file>