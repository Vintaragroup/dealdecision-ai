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uation - Allocation of Funds" sheetId="1" r:id="rId4"/>
    <sheet state="visible" name="Revenue" sheetId="2" r:id="rId5"/>
    <sheet state="visible" name="Allocation of funds" sheetId="3" r:id="rId6"/>
    <sheet state="visible" name="Sheet3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1">
      <text>
        <t xml:space="preserve">15 people per webinar and 1 per week. Expect 33% conversion rate and overall attrition rate of 40%
	-Athul Mohan</t>
      </text>
    </comment>
  </commentList>
</comments>
</file>

<file path=xl/sharedStrings.xml><?xml version="1.0" encoding="utf-8"?>
<sst xmlns="http://schemas.openxmlformats.org/spreadsheetml/2006/main" count="240" uniqueCount="103">
  <si>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</si>
  <si>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</si>
  <si>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</si>
  <si>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</si>
  <si>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</si>
  <si>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</si>
  <si>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</si>
  <si>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</si>
  <si>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</si>
  <si>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</si>
  <si>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</si>
  <si>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</si>
  <si>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Expenses Fixed</t>
  </si>
  <si>
    <t>MLS Feed</t>
  </si>
  <si>
    <t>Expenses Variable</t>
  </si>
  <si>
    <t>Payroll</t>
  </si>
  <si>
    <t>Design</t>
  </si>
  <si>
    <t>Operations (Strategic Relationships)</t>
  </si>
  <si>
    <t>Sales 1</t>
  </si>
  <si>
    <t>Sales 2</t>
  </si>
  <si>
    <t>Sales 3</t>
  </si>
  <si>
    <t>Sales 4</t>
  </si>
  <si>
    <t>Operations 2</t>
  </si>
  <si>
    <t>Customer Success</t>
  </si>
  <si>
    <t>Customer Support 2</t>
  </si>
  <si>
    <t>Project management</t>
  </si>
  <si>
    <t>Senior Dev</t>
  </si>
  <si>
    <t>Junior Dev</t>
  </si>
  <si>
    <t>Junior Dev 2</t>
  </si>
  <si>
    <t>Junior Dev 3</t>
  </si>
  <si>
    <t>Total</t>
  </si>
  <si>
    <t>Revenue</t>
  </si>
  <si>
    <t>Small MW deals</t>
  </si>
  <si>
    <t>$25 a month</t>
  </si>
  <si>
    <t>Weekly webinar</t>
  </si>
  <si>
    <t>15 minium attendance and 5 people a week</t>
  </si>
  <si>
    <t>Cost of driving people to Webinar</t>
  </si>
  <si>
    <t>Custom MW deals</t>
  </si>
  <si>
    <t>$2000 a month</t>
  </si>
  <si>
    <t>One signup every two months</t>
  </si>
  <si>
    <t>PMC</t>
  </si>
  <si>
    <t>Watchfile Enterprise</t>
  </si>
  <si>
    <t>$1 per record</t>
  </si>
  <si>
    <t>Watchfile Regular</t>
  </si>
  <si>
    <t>$2.50 per record</t>
  </si>
  <si>
    <t xml:space="preserve">Bulk Mail </t>
  </si>
  <si>
    <t>Click to Print</t>
  </si>
  <si>
    <t>Relax Annie Mac</t>
  </si>
  <si>
    <t>MLS feed</t>
  </si>
  <si>
    <t>Portals</t>
  </si>
  <si>
    <t xml:space="preserve">Relax </t>
  </si>
  <si>
    <t>per LO</t>
  </si>
  <si>
    <t>per MLS</t>
  </si>
  <si>
    <t>Relax Enterprise</t>
  </si>
  <si>
    <t>For In Motion Leads</t>
  </si>
  <si>
    <t>Prescreen Leads</t>
  </si>
  <si>
    <t>Relax Small Deals (2-3 LO's and 2 MLS)</t>
  </si>
  <si>
    <t>$650 a month</t>
  </si>
  <si>
    <t>6500 records per monitoring</t>
  </si>
  <si>
    <t>1% of records being monitored</t>
  </si>
  <si>
    <t>5 a month</t>
  </si>
  <si>
    <t>Relax Medium Deals( Upto 20 LO's and 4 MLS)</t>
  </si>
  <si>
    <t>40,000 records per deal</t>
  </si>
  <si>
    <t>2 a month</t>
  </si>
  <si>
    <t>Relax Large Deals (Upto 50 LO's and 6 MLS)</t>
  </si>
  <si>
    <t>$4000 a month</t>
  </si>
  <si>
    <t>100.000 records per deal</t>
  </si>
  <si>
    <t>1 a month</t>
  </si>
  <si>
    <t>Relax Enterprise deals</t>
  </si>
  <si>
    <t>$10,000 a month minimum</t>
  </si>
  <si>
    <t>500,000 records per deal</t>
  </si>
  <si>
    <t>1 a quarter</t>
  </si>
  <si>
    <t>Retention ratio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</si>
  <si>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</si>
  <si>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</si>
  <si>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</si>
  <si>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</si>
  <si>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</si>
  <si>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</si>
  <si>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</si>
  <si>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</si>
  <si>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</si>
  <si>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</si>
  <si>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</si>
  <si>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</si>
  <si>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Year 1 Total</t>
  </si>
  <si>
    <t>Year 2 Total</t>
  </si>
  <si>
    <t>Year 3 Total</t>
  </si>
  <si>
    <t>Credit Instant Prescreen</t>
  </si>
  <si>
    <t xml:space="preserve">No of </t>
  </si>
  <si>
    <t>Probability of goal</t>
  </si>
  <si>
    <t xml:space="preserve">Data costs </t>
  </si>
  <si>
    <t>Retr</t>
  </si>
  <si>
    <t>Property Boundry data</t>
  </si>
  <si>
    <t>Marketing</t>
  </si>
  <si>
    <t>MW Campaigns</t>
  </si>
  <si>
    <t>Relax Campaigns</t>
  </si>
  <si>
    <t>Customer Success 1</t>
  </si>
  <si>
    <t>Customer Success 2</t>
  </si>
  <si>
    <t>Customer Success 3</t>
  </si>
  <si>
    <t>MW Project Success</t>
  </si>
  <si>
    <t>Junior Dev (MW)</t>
  </si>
  <si>
    <t>Operating 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</si>
</sst>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top style="thick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2" fontId="1" numFmtId="0" xfId="0" applyAlignment="1" applyFill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0" xfId="0" applyFont="1"/>
    <xf borderId="0" fillId="0" fontId="1" numFmtId="10" xfId="0" applyFont="1" applyNumberFormat="1"/>
    <xf borderId="0" fillId="0" fontId="1" numFmtId="9" xfId="0" applyAlignment="1" applyFont="1" applyNumberFormat="1">
      <alignment readingOrder="0"/>
    </xf>
    <xf borderId="0" fillId="0" fontId="1" numFmtId="9" xfId="0" applyFont="1" applyNumberFormat="1"/>
    <xf borderId="1" fillId="0" fontId="1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3.75"/>
    <col customWidth="1" min="2" max="2" width="19.63"/>
  </cols>
  <sheetData>
    <row r="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>
      <c r="A2" s="1" t="s">
        <v>12</v>
      </c>
      <c r="C2" s="2">
        <v>32000.0</v>
      </c>
      <c r="D2" s="2">
        <v>32000.0</v>
      </c>
      <c r="E2" s="2">
        <v>32000.0</v>
      </c>
      <c r="F2" s="2">
        <v>32000.0</v>
      </c>
      <c r="G2" s="2">
        <v>32000.0</v>
      </c>
      <c r="H2" s="2">
        <v>32000.0</v>
      </c>
      <c r="I2" s="2">
        <v>32000.0</v>
      </c>
      <c r="J2" s="2">
        <v>32000.0</v>
      </c>
      <c r="K2" s="2">
        <v>32000.0</v>
      </c>
      <c r="L2" s="2">
        <v>32000.0</v>
      </c>
      <c r="M2" s="2">
        <v>32000.0</v>
      </c>
      <c r="N2" s="2">
        <v>32000.0</v>
      </c>
      <c r="O2" s="3">
        <f t="shared" ref="O2:O3" si="1">SUM(C2:N2)</f>
        <v>384000</v>
      </c>
    </row>
    <row r="3">
      <c r="A3" s="1" t="s">
        <v>13</v>
      </c>
      <c r="C3" s="4">
        <v>0.0</v>
      </c>
      <c r="D3" s="4">
        <v>0.0</v>
      </c>
      <c r="E3" s="4">
        <v>0.0</v>
      </c>
      <c r="F3" s="4">
        <v>500.0</v>
      </c>
      <c r="G3" s="4">
        <v>500.0</v>
      </c>
      <c r="H3" s="4">
        <v>500.0</v>
      </c>
      <c r="I3" s="4">
        <v>500.0</v>
      </c>
      <c r="J3" s="4">
        <v>500.0</v>
      </c>
      <c r="K3" s="4">
        <v>7500.0</v>
      </c>
      <c r="L3" s="4">
        <v>7500.0</v>
      </c>
      <c r="M3" s="4">
        <v>7500.0</v>
      </c>
      <c r="N3" s="4">
        <v>7500.0</v>
      </c>
      <c r="O3" s="5">
        <f t="shared" si="1"/>
        <v>32500</v>
      </c>
    </row>
    <row r="4">
      <c r="A4" s="1" t="s">
        <v>14</v>
      </c>
      <c r="C4" s="4">
        <v>24000.0</v>
      </c>
      <c r="D4" s="2"/>
      <c r="E4" s="2"/>
      <c r="F4" s="2"/>
      <c r="G4" s="6"/>
      <c r="H4" s="2"/>
      <c r="I4" s="2"/>
      <c r="J4" s="2"/>
      <c r="K4" s="2"/>
      <c r="L4" s="2"/>
      <c r="M4" s="2"/>
      <c r="N4" s="2"/>
      <c r="O4" s="2"/>
    </row>
    <row r="5"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>
      <c r="A6" s="1" t="s">
        <v>15</v>
      </c>
    </row>
    <row r="7">
      <c r="A7" s="1" t="s">
        <v>16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f t="shared" ref="O7:O17" si="2">SUM(C7:N7)</f>
        <v>0</v>
      </c>
    </row>
    <row r="8">
      <c r="A8" s="1" t="s">
        <v>17</v>
      </c>
      <c r="C8" s="4">
        <v>8000.0</v>
      </c>
      <c r="D8" s="4">
        <v>8000.0</v>
      </c>
      <c r="E8" s="4">
        <v>8000.0</v>
      </c>
      <c r="F8" s="4">
        <v>8000.0</v>
      </c>
      <c r="G8" s="4">
        <v>8000.0</v>
      </c>
      <c r="H8" s="4">
        <v>8000.0</v>
      </c>
      <c r="I8" s="4">
        <v>8000.0</v>
      </c>
      <c r="J8" s="4">
        <v>8000.0</v>
      </c>
      <c r="K8" s="4">
        <v>8000.0</v>
      </c>
      <c r="L8" s="4">
        <v>8000.0</v>
      </c>
      <c r="M8" s="4">
        <v>8000.0</v>
      </c>
      <c r="N8" s="4">
        <v>8000.0</v>
      </c>
      <c r="O8" s="4">
        <f t="shared" si="2"/>
        <v>96000</v>
      </c>
    </row>
    <row r="9">
      <c r="A9" s="1" t="s">
        <v>18</v>
      </c>
      <c r="C9" s="4">
        <v>8000.0</v>
      </c>
      <c r="D9" s="4">
        <v>8000.0</v>
      </c>
      <c r="E9" s="4">
        <v>8000.0</v>
      </c>
      <c r="F9" s="4">
        <v>8000.0</v>
      </c>
      <c r="G9" s="4">
        <v>8000.0</v>
      </c>
      <c r="H9" s="4">
        <v>8000.0</v>
      </c>
      <c r="I9" s="4">
        <v>8000.0</v>
      </c>
      <c r="J9" s="4">
        <v>8000.0</v>
      </c>
      <c r="K9" s="4">
        <v>8000.0</v>
      </c>
      <c r="L9" s="4">
        <v>8000.0</v>
      </c>
      <c r="M9" s="4">
        <v>8000.0</v>
      </c>
      <c r="N9" s="4">
        <v>8000.0</v>
      </c>
      <c r="O9" s="4">
        <f t="shared" si="2"/>
        <v>96000</v>
      </c>
    </row>
    <row r="10">
      <c r="A10" s="1" t="s">
        <v>19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f t="shared" si="2"/>
        <v>0</v>
      </c>
    </row>
    <row r="11">
      <c r="A11" s="1" t="s">
        <v>20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f t="shared" si="2"/>
        <v>0</v>
      </c>
    </row>
    <row r="12">
      <c r="A12" s="1" t="s">
        <v>21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f t="shared" si="2"/>
        <v>0</v>
      </c>
    </row>
    <row r="13">
      <c r="A13" s="1" t="s">
        <v>22</v>
      </c>
      <c r="C13" s="4">
        <v>8000.0</v>
      </c>
      <c r="D13" s="4">
        <v>8000.0</v>
      </c>
      <c r="E13" s="4">
        <v>8000.0</v>
      </c>
      <c r="F13" s="4">
        <v>8000.0</v>
      </c>
      <c r="G13" s="4">
        <v>8000.0</v>
      </c>
      <c r="H13" s="4">
        <v>8000.0</v>
      </c>
      <c r="I13" s="4">
        <v>8000.0</v>
      </c>
      <c r="J13" s="4">
        <v>8000.0</v>
      </c>
      <c r="K13" s="4">
        <v>8000.0</v>
      </c>
      <c r="L13" s="4">
        <v>8000.0</v>
      </c>
      <c r="M13" s="4">
        <v>8000.0</v>
      </c>
      <c r="N13" s="4">
        <v>8000.0</v>
      </c>
      <c r="O13" s="4">
        <f t="shared" si="2"/>
        <v>96000</v>
      </c>
    </row>
    <row r="14">
      <c r="A14" s="1" t="s">
        <v>23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f t="shared" si="2"/>
        <v>0</v>
      </c>
    </row>
    <row r="15">
      <c r="A15" s="1" t="s">
        <v>24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f t="shared" si="2"/>
        <v>0</v>
      </c>
    </row>
    <row r="16">
      <c r="A16" s="1" t="s">
        <v>25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f t="shared" si="2"/>
        <v>0</v>
      </c>
    </row>
    <row r="17">
      <c r="A17" s="1" t="s">
        <v>26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f t="shared" si="2"/>
        <v>0</v>
      </c>
    </row>
    <row r="18">
      <c r="A18" s="1" t="s">
        <v>27</v>
      </c>
      <c r="C18" s="4">
        <v>0.0</v>
      </c>
      <c r="D18" s="4">
        <v>0.0</v>
      </c>
      <c r="E18" s="4">
        <v>3000.0</v>
      </c>
      <c r="F18" s="4">
        <v>0.0</v>
      </c>
      <c r="G18" s="4">
        <v>3000.0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</row>
    <row r="19">
      <c r="A19" s="1" t="s">
        <v>28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f t="shared" ref="O19:O20" si="3">SUM(C19:N19)</f>
        <v>0</v>
      </c>
    </row>
    <row r="20">
      <c r="A20" s="1" t="s">
        <v>29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f t="shared" si="3"/>
        <v>0</v>
      </c>
    </row>
    <row r="22">
      <c r="A22" s="1" t="s">
        <v>30</v>
      </c>
      <c r="C22" s="4">
        <f t="shared" ref="C22:N22" si="4">sum(C2:C20)</f>
        <v>80000</v>
      </c>
      <c r="D22" s="4">
        <f t="shared" si="4"/>
        <v>56000</v>
      </c>
      <c r="E22" s="4">
        <f t="shared" si="4"/>
        <v>59000</v>
      </c>
      <c r="F22" s="4">
        <f t="shared" si="4"/>
        <v>56500</v>
      </c>
      <c r="G22" s="4">
        <f t="shared" si="4"/>
        <v>59500</v>
      </c>
      <c r="H22" s="4">
        <f t="shared" si="4"/>
        <v>56500</v>
      </c>
      <c r="I22" s="4">
        <f t="shared" si="4"/>
        <v>56500</v>
      </c>
      <c r="J22" s="4">
        <f t="shared" si="4"/>
        <v>56500</v>
      </c>
      <c r="K22" s="4">
        <f t="shared" si="4"/>
        <v>63500</v>
      </c>
      <c r="L22" s="4">
        <f t="shared" si="4"/>
        <v>63500</v>
      </c>
      <c r="M22" s="4">
        <f t="shared" si="4"/>
        <v>63500</v>
      </c>
      <c r="N22" s="4">
        <f t="shared" si="4"/>
        <v>63500</v>
      </c>
      <c r="O22" s="4">
        <f>SUM(C22:N22)</f>
        <v>734500</v>
      </c>
    </row>
    <row r="24">
      <c r="A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4"/>
    </row>
    <row r="25">
      <c r="A25" s="7" t="s">
        <v>31</v>
      </c>
      <c r="C25" s="9"/>
    </row>
    <row r="26">
      <c r="A26" s="7" t="s">
        <v>32</v>
      </c>
      <c r="C26" s="8" t="s">
        <v>33</v>
      </c>
      <c r="D26" s="8" t="s">
        <v>34</v>
      </c>
      <c r="E26" s="8" t="s">
        <v>35</v>
      </c>
      <c r="F26" s="8" t="s">
        <v>36</v>
      </c>
      <c r="G26" s="9"/>
      <c r="H26" s="9"/>
      <c r="I26" s="9"/>
      <c r="J26" s="9"/>
      <c r="K26" s="9"/>
      <c r="L26" s="9"/>
      <c r="M26" s="9"/>
      <c r="N26" s="9"/>
      <c r="O26" s="4"/>
    </row>
    <row r="27">
      <c r="A27" s="7" t="s">
        <v>37</v>
      </c>
      <c r="B27" s="1"/>
      <c r="C27" s="8" t="s">
        <v>38</v>
      </c>
      <c r="D27" s="1" t="s">
        <v>39</v>
      </c>
    </row>
    <row r="28">
      <c r="A28" s="7" t="s">
        <v>40</v>
      </c>
      <c r="B28" s="1"/>
      <c r="C28" s="8" t="s">
        <v>38</v>
      </c>
    </row>
    <row r="29">
      <c r="A29" s="7" t="s">
        <v>41</v>
      </c>
      <c r="B29" s="1" t="s">
        <v>42</v>
      </c>
      <c r="C29" s="9"/>
    </row>
    <row r="30">
      <c r="A30" s="7" t="s">
        <v>43</v>
      </c>
      <c r="B30" s="1" t="s">
        <v>44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>
      <c r="A31" s="7" t="s">
        <v>45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>
      <c r="A32" s="7" t="s">
        <v>46</v>
      </c>
      <c r="B32" s="1"/>
      <c r="C32" s="8"/>
    </row>
    <row r="33">
      <c r="A33" s="7" t="s">
        <v>47</v>
      </c>
      <c r="B33" s="1" t="s">
        <v>48</v>
      </c>
      <c r="C33" s="8">
        <v>8500.0</v>
      </c>
    </row>
    <row r="34">
      <c r="A34" s="7"/>
      <c r="B34" s="1" t="s">
        <v>49</v>
      </c>
      <c r="C34" s="8">
        <v>9000.0</v>
      </c>
    </row>
    <row r="35">
      <c r="A35" s="7"/>
      <c r="C35" s="9"/>
    </row>
    <row r="36">
      <c r="A36" s="7" t="s">
        <v>50</v>
      </c>
      <c r="B36" s="1" t="s">
        <v>51</v>
      </c>
      <c r="C36" s="8">
        <v>50.0</v>
      </c>
    </row>
    <row r="37">
      <c r="A37" s="7"/>
      <c r="B37" s="1" t="s">
        <v>52</v>
      </c>
      <c r="C37" s="8">
        <v>250.0</v>
      </c>
    </row>
    <row r="38">
      <c r="A38" s="1" t="s">
        <v>53</v>
      </c>
      <c r="C38" s="9"/>
    </row>
    <row r="39">
      <c r="D39" s="10" t="s">
        <v>54</v>
      </c>
      <c r="E39" s="10" t="s">
        <v>55</v>
      </c>
    </row>
    <row r="40">
      <c r="A40" s="7" t="s">
        <v>56</v>
      </c>
      <c r="C40" s="1" t="s">
        <v>57</v>
      </c>
      <c r="D40" s="1" t="s">
        <v>58</v>
      </c>
      <c r="E40" s="1" t="s">
        <v>59</v>
      </c>
      <c r="F40" s="1" t="s">
        <v>60</v>
      </c>
    </row>
    <row r="42">
      <c r="A42" s="7" t="s">
        <v>61</v>
      </c>
      <c r="B42" s="2"/>
      <c r="C42" s="1" t="s">
        <v>38</v>
      </c>
      <c r="D42" s="1" t="s">
        <v>62</v>
      </c>
      <c r="E42" s="1" t="s">
        <v>59</v>
      </c>
      <c r="F42" s="1" t="s">
        <v>63</v>
      </c>
    </row>
    <row r="43">
      <c r="B43" s="2"/>
    </row>
    <row r="44">
      <c r="A44" s="7" t="s">
        <v>64</v>
      </c>
      <c r="B44" s="2"/>
      <c r="C44" s="1" t="s">
        <v>65</v>
      </c>
      <c r="D44" s="1" t="s">
        <v>66</v>
      </c>
      <c r="E44" s="1" t="s">
        <v>59</v>
      </c>
      <c r="F44" s="1" t="s">
        <v>67</v>
      </c>
    </row>
    <row r="46">
      <c r="A46" s="7" t="s">
        <v>68</v>
      </c>
      <c r="C46" s="1" t="s">
        <v>69</v>
      </c>
      <c r="D46" s="1" t="s">
        <v>70</v>
      </c>
      <c r="E46" s="1" t="s">
        <v>59</v>
      </c>
      <c r="F46" s="1" t="s">
        <v>71</v>
      </c>
    </row>
    <row r="49">
      <c r="B49" s="2"/>
    </row>
    <row r="50">
      <c r="B50" s="2"/>
    </row>
    <row r="53">
      <c r="B53" s="2"/>
    </row>
    <row r="54">
      <c r="B54" s="2"/>
    </row>
    <row r="58">
      <c r="B58" s="8"/>
      <c r="C58" s="8"/>
    </row>
    <row r="59">
      <c r="B59" s="8"/>
    </row>
    <row r="60">
      <c r="B60" s="8"/>
    </row>
    <row r="62">
      <c r="B62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2" max="2" width="3.88"/>
    <col customWidth="1" min="15" max="15" width="13.0"/>
    <col customWidth="1" min="16" max="16" width="3.13"/>
    <col customWidth="1" min="30" max="30" width="3.63"/>
    <col customWidth="1" min="31" max="42" width="9.38"/>
    <col customWidth="1" min="43" max="43" width="9.75"/>
    <col customWidth="1" min="44" max="44" width="2.75"/>
    <col customWidth="1" min="45" max="45" width="9.75"/>
  </cols>
  <sheetData>
    <row r="1">
      <c r="A1" s="1" t="s">
        <v>72</v>
      </c>
      <c r="B1" s="11"/>
      <c r="C1" s="11">
        <v>0.6</v>
      </c>
    </row>
    <row r="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B4" s="1"/>
      <c r="C4" s="1" t="s">
        <v>73</v>
      </c>
      <c r="D4" s="1" t="s">
        <v>74</v>
      </c>
      <c r="E4" s="1" t="s">
        <v>75</v>
      </c>
      <c r="F4" s="1" t="s">
        <v>76</v>
      </c>
      <c r="G4" s="1" t="s">
        <v>77</v>
      </c>
      <c r="H4" s="1" t="s">
        <v>78</v>
      </c>
      <c r="I4" s="1" t="s">
        <v>79</v>
      </c>
      <c r="J4" s="1" t="s">
        <v>80</v>
      </c>
      <c r="K4" s="1" t="s">
        <v>81</v>
      </c>
      <c r="L4" s="1" t="s">
        <v>82</v>
      </c>
      <c r="M4" s="1" t="s">
        <v>83</v>
      </c>
      <c r="N4" s="1" t="s">
        <v>84</v>
      </c>
      <c r="O4" s="1" t="s">
        <v>85</v>
      </c>
      <c r="Q4" s="1" t="s">
        <v>73</v>
      </c>
      <c r="R4" s="1" t="s">
        <v>74</v>
      </c>
      <c r="S4" s="1" t="s">
        <v>75</v>
      </c>
      <c r="T4" s="1" t="s">
        <v>76</v>
      </c>
      <c r="U4" s="1" t="s">
        <v>77</v>
      </c>
      <c r="V4" s="1" t="s">
        <v>78</v>
      </c>
      <c r="W4" s="1" t="s">
        <v>79</v>
      </c>
      <c r="X4" s="1" t="s">
        <v>80</v>
      </c>
      <c r="Y4" s="1" t="s">
        <v>81</v>
      </c>
      <c r="Z4" s="1" t="s">
        <v>82</v>
      </c>
      <c r="AA4" s="1" t="s">
        <v>83</v>
      </c>
      <c r="AB4" s="1" t="s">
        <v>84</v>
      </c>
      <c r="AC4" s="1" t="s">
        <v>86</v>
      </c>
      <c r="AD4" s="1"/>
      <c r="AE4" s="1" t="s">
        <v>73</v>
      </c>
      <c r="AF4" s="1" t="s">
        <v>74</v>
      </c>
      <c r="AG4" s="1" t="s">
        <v>75</v>
      </c>
      <c r="AH4" s="1" t="s">
        <v>76</v>
      </c>
      <c r="AI4" s="1" t="s">
        <v>77</v>
      </c>
      <c r="AJ4" s="1" t="s">
        <v>78</v>
      </c>
      <c r="AK4" s="1" t="s">
        <v>79</v>
      </c>
      <c r="AL4" s="1" t="s">
        <v>80</v>
      </c>
      <c r="AM4" s="1" t="s">
        <v>81</v>
      </c>
      <c r="AN4" s="1" t="s">
        <v>82</v>
      </c>
      <c r="AO4" s="1" t="s">
        <v>83</v>
      </c>
      <c r="AP4" s="1" t="s">
        <v>84</v>
      </c>
      <c r="AQ4" s="1" t="s">
        <v>87</v>
      </c>
      <c r="AR4" s="1"/>
      <c r="AS4" s="1"/>
    </row>
    <row r="5">
      <c r="A5" s="7" t="s">
        <v>31</v>
      </c>
    </row>
    <row r="6">
      <c r="A6" s="1" t="s">
        <v>32</v>
      </c>
      <c r="B6" s="8"/>
      <c r="C6" s="8">
        <v>25.0</v>
      </c>
      <c r="D6" s="8">
        <v>25.0</v>
      </c>
      <c r="E6" s="8">
        <v>25.0</v>
      </c>
      <c r="F6" s="8">
        <v>25.0</v>
      </c>
      <c r="G6" s="8">
        <v>25.0</v>
      </c>
      <c r="H6" s="8">
        <v>25.0</v>
      </c>
      <c r="I6" s="8">
        <v>25.0</v>
      </c>
      <c r="J6" s="8">
        <v>25.0</v>
      </c>
      <c r="K6" s="8">
        <v>25.0</v>
      </c>
      <c r="L6" s="8">
        <v>25.0</v>
      </c>
      <c r="M6" s="8">
        <v>25.0</v>
      </c>
      <c r="N6" s="8">
        <v>25.0</v>
      </c>
      <c r="Q6" s="8">
        <v>25.0</v>
      </c>
      <c r="R6" s="8">
        <v>25.0</v>
      </c>
      <c r="S6" s="8">
        <v>25.0</v>
      </c>
      <c r="T6" s="8">
        <v>25.0</v>
      </c>
      <c r="U6" s="8">
        <v>25.0</v>
      </c>
      <c r="V6" s="8">
        <v>25.0</v>
      </c>
      <c r="W6" s="8">
        <v>25.0</v>
      </c>
      <c r="X6" s="8">
        <v>25.0</v>
      </c>
      <c r="Y6" s="8">
        <v>25.0</v>
      </c>
      <c r="Z6" s="8">
        <v>25.0</v>
      </c>
      <c r="AA6" s="8">
        <v>25.0</v>
      </c>
      <c r="AB6" s="8">
        <v>25.0</v>
      </c>
      <c r="AE6" s="8">
        <v>25.0</v>
      </c>
      <c r="AF6" s="8">
        <v>25.0</v>
      </c>
      <c r="AG6" s="8">
        <v>25.0</v>
      </c>
      <c r="AH6" s="8">
        <v>25.0</v>
      </c>
      <c r="AI6" s="8">
        <v>25.0</v>
      </c>
      <c r="AJ6" s="8">
        <v>25.0</v>
      </c>
      <c r="AK6" s="8">
        <v>25.0</v>
      </c>
      <c r="AL6" s="8">
        <v>25.0</v>
      </c>
      <c r="AM6" s="8">
        <v>25.0</v>
      </c>
      <c r="AN6" s="8">
        <v>25.0</v>
      </c>
      <c r="AO6" s="8">
        <v>25.0</v>
      </c>
      <c r="AP6" s="8">
        <v>25.0</v>
      </c>
    </row>
    <row r="7">
      <c r="A7" s="1" t="s">
        <v>37</v>
      </c>
      <c r="B7" s="8"/>
      <c r="C7" s="8">
        <v>2000.0</v>
      </c>
      <c r="D7" s="8">
        <v>2000.0</v>
      </c>
      <c r="E7" s="8">
        <v>2000.0</v>
      </c>
      <c r="F7" s="8">
        <v>2000.0</v>
      </c>
      <c r="G7" s="8">
        <v>2000.0</v>
      </c>
      <c r="H7" s="8">
        <v>2000.0</v>
      </c>
      <c r="I7" s="8">
        <v>2000.0</v>
      </c>
      <c r="J7" s="8">
        <v>2000.0</v>
      </c>
      <c r="K7" s="8">
        <v>2000.0</v>
      </c>
      <c r="L7" s="8">
        <v>2000.0</v>
      </c>
      <c r="M7" s="8">
        <v>2000.0</v>
      </c>
      <c r="N7" s="8">
        <v>2000.0</v>
      </c>
      <c r="Q7" s="8">
        <v>2000.0</v>
      </c>
      <c r="R7" s="8">
        <v>2000.0</v>
      </c>
      <c r="S7" s="8">
        <v>2000.0</v>
      </c>
      <c r="T7" s="8">
        <v>2000.0</v>
      </c>
      <c r="U7" s="8">
        <v>2000.0</v>
      </c>
      <c r="V7" s="8">
        <v>2000.0</v>
      </c>
      <c r="W7" s="8">
        <v>2000.0</v>
      </c>
      <c r="X7" s="8">
        <v>2000.0</v>
      </c>
      <c r="Y7" s="8">
        <v>2000.0</v>
      </c>
      <c r="Z7" s="8">
        <v>2000.0</v>
      </c>
      <c r="AA7" s="8">
        <v>2000.0</v>
      </c>
      <c r="AB7" s="8">
        <v>2000.0</v>
      </c>
      <c r="AE7" s="8">
        <v>2000.0</v>
      </c>
      <c r="AF7" s="8">
        <v>2000.0</v>
      </c>
      <c r="AG7" s="8">
        <v>2000.0</v>
      </c>
      <c r="AH7" s="8">
        <v>2000.0</v>
      </c>
      <c r="AI7" s="8">
        <v>2000.0</v>
      </c>
      <c r="AJ7" s="8">
        <v>2000.0</v>
      </c>
      <c r="AK7" s="8">
        <v>2000.0</v>
      </c>
      <c r="AL7" s="8">
        <v>2000.0</v>
      </c>
      <c r="AM7" s="8">
        <v>2000.0</v>
      </c>
      <c r="AN7" s="8">
        <v>2000.0</v>
      </c>
      <c r="AO7" s="8">
        <v>2000.0</v>
      </c>
      <c r="AP7" s="8">
        <v>2000.0</v>
      </c>
    </row>
    <row r="8">
      <c r="A8" s="1" t="s">
        <v>40</v>
      </c>
      <c r="B8" s="8"/>
      <c r="C8" s="8">
        <v>2000.0</v>
      </c>
      <c r="D8" s="8">
        <v>2000.0</v>
      </c>
      <c r="E8" s="8">
        <v>2000.0</v>
      </c>
      <c r="F8" s="8">
        <v>2000.0</v>
      </c>
      <c r="G8" s="8">
        <v>2000.0</v>
      </c>
      <c r="H8" s="8">
        <v>2000.0</v>
      </c>
      <c r="I8" s="8">
        <v>2000.0</v>
      </c>
      <c r="J8" s="8">
        <v>2000.0</v>
      </c>
      <c r="K8" s="8">
        <v>2000.0</v>
      </c>
      <c r="L8" s="8">
        <v>2000.0</v>
      </c>
      <c r="M8" s="8">
        <v>2000.0</v>
      </c>
      <c r="N8" s="8">
        <v>2000.0</v>
      </c>
      <c r="Q8" s="8">
        <v>2000.0</v>
      </c>
      <c r="R8" s="8">
        <v>2000.0</v>
      </c>
      <c r="S8" s="8">
        <v>2000.0</v>
      </c>
      <c r="T8" s="8">
        <v>2000.0</v>
      </c>
      <c r="U8" s="8">
        <v>2000.0</v>
      </c>
      <c r="V8" s="8">
        <v>2000.0</v>
      </c>
      <c r="W8" s="8">
        <v>2000.0</v>
      </c>
      <c r="X8" s="8">
        <v>2000.0</v>
      </c>
      <c r="Y8" s="8">
        <v>2000.0</v>
      </c>
      <c r="Z8" s="8">
        <v>2000.0</v>
      </c>
      <c r="AA8" s="8">
        <v>2000.0</v>
      </c>
      <c r="AB8" s="8">
        <v>2000.0</v>
      </c>
      <c r="AE8" s="8">
        <v>2000.0</v>
      </c>
      <c r="AF8" s="8">
        <v>2000.0</v>
      </c>
      <c r="AG8" s="8">
        <v>2000.0</v>
      </c>
      <c r="AH8" s="8">
        <v>2000.0</v>
      </c>
      <c r="AI8" s="8">
        <v>2000.0</v>
      </c>
      <c r="AJ8" s="8">
        <v>2000.0</v>
      </c>
      <c r="AK8" s="8">
        <v>2000.0</v>
      </c>
      <c r="AL8" s="8">
        <v>2000.0</v>
      </c>
      <c r="AM8" s="8">
        <v>2000.0</v>
      </c>
      <c r="AN8" s="8">
        <v>2000.0</v>
      </c>
      <c r="AO8" s="8">
        <v>2000.0</v>
      </c>
      <c r="AP8" s="8">
        <v>2000.0</v>
      </c>
    </row>
    <row r="9">
      <c r="A9" s="1" t="s">
        <v>41</v>
      </c>
      <c r="B9" s="8"/>
      <c r="C9" s="8">
        <v>1.0</v>
      </c>
      <c r="D9" s="8">
        <v>1.0</v>
      </c>
      <c r="E9" s="8">
        <v>1.0</v>
      </c>
      <c r="F9" s="8">
        <v>1.0</v>
      </c>
      <c r="G9" s="8">
        <v>1.0</v>
      </c>
      <c r="H9" s="8">
        <v>1.0</v>
      </c>
      <c r="I9" s="8">
        <v>1.0</v>
      </c>
      <c r="J9" s="8">
        <v>1.0</v>
      </c>
      <c r="K9" s="8">
        <v>1.0</v>
      </c>
      <c r="L9" s="8">
        <v>1.0</v>
      </c>
      <c r="M9" s="8">
        <v>1.0</v>
      </c>
      <c r="N9" s="8">
        <v>1.0</v>
      </c>
      <c r="Q9" s="8">
        <v>1.0</v>
      </c>
      <c r="R9" s="8">
        <v>1.0</v>
      </c>
      <c r="S9" s="8">
        <v>1.0</v>
      </c>
      <c r="T9" s="8">
        <v>1.0</v>
      </c>
      <c r="U9" s="8">
        <v>1.0</v>
      </c>
      <c r="V9" s="8">
        <v>1.0</v>
      </c>
      <c r="W9" s="8">
        <v>1.0</v>
      </c>
      <c r="X9" s="8">
        <v>1.0</v>
      </c>
      <c r="Y9" s="8">
        <v>1.0</v>
      </c>
      <c r="Z9" s="8">
        <v>1.0</v>
      </c>
      <c r="AA9" s="8">
        <v>1.0</v>
      </c>
      <c r="AB9" s="8">
        <v>1.0</v>
      </c>
      <c r="AE9" s="8">
        <v>1.0</v>
      </c>
      <c r="AF9" s="8">
        <v>1.0</v>
      </c>
      <c r="AG9" s="8">
        <v>1.0</v>
      </c>
      <c r="AH9" s="8">
        <v>1.0</v>
      </c>
      <c r="AI9" s="8">
        <v>1.0</v>
      </c>
      <c r="AJ9" s="8">
        <v>1.0</v>
      </c>
      <c r="AK9" s="8">
        <v>1.0</v>
      </c>
      <c r="AL9" s="8">
        <v>1.0</v>
      </c>
      <c r="AM9" s="8">
        <v>1.0</v>
      </c>
      <c r="AN9" s="8">
        <v>1.0</v>
      </c>
      <c r="AO9" s="8">
        <v>1.0</v>
      </c>
      <c r="AP9" s="8">
        <v>1.0</v>
      </c>
    </row>
    <row r="10">
      <c r="A10" s="1" t="s">
        <v>43</v>
      </c>
      <c r="B10" s="8"/>
      <c r="C10" s="8">
        <v>2.5</v>
      </c>
      <c r="D10" s="8">
        <v>2.5</v>
      </c>
      <c r="E10" s="8">
        <v>2.5</v>
      </c>
      <c r="F10" s="8">
        <v>2.5</v>
      </c>
      <c r="G10" s="8">
        <v>2.5</v>
      </c>
      <c r="H10" s="8">
        <v>2.5</v>
      </c>
      <c r="I10" s="8">
        <v>2.5</v>
      </c>
      <c r="J10" s="8">
        <v>2.5</v>
      </c>
      <c r="K10" s="8">
        <v>2.5</v>
      </c>
      <c r="L10" s="8">
        <v>2.5</v>
      </c>
      <c r="M10" s="8">
        <v>2.5</v>
      </c>
      <c r="N10" s="8">
        <v>2.5</v>
      </c>
      <c r="Q10" s="8">
        <v>2.5</v>
      </c>
      <c r="R10" s="8">
        <v>2.5</v>
      </c>
      <c r="S10" s="8">
        <v>2.5</v>
      </c>
      <c r="T10" s="8">
        <v>2.5</v>
      </c>
      <c r="U10" s="8">
        <v>2.5</v>
      </c>
      <c r="V10" s="8">
        <v>2.5</v>
      </c>
      <c r="W10" s="8">
        <v>2.5</v>
      </c>
      <c r="X10" s="8">
        <v>2.5</v>
      </c>
      <c r="Y10" s="8">
        <v>2.5</v>
      </c>
      <c r="Z10" s="8">
        <v>2.5</v>
      </c>
      <c r="AA10" s="8">
        <v>2.5</v>
      </c>
      <c r="AB10" s="8">
        <v>2.5</v>
      </c>
      <c r="AE10" s="8">
        <v>2.5</v>
      </c>
      <c r="AF10" s="8">
        <v>2.5</v>
      </c>
      <c r="AG10" s="8">
        <v>2.5</v>
      </c>
      <c r="AH10" s="8">
        <v>2.5</v>
      </c>
      <c r="AI10" s="8">
        <v>2.5</v>
      </c>
      <c r="AJ10" s="8">
        <v>2.5</v>
      </c>
      <c r="AK10" s="8">
        <v>2.5</v>
      </c>
      <c r="AL10" s="8">
        <v>2.5</v>
      </c>
      <c r="AM10" s="8">
        <v>2.5</v>
      </c>
      <c r="AN10" s="8">
        <v>2.5</v>
      </c>
      <c r="AO10" s="8">
        <v>2.5</v>
      </c>
      <c r="AP10" s="8">
        <v>2.5</v>
      </c>
    </row>
    <row r="11">
      <c r="A11" s="1" t="s">
        <v>45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</row>
    <row r="12">
      <c r="A12" s="1" t="s">
        <v>46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</row>
    <row r="13">
      <c r="A13" s="1" t="s">
        <v>88</v>
      </c>
      <c r="B13" s="8"/>
      <c r="C13" s="8">
        <v>1.33</v>
      </c>
      <c r="D13" s="8">
        <v>1.33</v>
      </c>
      <c r="E13" s="8">
        <v>1.33</v>
      </c>
      <c r="F13" s="8">
        <v>1.33</v>
      </c>
      <c r="G13" s="8">
        <v>1.33</v>
      </c>
      <c r="H13" s="8">
        <v>1.33</v>
      </c>
      <c r="I13" s="8">
        <v>1.33</v>
      </c>
      <c r="J13" s="8">
        <v>1.33</v>
      </c>
      <c r="K13" s="8">
        <v>1.33</v>
      </c>
      <c r="L13" s="8">
        <v>1.33</v>
      </c>
      <c r="M13" s="8">
        <v>1.33</v>
      </c>
      <c r="N13" s="8">
        <v>1.33</v>
      </c>
      <c r="Q13" s="8">
        <v>1.33</v>
      </c>
      <c r="R13" s="8">
        <v>1.33</v>
      </c>
      <c r="S13" s="8">
        <v>1.33</v>
      </c>
      <c r="T13" s="8">
        <v>1.33</v>
      </c>
      <c r="U13" s="8">
        <v>1.33</v>
      </c>
      <c r="V13" s="8">
        <v>1.33</v>
      </c>
      <c r="W13" s="8">
        <v>1.33</v>
      </c>
      <c r="X13" s="8">
        <v>1.33</v>
      </c>
      <c r="Y13" s="8">
        <v>1.33</v>
      </c>
      <c r="Z13" s="8">
        <v>1.33</v>
      </c>
      <c r="AA13" s="8">
        <v>1.33</v>
      </c>
      <c r="AB13" s="8">
        <v>1.33</v>
      </c>
      <c r="AE13" s="8">
        <v>1.33</v>
      </c>
      <c r="AF13" s="8">
        <v>1.33</v>
      </c>
      <c r="AG13" s="8">
        <v>1.33</v>
      </c>
      <c r="AH13" s="8">
        <v>1.33</v>
      </c>
      <c r="AI13" s="8">
        <v>1.33</v>
      </c>
      <c r="AJ13" s="8">
        <v>1.33</v>
      </c>
      <c r="AK13" s="8">
        <v>1.33</v>
      </c>
      <c r="AL13" s="8">
        <v>1.33</v>
      </c>
      <c r="AM13" s="8">
        <v>1.33</v>
      </c>
      <c r="AN13" s="8">
        <v>1.33</v>
      </c>
      <c r="AO13" s="8">
        <v>1.33</v>
      </c>
      <c r="AP13" s="8">
        <v>1.33</v>
      </c>
    </row>
    <row r="14">
      <c r="A14" s="1" t="s">
        <v>47</v>
      </c>
      <c r="B14" s="9"/>
      <c r="C14" s="9">
        <f t="shared" ref="C14:N14" si="1">8500+9000</f>
        <v>17500</v>
      </c>
      <c r="D14" s="9">
        <f t="shared" si="1"/>
        <v>17500</v>
      </c>
      <c r="E14" s="9">
        <f t="shared" si="1"/>
        <v>17500</v>
      </c>
      <c r="F14" s="9">
        <f t="shared" si="1"/>
        <v>17500</v>
      </c>
      <c r="G14" s="9">
        <f t="shared" si="1"/>
        <v>17500</v>
      </c>
      <c r="H14" s="9">
        <f t="shared" si="1"/>
        <v>17500</v>
      </c>
      <c r="I14" s="9">
        <f t="shared" si="1"/>
        <v>17500</v>
      </c>
      <c r="J14" s="9">
        <f t="shared" si="1"/>
        <v>17500</v>
      </c>
      <c r="K14" s="9">
        <f t="shared" si="1"/>
        <v>17500</v>
      </c>
      <c r="L14" s="9">
        <f t="shared" si="1"/>
        <v>17500</v>
      </c>
      <c r="M14" s="9">
        <f t="shared" si="1"/>
        <v>17500</v>
      </c>
      <c r="N14" s="9">
        <f t="shared" si="1"/>
        <v>17500</v>
      </c>
      <c r="Q14" s="9">
        <f t="shared" ref="Q14:AB14" si="2">8500+9000</f>
        <v>17500</v>
      </c>
      <c r="R14" s="9">
        <f t="shared" si="2"/>
        <v>17500</v>
      </c>
      <c r="S14" s="9">
        <f t="shared" si="2"/>
        <v>17500</v>
      </c>
      <c r="T14" s="9">
        <f t="shared" si="2"/>
        <v>17500</v>
      </c>
      <c r="U14" s="9">
        <f t="shared" si="2"/>
        <v>17500</v>
      </c>
      <c r="V14" s="9">
        <f t="shared" si="2"/>
        <v>17500</v>
      </c>
      <c r="W14" s="9">
        <f t="shared" si="2"/>
        <v>17500</v>
      </c>
      <c r="X14" s="9">
        <f t="shared" si="2"/>
        <v>17500</v>
      </c>
      <c r="Y14" s="9">
        <f t="shared" si="2"/>
        <v>17500</v>
      </c>
      <c r="Z14" s="9">
        <f t="shared" si="2"/>
        <v>17500</v>
      </c>
      <c r="AA14" s="9">
        <f t="shared" si="2"/>
        <v>17500</v>
      </c>
      <c r="AB14" s="9">
        <f t="shared" si="2"/>
        <v>17500</v>
      </c>
      <c r="AE14" s="9">
        <f t="shared" ref="AE14:AP14" si="3">8500+9000</f>
        <v>17500</v>
      </c>
      <c r="AF14" s="9">
        <f t="shared" si="3"/>
        <v>17500</v>
      </c>
      <c r="AG14" s="9">
        <f t="shared" si="3"/>
        <v>17500</v>
      </c>
      <c r="AH14" s="9">
        <f t="shared" si="3"/>
        <v>17500</v>
      </c>
      <c r="AI14" s="9">
        <f t="shared" si="3"/>
        <v>17500</v>
      </c>
      <c r="AJ14" s="9">
        <f t="shared" si="3"/>
        <v>17500</v>
      </c>
      <c r="AK14" s="9">
        <f t="shared" si="3"/>
        <v>17500</v>
      </c>
      <c r="AL14" s="9">
        <f t="shared" si="3"/>
        <v>17500</v>
      </c>
      <c r="AM14" s="9">
        <f t="shared" si="3"/>
        <v>17500</v>
      </c>
      <c r="AN14" s="9">
        <f t="shared" si="3"/>
        <v>17500</v>
      </c>
      <c r="AO14" s="9">
        <f t="shared" si="3"/>
        <v>17500</v>
      </c>
      <c r="AP14" s="9">
        <f t="shared" si="3"/>
        <v>17500</v>
      </c>
    </row>
    <row r="15">
      <c r="A15" s="1" t="s">
        <v>56</v>
      </c>
      <c r="B15" s="8"/>
      <c r="C15" s="8">
        <v>650.0</v>
      </c>
      <c r="D15" s="8">
        <v>650.0</v>
      </c>
      <c r="E15" s="8">
        <v>650.0</v>
      </c>
      <c r="F15" s="8">
        <v>650.0</v>
      </c>
      <c r="G15" s="8">
        <v>650.0</v>
      </c>
      <c r="H15" s="8">
        <v>650.0</v>
      </c>
      <c r="I15" s="8">
        <v>650.0</v>
      </c>
      <c r="J15" s="8">
        <v>650.0</v>
      </c>
      <c r="K15" s="8">
        <v>650.0</v>
      </c>
      <c r="L15" s="8">
        <v>650.0</v>
      </c>
      <c r="M15" s="8">
        <v>650.0</v>
      </c>
      <c r="N15" s="8">
        <v>650.0</v>
      </c>
      <c r="Q15" s="8">
        <v>650.0</v>
      </c>
      <c r="R15" s="8">
        <v>650.0</v>
      </c>
      <c r="S15" s="8">
        <v>650.0</v>
      </c>
      <c r="T15" s="8">
        <v>650.0</v>
      </c>
      <c r="U15" s="8">
        <v>650.0</v>
      </c>
      <c r="V15" s="8">
        <v>650.0</v>
      </c>
      <c r="W15" s="8">
        <v>650.0</v>
      </c>
      <c r="X15" s="8">
        <v>650.0</v>
      </c>
      <c r="Y15" s="8">
        <v>650.0</v>
      </c>
      <c r="Z15" s="8">
        <v>650.0</v>
      </c>
      <c r="AA15" s="8">
        <v>650.0</v>
      </c>
      <c r="AB15" s="8">
        <v>650.0</v>
      </c>
      <c r="AE15" s="8">
        <v>650.0</v>
      </c>
      <c r="AF15" s="8">
        <v>650.0</v>
      </c>
      <c r="AG15" s="8">
        <v>650.0</v>
      </c>
      <c r="AH15" s="8">
        <v>650.0</v>
      </c>
      <c r="AI15" s="8">
        <v>650.0</v>
      </c>
      <c r="AJ15" s="8">
        <v>650.0</v>
      </c>
      <c r="AK15" s="8">
        <v>650.0</v>
      </c>
      <c r="AL15" s="8">
        <v>650.0</v>
      </c>
      <c r="AM15" s="8">
        <v>650.0</v>
      </c>
      <c r="AN15" s="8">
        <v>650.0</v>
      </c>
      <c r="AO15" s="8">
        <v>650.0</v>
      </c>
      <c r="AP15" s="8">
        <v>650.0</v>
      </c>
    </row>
    <row r="16">
      <c r="A16" s="1" t="s">
        <v>61</v>
      </c>
      <c r="B16" s="8"/>
      <c r="C16" s="8">
        <v>2000.0</v>
      </c>
      <c r="D16" s="8">
        <v>2000.0</v>
      </c>
      <c r="E16" s="8">
        <v>2000.0</v>
      </c>
      <c r="F16" s="8">
        <v>2000.0</v>
      </c>
      <c r="G16" s="8">
        <v>2000.0</v>
      </c>
      <c r="H16" s="8">
        <v>2000.0</v>
      </c>
      <c r="I16" s="8">
        <v>2000.0</v>
      </c>
      <c r="J16" s="8">
        <v>2000.0</v>
      </c>
      <c r="K16" s="8">
        <v>2000.0</v>
      </c>
      <c r="L16" s="8">
        <v>2000.0</v>
      </c>
      <c r="M16" s="8">
        <v>2000.0</v>
      </c>
      <c r="N16" s="8">
        <v>2000.0</v>
      </c>
      <c r="Q16" s="8">
        <v>2000.0</v>
      </c>
      <c r="R16" s="8">
        <v>2000.0</v>
      </c>
      <c r="S16" s="8">
        <v>2000.0</v>
      </c>
      <c r="T16" s="8">
        <v>2000.0</v>
      </c>
      <c r="U16" s="8">
        <v>2000.0</v>
      </c>
      <c r="V16" s="8">
        <v>2000.0</v>
      </c>
      <c r="W16" s="8">
        <v>2000.0</v>
      </c>
      <c r="X16" s="8">
        <v>2000.0</v>
      </c>
      <c r="Y16" s="8">
        <v>2000.0</v>
      </c>
      <c r="Z16" s="8">
        <v>2000.0</v>
      </c>
      <c r="AA16" s="8">
        <v>2000.0</v>
      </c>
      <c r="AB16" s="8">
        <v>2000.0</v>
      </c>
      <c r="AE16" s="8">
        <v>2000.0</v>
      </c>
      <c r="AF16" s="8">
        <v>2000.0</v>
      </c>
      <c r="AG16" s="8">
        <v>2000.0</v>
      </c>
      <c r="AH16" s="8">
        <v>2000.0</v>
      </c>
      <c r="AI16" s="8">
        <v>2000.0</v>
      </c>
      <c r="AJ16" s="8">
        <v>2000.0</v>
      </c>
      <c r="AK16" s="8">
        <v>2000.0</v>
      </c>
      <c r="AL16" s="8">
        <v>2000.0</v>
      </c>
      <c r="AM16" s="8">
        <v>2000.0</v>
      </c>
      <c r="AN16" s="8">
        <v>2000.0</v>
      </c>
      <c r="AO16" s="8">
        <v>2000.0</v>
      </c>
      <c r="AP16" s="8">
        <v>2000.0</v>
      </c>
    </row>
    <row r="17">
      <c r="A17" s="1" t="s">
        <v>64</v>
      </c>
      <c r="B17" s="8"/>
      <c r="C17" s="8">
        <v>4000.0</v>
      </c>
      <c r="D17" s="8">
        <v>4000.0</v>
      </c>
      <c r="E17" s="8">
        <v>4000.0</v>
      </c>
      <c r="F17" s="8">
        <v>4000.0</v>
      </c>
      <c r="G17" s="8">
        <v>4000.0</v>
      </c>
      <c r="H17" s="8">
        <v>4000.0</v>
      </c>
      <c r="I17" s="8">
        <v>4000.0</v>
      </c>
      <c r="J17" s="8">
        <v>4000.0</v>
      </c>
      <c r="K17" s="8">
        <v>4000.0</v>
      </c>
      <c r="L17" s="8">
        <v>4000.0</v>
      </c>
      <c r="M17" s="8">
        <v>4000.0</v>
      </c>
      <c r="N17" s="8">
        <v>4000.0</v>
      </c>
      <c r="Q17" s="8">
        <v>4000.0</v>
      </c>
      <c r="R17" s="8">
        <v>4000.0</v>
      </c>
      <c r="S17" s="8">
        <v>4000.0</v>
      </c>
      <c r="T17" s="8">
        <v>4000.0</v>
      </c>
      <c r="U17" s="8">
        <v>4000.0</v>
      </c>
      <c r="V17" s="8">
        <v>4000.0</v>
      </c>
      <c r="W17" s="8">
        <v>4000.0</v>
      </c>
      <c r="X17" s="8">
        <v>4000.0</v>
      </c>
      <c r="Y17" s="8">
        <v>4000.0</v>
      </c>
      <c r="Z17" s="8">
        <v>4000.0</v>
      </c>
      <c r="AA17" s="8">
        <v>4000.0</v>
      </c>
      <c r="AB17" s="8">
        <v>4000.0</v>
      </c>
      <c r="AE17" s="8">
        <v>4000.0</v>
      </c>
      <c r="AF17" s="8">
        <v>4000.0</v>
      </c>
      <c r="AG17" s="8">
        <v>4000.0</v>
      </c>
      <c r="AH17" s="8">
        <v>4000.0</v>
      </c>
      <c r="AI17" s="8">
        <v>4000.0</v>
      </c>
      <c r="AJ17" s="8">
        <v>4000.0</v>
      </c>
      <c r="AK17" s="8">
        <v>4000.0</v>
      </c>
      <c r="AL17" s="8">
        <v>4000.0</v>
      </c>
      <c r="AM17" s="8">
        <v>4000.0</v>
      </c>
      <c r="AN17" s="8">
        <v>4000.0</v>
      </c>
      <c r="AO17" s="8">
        <v>4000.0</v>
      </c>
      <c r="AP17" s="8">
        <v>4000.0</v>
      </c>
    </row>
    <row r="18">
      <c r="A18" s="1" t="s">
        <v>68</v>
      </c>
      <c r="B18" s="8"/>
      <c r="C18" s="8">
        <v>10000.0</v>
      </c>
      <c r="D18" s="8">
        <v>10000.0</v>
      </c>
      <c r="E18" s="8">
        <v>10000.0</v>
      </c>
      <c r="F18" s="8">
        <v>10000.0</v>
      </c>
      <c r="G18" s="8">
        <v>10000.0</v>
      </c>
      <c r="H18" s="8">
        <v>10000.0</v>
      </c>
      <c r="I18" s="8">
        <v>10000.0</v>
      </c>
      <c r="J18" s="8">
        <v>10000.0</v>
      </c>
      <c r="K18" s="8">
        <v>10000.0</v>
      </c>
      <c r="L18" s="8">
        <v>10000.0</v>
      </c>
      <c r="M18" s="8">
        <v>10000.0</v>
      </c>
      <c r="N18" s="8">
        <v>10000.0</v>
      </c>
      <c r="Q18" s="8">
        <v>10000.0</v>
      </c>
      <c r="R18" s="8">
        <v>10000.0</v>
      </c>
      <c r="S18" s="8">
        <v>10000.0</v>
      </c>
      <c r="T18" s="8">
        <v>10000.0</v>
      </c>
      <c r="U18" s="8">
        <v>10000.0</v>
      </c>
      <c r="V18" s="8">
        <v>10000.0</v>
      </c>
      <c r="W18" s="8">
        <v>10000.0</v>
      </c>
      <c r="X18" s="8">
        <v>10000.0</v>
      </c>
      <c r="Y18" s="8">
        <v>10000.0</v>
      </c>
      <c r="Z18" s="8">
        <v>10000.0</v>
      </c>
      <c r="AA18" s="8">
        <v>10000.0</v>
      </c>
      <c r="AB18" s="8">
        <v>10000.0</v>
      </c>
      <c r="AE18" s="8">
        <v>10000.0</v>
      </c>
      <c r="AF18" s="8">
        <v>10000.0</v>
      </c>
      <c r="AG18" s="8">
        <v>10000.0</v>
      </c>
      <c r="AH18" s="8">
        <v>10000.0</v>
      </c>
      <c r="AI18" s="8">
        <v>10000.0</v>
      </c>
      <c r="AJ18" s="8">
        <v>10000.0</v>
      </c>
      <c r="AK18" s="8">
        <v>10000.0</v>
      </c>
      <c r="AL18" s="8">
        <v>10000.0</v>
      </c>
      <c r="AM18" s="8">
        <v>10000.0</v>
      </c>
      <c r="AN18" s="8">
        <v>10000.0</v>
      </c>
      <c r="AO18" s="8">
        <v>10000.0</v>
      </c>
      <c r="AP18" s="8">
        <v>10000.0</v>
      </c>
    </row>
    <row r="20">
      <c r="A20" s="7" t="s">
        <v>89</v>
      </c>
    </row>
    <row r="21">
      <c r="A21" s="1" t="s">
        <v>32</v>
      </c>
      <c r="C21" s="12">
        <f>5*4</f>
        <v>20</v>
      </c>
      <c r="D21" s="12">
        <f t="shared" ref="D21:N21" si="4">roundup((C21*$C$1)+5*4,0)</f>
        <v>32</v>
      </c>
      <c r="E21" s="12">
        <f t="shared" si="4"/>
        <v>40</v>
      </c>
      <c r="F21" s="12">
        <f t="shared" si="4"/>
        <v>44</v>
      </c>
      <c r="G21" s="12">
        <f t="shared" si="4"/>
        <v>47</v>
      </c>
      <c r="H21" s="12">
        <f t="shared" si="4"/>
        <v>49</v>
      </c>
      <c r="I21" s="12">
        <f t="shared" si="4"/>
        <v>50</v>
      </c>
      <c r="J21" s="12">
        <f t="shared" si="4"/>
        <v>50</v>
      </c>
      <c r="K21" s="12">
        <f t="shared" si="4"/>
        <v>50</v>
      </c>
      <c r="L21" s="12">
        <f t="shared" si="4"/>
        <v>50</v>
      </c>
      <c r="M21" s="12">
        <f t="shared" si="4"/>
        <v>50</v>
      </c>
      <c r="N21" s="12">
        <f t="shared" si="4"/>
        <v>50</v>
      </c>
      <c r="Q21" s="12">
        <f t="shared" ref="Q21:Q32" si="7">N21</f>
        <v>50</v>
      </c>
      <c r="R21" s="12">
        <f t="shared" ref="R21:AB21" si="5">Q21</f>
        <v>50</v>
      </c>
      <c r="S21" s="12">
        <f t="shared" si="5"/>
        <v>50</v>
      </c>
      <c r="T21" s="12">
        <f t="shared" si="5"/>
        <v>50</v>
      </c>
      <c r="U21" s="12">
        <f t="shared" si="5"/>
        <v>50</v>
      </c>
      <c r="V21" s="12">
        <f t="shared" si="5"/>
        <v>50</v>
      </c>
      <c r="W21" s="12">
        <f t="shared" si="5"/>
        <v>50</v>
      </c>
      <c r="X21" s="12">
        <f t="shared" si="5"/>
        <v>50</v>
      </c>
      <c r="Y21" s="12">
        <f t="shared" si="5"/>
        <v>50</v>
      </c>
      <c r="Z21" s="12">
        <f t="shared" si="5"/>
        <v>50</v>
      </c>
      <c r="AA21" s="12">
        <f t="shared" si="5"/>
        <v>50</v>
      </c>
      <c r="AB21" s="12">
        <f t="shared" si="5"/>
        <v>50</v>
      </c>
      <c r="AE21" s="12">
        <f t="shared" ref="AE21:AE33" si="9">AB21</f>
        <v>50</v>
      </c>
      <c r="AF21" s="12">
        <f t="shared" ref="AF21:AP21" si="6">AE21</f>
        <v>50</v>
      </c>
      <c r="AG21" s="12">
        <f t="shared" si="6"/>
        <v>50</v>
      </c>
      <c r="AH21" s="12">
        <f t="shared" si="6"/>
        <v>50</v>
      </c>
      <c r="AI21" s="12">
        <f t="shared" si="6"/>
        <v>50</v>
      </c>
      <c r="AJ21" s="12">
        <f t="shared" si="6"/>
        <v>50</v>
      </c>
      <c r="AK21" s="12">
        <f t="shared" si="6"/>
        <v>50</v>
      </c>
      <c r="AL21" s="12">
        <f t="shared" si="6"/>
        <v>50</v>
      </c>
      <c r="AM21" s="12">
        <f t="shared" si="6"/>
        <v>50</v>
      </c>
      <c r="AN21" s="12">
        <f t="shared" si="6"/>
        <v>50</v>
      </c>
      <c r="AO21" s="12">
        <f t="shared" si="6"/>
        <v>50</v>
      </c>
      <c r="AP21" s="12">
        <f t="shared" si="6"/>
        <v>50</v>
      </c>
    </row>
    <row r="22">
      <c r="A22" s="1" t="s">
        <v>37</v>
      </c>
      <c r="B22" s="1"/>
      <c r="C22" s="1">
        <v>1.0</v>
      </c>
      <c r="D22" s="1">
        <v>1.0</v>
      </c>
      <c r="E22" s="1">
        <v>2.0</v>
      </c>
      <c r="F22" s="1">
        <v>2.0</v>
      </c>
      <c r="G22" s="1">
        <v>3.0</v>
      </c>
      <c r="H22" s="1">
        <v>3.0</v>
      </c>
      <c r="I22" s="1">
        <v>4.0</v>
      </c>
      <c r="J22" s="1">
        <v>4.0</v>
      </c>
      <c r="K22" s="1">
        <v>5.0</v>
      </c>
      <c r="L22" s="1">
        <v>5.0</v>
      </c>
      <c r="M22" s="1">
        <v>6.0</v>
      </c>
      <c r="N22" s="1">
        <v>6.0</v>
      </c>
      <c r="Q22" s="12">
        <f t="shared" si="7"/>
        <v>6</v>
      </c>
      <c r="R22" s="12">
        <f t="shared" ref="R22:AB22" si="8">Q22</f>
        <v>6</v>
      </c>
      <c r="S22" s="12">
        <f t="shared" si="8"/>
        <v>6</v>
      </c>
      <c r="T22" s="12">
        <f t="shared" si="8"/>
        <v>6</v>
      </c>
      <c r="U22" s="12">
        <f t="shared" si="8"/>
        <v>6</v>
      </c>
      <c r="V22" s="12">
        <f t="shared" si="8"/>
        <v>6</v>
      </c>
      <c r="W22" s="12">
        <f t="shared" si="8"/>
        <v>6</v>
      </c>
      <c r="X22" s="12">
        <f t="shared" si="8"/>
        <v>6</v>
      </c>
      <c r="Y22" s="12">
        <f t="shared" si="8"/>
        <v>6</v>
      </c>
      <c r="Z22" s="12">
        <f t="shared" si="8"/>
        <v>6</v>
      </c>
      <c r="AA22" s="12">
        <f t="shared" si="8"/>
        <v>6</v>
      </c>
      <c r="AB22" s="12">
        <f t="shared" si="8"/>
        <v>6</v>
      </c>
      <c r="AE22" s="12">
        <f t="shared" si="9"/>
        <v>6</v>
      </c>
      <c r="AF22" s="12">
        <f t="shared" ref="AF22:AP22" si="10">AE22</f>
        <v>6</v>
      </c>
      <c r="AG22" s="12">
        <f t="shared" si="10"/>
        <v>6</v>
      </c>
      <c r="AH22" s="12">
        <f t="shared" si="10"/>
        <v>6</v>
      </c>
      <c r="AI22" s="12">
        <f t="shared" si="10"/>
        <v>6</v>
      </c>
      <c r="AJ22" s="12">
        <f t="shared" si="10"/>
        <v>6</v>
      </c>
      <c r="AK22" s="12">
        <f t="shared" si="10"/>
        <v>6</v>
      </c>
      <c r="AL22" s="12">
        <f t="shared" si="10"/>
        <v>6</v>
      </c>
      <c r="AM22" s="12">
        <f t="shared" si="10"/>
        <v>6</v>
      </c>
      <c r="AN22" s="12">
        <f t="shared" si="10"/>
        <v>6</v>
      </c>
      <c r="AO22" s="12">
        <f t="shared" si="10"/>
        <v>6</v>
      </c>
      <c r="AP22" s="12">
        <f t="shared" si="10"/>
        <v>6</v>
      </c>
    </row>
    <row r="23">
      <c r="A23" s="1" t="s">
        <v>40</v>
      </c>
      <c r="B23" s="1"/>
      <c r="C23" s="1">
        <v>1.0</v>
      </c>
      <c r="D23" s="1">
        <v>1.0</v>
      </c>
      <c r="E23" s="1">
        <v>1.0</v>
      </c>
      <c r="F23" s="1">
        <v>1.0</v>
      </c>
      <c r="G23" s="1">
        <v>2.0</v>
      </c>
      <c r="H23" s="1">
        <v>2.0</v>
      </c>
      <c r="I23" s="1">
        <v>2.0</v>
      </c>
      <c r="J23" s="1">
        <v>2.0</v>
      </c>
      <c r="K23" s="1">
        <v>2.0</v>
      </c>
      <c r="L23" s="1">
        <v>3.0</v>
      </c>
      <c r="M23" s="1">
        <v>3.0</v>
      </c>
      <c r="N23" s="1">
        <v>3.0</v>
      </c>
      <c r="Q23" s="12">
        <f t="shared" si="7"/>
        <v>3</v>
      </c>
      <c r="R23" s="12">
        <f t="shared" ref="R23:AB23" si="11">Q23</f>
        <v>3</v>
      </c>
      <c r="S23" s="12">
        <f t="shared" si="11"/>
        <v>3</v>
      </c>
      <c r="T23" s="12">
        <f t="shared" si="11"/>
        <v>3</v>
      </c>
      <c r="U23" s="12">
        <f t="shared" si="11"/>
        <v>3</v>
      </c>
      <c r="V23" s="12">
        <f t="shared" si="11"/>
        <v>3</v>
      </c>
      <c r="W23" s="12">
        <f t="shared" si="11"/>
        <v>3</v>
      </c>
      <c r="X23" s="12">
        <f t="shared" si="11"/>
        <v>3</v>
      </c>
      <c r="Y23" s="12">
        <f t="shared" si="11"/>
        <v>3</v>
      </c>
      <c r="Z23" s="12">
        <f t="shared" si="11"/>
        <v>3</v>
      </c>
      <c r="AA23" s="12">
        <f t="shared" si="11"/>
        <v>3</v>
      </c>
      <c r="AB23" s="12">
        <f t="shared" si="11"/>
        <v>3</v>
      </c>
      <c r="AE23" s="12">
        <f t="shared" si="9"/>
        <v>3</v>
      </c>
      <c r="AF23" s="12">
        <f t="shared" ref="AF23:AP23" si="12">AE23</f>
        <v>3</v>
      </c>
      <c r="AG23" s="12">
        <f t="shared" si="12"/>
        <v>3</v>
      </c>
      <c r="AH23" s="12">
        <f t="shared" si="12"/>
        <v>3</v>
      </c>
      <c r="AI23" s="12">
        <f t="shared" si="12"/>
        <v>3</v>
      </c>
      <c r="AJ23" s="12">
        <f t="shared" si="12"/>
        <v>3</v>
      </c>
      <c r="AK23" s="12">
        <f t="shared" si="12"/>
        <v>3</v>
      </c>
      <c r="AL23" s="12">
        <f t="shared" si="12"/>
        <v>3</v>
      </c>
      <c r="AM23" s="12">
        <f t="shared" si="12"/>
        <v>3</v>
      </c>
      <c r="AN23" s="12">
        <f t="shared" si="12"/>
        <v>3</v>
      </c>
      <c r="AO23" s="12">
        <f t="shared" si="12"/>
        <v>3</v>
      </c>
      <c r="AP23" s="12">
        <f t="shared" si="12"/>
        <v>3</v>
      </c>
    </row>
    <row r="24">
      <c r="A24" s="1" t="s">
        <v>41</v>
      </c>
      <c r="Q24" s="12" t="str">
        <f t="shared" si="7"/>
        <v/>
      </c>
      <c r="R24" s="12" t="str">
        <f t="shared" ref="R24:AB24" si="13">Q24</f>
        <v/>
      </c>
      <c r="S24" s="12" t="str">
        <f t="shared" si="13"/>
        <v/>
      </c>
      <c r="T24" s="12" t="str">
        <f t="shared" si="13"/>
        <v/>
      </c>
      <c r="U24" s="12" t="str">
        <f t="shared" si="13"/>
        <v/>
      </c>
      <c r="V24" s="12" t="str">
        <f t="shared" si="13"/>
        <v/>
      </c>
      <c r="W24" s="12" t="str">
        <f t="shared" si="13"/>
        <v/>
      </c>
      <c r="X24" s="12" t="str">
        <f t="shared" si="13"/>
        <v/>
      </c>
      <c r="Y24" s="12" t="str">
        <f t="shared" si="13"/>
        <v/>
      </c>
      <c r="Z24" s="12" t="str">
        <f t="shared" si="13"/>
        <v/>
      </c>
      <c r="AA24" s="12" t="str">
        <f t="shared" si="13"/>
        <v/>
      </c>
      <c r="AB24" s="12" t="str">
        <f t="shared" si="13"/>
        <v/>
      </c>
      <c r="AE24" s="12" t="str">
        <f t="shared" si="9"/>
        <v/>
      </c>
      <c r="AF24" s="12" t="str">
        <f t="shared" ref="AF24:AP24" si="14">AE24</f>
        <v/>
      </c>
      <c r="AG24" s="12" t="str">
        <f t="shared" si="14"/>
        <v/>
      </c>
      <c r="AH24" s="12" t="str">
        <f t="shared" si="14"/>
        <v/>
      </c>
      <c r="AI24" s="12" t="str">
        <f t="shared" si="14"/>
        <v/>
      </c>
      <c r="AJ24" s="12" t="str">
        <f t="shared" si="14"/>
        <v/>
      </c>
      <c r="AK24" s="12" t="str">
        <f t="shared" si="14"/>
        <v/>
      </c>
      <c r="AL24" s="12" t="str">
        <f t="shared" si="14"/>
        <v/>
      </c>
      <c r="AM24" s="12" t="str">
        <f t="shared" si="14"/>
        <v/>
      </c>
      <c r="AN24" s="12" t="str">
        <f t="shared" si="14"/>
        <v/>
      </c>
      <c r="AO24" s="12" t="str">
        <f t="shared" si="14"/>
        <v/>
      </c>
      <c r="AP24" s="12" t="str">
        <f t="shared" si="14"/>
        <v/>
      </c>
    </row>
    <row r="25">
      <c r="A25" s="1" t="s">
        <v>43</v>
      </c>
      <c r="Q25" s="12" t="str">
        <f t="shared" si="7"/>
        <v/>
      </c>
      <c r="R25" s="12" t="str">
        <f t="shared" ref="R25:AB25" si="15">Q25</f>
        <v/>
      </c>
      <c r="S25" s="12" t="str">
        <f t="shared" si="15"/>
        <v/>
      </c>
      <c r="T25" s="12" t="str">
        <f t="shared" si="15"/>
        <v/>
      </c>
      <c r="U25" s="12" t="str">
        <f t="shared" si="15"/>
        <v/>
      </c>
      <c r="V25" s="12" t="str">
        <f t="shared" si="15"/>
        <v/>
      </c>
      <c r="W25" s="12" t="str">
        <f t="shared" si="15"/>
        <v/>
      </c>
      <c r="X25" s="12" t="str">
        <f t="shared" si="15"/>
        <v/>
      </c>
      <c r="Y25" s="12" t="str">
        <f t="shared" si="15"/>
        <v/>
      </c>
      <c r="Z25" s="12" t="str">
        <f t="shared" si="15"/>
        <v/>
      </c>
      <c r="AA25" s="12" t="str">
        <f t="shared" si="15"/>
        <v/>
      </c>
      <c r="AB25" s="12" t="str">
        <f t="shared" si="15"/>
        <v/>
      </c>
      <c r="AE25" s="12" t="str">
        <f t="shared" si="9"/>
        <v/>
      </c>
      <c r="AF25" s="12" t="str">
        <f t="shared" ref="AF25:AP25" si="16">AE25</f>
        <v/>
      </c>
      <c r="AG25" s="12" t="str">
        <f t="shared" si="16"/>
        <v/>
      </c>
      <c r="AH25" s="12" t="str">
        <f t="shared" si="16"/>
        <v/>
      </c>
      <c r="AI25" s="12" t="str">
        <f t="shared" si="16"/>
        <v/>
      </c>
      <c r="AJ25" s="12" t="str">
        <f t="shared" si="16"/>
        <v/>
      </c>
      <c r="AK25" s="12" t="str">
        <f t="shared" si="16"/>
        <v/>
      </c>
      <c r="AL25" s="12" t="str">
        <f t="shared" si="16"/>
        <v/>
      </c>
      <c r="AM25" s="12" t="str">
        <f t="shared" si="16"/>
        <v/>
      </c>
      <c r="AN25" s="12" t="str">
        <f t="shared" si="16"/>
        <v/>
      </c>
      <c r="AO25" s="12" t="str">
        <f t="shared" si="16"/>
        <v/>
      </c>
      <c r="AP25" s="12" t="str">
        <f t="shared" si="16"/>
        <v/>
      </c>
    </row>
    <row r="26">
      <c r="A26" s="1" t="s">
        <v>45</v>
      </c>
      <c r="Q26" s="12" t="str">
        <f t="shared" si="7"/>
        <v/>
      </c>
      <c r="R26" s="12" t="str">
        <f t="shared" ref="R26:AB26" si="17">Q26</f>
        <v/>
      </c>
      <c r="S26" s="12" t="str">
        <f t="shared" si="17"/>
        <v/>
      </c>
      <c r="T26" s="12" t="str">
        <f t="shared" si="17"/>
        <v/>
      </c>
      <c r="U26" s="12" t="str">
        <f t="shared" si="17"/>
        <v/>
      </c>
      <c r="V26" s="12" t="str">
        <f t="shared" si="17"/>
        <v/>
      </c>
      <c r="W26" s="12" t="str">
        <f t="shared" si="17"/>
        <v/>
      </c>
      <c r="X26" s="12" t="str">
        <f t="shared" si="17"/>
        <v/>
      </c>
      <c r="Y26" s="12" t="str">
        <f t="shared" si="17"/>
        <v/>
      </c>
      <c r="Z26" s="12" t="str">
        <f t="shared" si="17"/>
        <v/>
      </c>
      <c r="AA26" s="12" t="str">
        <f t="shared" si="17"/>
        <v/>
      </c>
      <c r="AB26" s="12" t="str">
        <f t="shared" si="17"/>
        <v/>
      </c>
      <c r="AE26" s="12" t="str">
        <f t="shared" si="9"/>
        <v/>
      </c>
      <c r="AF26" s="12" t="str">
        <f t="shared" ref="AF26:AP26" si="18">AE26</f>
        <v/>
      </c>
      <c r="AG26" s="12" t="str">
        <f t="shared" si="18"/>
        <v/>
      </c>
      <c r="AH26" s="12" t="str">
        <f t="shared" si="18"/>
        <v/>
      </c>
      <c r="AI26" s="12" t="str">
        <f t="shared" si="18"/>
        <v/>
      </c>
      <c r="AJ26" s="12" t="str">
        <f t="shared" si="18"/>
        <v/>
      </c>
      <c r="AK26" s="12" t="str">
        <f t="shared" si="18"/>
        <v/>
      </c>
      <c r="AL26" s="12" t="str">
        <f t="shared" si="18"/>
        <v/>
      </c>
      <c r="AM26" s="12" t="str">
        <f t="shared" si="18"/>
        <v/>
      </c>
      <c r="AN26" s="12" t="str">
        <f t="shared" si="18"/>
        <v/>
      </c>
      <c r="AO26" s="12" t="str">
        <f t="shared" si="18"/>
        <v/>
      </c>
      <c r="AP26" s="12" t="str">
        <f t="shared" si="18"/>
        <v/>
      </c>
    </row>
    <row r="27">
      <c r="A27" s="1" t="s">
        <v>46</v>
      </c>
      <c r="Q27" s="12" t="str">
        <f t="shared" si="7"/>
        <v/>
      </c>
      <c r="R27" s="12" t="str">
        <f t="shared" ref="R27:AB27" si="19">Q27</f>
        <v/>
      </c>
      <c r="S27" s="12" t="str">
        <f t="shared" si="19"/>
        <v/>
      </c>
      <c r="T27" s="12" t="str">
        <f t="shared" si="19"/>
        <v/>
      </c>
      <c r="U27" s="12" t="str">
        <f t="shared" si="19"/>
        <v/>
      </c>
      <c r="V27" s="12" t="str">
        <f t="shared" si="19"/>
        <v/>
      </c>
      <c r="W27" s="12" t="str">
        <f t="shared" si="19"/>
        <v/>
      </c>
      <c r="X27" s="12" t="str">
        <f t="shared" si="19"/>
        <v/>
      </c>
      <c r="Y27" s="12" t="str">
        <f t="shared" si="19"/>
        <v/>
      </c>
      <c r="Z27" s="12" t="str">
        <f t="shared" si="19"/>
        <v/>
      </c>
      <c r="AA27" s="12" t="str">
        <f t="shared" si="19"/>
        <v/>
      </c>
      <c r="AB27" s="12" t="str">
        <f t="shared" si="19"/>
        <v/>
      </c>
      <c r="AE27" s="12" t="str">
        <f t="shared" si="9"/>
        <v/>
      </c>
      <c r="AF27" s="12" t="str">
        <f t="shared" ref="AF27:AP27" si="20">AE27</f>
        <v/>
      </c>
      <c r="AG27" s="12" t="str">
        <f t="shared" si="20"/>
        <v/>
      </c>
      <c r="AH27" s="12" t="str">
        <f t="shared" si="20"/>
        <v/>
      </c>
      <c r="AI27" s="12" t="str">
        <f t="shared" si="20"/>
        <v/>
      </c>
      <c r="AJ27" s="12" t="str">
        <f t="shared" si="20"/>
        <v/>
      </c>
      <c r="AK27" s="12" t="str">
        <f t="shared" si="20"/>
        <v/>
      </c>
      <c r="AL27" s="12" t="str">
        <f t="shared" si="20"/>
        <v/>
      </c>
      <c r="AM27" s="12" t="str">
        <f t="shared" si="20"/>
        <v/>
      </c>
      <c r="AN27" s="12" t="str">
        <f t="shared" si="20"/>
        <v/>
      </c>
      <c r="AO27" s="12" t="str">
        <f t="shared" si="20"/>
        <v/>
      </c>
      <c r="AP27" s="12" t="str">
        <f t="shared" si="20"/>
        <v/>
      </c>
    </row>
    <row r="28">
      <c r="A28" s="1" t="s">
        <v>88</v>
      </c>
      <c r="B28" s="1"/>
      <c r="C28" s="1">
        <f t="shared" ref="C28:N28" si="21">roundup((0.01*(roundup((C30*C46*6500),0)+roundup((C31*C47*40000),0)+roundup((C32*C48*100000),0)+roundup((C33*C49*5000000),0))),0)</f>
        <v>0</v>
      </c>
      <c r="D28" s="1">
        <f t="shared" si="21"/>
        <v>0</v>
      </c>
      <c r="E28" s="1">
        <f t="shared" si="21"/>
        <v>0</v>
      </c>
      <c r="F28" s="1">
        <f t="shared" si="21"/>
        <v>900</v>
      </c>
      <c r="G28" s="1">
        <f t="shared" si="21"/>
        <v>26125</v>
      </c>
      <c r="H28" s="1">
        <f t="shared" si="21"/>
        <v>26350</v>
      </c>
      <c r="I28" s="1">
        <f t="shared" si="21"/>
        <v>53763</v>
      </c>
      <c r="J28" s="1">
        <f t="shared" si="21"/>
        <v>54300</v>
      </c>
      <c r="K28" s="1">
        <f t="shared" si="21"/>
        <v>54838</v>
      </c>
      <c r="L28" s="1">
        <f t="shared" si="21"/>
        <v>81375</v>
      </c>
      <c r="M28" s="1">
        <f t="shared" si="21"/>
        <v>82013</v>
      </c>
      <c r="N28" s="1">
        <f t="shared" si="21"/>
        <v>82650</v>
      </c>
      <c r="Q28" s="12">
        <f t="shared" si="7"/>
        <v>82650</v>
      </c>
      <c r="R28" s="12">
        <f t="shared" ref="R28:AB28" si="22">Q28</f>
        <v>82650</v>
      </c>
      <c r="S28" s="12">
        <f t="shared" si="22"/>
        <v>82650</v>
      </c>
      <c r="T28" s="12">
        <f t="shared" si="22"/>
        <v>82650</v>
      </c>
      <c r="U28" s="12">
        <f t="shared" si="22"/>
        <v>82650</v>
      </c>
      <c r="V28" s="12">
        <f t="shared" si="22"/>
        <v>82650</v>
      </c>
      <c r="W28" s="12">
        <f t="shared" si="22"/>
        <v>82650</v>
      </c>
      <c r="X28" s="12">
        <f t="shared" si="22"/>
        <v>82650</v>
      </c>
      <c r="Y28" s="12">
        <f t="shared" si="22"/>
        <v>82650</v>
      </c>
      <c r="Z28" s="12">
        <f t="shared" si="22"/>
        <v>82650</v>
      </c>
      <c r="AA28" s="12">
        <f t="shared" si="22"/>
        <v>82650</v>
      </c>
      <c r="AB28" s="12">
        <f t="shared" si="22"/>
        <v>82650</v>
      </c>
      <c r="AE28" s="12">
        <f t="shared" si="9"/>
        <v>82650</v>
      </c>
      <c r="AF28" s="12">
        <f t="shared" ref="AF28:AP28" si="23">AE28</f>
        <v>82650</v>
      </c>
      <c r="AG28" s="12">
        <f t="shared" si="23"/>
        <v>82650</v>
      </c>
      <c r="AH28" s="12">
        <f t="shared" si="23"/>
        <v>82650</v>
      </c>
      <c r="AI28" s="12">
        <f t="shared" si="23"/>
        <v>82650</v>
      </c>
      <c r="AJ28" s="12">
        <f t="shared" si="23"/>
        <v>82650</v>
      </c>
      <c r="AK28" s="12">
        <f t="shared" si="23"/>
        <v>82650</v>
      </c>
      <c r="AL28" s="12">
        <f t="shared" si="23"/>
        <v>82650</v>
      </c>
      <c r="AM28" s="12">
        <f t="shared" si="23"/>
        <v>82650</v>
      </c>
      <c r="AN28" s="12">
        <f t="shared" si="23"/>
        <v>82650</v>
      </c>
      <c r="AO28" s="12">
        <f t="shared" si="23"/>
        <v>82650</v>
      </c>
      <c r="AP28" s="12">
        <f t="shared" si="23"/>
        <v>82650</v>
      </c>
    </row>
    <row r="29">
      <c r="A29" s="1" t="s">
        <v>47</v>
      </c>
      <c r="B29" s="1"/>
      <c r="C29" s="1">
        <v>1.0</v>
      </c>
      <c r="D29" s="1">
        <v>1.0</v>
      </c>
      <c r="E29" s="1">
        <v>1.0</v>
      </c>
      <c r="F29" s="1">
        <v>1.0</v>
      </c>
      <c r="G29" s="1">
        <v>1.0</v>
      </c>
      <c r="H29" s="1">
        <v>1.0</v>
      </c>
      <c r="I29" s="1">
        <v>1.0</v>
      </c>
      <c r="J29" s="1">
        <v>1.0</v>
      </c>
      <c r="K29" s="1">
        <v>1.0</v>
      </c>
      <c r="L29" s="1">
        <v>1.0</v>
      </c>
      <c r="M29" s="1">
        <v>1.0</v>
      </c>
      <c r="N29" s="1">
        <v>1.0</v>
      </c>
      <c r="Q29" s="12">
        <f t="shared" si="7"/>
        <v>1</v>
      </c>
      <c r="R29" s="12">
        <f t="shared" ref="R29:AB29" si="24">Q29</f>
        <v>1</v>
      </c>
      <c r="S29" s="12">
        <f t="shared" si="24"/>
        <v>1</v>
      </c>
      <c r="T29" s="12">
        <f t="shared" si="24"/>
        <v>1</v>
      </c>
      <c r="U29" s="12">
        <f t="shared" si="24"/>
        <v>1</v>
      </c>
      <c r="V29" s="12">
        <f t="shared" si="24"/>
        <v>1</v>
      </c>
      <c r="W29" s="12">
        <f t="shared" si="24"/>
        <v>1</v>
      </c>
      <c r="X29" s="12">
        <f t="shared" si="24"/>
        <v>1</v>
      </c>
      <c r="Y29" s="12">
        <f t="shared" si="24"/>
        <v>1</v>
      </c>
      <c r="Z29" s="12">
        <f t="shared" si="24"/>
        <v>1</v>
      </c>
      <c r="AA29" s="12">
        <f t="shared" si="24"/>
        <v>1</v>
      </c>
      <c r="AB29" s="12">
        <f t="shared" si="24"/>
        <v>1</v>
      </c>
      <c r="AE29" s="12">
        <f t="shared" si="9"/>
        <v>1</v>
      </c>
      <c r="AF29" s="12">
        <f t="shared" ref="AF29:AP29" si="25">AE29</f>
        <v>1</v>
      </c>
      <c r="AG29" s="12">
        <f t="shared" si="25"/>
        <v>1</v>
      </c>
      <c r="AH29" s="12">
        <f t="shared" si="25"/>
        <v>1</v>
      </c>
      <c r="AI29" s="12">
        <f t="shared" si="25"/>
        <v>1</v>
      </c>
      <c r="AJ29" s="12">
        <f t="shared" si="25"/>
        <v>1</v>
      </c>
      <c r="AK29" s="12">
        <f t="shared" si="25"/>
        <v>1</v>
      </c>
      <c r="AL29" s="12">
        <f t="shared" si="25"/>
        <v>1</v>
      </c>
      <c r="AM29" s="12">
        <f t="shared" si="25"/>
        <v>1</v>
      </c>
      <c r="AN29" s="12">
        <f t="shared" si="25"/>
        <v>1</v>
      </c>
      <c r="AO29" s="12">
        <f t="shared" si="25"/>
        <v>1</v>
      </c>
      <c r="AP29" s="12">
        <f t="shared" si="25"/>
        <v>1</v>
      </c>
    </row>
    <row r="30">
      <c r="A30" s="1" t="s">
        <v>56</v>
      </c>
      <c r="B30" s="1"/>
      <c r="C30" s="1">
        <v>5.0</v>
      </c>
      <c r="D30" s="12">
        <f t="shared" ref="D30:N30" si="26">C30+5</f>
        <v>10</v>
      </c>
      <c r="E30" s="12">
        <f t="shared" si="26"/>
        <v>15</v>
      </c>
      <c r="F30" s="12">
        <f t="shared" si="26"/>
        <v>20</v>
      </c>
      <c r="G30" s="12">
        <f t="shared" si="26"/>
        <v>25</v>
      </c>
      <c r="H30" s="12">
        <f t="shared" si="26"/>
        <v>30</v>
      </c>
      <c r="I30" s="12">
        <f t="shared" si="26"/>
        <v>35</v>
      </c>
      <c r="J30" s="12">
        <f t="shared" si="26"/>
        <v>40</v>
      </c>
      <c r="K30" s="12">
        <f t="shared" si="26"/>
        <v>45</v>
      </c>
      <c r="L30" s="12">
        <f t="shared" si="26"/>
        <v>50</v>
      </c>
      <c r="M30" s="12">
        <f t="shared" si="26"/>
        <v>55</v>
      </c>
      <c r="N30" s="12">
        <f t="shared" si="26"/>
        <v>60</v>
      </c>
      <c r="Q30" s="12">
        <f t="shared" si="7"/>
        <v>60</v>
      </c>
      <c r="R30" s="12">
        <f t="shared" ref="R30:AB30" si="27">Q30</f>
        <v>60</v>
      </c>
      <c r="S30" s="12">
        <f t="shared" si="27"/>
        <v>60</v>
      </c>
      <c r="T30" s="12">
        <f t="shared" si="27"/>
        <v>60</v>
      </c>
      <c r="U30" s="12">
        <f t="shared" si="27"/>
        <v>60</v>
      </c>
      <c r="V30" s="12">
        <f t="shared" si="27"/>
        <v>60</v>
      </c>
      <c r="W30" s="12">
        <f t="shared" si="27"/>
        <v>60</v>
      </c>
      <c r="X30" s="12">
        <f t="shared" si="27"/>
        <v>60</v>
      </c>
      <c r="Y30" s="12">
        <f t="shared" si="27"/>
        <v>60</v>
      </c>
      <c r="Z30" s="12">
        <f t="shared" si="27"/>
        <v>60</v>
      </c>
      <c r="AA30" s="12">
        <f t="shared" si="27"/>
        <v>60</v>
      </c>
      <c r="AB30" s="12">
        <f t="shared" si="27"/>
        <v>60</v>
      </c>
      <c r="AE30" s="12">
        <f t="shared" si="9"/>
        <v>60</v>
      </c>
      <c r="AF30" s="12">
        <f t="shared" ref="AF30:AP30" si="28">AE30</f>
        <v>60</v>
      </c>
      <c r="AG30" s="12">
        <f t="shared" si="28"/>
        <v>60</v>
      </c>
      <c r="AH30" s="12">
        <f t="shared" si="28"/>
        <v>60</v>
      </c>
      <c r="AI30" s="12">
        <f t="shared" si="28"/>
        <v>60</v>
      </c>
      <c r="AJ30" s="12">
        <f t="shared" si="28"/>
        <v>60</v>
      </c>
      <c r="AK30" s="12">
        <f t="shared" si="28"/>
        <v>60</v>
      </c>
      <c r="AL30" s="12">
        <f t="shared" si="28"/>
        <v>60</v>
      </c>
      <c r="AM30" s="12">
        <f t="shared" si="28"/>
        <v>60</v>
      </c>
      <c r="AN30" s="12">
        <f t="shared" si="28"/>
        <v>60</v>
      </c>
      <c r="AO30" s="12">
        <f t="shared" si="28"/>
        <v>60</v>
      </c>
      <c r="AP30" s="12">
        <f t="shared" si="28"/>
        <v>60</v>
      </c>
    </row>
    <row r="31">
      <c r="A31" s="1" t="s">
        <v>61</v>
      </c>
      <c r="B31" s="1"/>
      <c r="C31" s="1">
        <v>2.0</v>
      </c>
      <c r="D31" s="12">
        <f t="shared" ref="D31:N31" si="29">C31+2</f>
        <v>4</v>
      </c>
      <c r="E31" s="12">
        <f t="shared" si="29"/>
        <v>6</v>
      </c>
      <c r="F31" s="12">
        <f t="shared" si="29"/>
        <v>8</v>
      </c>
      <c r="G31" s="12">
        <f t="shared" si="29"/>
        <v>10</v>
      </c>
      <c r="H31" s="12">
        <f t="shared" si="29"/>
        <v>12</v>
      </c>
      <c r="I31" s="12">
        <f t="shared" si="29"/>
        <v>14</v>
      </c>
      <c r="J31" s="12">
        <f t="shared" si="29"/>
        <v>16</v>
      </c>
      <c r="K31" s="12">
        <f t="shared" si="29"/>
        <v>18</v>
      </c>
      <c r="L31" s="12">
        <f t="shared" si="29"/>
        <v>20</v>
      </c>
      <c r="M31" s="12">
        <f t="shared" si="29"/>
        <v>22</v>
      </c>
      <c r="N31" s="12">
        <f t="shared" si="29"/>
        <v>24</v>
      </c>
      <c r="Q31" s="12">
        <f t="shared" si="7"/>
        <v>24</v>
      </c>
      <c r="R31" s="12">
        <f t="shared" ref="R31:AB31" si="30">Q31</f>
        <v>24</v>
      </c>
      <c r="S31" s="12">
        <f t="shared" si="30"/>
        <v>24</v>
      </c>
      <c r="T31" s="12">
        <f t="shared" si="30"/>
        <v>24</v>
      </c>
      <c r="U31" s="12">
        <f t="shared" si="30"/>
        <v>24</v>
      </c>
      <c r="V31" s="12">
        <f t="shared" si="30"/>
        <v>24</v>
      </c>
      <c r="W31" s="12">
        <f t="shared" si="30"/>
        <v>24</v>
      </c>
      <c r="X31" s="12">
        <f t="shared" si="30"/>
        <v>24</v>
      </c>
      <c r="Y31" s="12">
        <f t="shared" si="30"/>
        <v>24</v>
      </c>
      <c r="Z31" s="12">
        <f t="shared" si="30"/>
        <v>24</v>
      </c>
      <c r="AA31" s="12">
        <f t="shared" si="30"/>
        <v>24</v>
      </c>
      <c r="AB31" s="12">
        <f t="shared" si="30"/>
        <v>24</v>
      </c>
      <c r="AE31" s="12">
        <f t="shared" si="9"/>
        <v>24</v>
      </c>
      <c r="AF31" s="12">
        <f t="shared" ref="AF31:AP31" si="31">AE31</f>
        <v>24</v>
      </c>
      <c r="AG31" s="12">
        <f t="shared" si="31"/>
        <v>24</v>
      </c>
      <c r="AH31" s="12">
        <f t="shared" si="31"/>
        <v>24</v>
      </c>
      <c r="AI31" s="12">
        <f t="shared" si="31"/>
        <v>24</v>
      </c>
      <c r="AJ31" s="12">
        <f t="shared" si="31"/>
        <v>24</v>
      </c>
      <c r="AK31" s="12">
        <f t="shared" si="31"/>
        <v>24</v>
      </c>
      <c r="AL31" s="12">
        <f t="shared" si="31"/>
        <v>24</v>
      </c>
      <c r="AM31" s="12">
        <f t="shared" si="31"/>
        <v>24</v>
      </c>
      <c r="AN31" s="12">
        <f t="shared" si="31"/>
        <v>24</v>
      </c>
      <c r="AO31" s="12">
        <f t="shared" si="31"/>
        <v>24</v>
      </c>
      <c r="AP31" s="12">
        <f t="shared" si="31"/>
        <v>24</v>
      </c>
    </row>
    <row r="32">
      <c r="A32" s="1" t="s">
        <v>64</v>
      </c>
      <c r="B32" s="1"/>
      <c r="C32" s="1">
        <v>1.0</v>
      </c>
      <c r="D32" s="12">
        <f t="shared" ref="D32:N32" si="32">C32+1</f>
        <v>2</v>
      </c>
      <c r="E32" s="12">
        <f t="shared" si="32"/>
        <v>3</v>
      </c>
      <c r="F32" s="12">
        <f t="shared" si="32"/>
        <v>4</v>
      </c>
      <c r="G32" s="12">
        <f t="shared" si="32"/>
        <v>5</v>
      </c>
      <c r="H32" s="12">
        <f t="shared" si="32"/>
        <v>6</v>
      </c>
      <c r="I32" s="12">
        <f t="shared" si="32"/>
        <v>7</v>
      </c>
      <c r="J32" s="12">
        <f t="shared" si="32"/>
        <v>8</v>
      </c>
      <c r="K32" s="12">
        <f t="shared" si="32"/>
        <v>9</v>
      </c>
      <c r="L32" s="12">
        <f t="shared" si="32"/>
        <v>10</v>
      </c>
      <c r="M32" s="12">
        <f t="shared" si="32"/>
        <v>11</v>
      </c>
      <c r="N32" s="12">
        <f t="shared" si="32"/>
        <v>12</v>
      </c>
      <c r="Q32" s="12">
        <f t="shared" si="7"/>
        <v>12</v>
      </c>
      <c r="R32" s="12">
        <f t="shared" ref="R32:AB32" si="33">Q32</f>
        <v>12</v>
      </c>
      <c r="S32" s="12">
        <f t="shared" si="33"/>
        <v>12</v>
      </c>
      <c r="T32" s="12">
        <f t="shared" si="33"/>
        <v>12</v>
      </c>
      <c r="U32" s="12">
        <f t="shared" si="33"/>
        <v>12</v>
      </c>
      <c r="V32" s="12">
        <f t="shared" si="33"/>
        <v>12</v>
      </c>
      <c r="W32" s="12">
        <f t="shared" si="33"/>
        <v>12</v>
      </c>
      <c r="X32" s="12">
        <f t="shared" si="33"/>
        <v>12</v>
      </c>
      <c r="Y32" s="12">
        <f t="shared" si="33"/>
        <v>12</v>
      </c>
      <c r="Z32" s="12">
        <f t="shared" si="33"/>
        <v>12</v>
      </c>
      <c r="AA32" s="12">
        <f t="shared" si="33"/>
        <v>12</v>
      </c>
      <c r="AB32" s="12">
        <f t="shared" si="33"/>
        <v>12</v>
      </c>
      <c r="AE32" s="12">
        <f t="shared" si="9"/>
        <v>12</v>
      </c>
      <c r="AF32" s="12">
        <f t="shared" ref="AF32:AP32" si="34">AE32</f>
        <v>12</v>
      </c>
      <c r="AG32" s="12">
        <f t="shared" si="34"/>
        <v>12</v>
      </c>
      <c r="AH32" s="12">
        <f t="shared" si="34"/>
        <v>12</v>
      </c>
      <c r="AI32" s="12">
        <f t="shared" si="34"/>
        <v>12</v>
      </c>
      <c r="AJ32" s="12">
        <f t="shared" si="34"/>
        <v>12</v>
      </c>
      <c r="AK32" s="12">
        <f t="shared" si="34"/>
        <v>12</v>
      </c>
      <c r="AL32" s="12">
        <f t="shared" si="34"/>
        <v>12</v>
      </c>
      <c r="AM32" s="12">
        <f t="shared" si="34"/>
        <v>12</v>
      </c>
      <c r="AN32" s="12">
        <f t="shared" si="34"/>
        <v>12</v>
      </c>
      <c r="AO32" s="12">
        <f t="shared" si="34"/>
        <v>12</v>
      </c>
      <c r="AP32" s="12">
        <f t="shared" si="34"/>
        <v>12</v>
      </c>
    </row>
    <row r="33">
      <c r="A33" s="1" t="s">
        <v>68</v>
      </c>
      <c r="B33" s="1"/>
      <c r="C33" s="1">
        <v>1.0</v>
      </c>
      <c r="D33" s="1">
        <v>1.0</v>
      </c>
      <c r="E33" s="1">
        <v>1.0</v>
      </c>
      <c r="F33" s="1">
        <v>1.0</v>
      </c>
      <c r="G33" s="1">
        <v>1.0</v>
      </c>
      <c r="H33" s="1">
        <v>1.0</v>
      </c>
      <c r="I33" s="1">
        <v>2.0</v>
      </c>
      <c r="J33" s="1">
        <v>2.0</v>
      </c>
      <c r="K33" s="1">
        <v>2.0</v>
      </c>
      <c r="L33" s="1">
        <v>3.0</v>
      </c>
      <c r="M33" s="1">
        <v>3.0</v>
      </c>
      <c r="N33" s="1">
        <v>3.0</v>
      </c>
      <c r="Q33" s="1">
        <v>4.0</v>
      </c>
      <c r="R33" s="1">
        <v>4.0</v>
      </c>
      <c r="S33" s="12">
        <f t="shared" ref="S33:AB33" si="35">R33</f>
        <v>4</v>
      </c>
      <c r="T33" s="12">
        <f t="shared" si="35"/>
        <v>4</v>
      </c>
      <c r="U33" s="12">
        <f t="shared" si="35"/>
        <v>4</v>
      </c>
      <c r="V33" s="12">
        <f t="shared" si="35"/>
        <v>4</v>
      </c>
      <c r="W33" s="12">
        <f t="shared" si="35"/>
        <v>4</v>
      </c>
      <c r="X33" s="12">
        <f t="shared" si="35"/>
        <v>4</v>
      </c>
      <c r="Y33" s="12">
        <f t="shared" si="35"/>
        <v>4</v>
      </c>
      <c r="Z33" s="12">
        <f t="shared" si="35"/>
        <v>4</v>
      </c>
      <c r="AA33" s="12">
        <f t="shared" si="35"/>
        <v>4</v>
      </c>
      <c r="AB33" s="12">
        <f t="shared" si="35"/>
        <v>4</v>
      </c>
      <c r="AE33" s="12">
        <f t="shared" si="9"/>
        <v>4</v>
      </c>
      <c r="AF33" s="12">
        <f t="shared" ref="AF33:AP33" si="36">AE33</f>
        <v>4</v>
      </c>
      <c r="AG33" s="12">
        <f t="shared" si="36"/>
        <v>4</v>
      </c>
      <c r="AH33" s="12">
        <f t="shared" si="36"/>
        <v>4</v>
      </c>
      <c r="AI33" s="12">
        <f t="shared" si="36"/>
        <v>4</v>
      </c>
      <c r="AJ33" s="12">
        <f t="shared" si="36"/>
        <v>4</v>
      </c>
      <c r="AK33" s="12">
        <f t="shared" si="36"/>
        <v>4</v>
      </c>
      <c r="AL33" s="12">
        <f t="shared" si="36"/>
        <v>4</v>
      </c>
      <c r="AM33" s="12">
        <f t="shared" si="36"/>
        <v>4</v>
      </c>
      <c r="AN33" s="12">
        <f t="shared" si="36"/>
        <v>4</v>
      </c>
      <c r="AO33" s="12">
        <f t="shared" si="36"/>
        <v>4</v>
      </c>
      <c r="AP33" s="12">
        <f t="shared" si="36"/>
        <v>4</v>
      </c>
    </row>
    <row r="36">
      <c r="A36" s="7" t="s">
        <v>90</v>
      </c>
    </row>
    <row r="37">
      <c r="A37" s="1" t="s">
        <v>32</v>
      </c>
      <c r="B37" s="11"/>
      <c r="C37" s="11">
        <v>0.5</v>
      </c>
      <c r="D37" s="13">
        <f t="shared" ref="D37:N37" si="37">C37</f>
        <v>0.5</v>
      </c>
      <c r="E37" s="13">
        <f t="shared" si="37"/>
        <v>0.5</v>
      </c>
      <c r="F37" s="13">
        <f t="shared" si="37"/>
        <v>0.5</v>
      </c>
      <c r="G37" s="13">
        <f t="shared" si="37"/>
        <v>0.5</v>
      </c>
      <c r="H37" s="13">
        <f t="shared" si="37"/>
        <v>0.5</v>
      </c>
      <c r="I37" s="13">
        <f t="shared" si="37"/>
        <v>0.5</v>
      </c>
      <c r="J37" s="13">
        <f t="shared" si="37"/>
        <v>0.5</v>
      </c>
      <c r="K37" s="13">
        <f t="shared" si="37"/>
        <v>0.5</v>
      </c>
      <c r="L37" s="13">
        <f t="shared" si="37"/>
        <v>0.5</v>
      </c>
      <c r="M37" s="13">
        <f t="shared" si="37"/>
        <v>0.5</v>
      </c>
      <c r="N37" s="13">
        <f t="shared" si="37"/>
        <v>0.5</v>
      </c>
      <c r="Q37" s="13">
        <f t="shared" ref="Q37:Q49" si="41">N37</f>
        <v>0.5</v>
      </c>
      <c r="R37" s="13">
        <f t="shared" ref="R37:AB37" si="38">Q37</f>
        <v>0.5</v>
      </c>
      <c r="S37" s="13">
        <f t="shared" si="38"/>
        <v>0.5</v>
      </c>
      <c r="T37" s="13">
        <f t="shared" si="38"/>
        <v>0.5</v>
      </c>
      <c r="U37" s="13">
        <f t="shared" si="38"/>
        <v>0.5</v>
      </c>
      <c r="V37" s="13">
        <f t="shared" si="38"/>
        <v>0.5</v>
      </c>
      <c r="W37" s="13">
        <f t="shared" si="38"/>
        <v>0.5</v>
      </c>
      <c r="X37" s="13">
        <f t="shared" si="38"/>
        <v>0.5</v>
      </c>
      <c r="Y37" s="13">
        <f t="shared" si="38"/>
        <v>0.5</v>
      </c>
      <c r="Z37" s="13">
        <f t="shared" si="38"/>
        <v>0.5</v>
      </c>
      <c r="AA37" s="13">
        <f t="shared" si="38"/>
        <v>0.5</v>
      </c>
      <c r="AB37" s="13">
        <f t="shared" si="38"/>
        <v>0.5</v>
      </c>
      <c r="AE37" s="13">
        <f t="shared" ref="AE37:AE49" si="43">AB37</f>
        <v>0.5</v>
      </c>
      <c r="AF37" s="13">
        <f t="shared" ref="AF37:AP37" si="39">AE37</f>
        <v>0.5</v>
      </c>
      <c r="AG37" s="13">
        <f t="shared" si="39"/>
        <v>0.5</v>
      </c>
      <c r="AH37" s="13">
        <f t="shared" si="39"/>
        <v>0.5</v>
      </c>
      <c r="AI37" s="13">
        <f t="shared" si="39"/>
        <v>0.5</v>
      </c>
      <c r="AJ37" s="13">
        <f t="shared" si="39"/>
        <v>0.5</v>
      </c>
      <c r="AK37" s="13">
        <f t="shared" si="39"/>
        <v>0.5</v>
      </c>
      <c r="AL37" s="13">
        <f t="shared" si="39"/>
        <v>0.5</v>
      </c>
      <c r="AM37" s="13">
        <f t="shared" si="39"/>
        <v>0.5</v>
      </c>
      <c r="AN37" s="13">
        <f t="shared" si="39"/>
        <v>0.5</v>
      </c>
      <c r="AO37" s="13">
        <f t="shared" si="39"/>
        <v>0.5</v>
      </c>
      <c r="AP37" s="13">
        <f t="shared" si="39"/>
        <v>0.5</v>
      </c>
    </row>
    <row r="38">
      <c r="A38" s="1" t="s">
        <v>37</v>
      </c>
      <c r="B38" s="11"/>
      <c r="C38" s="11">
        <v>0.5</v>
      </c>
      <c r="D38" s="13">
        <f t="shared" ref="D38:N38" si="40">C38</f>
        <v>0.5</v>
      </c>
      <c r="E38" s="13">
        <f t="shared" si="40"/>
        <v>0.5</v>
      </c>
      <c r="F38" s="13">
        <f t="shared" si="40"/>
        <v>0.5</v>
      </c>
      <c r="G38" s="13">
        <f t="shared" si="40"/>
        <v>0.5</v>
      </c>
      <c r="H38" s="13">
        <f t="shared" si="40"/>
        <v>0.5</v>
      </c>
      <c r="I38" s="13">
        <f t="shared" si="40"/>
        <v>0.5</v>
      </c>
      <c r="J38" s="13">
        <f t="shared" si="40"/>
        <v>0.5</v>
      </c>
      <c r="K38" s="13">
        <f t="shared" si="40"/>
        <v>0.5</v>
      </c>
      <c r="L38" s="13">
        <f t="shared" si="40"/>
        <v>0.5</v>
      </c>
      <c r="M38" s="13">
        <f t="shared" si="40"/>
        <v>0.5</v>
      </c>
      <c r="N38" s="13">
        <f t="shared" si="40"/>
        <v>0.5</v>
      </c>
      <c r="Q38" s="13">
        <f t="shared" si="41"/>
        <v>0.5</v>
      </c>
      <c r="R38" s="13">
        <f t="shared" ref="R38:AB38" si="42">Q38</f>
        <v>0.5</v>
      </c>
      <c r="S38" s="13">
        <f t="shared" si="42"/>
        <v>0.5</v>
      </c>
      <c r="T38" s="13">
        <f t="shared" si="42"/>
        <v>0.5</v>
      </c>
      <c r="U38" s="13">
        <f t="shared" si="42"/>
        <v>0.5</v>
      </c>
      <c r="V38" s="13">
        <f t="shared" si="42"/>
        <v>0.5</v>
      </c>
      <c r="W38" s="13">
        <f t="shared" si="42"/>
        <v>0.5</v>
      </c>
      <c r="X38" s="13">
        <f t="shared" si="42"/>
        <v>0.5</v>
      </c>
      <c r="Y38" s="13">
        <f t="shared" si="42"/>
        <v>0.5</v>
      </c>
      <c r="Z38" s="13">
        <f t="shared" si="42"/>
        <v>0.5</v>
      </c>
      <c r="AA38" s="13">
        <f t="shared" si="42"/>
        <v>0.5</v>
      </c>
      <c r="AB38" s="13">
        <f t="shared" si="42"/>
        <v>0.5</v>
      </c>
      <c r="AE38" s="13">
        <f t="shared" si="43"/>
        <v>0.5</v>
      </c>
      <c r="AF38" s="13">
        <f t="shared" ref="AF38:AP38" si="44">AE38</f>
        <v>0.5</v>
      </c>
      <c r="AG38" s="13">
        <f t="shared" si="44"/>
        <v>0.5</v>
      </c>
      <c r="AH38" s="13">
        <f t="shared" si="44"/>
        <v>0.5</v>
      </c>
      <c r="AI38" s="13">
        <f t="shared" si="44"/>
        <v>0.5</v>
      </c>
      <c r="AJ38" s="13">
        <f t="shared" si="44"/>
        <v>0.5</v>
      </c>
      <c r="AK38" s="13">
        <f t="shared" si="44"/>
        <v>0.5</v>
      </c>
      <c r="AL38" s="13">
        <f t="shared" si="44"/>
        <v>0.5</v>
      </c>
      <c r="AM38" s="13">
        <f t="shared" si="44"/>
        <v>0.5</v>
      </c>
      <c r="AN38" s="13">
        <f t="shared" si="44"/>
        <v>0.5</v>
      </c>
      <c r="AO38" s="13">
        <f t="shared" si="44"/>
        <v>0.5</v>
      </c>
      <c r="AP38" s="13">
        <f t="shared" si="44"/>
        <v>0.5</v>
      </c>
    </row>
    <row r="39">
      <c r="A39" s="1" t="s">
        <v>40</v>
      </c>
      <c r="B39" s="11"/>
      <c r="C39" s="11">
        <v>1.0</v>
      </c>
      <c r="D39" s="13">
        <f t="shared" ref="D39:N39" si="45">C39</f>
        <v>1</v>
      </c>
      <c r="E39" s="13">
        <f t="shared" si="45"/>
        <v>1</v>
      </c>
      <c r="F39" s="13">
        <f t="shared" si="45"/>
        <v>1</v>
      </c>
      <c r="G39" s="13">
        <f t="shared" si="45"/>
        <v>1</v>
      </c>
      <c r="H39" s="13">
        <f t="shared" si="45"/>
        <v>1</v>
      </c>
      <c r="I39" s="13">
        <f t="shared" si="45"/>
        <v>1</v>
      </c>
      <c r="J39" s="13">
        <f t="shared" si="45"/>
        <v>1</v>
      </c>
      <c r="K39" s="13">
        <f t="shared" si="45"/>
        <v>1</v>
      </c>
      <c r="L39" s="13">
        <f t="shared" si="45"/>
        <v>1</v>
      </c>
      <c r="M39" s="13">
        <f t="shared" si="45"/>
        <v>1</v>
      </c>
      <c r="N39" s="13">
        <f t="shared" si="45"/>
        <v>1</v>
      </c>
      <c r="Q39" s="13">
        <f t="shared" si="41"/>
        <v>1</v>
      </c>
      <c r="R39" s="13">
        <f t="shared" ref="R39:AB39" si="46">Q39</f>
        <v>1</v>
      </c>
      <c r="S39" s="13">
        <f t="shared" si="46"/>
        <v>1</v>
      </c>
      <c r="T39" s="13">
        <f t="shared" si="46"/>
        <v>1</v>
      </c>
      <c r="U39" s="13">
        <f t="shared" si="46"/>
        <v>1</v>
      </c>
      <c r="V39" s="13">
        <f t="shared" si="46"/>
        <v>1</v>
      </c>
      <c r="W39" s="13">
        <f t="shared" si="46"/>
        <v>1</v>
      </c>
      <c r="X39" s="13">
        <f t="shared" si="46"/>
        <v>1</v>
      </c>
      <c r="Y39" s="13">
        <f t="shared" si="46"/>
        <v>1</v>
      </c>
      <c r="Z39" s="13">
        <f t="shared" si="46"/>
        <v>1</v>
      </c>
      <c r="AA39" s="13">
        <f t="shared" si="46"/>
        <v>1</v>
      </c>
      <c r="AB39" s="13">
        <f t="shared" si="46"/>
        <v>1</v>
      </c>
      <c r="AE39" s="13">
        <f t="shared" si="43"/>
        <v>1</v>
      </c>
      <c r="AF39" s="13">
        <f t="shared" ref="AF39:AP39" si="47">AE39</f>
        <v>1</v>
      </c>
      <c r="AG39" s="13">
        <f t="shared" si="47"/>
        <v>1</v>
      </c>
      <c r="AH39" s="13">
        <f t="shared" si="47"/>
        <v>1</v>
      </c>
      <c r="AI39" s="13">
        <f t="shared" si="47"/>
        <v>1</v>
      </c>
      <c r="AJ39" s="13">
        <f t="shared" si="47"/>
        <v>1</v>
      </c>
      <c r="AK39" s="13">
        <f t="shared" si="47"/>
        <v>1</v>
      </c>
      <c r="AL39" s="13">
        <f t="shared" si="47"/>
        <v>1</v>
      </c>
      <c r="AM39" s="13">
        <f t="shared" si="47"/>
        <v>1</v>
      </c>
      <c r="AN39" s="13">
        <f t="shared" si="47"/>
        <v>1</v>
      </c>
      <c r="AO39" s="13">
        <f t="shared" si="47"/>
        <v>1</v>
      </c>
      <c r="AP39" s="13">
        <f t="shared" si="47"/>
        <v>1</v>
      </c>
    </row>
    <row r="40">
      <c r="A40" s="1" t="s">
        <v>41</v>
      </c>
      <c r="B40" s="11"/>
      <c r="C40" s="11">
        <v>0.5</v>
      </c>
      <c r="D40" s="13">
        <f t="shared" ref="D40:N40" si="48">C40</f>
        <v>0.5</v>
      </c>
      <c r="E40" s="13">
        <f t="shared" si="48"/>
        <v>0.5</v>
      </c>
      <c r="F40" s="13">
        <f t="shared" si="48"/>
        <v>0.5</v>
      </c>
      <c r="G40" s="13">
        <f t="shared" si="48"/>
        <v>0.5</v>
      </c>
      <c r="H40" s="13">
        <f t="shared" si="48"/>
        <v>0.5</v>
      </c>
      <c r="I40" s="13">
        <f t="shared" si="48"/>
        <v>0.5</v>
      </c>
      <c r="J40" s="13">
        <f t="shared" si="48"/>
        <v>0.5</v>
      </c>
      <c r="K40" s="13">
        <f t="shared" si="48"/>
        <v>0.5</v>
      </c>
      <c r="L40" s="13">
        <f t="shared" si="48"/>
        <v>0.5</v>
      </c>
      <c r="M40" s="13">
        <f t="shared" si="48"/>
        <v>0.5</v>
      </c>
      <c r="N40" s="13">
        <f t="shared" si="48"/>
        <v>0.5</v>
      </c>
      <c r="Q40" s="13">
        <f t="shared" si="41"/>
        <v>0.5</v>
      </c>
      <c r="R40" s="13">
        <f t="shared" ref="R40:AB40" si="49">Q40</f>
        <v>0.5</v>
      </c>
      <c r="S40" s="13">
        <f t="shared" si="49"/>
        <v>0.5</v>
      </c>
      <c r="T40" s="13">
        <f t="shared" si="49"/>
        <v>0.5</v>
      </c>
      <c r="U40" s="13">
        <f t="shared" si="49"/>
        <v>0.5</v>
      </c>
      <c r="V40" s="13">
        <f t="shared" si="49"/>
        <v>0.5</v>
      </c>
      <c r="W40" s="13">
        <f t="shared" si="49"/>
        <v>0.5</v>
      </c>
      <c r="X40" s="13">
        <f t="shared" si="49"/>
        <v>0.5</v>
      </c>
      <c r="Y40" s="13">
        <f t="shared" si="49"/>
        <v>0.5</v>
      </c>
      <c r="Z40" s="13">
        <f t="shared" si="49"/>
        <v>0.5</v>
      </c>
      <c r="AA40" s="13">
        <f t="shared" si="49"/>
        <v>0.5</v>
      </c>
      <c r="AB40" s="13">
        <f t="shared" si="49"/>
        <v>0.5</v>
      </c>
      <c r="AE40" s="13">
        <f t="shared" si="43"/>
        <v>0.5</v>
      </c>
      <c r="AF40" s="13">
        <f t="shared" ref="AF40:AP40" si="50">AE40</f>
        <v>0.5</v>
      </c>
      <c r="AG40" s="13">
        <f t="shared" si="50"/>
        <v>0.5</v>
      </c>
      <c r="AH40" s="13">
        <f t="shared" si="50"/>
        <v>0.5</v>
      </c>
      <c r="AI40" s="13">
        <f t="shared" si="50"/>
        <v>0.5</v>
      </c>
      <c r="AJ40" s="13">
        <f t="shared" si="50"/>
        <v>0.5</v>
      </c>
      <c r="AK40" s="13">
        <f t="shared" si="50"/>
        <v>0.5</v>
      </c>
      <c r="AL40" s="13">
        <f t="shared" si="50"/>
        <v>0.5</v>
      </c>
      <c r="AM40" s="13">
        <f t="shared" si="50"/>
        <v>0.5</v>
      </c>
      <c r="AN40" s="13">
        <f t="shared" si="50"/>
        <v>0.5</v>
      </c>
      <c r="AO40" s="13">
        <f t="shared" si="50"/>
        <v>0.5</v>
      </c>
      <c r="AP40" s="13">
        <f t="shared" si="50"/>
        <v>0.5</v>
      </c>
    </row>
    <row r="41">
      <c r="A41" s="1" t="s">
        <v>43</v>
      </c>
      <c r="B41" s="11"/>
      <c r="C41" s="11">
        <v>0.3</v>
      </c>
      <c r="D41" s="13">
        <f t="shared" ref="D41:N41" si="51">C41</f>
        <v>0.3</v>
      </c>
      <c r="E41" s="13">
        <f t="shared" si="51"/>
        <v>0.3</v>
      </c>
      <c r="F41" s="13">
        <f t="shared" si="51"/>
        <v>0.3</v>
      </c>
      <c r="G41" s="13">
        <f t="shared" si="51"/>
        <v>0.3</v>
      </c>
      <c r="H41" s="13">
        <f t="shared" si="51"/>
        <v>0.3</v>
      </c>
      <c r="I41" s="13">
        <f t="shared" si="51"/>
        <v>0.3</v>
      </c>
      <c r="J41" s="13">
        <f t="shared" si="51"/>
        <v>0.3</v>
      </c>
      <c r="K41" s="13">
        <f t="shared" si="51"/>
        <v>0.3</v>
      </c>
      <c r="L41" s="13">
        <f t="shared" si="51"/>
        <v>0.3</v>
      </c>
      <c r="M41" s="13">
        <f t="shared" si="51"/>
        <v>0.3</v>
      </c>
      <c r="N41" s="13">
        <f t="shared" si="51"/>
        <v>0.3</v>
      </c>
      <c r="Q41" s="13">
        <f t="shared" si="41"/>
        <v>0.3</v>
      </c>
      <c r="R41" s="13">
        <f t="shared" ref="R41:AB41" si="52">Q41</f>
        <v>0.3</v>
      </c>
      <c r="S41" s="13">
        <f t="shared" si="52"/>
        <v>0.3</v>
      </c>
      <c r="T41" s="13">
        <f t="shared" si="52"/>
        <v>0.3</v>
      </c>
      <c r="U41" s="13">
        <f t="shared" si="52"/>
        <v>0.3</v>
      </c>
      <c r="V41" s="13">
        <f t="shared" si="52"/>
        <v>0.3</v>
      </c>
      <c r="W41" s="13">
        <f t="shared" si="52"/>
        <v>0.3</v>
      </c>
      <c r="X41" s="13">
        <f t="shared" si="52"/>
        <v>0.3</v>
      </c>
      <c r="Y41" s="13">
        <f t="shared" si="52"/>
        <v>0.3</v>
      </c>
      <c r="Z41" s="13">
        <f t="shared" si="52"/>
        <v>0.3</v>
      </c>
      <c r="AA41" s="13">
        <f t="shared" si="52"/>
        <v>0.3</v>
      </c>
      <c r="AB41" s="13">
        <f t="shared" si="52"/>
        <v>0.3</v>
      </c>
      <c r="AE41" s="13">
        <f t="shared" si="43"/>
        <v>0.3</v>
      </c>
      <c r="AF41" s="13">
        <f t="shared" ref="AF41:AP41" si="53">AE41</f>
        <v>0.3</v>
      </c>
      <c r="AG41" s="13">
        <f t="shared" si="53"/>
        <v>0.3</v>
      </c>
      <c r="AH41" s="13">
        <f t="shared" si="53"/>
        <v>0.3</v>
      </c>
      <c r="AI41" s="13">
        <f t="shared" si="53"/>
        <v>0.3</v>
      </c>
      <c r="AJ41" s="13">
        <f t="shared" si="53"/>
        <v>0.3</v>
      </c>
      <c r="AK41" s="13">
        <f t="shared" si="53"/>
        <v>0.3</v>
      </c>
      <c r="AL41" s="13">
        <f t="shared" si="53"/>
        <v>0.3</v>
      </c>
      <c r="AM41" s="13">
        <f t="shared" si="53"/>
        <v>0.3</v>
      </c>
      <c r="AN41" s="13">
        <f t="shared" si="53"/>
        <v>0.3</v>
      </c>
      <c r="AO41" s="13">
        <f t="shared" si="53"/>
        <v>0.3</v>
      </c>
      <c r="AP41" s="13">
        <f t="shared" si="53"/>
        <v>0.3</v>
      </c>
    </row>
    <row r="42">
      <c r="A42" s="1" t="s">
        <v>45</v>
      </c>
      <c r="B42" s="11"/>
      <c r="C42" s="11">
        <v>1.0</v>
      </c>
      <c r="D42" s="13">
        <f t="shared" ref="D42:N42" si="54">C42</f>
        <v>1</v>
      </c>
      <c r="E42" s="13">
        <f t="shared" si="54"/>
        <v>1</v>
      </c>
      <c r="F42" s="13">
        <f t="shared" si="54"/>
        <v>1</v>
      </c>
      <c r="G42" s="13">
        <f t="shared" si="54"/>
        <v>1</v>
      </c>
      <c r="H42" s="13">
        <f t="shared" si="54"/>
        <v>1</v>
      </c>
      <c r="I42" s="13">
        <f t="shared" si="54"/>
        <v>1</v>
      </c>
      <c r="J42" s="13">
        <f t="shared" si="54"/>
        <v>1</v>
      </c>
      <c r="K42" s="13">
        <f t="shared" si="54"/>
        <v>1</v>
      </c>
      <c r="L42" s="13">
        <f t="shared" si="54"/>
        <v>1</v>
      </c>
      <c r="M42" s="13">
        <f t="shared" si="54"/>
        <v>1</v>
      </c>
      <c r="N42" s="13">
        <f t="shared" si="54"/>
        <v>1</v>
      </c>
      <c r="Q42" s="13">
        <f t="shared" si="41"/>
        <v>1</v>
      </c>
      <c r="R42" s="13">
        <f t="shared" ref="R42:AB42" si="55">Q42</f>
        <v>1</v>
      </c>
      <c r="S42" s="13">
        <f t="shared" si="55"/>
        <v>1</v>
      </c>
      <c r="T42" s="13">
        <f t="shared" si="55"/>
        <v>1</v>
      </c>
      <c r="U42" s="13">
        <f t="shared" si="55"/>
        <v>1</v>
      </c>
      <c r="V42" s="13">
        <f t="shared" si="55"/>
        <v>1</v>
      </c>
      <c r="W42" s="13">
        <f t="shared" si="55"/>
        <v>1</v>
      </c>
      <c r="X42" s="13">
        <f t="shared" si="55"/>
        <v>1</v>
      </c>
      <c r="Y42" s="13">
        <f t="shared" si="55"/>
        <v>1</v>
      </c>
      <c r="Z42" s="13">
        <f t="shared" si="55"/>
        <v>1</v>
      </c>
      <c r="AA42" s="13">
        <f t="shared" si="55"/>
        <v>1</v>
      </c>
      <c r="AB42" s="13">
        <f t="shared" si="55"/>
        <v>1</v>
      </c>
      <c r="AE42" s="13">
        <f t="shared" si="43"/>
        <v>1</v>
      </c>
      <c r="AF42" s="13">
        <f t="shared" ref="AF42:AP42" si="56">AE42</f>
        <v>1</v>
      </c>
      <c r="AG42" s="13">
        <f t="shared" si="56"/>
        <v>1</v>
      </c>
      <c r="AH42" s="13">
        <f t="shared" si="56"/>
        <v>1</v>
      </c>
      <c r="AI42" s="13">
        <f t="shared" si="56"/>
        <v>1</v>
      </c>
      <c r="AJ42" s="13">
        <f t="shared" si="56"/>
        <v>1</v>
      </c>
      <c r="AK42" s="13">
        <f t="shared" si="56"/>
        <v>1</v>
      </c>
      <c r="AL42" s="13">
        <f t="shared" si="56"/>
        <v>1</v>
      </c>
      <c r="AM42" s="13">
        <f t="shared" si="56"/>
        <v>1</v>
      </c>
      <c r="AN42" s="13">
        <f t="shared" si="56"/>
        <v>1</v>
      </c>
      <c r="AO42" s="13">
        <f t="shared" si="56"/>
        <v>1</v>
      </c>
      <c r="AP42" s="13">
        <f t="shared" si="56"/>
        <v>1</v>
      </c>
    </row>
    <row r="43">
      <c r="A43" s="1" t="s">
        <v>46</v>
      </c>
      <c r="B43" s="11"/>
      <c r="C43" s="11">
        <v>1.0</v>
      </c>
      <c r="D43" s="13">
        <f t="shared" ref="D43:N43" si="57">C43</f>
        <v>1</v>
      </c>
      <c r="E43" s="13">
        <f t="shared" si="57"/>
        <v>1</v>
      </c>
      <c r="F43" s="13">
        <f t="shared" si="57"/>
        <v>1</v>
      </c>
      <c r="G43" s="13">
        <f t="shared" si="57"/>
        <v>1</v>
      </c>
      <c r="H43" s="13">
        <f t="shared" si="57"/>
        <v>1</v>
      </c>
      <c r="I43" s="13">
        <f t="shared" si="57"/>
        <v>1</v>
      </c>
      <c r="J43" s="13">
        <f t="shared" si="57"/>
        <v>1</v>
      </c>
      <c r="K43" s="13">
        <f t="shared" si="57"/>
        <v>1</v>
      </c>
      <c r="L43" s="13">
        <f t="shared" si="57"/>
        <v>1</v>
      </c>
      <c r="M43" s="13">
        <f t="shared" si="57"/>
        <v>1</v>
      </c>
      <c r="N43" s="13">
        <f t="shared" si="57"/>
        <v>1</v>
      </c>
      <c r="Q43" s="13">
        <f t="shared" si="41"/>
        <v>1</v>
      </c>
      <c r="R43" s="13">
        <f t="shared" ref="R43:AB43" si="58">Q43</f>
        <v>1</v>
      </c>
      <c r="S43" s="13">
        <f t="shared" si="58"/>
        <v>1</v>
      </c>
      <c r="T43" s="13">
        <f t="shared" si="58"/>
        <v>1</v>
      </c>
      <c r="U43" s="13">
        <f t="shared" si="58"/>
        <v>1</v>
      </c>
      <c r="V43" s="13">
        <f t="shared" si="58"/>
        <v>1</v>
      </c>
      <c r="W43" s="13">
        <f t="shared" si="58"/>
        <v>1</v>
      </c>
      <c r="X43" s="13">
        <f t="shared" si="58"/>
        <v>1</v>
      </c>
      <c r="Y43" s="13">
        <f t="shared" si="58"/>
        <v>1</v>
      </c>
      <c r="Z43" s="13">
        <f t="shared" si="58"/>
        <v>1</v>
      </c>
      <c r="AA43" s="13">
        <f t="shared" si="58"/>
        <v>1</v>
      </c>
      <c r="AB43" s="13">
        <f t="shared" si="58"/>
        <v>1</v>
      </c>
      <c r="AE43" s="13">
        <f t="shared" si="43"/>
        <v>1</v>
      </c>
      <c r="AF43" s="13">
        <f t="shared" ref="AF43:AP43" si="59">AE43</f>
        <v>1</v>
      </c>
      <c r="AG43" s="13">
        <f t="shared" si="59"/>
        <v>1</v>
      </c>
      <c r="AH43" s="13">
        <f t="shared" si="59"/>
        <v>1</v>
      </c>
      <c r="AI43" s="13">
        <f t="shared" si="59"/>
        <v>1</v>
      </c>
      <c r="AJ43" s="13">
        <f t="shared" si="59"/>
        <v>1</v>
      </c>
      <c r="AK43" s="13">
        <f t="shared" si="59"/>
        <v>1</v>
      </c>
      <c r="AL43" s="13">
        <f t="shared" si="59"/>
        <v>1</v>
      </c>
      <c r="AM43" s="13">
        <f t="shared" si="59"/>
        <v>1</v>
      </c>
      <c r="AN43" s="13">
        <f t="shared" si="59"/>
        <v>1</v>
      </c>
      <c r="AO43" s="13">
        <f t="shared" si="59"/>
        <v>1</v>
      </c>
      <c r="AP43" s="13">
        <f t="shared" si="59"/>
        <v>1</v>
      </c>
    </row>
    <row r="44">
      <c r="A44" s="1" t="s">
        <v>88</v>
      </c>
      <c r="B44" s="11"/>
      <c r="C44" s="11">
        <v>0.5</v>
      </c>
      <c r="D44" s="13">
        <f t="shared" ref="D44:N44" si="60">C44</f>
        <v>0.5</v>
      </c>
      <c r="E44" s="13">
        <f t="shared" si="60"/>
        <v>0.5</v>
      </c>
      <c r="F44" s="13">
        <f t="shared" si="60"/>
        <v>0.5</v>
      </c>
      <c r="G44" s="13">
        <f t="shared" si="60"/>
        <v>0.5</v>
      </c>
      <c r="H44" s="13">
        <f t="shared" si="60"/>
        <v>0.5</v>
      </c>
      <c r="I44" s="13">
        <f t="shared" si="60"/>
        <v>0.5</v>
      </c>
      <c r="J44" s="13">
        <f t="shared" si="60"/>
        <v>0.5</v>
      </c>
      <c r="K44" s="13">
        <f t="shared" si="60"/>
        <v>0.5</v>
      </c>
      <c r="L44" s="13">
        <f t="shared" si="60"/>
        <v>0.5</v>
      </c>
      <c r="M44" s="13">
        <f t="shared" si="60"/>
        <v>0.5</v>
      </c>
      <c r="N44" s="13">
        <f t="shared" si="60"/>
        <v>0.5</v>
      </c>
      <c r="Q44" s="13">
        <f t="shared" si="41"/>
        <v>0.5</v>
      </c>
      <c r="R44" s="13">
        <f t="shared" ref="R44:AB44" si="61">Q44</f>
        <v>0.5</v>
      </c>
      <c r="S44" s="13">
        <f t="shared" si="61"/>
        <v>0.5</v>
      </c>
      <c r="T44" s="13">
        <f t="shared" si="61"/>
        <v>0.5</v>
      </c>
      <c r="U44" s="13">
        <f t="shared" si="61"/>
        <v>0.5</v>
      </c>
      <c r="V44" s="13">
        <f t="shared" si="61"/>
        <v>0.5</v>
      </c>
      <c r="W44" s="13">
        <f t="shared" si="61"/>
        <v>0.5</v>
      </c>
      <c r="X44" s="13">
        <f t="shared" si="61"/>
        <v>0.5</v>
      </c>
      <c r="Y44" s="13">
        <f t="shared" si="61"/>
        <v>0.5</v>
      </c>
      <c r="Z44" s="13">
        <f t="shared" si="61"/>
        <v>0.5</v>
      </c>
      <c r="AA44" s="13">
        <f t="shared" si="61"/>
        <v>0.5</v>
      </c>
      <c r="AB44" s="13">
        <f t="shared" si="61"/>
        <v>0.5</v>
      </c>
      <c r="AE44" s="13">
        <f t="shared" si="43"/>
        <v>0.5</v>
      </c>
      <c r="AF44" s="13">
        <f t="shared" ref="AF44:AP44" si="62">AE44</f>
        <v>0.5</v>
      </c>
      <c r="AG44" s="13">
        <f t="shared" si="62"/>
        <v>0.5</v>
      </c>
      <c r="AH44" s="13">
        <f t="shared" si="62"/>
        <v>0.5</v>
      </c>
      <c r="AI44" s="13">
        <f t="shared" si="62"/>
        <v>0.5</v>
      </c>
      <c r="AJ44" s="13">
        <f t="shared" si="62"/>
        <v>0.5</v>
      </c>
      <c r="AK44" s="13">
        <f t="shared" si="62"/>
        <v>0.5</v>
      </c>
      <c r="AL44" s="13">
        <f t="shared" si="62"/>
        <v>0.5</v>
      </c>
      <c r="AM44" s="13">
        <f t="shared" si="62"/>
        <v>0.5</v>
      </c>
      <c r="AN44" s="13">
        <f t="shared" si="62"/>
        <v>0.5</v>
      </c>
      <c r="AO44" s="13">
        <f t="shared" si="62"/>
        <v>0.5</v>
      </c>
      <c r="AP44" s="13">
        <f t="shared" si="62"/>
        <v>0.5</v>
      </c>
    </row>
    <row r="45">
      <c r="A45" s="1" t="s">
        <v>47</v>
      </c>
      <c r="B45" s="11"/>
      <c r="C45" s="11">
        <v>1.0</v>
      </c>
      <c r="D45" s="13">
        <f t="shared" ref="D45:N45" si="63">C45</f>
        <v>1</v>
      </c>
      <c r="E45" s="13">
        <f t="shared" si="63"/>
        <v>1</v>
      </c>
      <c r="F45" s="13">
        <f t="shared" si="63"/>
        <v>1</v>
      </c>
      <c r="G45" s="13">
        <f t="shared" si="63"/>
        <v>1</v>
      </c>
      <c r="H45" s="13">
        <f t="shared" si="63"/>
        <v>1</v>
      </c>
      <c r="I45" s="13">
        <f t="shared" si="63"/>
        <v>1</v>
      </c>
      <c r="J45" s="13">
        <f t="shared" si="63"/>
        <v>1</v>
      </c>
      <c r="K45" s="13">
        <f t="shared" si="63"/>
        <v>1</v>
      </c>
      <c r="L45" s="13">
        <f t="shared" si="63"/>
        <v>1</v>
      </c>
      <c r="M45" s="13">
        <f t="shared" si="63"/>
        <v>1</v>
      </c>
      <c r="N45" s="13">
        <f t="shared" si="63"/>
        <v>1</v>
      </c>
      <c r="Q45" s="13">
        <f t="shared" si="41"/>
        <v>1</v>
      </c>
      <c r="R45" s="13">
        <f t="shared" ref="R45:AB45" si="64">Q45</f>
        <v>1</v>
      </c>
      <c r="S45" s="13">
        <f t="shared" si="64"/>
        <v>1</v>
      </c>
      <c r="T45" s="13">
        <f t="shared" si="64"/>
        <v>1</v>
      </c>
      <c r="U45" s="13">
        <f t="shared" si="64"/>
        <v>1</v>
      </c>
      <c r="V45" s="13">
        <f t="shared" si="64"/>
        <v>1</v>
      </c>
      <c r="W45" s="13">
        <f t="shared" si="64"/>
        <v>1</v>
      </c>
      <c r="X45" s="13">
        <f t="shared" si="64"/>
        <v>1</v>
      </c>
      <c r="Y45" s="13">
        <f t="shared" si="64"/>
        <v>1</v>
      </c>
      <c r="Z45" s="13">
        <f t="shared" si="64"/>
        <v>1</v>
      </c>
      <c r="AA45" s="13">
        <f t="shared" si="64"/>
        <v>1</v>
      </c>
      <c r="AB45" s="13">
        <f t="shared" si="64"/>
        <v>1</v>
      </c>
      <c r="AE45" s="13">
        <f t="shared" si="43"/>
        <v>1</v>
      </c>
      <c r="AF45" s="13">
        <f t="shared" ref="AF45:AP45" si="65">AE45</f>
        <v>1</v>
      </c>
      <c r="AG45" s="13">
        <f t="shared" si="65"/>
        <v>1</v>
      </c>
      <c r="AH45" s="13">
        <f t="shared" si="65"/>
        <v>1</v>
      </c>
      <c r="AI45" s="13">
        <f t="shared" si="65"/>
        <v>1</v>
      </c>
      <c r="AJ45" s="13">
        <f t="shared" si="65"/>
        <v>1</v>
      </c>
      <c r="AK45" s="13">
        <f t="shared" si="65"/>
        <v>1</v>
      </c>
      <c r="AL45" s="13">
        <f t="shared" si="65"/>
        <v>1</v>
      </c>
      <c r="AM45" s="13">
        <f t="shared" si="65"/>
        <v>1</v>
      </c>
      <c r="AN45" s="13">
        <f t="shared" si="65"/>
        <v>1</v>
      </c>
      <c r="AO45" s="13">
        <f t="shared" si="65"/>
        <v>1</v>
      </c>
      <c r="AP45" s="13">
        <f t="shared" si="65"/>
        <v>1</v>
      </c>
    </row>
    <row r="46">
      <c r="A46" s="1" t="s">
        <v>56</v>
      </c>
      <c r="B46" s="11"/>
      <c r="C46" s="11">
        <v>0.0</v>
      </c>
      <c r="D46" s="13">
        <f t="shared" ref="D46:E46" si="66">C46</f>
        <v>0</v>
      </c>
      <c r="E46" s="13">
        <f t="shared" si="66"/>
        <v>0</v>
      </c>
      <c r="F46" s="11">
        <v>0.2</v>
      </c>
      <c r="G46" s="11">
        <v>0.2</v>
      </c>
      <c r="H46" s="13">
        <f>G46</f>
        <v>0.2</v>
      </c>
      <c r="I46" s="11">
        <v>0.3</v>
      </c>
      <c r="J46" s="13">
        <f t="shared" ref="J46:N46" si="67">I46</f>
        <v>0.3</v>
      </c>
      <c r="K46" s="13">
        <f t="shared" si="67"/>
        <v>0.3</v>
      </c>
      <c r="L46" s="13">
        <f t="shared" si="67"/>
        <v>0.3</v>
      </c>
      <c r="M46" s="13">
        <f t="shared" si="67"/>
        <v>0.3</v>
      </c>
      <c r="N46" s="13">
        <f t="shared" si="67"/>
        <v>0.3</v>
      </c>
      <c r="Q46" s="13">
        <f t="shared" si="41"/>
        <v>0.3</v>
      </c>
      <c r="R46" s="13">
        <f t="shared" ref="R46:AB46" si="68">Q46</f>
        <v>0.3</v>
      </c>
      <c r="S46" s="13">
        <f t="shared" si="68"/>
        <v>0.3</v>
      </c>
      <c r="T46" s="13">
        <f t="shared" si="68"/>
        <v>0.3</v>
      </c>
      <c r="U46" s="13">
        <f t="shared" si="68"/>
        <v>0.3</v>
      </c>
      <c r="V46" s="13">
        <f t="shared" si="68"/>
        <v>0.3</v>
      </c>
      <c r="W46" s="13">
        <f t="shared" si="68"/>
        <v>0.3</v>
      </c>
      <c r="X46" s="13">
        <f t="shared" si="68"/>
        <v>0.3</v>
      </c>
      <c r="Y46" s="13">
        <f t="shared" si="68"/>
        <v>0.3</v>
      </c>
      <c r="Z46" s="13">
        <f t="shared" si="68"/>
        <v>0.3</v>
      </c>
      <c r="AA46" s="13">
        <f t="shared" si="68"/>
        <v>0.3</v>
      </c>
      <c r="AB46" s="13">
        <f t="shared" si="68"/>
        <v>0.3</v>
      </c>
      <c r="AE46" s="13">
        <f t="shared" si="43"/>
        <v>0.3</v>
      </c>
      <c r="AF46" s="13">
        <f t="shared" ref="AF46:AP46" si="69">AE46</f>
        <v>0.3</v>
      </c>
      <c r="AG46" s="13">
        <f t="shared" si="69"/>
        <v>0.3</v>
      </c>
      <c r="AH46" s="13">
        <f t="shared" si="69"/>
        <v>0.3</v>
      </c>
      <c r="AI46" s="13">
        <f t="shared" si="69"/>
        <v>0.3</v>
      </c>
      <c r="AJ46" s="13">
        <f t="shared" si="69"/>
        <v>0.3</v>
      </c>
      <c r="AK46" s="13">
        <f t="shared" si="69"/>
        <v>0.3</v>
      </c>
      <c r="AL46" s="13">
        <f t="shared" si="69"/>
        <v>0.3</v>
      </c>
      <c r="AM46" s="13">
        <f t="shared" si="69"/>
        <v>0.3</v>
      </c>
      <c r="AN46" s="13">
        <f t="shared" si="69"/>
        <v>0.3</v>
      </c>
      <c r="AO46" s="13">
        <f t="shared" si="69"/>
        <v>0.3</v>
      </c>
      <c r="AP46" s="13">
        <f t="shared" si="69"/>
        <v>0.3</v>
      </c>
    </row>
    <row r="47">
      <c r="A47" s="1" t="s">
        <v>61</v>
      </c>
      <c r="B47" s="11"/>
      <c r="C47" s="11">
        <v>0.0</v>
      </c>
      <c r="D47" s="13">
        <f t="shared" ref="D47:E47" si="70">C47</f>
        <v>0</v>
      </c>
      <c r="E47" s="13">
        <f t="shared" si="70"/>
        <v>0</v>
      </c>
      <c r="F47" s="14">
        <v>0.2</v>
      </c>
      <c r="G47" s="15">
        <f t="shared" ref="G47:H47" si="71">F47</f>
        <v>0.2</v>
      </c>
      <c r="H47" s="15">
        <f t="shared" si="71"/>
        <v>0.2</v>
      </c>
      <c r="I47" s="14">
        <v>0.3</v>
      </c>
      <c r="J47" s="15">
        <f t="shared" ref="J47:K47" si="72">I47</f>
        <v>0.3</v>
      </c>
      <c r="K47" s="15">
        <f t="shared" si="72"/>
        <v>0.3</v>
      </c>
      <c r="L47" s="14">
        <v>0.3</v>
      </c>
      <c r="M47" s="15">
        <f t="shared" ref="M47:N47" si="73">L47</f>
        <v>0.3</v>
      </c>
      <c r="N47" s="15">
        <f t="shared" si="73"/>
        <v>0.3</v>
      </c>
      <c r="Q47" s="15">
        <f t="shared" si="41"/>
        <v>0.3</v>
      </c>
      <c r="R47" s="15">
        <f t="shared" ref="R47:AB47" si="74">Q47</f>
        <v>0.3</v>
      </c>
      <c r="S47" s="15">
        <f t="shared" si="74"/>
        <v>0.3</v>
      </c>
      <c r="T47" s="15">
        <f t="shared" si="74"/>
        <v>0.3</v>
      </c>
      <c r="U47" s="15">
        <f t="shared" si="74"/>
        <v>0.3</v>
      </c>
      <c r="V47" s="15">
        <f t="shared" si="74"/>
        <v>0.3</v>
      </c>
      <c r="W47" s="15">
        <f t="shared" si="74"/>
        <v>0.3</v>
      </c>
      <c r="X47" s="15">
        <f t="shared" si="74"/>
        <v>0.3</v>
      </c>
      <c r="Y47" s="15">
        <f t="shared" si="74"/>
        <v>0.3</v>
      </c>
      <c r="Z47" s="15">
        <f t="shared" si="74"/>
        <v>0.3</v>
      </c>
      <c r="AA47" s="15">
        <f t="shared" si="74"/>
        <v>0.3</v>
      </c>
      <c r="AB47" s="15">
        <f t="shared" si="74"/>
        <v>0.3</v>
      </c>
      <c r="AE47" s="15">
        <f t="shared" si="43"/>
        <v>0.3</v>
      </c>
      <c r="AF47" s="15">
        <f t="shared" ref="AF47:AP47" si="75">AE47</f>
        <v>0.3</v>
      </c>
      <c r="AG47" s="15">
        <f t="shared" si="75"/>
        <v>0.3</v>
      </c>
      <c r="AH47" s="15">
        <f t="shared" si="75"/>
        <v>0.3</v>
      </c>
      <c r="AI47" s="15">
        <f t="shared" si="75"/>
        <v>0.3</v>
      </c>
      <c r="AJ47" s="15">
        <f t="shared" si="75"/>
        <v>0.3</v>
      </c>
      <c r="AK47" s="15">
        <f t="shared" si="75"/>
        <v>0.3</v>
      </c>
      <c r="AL47" s="15">
        <f t="shared" si="75"/>
        <v>0.3</v>
      </c>
      <c r="AM47" s="15">
        <f t="shared" si="75"/>
        <v>0.3</v>
      </c>
      <c r="AN47" s="15">
        <f t="shared" si="75"/>
        <v>0.3</v>
      </c>
      <c r="AO47" s="15">
        <f t="shared" si="75"/>
        <v>0.3</v>
      </c>
      <c r="AP47" s="15">
        <f t="shared" si="75"/>
        <v>0.3</v>
      </c>
    </row>
    <row r="48">
      <c r="A48" s="1" t="s">
        <v>64</v>
      </c>
      <c r="B48" s="11"/>
      <c r="C48" s="11">
        <v>0.0</v>
      </c>
      <c r="D48" s="13">
        <f t="shared" ref="D48:H48" si="76">C48</f>
        <v>0</v>
      </c>
      <c r="E48" s="13">
        <f t="shared" si="76"/>
        <v>0</v>
      </c>
      <c r="F48" s="13">
        <f t="shared" si="76"/>
        <v>0</v>
      </c>
      <c r="G48" s="13">
        <f t="shared" si="76"/>
        <v>0</v>
      </c>
      <c r="H48" s="13">
        <f t="shared" si="76"/>
        <v>0</v>
      </c>
      <c r="I48" s="14">
        <v>0.2</v>
      </c>
      <c r="J48" s="15">
        <f t="shared" ref="J48:K48" si="77">I48</f>
        <v>0.2</v>
      </c>
      <c r="K48" s="15">
        <f t="shared" si="77"/>
        <v>0.2</v>
      </c>
      <c r="L48" s="14">
        <v>0.3</v>
      </c>
      <c r="M48" s="15">
        <f t="shared" ref="M48:N48" si="78">L48</f>
        <v>0.3</v>
      </c>
      <c r="N48" s="15">
        <f t="shared" si="78"/>
        <v>0.3</v>
      </c>
      <c r="Q48" s="15">
        <f t="shared" si="41"/>
        <v>0.3</v>
      </c>
      <c r="R48" s="15">
        <f t="shared" ref="R48:AB48" si="79">Q48</f>
        <v>0.3</v>
      </c>
      <c r="S48" s="15">
        <f t="shared" si="79"/>
        <v>0.3</v>
      </c>
      <c r="T48" s="15">
        <f t="shared" si="79"/>
        <v>0.3</v>
      </c>
      <c r="U48" s="15">
        <f t="shared" si="79"/>
        <v>0.3</v>
      </c>
      <c r="V48" s="15">
        <f t="shared" si="79"/>
        <v>0.3</v>
      </c>
      <c r="W48" s="15">
        <f t="shared" si="79"/>
        <v>0.3</v>
      </c>
      <c r="X48" s="15">
        <f t="shared" si="79"/>
        <v>0.3</v>
      </c>
      <c r="Y48" s="15">
        <f t="shared" si="79"/>
        <v>0.3</v>
      </c>
      <c r="Z48" s="15">
        <f t="shared" si="79"/>
        <v>0.3</v>
      </c>
      <c r="AA48" s="15">
        <f t="shared" si="79"/>
        <v>0.3</v>
      </c>
      <c r="AB48" s="15">
        <f t="shared" si="79"/>
        <v>0.3</v>
      </c>
      <c r="AE48" s="15">
        <f t="shared" si="43"/>
        <v>0.3</v>
      </c>
      <c r="AF48" s="15">
        <f t="shared" ref="AF48:AP48" si="80">AE48</f>
        <v>0.3</v>
      </c>
      <c r="AG48" s="15">
        <f t="shared" si="80"/>
        <v>0.3</v>
      </c>
      <c r="AH48" s="15">
        <f t="shared" si="80"/>
        <v>0.3</v>
      </c>
      <c r="AI48" s="15">
        <f t="shared" si="80"/>
        <v>0.3</v>
      </c>
      <c r="AJ48" s="15">
        <f t="shared" si="80"/>
        <v>0.3</v>
      </c>
      <c r="AK48" s="15">
        <f t="shared" si="80"/>
        <v>0.3</v>
      </c>
      <c r="AL48" s="15">
        <f t="shared" si="80"/>
        <v>0.3</v>
      </c>
      <c r="AM48" s="15">
        <f t="shared" si="80"/>
        <v>0.3</v>
      </c>
      <c r="AN48" s="15">
        <f t="shared" si="80"/>
        <v>0.3</v>
      </c>
      <c r="AO48" s="15">
        <f t="shared" si="80"/>
        <v>0.3</v>
      </c>
      <c r="AP48" s="15">
        <f t="shared" si="80"/>
        <v>0.3</v>
      </c>
    </row>
    <row r="49">
      <c r="A49" s="1" t="s">
        <v>68</v>
      </c>
      <c r="B49" s="11"/>
      <c r="C49" s="11">
        <v>0.0</v>
      </c>
      <c r="D49" s="13">
        <f t="shared" ref="D49:F49" si="81">C49</f>
        <v>0</v>
      </c>
      <c r="E49" s="13">
        <f t="shared" si="81"/>
        <v>0</v>
      </c>
      <c r="F49" s="13">
        <f t="shared" si="81"/>
        <v>0</v>
      </c>
      <c r="G49" s="14">
        <v>0.5</v>
      </c>
      <c r="H49" s="15">
        <f t="shared" ref="H49:N49" si="82">G49</f>
        <v>0.5</v>
      </c>
      <c r="I49" s="15">
        <f t="shared" si="82"/>
        <v>0.5</v>
      </c>
      <c r="J49" s="15">
        <f t="shared" si="82"/>
        <v>0.5</v>
      </c>
      <c r="K49" s="15">
        <f t="shared" si="82"/>
        <v>0.5</v>
      </c>
      <c r="L49" s="15">
        <f t="shared" si="82"/>
        <v>0.5</v>
      </c>
      <c r="M49" s="15">
        <f t="shared" si="82"/>
        <v>0.5</v>
      </c>
      <c r="N49" s="15">
        <f t="shared" si="82"/>
        <v>0.5</v>
      </c>
      <c r="Q49" s="15">
        <f t="shared" si="41"/>
        <v>0.5</v>
      </c>
      <c r="R49" s="15">
        <f t="shared" ref="R49:AB49" si="83">Q49</f>
        <v>0.5</v>
      </c>
      <c r="S49" s="15">
        <f t="shared" si="83"/>
        <v>0.5</v>
      </c>
      <c r="T49" s="15">
        <f t="shared" si="83"/>
        <v>0.5</v>
      </c>
      <c r="U49" s="15">
        <f t="shared" si="83"/>
        <v>0.5</v>
      </c>
      <c r="V49" s="15">
        <f t="shared" si="83"/>
        <v>0.5</v>
      </c>
      <c r="W49" s="15">
        <f t="shared" si="83"/>
        <v>0.5</v>
      </c>
      <c r="X49" s="15">
        <f t="shared" si="83"/>
        <v>0.5</v>
      </c>
      <c r="Y49" s="15">
        <f t="shared" si="83"/>
        <v>0.5</v>
      </c>
      <c r="Z49" s="15">
        <f t="shared" si="83"/>
        <v>0.5</v>
      </c>
      <c r="AA49" s="15">
        <f t="shared" si="83"/>
        <v>0.5</v>
      </c>
      <c r="AB49" s="15">
        <f t="shared" si="83"/>
        <v>0.5</v>
      </c>
      <c r="AE49" s="15">
        <f t="shared" si="43"/>
        <v>0.5</v>
      </c>
      <c r="AF49" s="15">
        <f t="shared" ref="AF49:AP49" si="84">AE49</f>
        <v>0.5</v>
      </c>
      <c r="AG49" s="15">
        <f t="shared" si="84"/>
        <v>0.5</v>
      </c>
      <c r="AH49" s="15">
        <f t="shared" si="84"/>
        <v>0.5</v>
      </c>
      <c r="AI49" s="15">
        <f t="shared" si="84"/>
        <v>0.5</v>
      </c>
      <c r="AJ49" s="15">
        <f t="shared" si="84"/>
        <v>0.5</v>
      </c>
      <c r="AK49" s="15">
        <f t="shared" si="84"/>
        <v>0.5</v>
      </c>
      <c r="AL49" s="15">
        <f t="shared" si="84"/>
        <v>0.5</v>
      </c>
      <c r="AM49" s="15">
        <f t="shared" si="84"/>
        <v>0.5</v>
      </c>
      <c r="AN49" s="15">
        <f t="shared" si="84"/>
        <v>0.5</v>
      </c>
      <c r="AO49" s="15">
        <f t="shared" si="84"/>
        <v>0.5</v>
      </c>
      <c r="AP49" s="15">
        <f t="shared" si="84"/>
        <v>0.5</v>
      </c>
    </row>
    <row r="51">
      <c r="A51" s="1" t="s">
        <v>31</v>
      </c>
    </row>
    <row r="52">
      <c r="A52" s="1" t="s">
        <v>32</v>
      </c>
      <c r="C52" s="9">
        <f t="shared" ref="C52:N52" si="85">C6*C21*C37</f>
        <v>250</v>
      </c>
      <c r="D52" s="9">
        <f t="shared" si="85"/>
        <v>400</v>
      </c>
      <c r="E52" s="9">
        <f t="shared" si="85"/>
        <v>500</v>
      </c>
      <c r="F52" s="9">
        <f t="shared" si="85"/>
        <v>550</v>
      </c>
      <c r="G52" s="9">
        <f t="shared" si="85"/>
        <v>587.5</v>
      </c>
      <c r="H52" s="9">
        <f t="shared" si="85"/>
        <v>612.5</v>
      </c>
      <c r="I52" s="9">
        <f t="shared" si="85"/>
        <v>625</v>
      </c>
      <c r="J52" s="9">
        <f t="shared" si="85"/>
        <v>625</v>
      </c>
      <c r="K52" s="9">
        <f t="shared" si="85"/>
        <v>625</v>
      </c>
      <c r="L52" s="9">
        <f t="shared" si="85"/>
        <v>625</v>
      </c>
      <c r="M52" s="9">
        <f t="shared" si="85"/>
        <v>625</v>
      </c>
      <c r="N52" s="9">
        <f t="shared" si="85"/>
        <v>625</v>
      </c>
      <c r="Q52" s="9">
        <f t="shared" ref="Q52:AB52" si="86">Q6*Q21*Q37</f>
        <v>625</v>
      </c>
      <c r="R52" s="9">
        <f t="shared" si="86"/>
        <v>625</v>
      </c>
      <c r="S52" s="9">
        <f t="shared" si="86"/>
        <v>625</v>
      </c>
      <c r="T52" s="9">
        <f t="shared" si="86"/>
        <v>625</v>
      </c>
      <c r="U52" s="9">
        <f t="shared" si="86"/>
        <v>625</v>
      </c>
      <c r="V52" s="9">
        <f t="shared" si="86"/>
        <v>625</v>
      </c>
      <c r="W52" s="9">
        <f t="shared" si="86"/>
        <v>625</v>
      </c>
      <c r="X52" s="9">
        <f t="shared" si="86"/>
        <v>625</v>
      </c>
      <c r="Y52" s="9">
        <f t="shared" si="86"/>
        <v>625</v>
      </c>
      <c r="Z52" s="9">
        <f t="shared" si="86"/>
        <v>625</v>
      </c>
      <c r="AA52" s="9">
        <f t="shared" si="86"/>
        <v>625</v>
      </c>
      <c r="AB52" s="9">
        <f t="shared" si="86"/>
        <v>625</v>
      </c>
      <c r="AE52" s="9">
        <f t="shared" ref="AE52:AP52" si="87">AE6*AE21*AE37</f>
        <v>625</v>
      </c>
      <c r="AF52" s="9">
        <f t="shared" si="87"/>
        <v>625</v>
      </c>
      <c r="AG52" s="9">
        <f t="shared" si="87"/>
        <v>625</v>
      </c>
      <c r="AH52" s="9">
        <f t="shared" si="87"/>
        <v>625</v>
      </c>
      <c r="AI52" s="9">
        <f t="shared" si="87"/>
        <v>625</v>
      </c>
      <c r="AJ52" s="9">
        <f t="shared" si="87"/>
        <v>625</v>
      </c>
      <c r="AK52" s="9">
        <f t="shared" si="87"/>
        <v>625</v>
      </c>
      <c r="AL52" s="9">
        <f t="shared" si="87"/>
        <v>625</v>
      </c>
      <c r="AM52" s="9">
        <f t="shared" si="87"/>
        <v>625</v>
      </c>
      <c r="AN52" s="9">
        <f t="shared" si="87"/>
        <v>625</v>
      </c>
      <c r="AO52" s="9">
        <f t="shared" si="87"/>
        <v>625</v>
      </c>
      <c r="AP52" s="9">
        <f t="shared" si="87"/>
        <v>625</v>
      </c>
    </row>
    <row r="53">
      <c r="A53" s="1" t="s">
        <v>37</v>
      </c>
      <c r="C53" s="9">
        <f t="shared" ref="C53:N53" si="88">C7*C22*C38</f>
        <v>1000</v>
      </c>
      <c r="D53" s="9">
        <f t="shared" si="88"/>
        <v>1000</v>
      </c>
      <c r="E53" s="9">
        <f t="shared" si="88"/>
        <v>2000</v>
      </c>
      <c r="F53" s="9">
        <f t="shared" si="88"/>
        <v>2000</v>
      </c>
      <c r="G53" s="9">
        <f t="shared" si="88"/>
        <v>3000</v>
      </c>
      <c r="H53" s="9">
        <f t="shared" si="88"/>
        <v>3000</v>
      </c>
      <c r="I53" s="9">
        <f t="shared" si="88"/>
        <v>4000</v>
      </c>
      <c r="J53" s="9">
        <f t="shared" si="88"/>
        <v>4000</v>
      </c>
      <c r="K53" s="9">
        <f t="shared" si="88"/>
        <v>5000</v>
      </c>
      <c r="L53" s="9">
        <f t="shared" si="88"/>
        <v>5000</v>
      </c>
      <c r="M53" s="9">
        <f t="shared" si="88"/>
        <v>6000</v>
      </c>
      <c r="N53" s="9">
        <f t="shared" si="88"/>
        <v>6000</v>
      </c>
      <c r="Q53" s="9">
        <f t="shared" ref="Q53:AB53" si="89">Q7*Q22*Q38</f>
        <v>6000</v>
      </c>
      <c r="R53" s="9">
        <f t="shared" si="89"/>
        <v>6000</v>
      </c>
      <c r="S53" s="9">
        <f t="shared" si="89"/>
        <v>6000</v>
      </c>
      <c r="T53" s="9">
        <f t="shared" si="89"/>
        <v>6000</v>
      </c>
      <c r="U53" s="9">
        <f t="shared" si="89"/>
        <v>6000</v>
      </c>
      <c r="V53" s="9">
        <f t="shared" si="89"/>
        <v>6000</v>
      </c>
      <c r="W53" s="9">
        <f t="shared" si="89"/>
        <v>6000</v>
      </c>
      <c r="X53" s="9">
        <f t="shared" si="89"/>
        <v>6000</v>
      </c>
      <c r="Y53" s="9">
        <f t="shared" si="89"/>
        <v>6000</v>
      </c>
      <c r="Z53" s="9">
        <f t="shared" si="89"/>
        <v>6000</v>
      </c>
      <c r="AA53" s="9">
        <f t="shared" si="89"/>
        <v>6000</v>
      </c>
      <c r="AB53" s="9">
        <f t="shared" si="89"/>
        <v>6000</v>
      </c>
      <c r="AE53" s="9">
        <f t="shared" ref="AE53:AP53" si="90">AE7*AE22*AE38</f>
        <v>6000</v>
      </c>
      <c r="AF53" s="9">
        <f t="shared" si="90"/>
        <v>6000</v>
      </c>
      <c r="AG53" s="9">
        <f t="shared" si="90"/>
        <v>6000</v>
      </c>
      <c r="AH53" s="9">
        <f t="shared" si="90"/>
        <v>6000</v>
      </c>
      <c r="AI53" s="9">
        <f t="shared" si="90"/>
        <v>6000</v>
      </c>
      <c r="AJ53" s="9">
        <f t="shared" si="90"/>
        <v>6000</v>
      </c>
      <c r="AK53" s="9">
        <f t="shared" si="90"/>
        <v>6000</v>
      </c>
      <c r="AL53" s="9">
        <f t="shared" si="90"/>
        <v>6000</v>
      </c>
      <c r="AM53" s="9">
        <f t="shared" si="90"/>
        <v>6000</v>
      </c>
      <c r="AN53" s="9">
        <f t="shared" si="90"/>
        <v>6000</v>
      </c>
      <c r="AO53" s="9">
        <f t="shared" si="90"/>
        <v>6000</v>
      </c>
      <c r="AP53" s="9">
        <f t="shared" si="90"/>
        <v>6000</v>
      </c>
    </row>
    <row r="54">
      <c r="A54" s="1" t="s">
        <v>40</v>
      </c>
      <c r="C54" s="9">
        <f t="shared" ref="C54:N54" si="91">C8*C23*C39</f>
        <v>2000</v>
      </c>
      <c r="D54" s="9">
        <f t="shared" si="91"/>
        <v>2000</v>
      </c>
      <c r="E54" s="9">
        <f t="shared" si="91"/>
        <v>2000</v>
      </c>
      <c r="F54" s="9">
        <f t="shared" si="91"/>
        <v>2000</v>
      </c>
      <c r="G54" s="9">
        <f t="shared" si="91"/>
        <v>4000</v>
      </c>
      <c r="H54" s="9">
        <f t="shared" si="91"/>
        <v>4000</v>
      </c>
      <c r="I54" s="9">
        <f t="shared" si="91"/>
        <v>4000</v>
      </c>
      <c r="J54" s="9">
        <f t="shared" si="91"/>
        <v>4000</v>
      </c>
      <c r="K54" s="9">
        <f t="shared" si="91"/>
        <v>4000</v>
      </c>
      <c r="L54" s="9">
        <f t="shared" si="91"/>
        <v>6000</v>
      </c>
      <c r="M54" s="9">
        <f t="shared" si="91"/>
        <v>6000</v>
      </c>
      <c r="N54" s="9">
        <f t="shared" si="91"/>
        <v>6000</v>
      </c>
      <c r="Q54" s="9">
        <f t="shared" ref="Q54:AB54" si="92">Q8*Q23*Q39</f>
        <v>6000</v>
      </c>
      <c r="R54" s="9">
        <f t="shared" si="92"/>
        <v>6000</v>
      </c>
      <c r="S54" s="9">
        <f t="shared" si="92"/>
        <v>6000</v>
      </c>
      <c r="T54" s="9">
        <f t="shared" si="92"/>
        <v>6000</v>
      </c>
      <c r="U54" s="9">
        <f t="shared" si="92"/>
        <v>6000</v>
      </c>
      <c r="V54" s="9">
        <f t="shared" si="92"/>
        <v>6000</v>
      </c>
      <c r="W54" s="9">
        <f t="shared" si="92"/>
        <v>6000</v>
      </c>
      <c r="X54" s="9">
        <f t="shared" si="92"/>
        <v>6000</v>
      </c>
      <c r="Y54" s="9">
        <f t="shared" si="92"/>
        <v>6000</v>
      </c>
      <c r="Z54" s="9">
        <f t="shared" si="92"/>
        <v>6000</v>
      </c>
      <c r="AA54" s="9">
        <f t="shared" si="92"/>
        <v>6000</v>
      </c>
      <c r="AB54" s="9">
        <f t="shared" si="92"/>
        <v>6000</v>
      </c>
      <c r="AE54" s="9">
        <f t="shared" ref="AE54:AP54" si="93">AE8*AE23*AE39</f>
        <v>6000</v>
      </c>
      <c r="AF54" s="9">
        <f t="shared" si="93"/>
        <v>6000</v>
      </c>
      <c r="AG54" s="9">
        <f t="shared" si="93"/>
        <v>6000</v>
      </c>
      <c r="AH54" s="9">
        <f t="shared" si="93"/>
        <v>6000</v>
      </c>
      <c r="AI54" s="9">
        <f t="shared" si="93"/>
        <v>6000</v>
      </c>
      <c r="AJ54" s="9">
        <f t="shared" si="93"/>
        <v>6000</v>
      </c>
      <c r="AK54" s="9">
        <f t="shared" si="93"/>
        <v>6000</v>
      </c>
      <c r="AL54" s="9">
        <f t="shared" si="93"/>
        <v>6000</v>
      </c>
      <c r="AM54" s="9">
        <f t="shared" si="93"/>
        <v>6000</v>
      </c>
      <c r="AN54" s="9">
        <f t="shared" si="93"/>
        <v>6000</v>
      </c>
      <c r="AO54" s="9">
        <f t="shared" si="93"/>
        <v>6000</v>
      </c>
      <c r="AP54" s="9">
        <f t="shared" si="93"/>
        <v>6000</v>
      </c>
    </row>
    <row r="55">
      <c r="A55" s="1" t="s">
        <v>41</v>
      </c>
      <c r="C55" s="9">
        <f t="shared" ref="C55:N55" si="94">C9*C24*C40</f>
        <v>0</v>
      </c>
      <c r="D55" s="9">
        <f t="shared" si="94"/>
        <v>0</v>
      </c>
      <c r="E55" s="9">
        <f t="shared" si="94"/>
        <v>0</v>
      </c>
      <c r="F55" s="9">
        <f t="shared" si="94"/>
        <v>0</v>
      </c>
      <c r="G55" s="9">
        <f t="shared" si="94"/>
        <v>0</v>
      </c>
      <c r="H55" s="9">
        <f t="shared" si="94"/>
        <v>0</v>
      </c>
      <c r="I55" s="9">
        <f t="shared" si="94"/>
        <v>0</v>
      </c>
      <c r="J55" s="9">
        <f t="shared" si="94"/>
        <v>0</v>
      </c>
      <c r="K55" s="9">
        <f t="shared" si="94"/>
        <v>0</v>
      </c>
      <c r="L55" s="9">
        <f t="shared" si="94"/>
        <v>0</v>
      </c>
      <c r="M55" s="9">
        <f t="shared" si="94"/>
        <v>0</v>
      </c>
      <c r="N55" s="9">
        <f t="shared" si="94"/>
        <v>0</v>
      </c>
      <c r="Q55" s="9">
        <f t="shared" ref="Q55:AB55" si="95">Q9*Q24*Q40</f>
        <v>0</v>
      </c>
      <c r="R55" s="9">
        <f t="shared" si="95"/>
        <v>0</v>
      </c>
      <c r="S55" s="9">
        <f t="shared" si="95"/>
        <v>0</v>
      </c>
      <c r="T55" s="9">
        <f t="shared" si="95"/>
        <v>0</v>
      </c>
      <c r="U55" s="9">
        <f t="shared" si="95"/>
        <v>0</v>
      </c>
      <c r="V55" s="9">
        <f t="shared" si="95"/>
        <v>0</v>
      </c>
      <c r="W55" s="9">
        <f t="shared" si="95"/>
        <v>0</v>
      </c>
      <c r="X55" s="9">
        <f t="shared" si="95"/>
        <v>0</v>
      </c>
      <c r="Y55" s="9">
        <f t="shared" si="95"/>
        <v>0</v>
      </c>
      <c r="Z55" s="9">
        <f t="shared" si="95"/>
        <v>0</v>
      </c>
      <c r="AA55" s="9">
        <f t="shared" si="95"/>
        <v>0</v>
      </c>
      <c r="AB55" s="9">
        <f t="shared" si="95"/>
        <v>0</v>
      </c>
      <c r="AE55" s="9">
        <f t="shared" ref="AE55:AP55" si="96">AE9*AE24*AE40</f>
        <v>0</v>
      </c>
      <c r="AF55" s="9">
        <f t="shared" si="96"/>
        <v>0</v>
      </c>
      <c r="AG55" s="9">
        <f t="shared" si="96"/>
        <v>0</v>
      </c>
      <c r="AH55" s="9">
        <f t="shared" si="96"/>
        <v>0</v>
      </c>
      <c r="AI55" s="9">
        <f t="shared" si="96"/>
        <v>0</v>
      </c>
      <c r="AJ55" s="9">
        <f t="shared" si="96"/>
        <v>0</v>
      </c>
      <c r="AK55" s="9">
        <f t="shared" si="96"/>
        <v>0</v>
      </c>
      <c r="AL55" s="9">
        <f t="shared" si="96"/>
        <v>0</v>
      </c>
      <c r="AM55" s="9">
        <f t="shared" si="96"/>
        <v>0</v>
      </c>
      <c r="AN55" s="9">
        <f t="shared" si="96"/>
        <v>0</v>
      </c>
      <c r="AO55" s="9">
        <f t="shared" si="96"/>
        <v>0</v>
      </c>
      <c r="AP55" s="9">
        <f t="shared" si="96"/>
        <v>0</v>
      </c>
    </row>
    <row r="56">
      <c r="A56" s="1" t="s">
        <v>43</v>
      </c>
      <c r="C56" s="9">
        <f t="shared" ref="C56:N56" si="97">C10*C25*C41</f>
        <v>0</v>
      </c>
      <c r="D56" s="9">
        <f t="shared" si="97"/>
        <v>0</v>
      </c>
      <c r="E56" s="9">
        <f t="shared" si="97"/>
        <v>0</v>
      </c>
      <c r="F56" s="9">
        <f t="shared" si="97"/>
        <v>0</v>
      </c>
      <c r="G56" s="9">
        <f t="shared" si="97"/>
        <v>0</v>
      </c>
      <c r="H56" s="9">
        <f t="shared" si="97"/>
        <v>0</v>
      </c>
      <c r="I56" s="9">
        <f t="shared" si="97"/>
        <v>0</v>
      </c>
      <c r="J56" s="9">
        <f t="shared" si="97"/>
        <v>0</v>
      </c>
      <c r="K56" s="9">
        <f t="shared" si="97"/>
        <v>0</v>
      </c>
      <c r="L56" s="9">
        <f t="shared" si="97"/>
        <v>0</v>
      </c>
      <c r="M56" s="9">
        <f t="shared" si="97"/>
        <v>0</v>
      </c>
      <c r="N56" s="9">
        <f t="shared" si="97"/>
        <v>0</v>
      </c>
      <c r="Q56" s="9">
        <f t="shared" ref="Q56:AB56" si="98">Q10*Q25*Q41</f>
        <v>0</v>
      </c>
      <c r="R56" s="9">
        <f t="shared" si="98"/>
        <v>0</v>
      </c>
      <c r="S56" s="9">
        <f t="shared" si="98"/>
        <v>0</v>
      </c>
      <c r="T56" s="9">
        <f t="shared" si="98"/>
        <v>0</v>
      </c>
      <c r="U56" s="9">
        <f t="shared" si="98"/>
        <v>0</v>
      </c>
      <c r="V56" s="9">
        <f t="shared" si="98"/>
        <v>0</v>
      </c>
      <c r="W56" s="9">
        <f t="shared" si="98"/>
        <v>0</v>
      </c>
      <c r="X56" s="9">
        <f t="shared" si="98"/>
        <v>0</v>
      </c>
      <c r="Y56" s="9">
        <f t="shared" si="98"/>
        <v>0</v>
      </c>
      <c r="Z56" s="9">
        <f t="shared" si="98"/>
        <v>0</v>
      </c>
      <c r="AA56" s="9">
        <f t="shared" si="98"/>
        <v>0</v>
      </c>
      <c r="AB56" s="9">
        <f t="shared" si="98"/>
        <v>0</v>
      </c>
      <c r="AE56" s="9">
        <f t="shared" ref="AE56:AP56" si="99">AE10*AE25*AE41</f>
        <v>0</v>
      </c>
      <c r="AF56" s="9">
        <f t="shared" si="99"/>
        <v>0</v>
      </c>
      <c r="AG56" s="9">
        <f t="shared" si="99"/>
        <v>0</v>
      </c>
      <c r="AH56" s="9">
        <f t="shared" si="99"/>
        <v>0</v>
      </c>
      <c r="AI56" s="9">
        <f t="shared" si="99"/>
        <v>0</v>
      </c>
      <c r="AJ56" s="9">
        <f t="shared" si="99"/>
        <v>0</v>
      </c>
      <c r="AK56" s="9">
        <f t="shared" si="99"/>
        <v>0</v>
      </c>
      <c r="AL56" s="9">
        <f t="shared" si="99"/>
        <v>0</v>
      </c>
      <c r="AM56" s="9">
        <f t="shared" si="99"/>
        <v>0</v>
      </c>
      <c r="AN56" s="9">
        <f t="shared" si="99"/>
        <v>0</v>
      </c>
      <c r="AO56" s="9">
        <f t="shared" si="99"/>
        <v>0</v>
      </c>
      <c r="AP56" s="9">
        <f t="shared" si="99"/>
        <v>0</v>
      </c>
    </row>
    <row r="57">
      <c r="A57" s="1" t="s">
        <v>45</v>
      </c>
      <c r="C57" s="9">
        <f t="shared" ref="C57:N57" si="100">C11*C26*C42</f>
        <v>0</v>
      </c>
      <c r="D57" s="9">
        <f t="shared" si="100"/>
        <v>0</v>
      </c>
      <c r="E57" s="9">
        <f t="shared" si="100"/>
        <v>0</v>
      </c>
      <c r="F57" s="9">
        <f t="shared" si="100"/>
        <v>0</v>
      </c>
      <c r="G57" s="9">
        <f t="shared" si="100"/>
        <v>0</v>
      </c>
      <c r="H57" s="9">
        <f t="shared" si="100"/>
        <v>0</v>
      </c>
      <c r="I57" s="9">
        <f t="shared" si="100"/>
        <v>0</v>
      </c>
      <c r="J57" s="9">
        <f t="shared" si="100"/>
        <v>0</v>
      </c>
      <c r="K57" s="9">
        <f t="shared" si="100"/>
        <v>0</v>
      </c>
      <c r="L57" s="9">
        <f t="shared" si="100"/>
        <v>0</v>
      </c>
      <c r="M57" s="9">
        <f t="shared" si="100"/>
        <v>0</v>
      </c>
      <c r="N57" s="9">
        <f t="shared" si="100"/>
        <v>0</v>
      </c>
      <c r="Q57" s="9">
        <f t="shared" ref="Q57:AB57" si="101">Q11*Q26*Q42</f>
        <v>0</v>
      </c>
      <c r="R57" s="9">
        <f t="shared" si="101"/>
        <v>0</v>
      </c>
      <c r="S57" s="9">
        <f t="shared" si="101"/>
        <v>0</v>
      </c>
      <c r="T57" s="9">
        <f t="shared" si="101"/>
        <v>0</v>
      </c>
      <c r="U57" s="9">
        <f t="shared" si="101"/>
        <v>0</v>
      </c>
      <c r="V57" s="9">
        <f t="shared" si="101"/>
        <v>0</v>
      </c>
      <c r="W57" s="9">
        <f t="shared" si="101"/>
        <v>0</v>
      </c>
      <c r="X57" s="9">
        <f t="shared" si="101"/>
        <v>0</v>
      </c>
      <c r="Y57" s="9">
        <f t="shared" si="101"/>
        <v>0</v>
      </c>
      <c r="Z57" s="9">
        <f t="shared" si="101"/>
        <v>0</v>
      </c>
      <c r="AA57" s="9">
        <f t="shared" si="101"/>
        <v>0</v>
      </c>
      <c r="AB57" s="9">
        <f t="shared" si="101"/>
        <v>0</v>
      </c>
      <c r="AE57" s="9">
        <f t="shared" ref="AE57:AP57" si="102">AE11*AE26*AE42</f>
        <v>0</v>
      </c>
      <c r="AF57" s="9">
        <f t="shared" si="102"/>
        <v>0</v>
      </c>
      <c r="AG57" s="9">
        <f t="shared" si="102"/>
        <v>0</v>
      </c>
      <c r="AH57" s="9">
        <f t="shared" si="102"/>
        <v>0</v>
      </c>
      <c r="AI57" s="9">
        <f t="shared" si="102"/>
        <v>0</v>
      </c>
      <c r="AJ57" s="9">
        <f t="shared" si="102"/>
        <v>0</v>
      </c>
      <c r="AK57" s="9">
        <f t="shared" si="102"/>
        <v>0</v>
      </c>
      <c r="AL57" s="9">
        <f t="shared" si="102"/>
        <v>0</v>
      </c>
      <c r="AM57" s="9">
        <f t="shared" si="102"/>
        <v>0</v>
      </c>
      <c r="AN57" s="9">
        <f t="shared" si="102"/>
        <v>0</v>
      </c>
      <c r="AO57" s="9">
        <f t="shared" si="102"/>
        <v>0</v>
      </c>
      <c r="AP57" s="9">
        <f t="shared" si="102"/>
        <v>0</v>
      </c>
    </row>
    <row r="58">
      <c r="A58" s="1" t="s">
        <v>46</v>
      </c>
      <c r="C58" s="9">
        <f t="shared" ref="C58:N58" si="103">C12*C27*C43</f>
        <v>0</v>
      </c>
      <c r="D58" s="9">
        <f t="shared" si="103"/>
        <v>0</v>
      </c>
      <c r="E58" s="9">
        <f t="shared" si="103"/>
        <v>0</v>
      </c>
      <c r="F58" s="9">
        <f t="shared" si="103"/>
        <v>0</v>
      </c>
      <c r="G58" s="9">
        <f t="shared" si="103"/>
        <v>0</v>
      </c>
      <c r="H58" s="9">
        <f t="shared" si="103"/>
        <v>0</v>
      </c>
      <c r="I58" s="9">
        <f t="shared" si="103"/>
        <v>0</v>
      </c>
      <c r="J58" s="9">
        <f t="shared" si="103"/>
        <v>0</v>
      </c>
      <c r="K58" s="9">
        <f t="shared" si="103"/>
        <v>0</v>
      </c>
      <c r="L58" s="9">
        <f t="shared" si="103"/>
        <v>0</v>
      </c>
      <c r="M58" s="9">
        <f t="shared" si="103"/>
        <v>0</v>
      </c>
      <c r="N58" s="9">
        <f t="shared" si="103"/>
        <v>0</v>
      </c>
      <c r="Q58" s="9">
        <f t="shared" ref="Q58:AB58" si="104">Q12*Q27*Q43</f>
        <v>0</v>
      </c>
      <c r="R58" s="9">
        <f t="shared" si="104"/>
        <v>0</v>
      </c>
      <c r="S58" s="9">
        <f t="shared" si="104"/>
        <v>0</v>
      </c>
      <c r="T58" s="9">
        <f t="shared" si="104"/>
        <v>0</v>
      </c>
      <c r="U58" s="9">
        <f t="shared" si="104"/>
        <v>0</v>
      </c>
      <c r="V58" s="9">
        <f t="shared" si="104"/>
        <v>0</v>
      </c>
      <c r="W58" s="9">
        <f t="shared" si="104"/>
        <v>0</v>
      </c>
      <c r="X58" s="9">
        <f t="shared" si="104"/>
        <v>0</v>
      </c>
      <c r="Y58" s="9">
        <f t="shared" si="104"/>
        <v>0</v>
      </c>
      <c r="Z58" s="9">
        <f t="shared" si="104"/>
        <v>0</v>
      </c>
      <c r="AA58" s="9">
        <f t="shared" si="104"/>
        <v>0</v>
      </c>
      <c r="AB58" s="9">
        <f t="shared" si="104"/>
        <v>0</v>
      </c>
      <c r="AE58" s="9">
        <f t="shared" ref="AE58:AP58" si="105">AE12*AE27*AE43</f>
        <v>0</v>
      </c>
      <c r="AF58" s="9">
        <f t="shared" si="105"/>
        <v>0</v>
      </c>
      <c r="AG58" s="9">
        <f t="shared" si="105"/>
        <v>0</v>
      </c>
      <c r="AH58" s="9">
        <f t="shared" si="105"/>
        <v>0</v>
      </c>
      <c r="AI58" s="9">
        <f t="shared" si="105"/>
        <v>0</v>
      </c>
      <c r="AJ58" s="9">
        <f t="shared" si="105"/>
        <v>0</v>
      </c>
      <c r="AK58" s="9">
        <f t="shared" si="105"/>
        <v>0</v>
      </c>
      <c r="AL58" s="9">
        <f t="shared" si="105"/>
        <v>0</v>
      </c>
      <c r="AM58" s="9">
        <f t="shared" si="105"/>
        <v>0</v>
      </c>
      <c r="AN58" s="9">
        <f t="shared" si="105"/>
        <v>0</v>
      </c>
      <c r="AO58" s="9">
        <f t="shared" si="105"/>
        <v>0</v>
      </c>
      <c r="AP58" s="9">
        <f t="shared" si="105"/>
        <v>0</v>
      </c>
    </row>
    <row r="59">
      <c r="A59" s="1" t="s">
        <v>88</v>
      </c>
      <c r="C59" s="9">
        <f t="shared" ref="C59:N59" si="106">C13*C28*C44</f>
        <v>0</v>
      </c>
      <c r="D59" s="9">
        <f t="shared" si="106"/>
        <v>0</v>
      </c>
      <c r="E59" s="9">
        <f t="shared" si="106"/>
        <v>0</v>
      </c>
      <c r="F59" s="9">
        <f t="shared" si="106"/>
        <v>598.5</v>
      </c>
      <c r="G59" s="9">
        <f t="shared" si="106"/>
        <v>17373.125</v>
      </c>
      <c r="H59" s="9">
        <f t="shared" si="106"/>
        <v>17522.75</v>
      </c>
      <c r="I59" s="9">
        <f t="shared" si="106"/>
        <v>35752.395</v>
      </c>
      <c r="J59" s="9">
        <f t="shared" si="106"/>
        <v>36109.5</v>
      </c>
      <c r="K59" s="9">
        <f t="shared" si="106"/>
        <v>36467.27</v>
      </c>
      <c r="L59" s="9">
        <f t="shared" si="106"/>
        <v>54114.375</v>
      </c>
      <c r="M59" s="9">
        <f t="shared" si="106"/>
        <v>54538.645</v>
      </c>
      <c r="N59" s="9">
        <f t="shared" si="106"/>
        <v>54962.25</v>
      </c>
      <c r="Q59" s="9">
        <f t="shared" ref="Q59:AB59" si="107">Q13*Q28*Q44</f>
        <v>54962.25</v>
      </c>
      <c r="R59" s="9">
        <f t="shared" si="107"/>
        <v>54962.25</v>
      </c>
      <c r="S59" s="9">
        <f t="shared" si="107"/>
        <v>54962.25</v>
      </c>
      <c r="T59" s="9">
        <f t="shared" si="107"/>
        <v>54962.25</v>
      </c>
      <c r="U59" s="9">
        <f t="shared" si="107"/>
        <v>54962.25</v>
      </c>
      <c r="V59" s="9">
        <f t="shared" si="107"/>
        <v>54962.25</v>
      </c>
      <c r="W59" s="9">
        <f t="shared" si="107"/>
        <v>54962.25</v>
      </c>
      <c r="X59" s="9">
        <f t="shared" si="107"/>
        <v>54962.25</v>
      </c>
      <c r="Y59" s="9">
        <f t="shared" si="107"/>
        <v>54962.25</v>
      </c>
      <c r="Z59" s="9">
        <f t="shared" si="107"/>
        <v>54962.25</v>
      </c>
      <c r="AA59" s="9">
        <f t="shared" si="107"/>
        <v>54962.25</v>
      </c>
      <c r="AB59" s="9">
        <f t="shared" si="107"/>
        <v>54962.25</v>
      </c>
      <c r="AE59" s="9">
        <f t="shared" ref="AE59:AP59" si="108">AE13*AE28*AE44</f>
        <v>54962.25</v>
      </c>
      <c r="AF59" s="9">
        <f t="shared" si="108"/>
        <v>54962.25</v>
      </c>
      <c r="AG59" s="9">
        <f t="shared" si="108"/>
        <v>54962.25</v>
      </c>
      <c r="AH59" s="9">
        <f t="shared" si="108"/>
        <v>54962.25</v>
      </c>
      <c r="AI59" s="9">
        <f t="shared" si="108"/>
        <v>54962.25</v>
      </c>
      <c r="AJ59" s="9">
        <f t="shared" si="108"/>
        <v>54962.25</v>
      </c>
      <c r="AK59" s="9">
        <f t="shared" si="108"/>
        <v>54962.25</v>
      </c>
      <c r="AL59" s="9">
        <f t="shared" si="108"/>
        <v>54962.25</v>
      </c>
      <c r="AM59" s="9">
        <f t="shared" si="108"/>
        <v>54962.25</v>
      </c>
      <c r="AN59" s="9">
        <f t="shared" si="108"/>
        <v>54962.25</v>
      </c>
      <c r="AO59" s="9">
        <f t="shared" si="108"/>
        <v>54962.25</v>
      </c>
      <c r="AP59" s="9">
        <f t="shared" si="108"/>
        <v>54962.25</v>
      </c>
    </row>
    <row r="60">
      <c r="A60" s="1" t="s">
        <v>47</v>
      </c>
      <c r="C60" s="9">
        <f t="shared" ref="C60:N60" si="109">C14*C29*C45</f>
        <v>17500</v>
      </c>
      <c r="D60" s="9">
        <f t="shared" si="109"/>
        <v>17500</v>
      </c>
      <c r="E60" s="9">
        <f t="shared" si="109"/>
        <v>17500</v>
      </c>
      <c r="F60" s="9">
        <f t="shared" si="109"/>
        <v>17500</v>
      </c>
      <c r="G60" s="9">
        <f t="shared" si="109"/>
        <v>17500</v>
      </c>
      <c r="H60" s="9">
        <f t="shared" si="109"/>
        <v>17500</v>
      </c>
      <c r="I60" s="9">
        <f t="shared" si="109"/>
        <v>17500</v>
      </c>
      <c r="J60" s="9">
        <f t="shared" si="109"/>
        <v>17500</v>
      </c>
      <c r="K60" s="9">
        <f t="shared" si="109"/>
        <v>17500</v>
      </c>
      <c r="L60" s="9">
        <f t="shared" si="109"/>
        <v>17500</v>
      </c>
      <c r="M60" s="9">
        <f t="shared" si="109"/>
        <v>17500</v>
      </c>
      <c r="N60" s="9">
        <f t="shared" si="109"/>
        <v>17500</v>
      </c>
      <c r="Q60" s="9">
        <f t="shared" ref="Q60:AB60" si="110">Q14*Q29*Q45</f>
        <v>17500</v>
      </c>
      <c r="R60" s="9">
        <f t="shared" si="110"/>
        <v>17500</v>
      </c>
      <c r="S60" s="9">
        <f t="shared" si="110"/>
        <v>17500</v>
      </c>
      <c r="T60" s="9">
        <f t="shared" si="110"/>
        <v>17500</v>
      </c>
      <c r="U60" s="9">
        <f t="shared" si="110"/>
        <v>17500</v>
      </c>
      <c r="V60" s="9">
        <f t="shared" si="110"/>
        <v>17500</v>
      </c>
      <c r="W60" s="9">
        <f t="shared" si="110"/>
        <v>17500</v>
      </c>
      <c r="X60" s="9">
        <f t="shared" si="110"/>
        <v>17500</v>
      </c>
      <c r="Y60" s="9">
        <f t="shared" si="110"/>
        <v>17500</v>
      </c>
      <c r="Z60" s="9">
        <f t="shared" si="110"/>
        <v>17500</v>
      </c>
      <c r="AA60" s="9">
        <f t="shared" si="110"/>
        <v>17500</v>
      </c>
      <c r="AB60" s="9">
        <f t="shared" si="110"/>
        <v>17500</v>
      </c>
      <c r="AE60" s="9">
        <f t="shared" ref="AE60:AP60" si="111">AE14*AE29*AE45</f>
        <v>17500</v>
      </c>
      <c r="AF60" s="9">
        <f t="shared" si="111"/>
        <v>17500</v>
      </c>
      <c r="AG60" s="9">
        <f t="shared" si="111"/>
        <v>17500</v>
      </c>
      <c r="AH60" s="9">
        <f t="shared" si="111"/>
        <v>17500</v>
      </c>
      <c r="AI60" s="9">
        <f t="shared" si="111"/>
        <v>17500</v>
      </c>
      <c r="AJ60" s="9">
        <f t="shared" si="111"/>
        <v>17500</v>
      </c>
      <c r="AK60" s="9">
        <f t="shared" si="111"/>
        <v>17500</v>
      </c>
      <c r="AL60" s="9">
        <f t="shared" si="111"/>
        <v>17500</v>
      </c>
      <c r="AM60" s="9">
        <f t="shared" si="111"/>
        <v>17500</v>
      </c>
      <c r="AN60" s="9">
        <f t="shared" si="111"/>
        <v>17500</v>
      </c>
      <c r="AO60" s="9">
        <f t="shared" si="111"/>
        <v>17500</v>
      </c>
      <c r="AP60" s="9">
        <f t="shared" si="111"/>
        <v>17500</v>
      </c>
    </row>
    <row r="61">
      <c r="A61" s="1" t="s">
        <v>56</v>
      </c>
      <c r="C61" s="9">
        <f t="shared" ref="C61:N61" si="112">C15*C30*C46</f>
        <v>0</v>
      </c>
      <c r="D61" s="9">
        <f t="shared" si="112"/>
        <v>0</v>
      </c>
      <c r="E61" s="9">
        <f t="shared" si="112"/>
        <v>0</v>
      </c>
      <c r="F61" s="9">
        <f t="shared" si="112"/>
        <v>2600</v>
      </c>
      <c r="G61" s="9">
        <f t="shared" si="112"/>
        <v>3250</v>
      </c>
      <c r="H61" s="9">
        <f t="shared" si="112"/>
        <v>3900</v>
      </c>
      <c r="I61" s="9">
        <f t="shared" si="112"/>
        <v>6825</v>
      </c>
      <c r="J61" s="9">
        <f t="shared" si="112"/>
        <v>7800</v>
      </c>
      <c r="K61" s="9">
        <f t="shared" si="112"/>
        <v>8775</v>
      </c>
      <c r="L61" s="9">
        <f t="shared" si="112"/>
        <v>9750</v>
      </c>
      <c r="M61" s="9">
        <f t="shared" si="112"/>
        <v>10725</v>
      </c>
      <c r="N61" s="9">
        <f t="shared" si="112"/>
        <v>11700</v>
      </c>
      <c r="Q61" s="9">
        <f t="shared" ref="Q61:AB61" si="113">Q15*Q30*Q46</f>
        <v>11700</v>
      </c>
      <c r="R61" s="9">
        <f t="shared" si="113"/>
        <v>11700</v>
      </c>
      <c r="S61" s="9">
        <f t="shared" si="113"/>
        <v>11700</v>
      </c>
      <c r="T61" s="9">
        <f t="shared" si="113"/>
        <v>11700</v>
      </c>
      <c r="U61" s="9">
        <f t="shared" si="113"/>
        <v>11700</v>
      </c>
      <c r="V61" s="9">
        <f t="shared" si="113"/>
        <v>11700</v>
      </c>
      <c r="W61" s="9">
        <f t="shared" si="113"/>
        <v>11700</v>
      </c>
      <c r="X61" s="9">
        <f t="shared" si="113"/>
        <v>11700</v>
      </c>
      <c r="Y61" s="9">
        <f t="shared" si="113"/>
        <v>11700</v>
      </c>
      <c r="Z61" s="9">
        <f t="shared" si="113"/>
        <v>11700</v>
      </c>
      <c r="AA61" s="9">
        <f t="shared" si="113"/>
        <v>11700</v>
      </c>
      <c r="AB61" s="9">
        <f t="shared" si="113"/>
        <v>11700</v>
      </c>
      <c r="AE61" s="9">
        <f t="shared" ref="AE61:AP61" si="114">AE15*AE30*AE46</f>
        <v>11700</v>
      </c>
      <c r="AF61" s="9">
        <f t="shared" si="114"/>
        <v>11700</v>
      </c>
      <c r="AG61" s="9">
        <f t="shared" si="114"/>
        <v>11700</v>
      </c>
      <c r="AH61" s="9">
        <f t="shared" si="114"/>
        <v>11700</v>
      </c>
      <c r="AI61" s="9">
        <f t="shared" si="114"/>
        <v>11700</v>
      </c>
      <c r="AJ61" s="9">
        <f t="shared" si="114"/>
        <v>11700</v>
      </c>
      <c r="AK61" s="9">
        <f t="shared" si="114"/>
        <v>11700</v>
      </c>
      <c r="AL61" s="9">
        <f t="shared" si="114"/>
        <v>11700</v>
      </c>
      <c r="AM61" s="9">
        <f t="shared" si="114"/>
        <v>11700</v>
      </c>
      <c r="AN61" s="9">
        <f t="shared" si="114"/>
        <v>11700</v>
      </c>
      <c r="AO61" s="9">
        <f t="shared" si="114"/>
        <v>11700</v>
      </c>
      <c r="AP61" s="9">
        <f t="shared" si="114"/>
        <v>11700</v>
      </c>
    </row>
    <row r="62">
      <c r="A62" s="1" t="s">
        <v>61</v>
      </c>
      <c r="C62" s="9">
        <f t="shared" ref="C62:N62" si="115">C16*C31*C47</f>
        <v>0</v>
      </c>
      <c r="D62" s="9">
        <f t="shared" si="115"/>
        <v>0</v>
      </c>
      <c r="E62" s="9">
        <f t="shared" si="115"/>
        <v>0</v>
      </c>
      <c r="F62" s="9">
        <f t="shared" si="115"/>
        <v>3200</v>
      </c>
      <c r="G62" s="9">
        <f t="shared" si="115"/>
        <v>4000</v>
      </c>
      <c r="H62" s="9">
        <f t="shared" si="115"/>
        <v>4800</v>
      </c>
      <c r="I62" s="9">
        <f t="shared" si="115"/>
        <v>8400</v>
      </c>
      <c r="J62" s="9">
        <f t="shared" si="115"/>
        <v>9600</v>
      </c>
      <c r="K62" s="9">
        <f t="shared" si="115"/>
        <v>10800</v>
      </c>
      <c r="L62" s="9">
        <f t="shared" si="115"/>
        <v>12000</v>
      </c>
      <c r="M62" s="9">
        <f t="shared" si="115"/>
        <v>13200</v>
      </c>
      <c r="N62" s="9">
        <f t="shared" si="115"/>
        <v>14400</v>
      </c>
      <c r="Q62" s="9">
        <f t="shared" ref="Q62:AB62" si="116">Q16*Q31*Q47</f>
        <v>14400</v>
      </c>
      <c r="R62" s="9">
        <f t="shared" si="116"/>
        <v>14400</v>
      </c>
      <c r="S62" s="9">
        <f t="shared" si="116"/>
        <v>14400</v>
      </c>
      <c r="T62" s="9">
        <f t="shared" si="116"/>
        <v>14400</v>
      </c>
      <c r="U62" s="9">
        <f t="shared" si="116"/>
        <v>14400</v>
      </c>
      <c r="V62" s="9">
        <f t="shared" si="116"/>
        <v>14400</v>
      </c>
      <c r="W62" s="9">
        <f t="shared" si="116"/>
        <v>14400</v>
      </c>
      <c r="X62" s="9">
        <f t="shared" si="116"/>
        <v>14400</v>
      </c>
      <c r="Y62" s="9">
        <f t="shared" si="116"/>
        <v>14400</v>
      </c>
      <c r="Z62" s="9">
        <f t="shared" si="116"/>
        <v>14400</v>
      </c>
      <c r="AA62" s="9">
        <f t="shared" si="116"/>
        <v>14400</v>
      </c>
      <c r="AB62" s="9">
        <f t="shared" si="116"/>
        <v>14400</v>
      </c>
      <c r="AE62" s="9">
        <f t="shared" ref="AE62:AP62" si="117">AE16*AE31*AE47</f>
        <v>14400</v>
      </c>
      <c r="AF62" s="9">
        <f t="shared" si="117"/>
        <v>14400</v>
      </c>
      <c r="AG62" s="9">
        <f t="shared" si="117"/>
        <v>14400</v>
      </c>
      <c r="AH62" s="9">
        <f t="shared" si="117"/>
        <v>14400</v>
      </c>
      <c r="AI62" s="9">
        <f t="shared" si="117"/>
        <v>14400</v>
      </c>
      <c r="AJ62" s="9">
        <f t="shared" si="117"/>
        <v>14400</v>
      </c>
      <c r="AK62" s="9">
        <f t="shared" si="117"/>
        <v>14400</v>
      </c>
      <c r="AL62" s="9">
        <f t="shared" si="117"/>
        <v>14400</v>
      </c>
      <c r="AM62" s="9">
        <f t="shared" si="117"/>
        <v>14400</v>
      </c>
      <c r="AN62" s="9">
        <f t="shared" si="117"/>
        <v>14400</v>
      </c>
      <c r="AO62" s="9">
        <f t="shared" si="117"/>
        <v>14400</v>
      </c>
      <c r="AP62" s="9">
        <f t="shared" si="117"/>
        <v>14400</v>
      </c>
    </row>
    <row r="63">
      <c r="A63" s="1" t="s">
        <v>64</v>
      </c>
      <c r="C63" s="9">
        <f t="shared" ref="C63:N63" si="118">C17*C32*C48</f>
        <v>0</v>
      </c>
      <c r="D63" s="9">
        <f t="shared" si="118"/>
        <v>0</v>
      </c>
      <c r="E63" s="9">
        <f t="shared" si="118"/>
        <v>0</v>
      </c>
      <c r="F63" s="9">
        <f t="shared" si="118"/>
        <v>0</v>
      </c>
      <c r="G63" s="9">
        <f t="shared" si="118"/>
        <v>0</v>
      </c>
      <c r="H63" s="9">
        <f t="shared" si="118"/>
        <v>0</v>
      </c>
      <c r="I63" s="9">
        <f t="shared" si="118"/>
        <v>5600</v>
      </c>
      <c r="J63" s="9">
        <f t="shared" si="118"/>
        <v>6400</v>
      </c>
      <c r="K63" s="9">
        <f t="shared" si="118"/>
        <v>7200</v>
      </c>
      <c r="L63" s="9">
        <f t="shared" si="118"/>
        <v>12000</v>
      </c>
      <c r="M63" s="9">
        <f t="shared" si="118"/>
        <v>13200</v>
      </c>
      <c r="N63" s="9">
        <f t="shared" si="118"/>
        <v>14400</v>
      </c>
      <c r="Q63" s="9">
        <f t="shared" ref="Q63:AB63" si="119">Q17*Q32*Q48</f>
        <v>14400</v>
      </c>
      <c r="R63" s="9">
        <f t="shared" si="119"/>
        <v>14400</v>
      </c>
      <c r="S63" s="9">
        <f t="shared" si="119"/>
        <v>14400</v>
      </c>
      <c r="T63" s="9">
        <f t="shared" si="119"/>
        <v>14400</v>
      </c>
      <c r="U63" s="9">
        <f t="shared" si="119"/>
        <v>14400</v>
      </c>
      <c r="V63" s="9">
        <f t="shared" si="119"/>
        <v>14400</v>
      </c>
      <c r="W63" s="9">
        <f t="shared" si="119"/>
        <v>14400</v>
      </c>
      <c r="X63" s="9">
        <f t="shared" si="119"/>
        <v>14400</v>
      </c>
      <c r="Y63" s="9">
        <f t="shared" si="119"/>
        <v>14400</v>
      </c>
      <c r="Z63" s="9">
        <f t="shared" si="119"/>
        <v>14400</v>
      </c>
      <c r="AA63" s="9">
        <f t="shared" si="119"/>
        <v>14400</v>
      </c>
      <c r="AB63" s="9">
        <f t="shared" si="119"/>
        <v>14400</v>
      </c>
      <c r="AE63" s="9">
        <f t="shared" ref="AE63:AP63" si="120">AE17*AE32*AE48</f>
        <v>14400</v>
      </c>
      <c r="AF63" s="9">
        <f t="shared" si="120"/>
        <v>14400</v>
      </c>
      <c r="AG63" s="9">
        <f t="shared" si="120"/>
        <v>14400</v>
      </c>
      <c r="AH63" s="9">
        <f t="shared" si="120"/>
        <v>14400</v>
      </c>
      <c r="AI63" s="9">
        <f t="shared" si="120"/>
        <v>14400</v>
      </c>
      <c r="AJ63" s="9">
        <f t="shared" si="120"/>
        <v>14400</v>
      </c>
      <c r="AK63" s="9">
        <f t="shared" si="120"/>
        <v>14400</v>
      </c>
      <c r="AL63" s="9">
        <f t="shared" si="120"/>
        <v>14400</v>
      </c>
      <c r="AM63" s="9">
        <f t="shared" si="120"/>
        <v>14400</v>
      </c>
      <c r="AN63" s="9">
        <f t="shared" si="120"/>
        <v>14400</v>
      </c>
      <c r="AO63" s="9">
        <f t="shared" si="120"/>
        <v>14400</v>
      </c>
      <c r="AP63" s="9">
        <f t="shared" si="120"/>
        <v>14400</v>
      </c>
    </row>
    <row r="64">
      <c r="A64" s="1" t="s">
        <v>68</v>
      </c>
      <c r="C64" s="9">
        <f t="shared" ref="C64:N64" si="121">C18*C33*C49</f>
        <v>0</v>
      </c>
      <c r="D64" s="9">
        <f t="shared" si="121"/>
        <v>0</v>
      </c>
      <c r="E64" s="9">
        <f t="shared" si="121"/>
        <v>0</v>
      </c>
      <c r="F64" s="9">
        <f t="shared" si="121"/>
        <v>0</v>
      </c>
      <c r="G64" s="9">
        <f t="shared" si="121"/>
        <v>5000</v>
      </c>
      <c r="H64" s="9">
        <f t="shared" si="121"/>
        <v>5000</v>
      </c>
      <c r="I64" s="9">
        <f t="shared" si="121"/>
        <v>10000</v>
      </c>
      <c r="J64" s="9">
        <f t="shared" si="121"/>
        <v>10000</v>
      </c>
      <c r="K64" s="9">
        <f t="shared" si="121"/>
        <v>10000</v>
      </c>
      <c r="L64" s="9">
        <f t="shared" si="121"/>
        <v>15000</v>
      </c>
      <c r="M64" s="9">
        <f t="shared" si="121"/>
        <v>15000</v>
      </c>
      <c r="N64" s="9">
        <f t="shared" si="121"/>
        <v>15000</v>
      </c>
      <c r="Q64" s="9">
        <f t="shared" ref="Q64:AB64" si="122">Q18*Q33*Q49</f>
        <v>20000</v>
      </c>
      <c r="R64" s="9">
        <f t="shared" si="122"/>
        <v>20000</v>
      </c>
      <c r="S64" s="9">
        <f t="shared" si="122"/>
        <v>20000</v>
      </c>
      <c r="T64" s="9">
        <f t="shared" si="122"/>
        <v>20000</v>
      </c>
      <c r="U64" s="9">
        <f t="shared" si="122"/>
        <v>20000</v>
      </c>
      <c r="V64" s="9">
        <f t="shared" si="122"/>
        <v>20000</v>
      </c>
      <c r="W64" s="9">
        <f t="shared" si="122"/>
        <v>20000</v>
      </c>
      <c r="X64" s="9">
        <f t="shared" si="122"/>
        <v>20000</v>
      </c>
      <c r="Y64" s="9">
        <f t="shared" si="122"/>
        <v>20000</v>
      </c>
      <c r="Z64" s="9">
        <f t="shared" si="122"/>
        <v>20000</v>
      </c>
      <c r="AA64" s="9">
        <f t="shared" si="122"/>
        <v>20000</v>
      </c>
      <c r="AB64" s="9">
        <f t="shared" si="122"/>
        <v>20000</v>
      </c>
      <c r="AE64" s="9">
        <f t="shared" ref="AE64:AP64" si="123">AE18*AE33*AE49</f>
        <v>20000</v>
      </c>
      <c r="AF64" s="9">
        <f t="shared" si="123"/>
        <v>20000</v>
      </c>
      <c r="AG64" s="9">
        <f t="shared" si="123"/>
        <v>20000</v>
      </c>
      <c r="AH64" s="9">
        <f t="shared" si="123"/>
        <v>20000</v>
      </c>
      <c r="AI64" s="9">
        <f t="shared" si="123"/>
        <v>20000</v>
      </c>
      <c r="AJ64" s="9">
        <f t="shared" si="123"/>
        <v>20000</v>
      </c>
      <c r="AK64" s="9">
        <f t="shared" si="123"/>
        <v>20000</v>
      </c>
      <c r="AL64" s="9">
        <f t="shared" si="123"/>
        <v>20000</v>
      </c>
      <c r="AM64" s="9">
        <f t="shared" si="123"/>
        <v>20000</v>
      </c>
      <c r="AN64" s="9">
        <f t="shared" si="123"/>
        <v>20000</v>
      </c>
      <c r="AO64" s="9">
        <f t="shared" si="123"/>
        <v>20000</v>
      </c>
      <c r="AP64" s="9">
        <f t="shared" si="123"/>
        <v>20000</v>
      </c>
    </row>
    <row r="66">
      <c r="A66" s="1" t="s">
        <v>30</v>
      </c>
      <c r="C66" s="16">
        <f t="shared" ref="C66:N66" si="124">SUM(C52:C64)</f>
        <v>20750</v>
      </c>
      <c r="D66" s="16">
        <f t="shared" si="124"/>
        <v>20900</v>
      </c>
      <c r="E66" s="16">
        <f t="shared" si="124"/>
        <v>22000</v>
      </c>
      <c r="F66" s="16">
        <f t="shared" si="124"/>
        <v>28448.5</v>
      </c>
      <c r="G66" s="16">
        <f t="shared" si="124"/>
        <v>54710.625</v>
      </c>
      <c r="H66" s="16">
        <f t="shared" si="124"/>
        <v>56335.25</v>
      </c>
      <c r="I66" s="16">
        <f t="shared" si="124"/>
        <v>92702.395</v>
      </c>
      <c r="J66" s="16">
        <f t="shared" si="124"/>
        <v>96034.5</v>
      </c>
      <c r="K66" s="16">
        <f t="shared" si="124"/>
        <v>100367.27</v>
      </c>
      <c r="L66" s="16">
        <f t="shared" si="124"/>
        <v>131989.375</v>
      </c>
      <c r="M66" s="16">
        <f t="shared" si="124"/>
        <v>136788.645</v>
      </c>
      <c r="N66" s="16">
        <f t="shared" si="124"/>
        <v>140587.25</v>
      </c>
      <c r="O66" s="9">
        <f>sum(C66:N66)</f>
        <v>901613.81</v>
      </c>
      <c r="Q66" s="16">
        <f t="shared" ref="Q66:AB66" si="125">SUM(Q52:Q64)</f>
        <v>145587.25</v>
      </c>
      <c r="R66" s="16">
        <f t="shared" si="125"/>
        <v>145587.25</v>
      </c>
      <c r="S66" s="16">
        <f t="shared" si="125"/>
        <v>145587.25</v>
      </c>
      <c r="T66" s="16">
        <f t="shared" si="125"/>
        <v>145587.25</v>
      </c>
      <c r="U66" s="16">
        <f t="shared" si="125"/>
        <v>145587.25</v>
      </c>
      <c r="V66" s="16">
        <f t="shared" si="125"/>
        <v>145587.25</v>
      </c>
      <c r="W66" s="16">
        <f t="shared" si="125"/>
        <v>145587.25</v>
      </c>
      <c r="X66" s="16">
        <f t="shared" si="125"/>
        <v>145587.25</v>
      </c>
      <c r="Y66" s="16">
        <f t="shared" si="125"/>
        <v>145587.25</v>
      </c>
      <c r="Z66" s="16">
        <f t="shared" si="125"/>
        <v>145587.25</v>
      </c>
      <c r="AA66" s="16">
        <f t="shared" si="125"/>
        <v>145587.25</v>
      </c>
      <c r="AB66" s="16">
        <f t="shared" si="125"/>
        <v>145587.25</v>
      </c>
      <c r="AC66" s="9">
        <f>sum(Q66:AB66)</f>
        <v>1747047</v>
      </c>
      <c r="AE66" s="16">
        <f t="shared" ref="AE66:AP66" si="126">SUM(AE52:AE64)</f>
        <v>145587.25</v>
      </c>
      <c r="AF66" s="16">
        <f t="shared" si="126"/>
        <v>145587.25</v>
      </c>
      <c r="AG66" s="16">
        <f t="shared" si="126"/>
        <v>145587.25</v>
      </c>
      <c r="AH66" s="16">
        <f t="shared" si="126"/>
        <v>145587.25</v>
      </c>
      <c r="AI66" s="16">
        <f t="shared" si="126"/>
        <v>145587.25</v>
      </c>
      <c r="AJ66" s="16">
        <f t="shared" si="126"/>
        <v>145587.25</v>
      </c>
      <c r="AK66" s="16">
        <f t="shared" si="126"/>
        <v>145587.25</v>
      </c>
      <c r="AL66" s="16">
        <f t="shared" si="126"/>
        <v>145587.25</v>
      </c>
      <c r="AM66" s="16">
        <f t="shared" si="126"/>
        <v>145587.25</v>
      </c>
      <c r="AN66" s="16">
        <f t="shared" si="126"/>
        <v>145587.25</v>
      </c>
      <c r="AO66" s="16">
        <f t="shared" si="126"/>
        <v>145587.25</v>
      </c>
      <c r="AP66" s="16">
        <f t="shared" si="126"/>
        <v>145587.25</v>
      </c>
      <c r="AQ66" s="9">
        <f>sum(AE66:AP66)</f>
        <v>1747047</v>
      </c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63"/>
    <col customWidth="1" min="16" max="16" width="3.88"/>
    <col customWidth="1" min="30" max="30" width="4.0"/>
    <col customWidth="1" min="44" max="44" width="4.13"/>
  </cols>
  <sheetData>
    <row r="1"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86</v>
      </c>
      <c r="AD1" s="1"/>
      <c r="AE1" s="1" t="s">
        <v>73</v>
      </c>
      <c r="AF1" s="1" t="s">
        <v>74</v>
      </c>
      <c r="AG1" s="1" t="s">
        <v>75</v>
      </c>
      <c r="AH1" s="1" t="s">
        <v>76</v>
      </c>
      <c r="AI1" s="1" t="s">
        <v>77</v>
      </c>
      <c r="AJ1" s="1" t="s">
        <v>78</v>
      </c>
      <c r="AK1" s="1" t="s">
        <v>79</v>
      </c>
      <c r="AL1" s="1" t="s">
        <v>80</v>
      </c>
      <c r="AM1" s="1" t="s">
        <v>81</v>
      </c>
      <c r="AN1" s="1" t="s">
        <v>82</v>
      </c>
      <c r="AO1" s="1" t="s">
        <v>83</v>
      </c>
      <c r="AP1" s="1" t="s">
        <v>84</v>
      </c>
      <c r="AQ1" s="1" t="s">
        <v>87</v>
      </c>
      <c r="AR1" s="1"/>
      <c r="AS1" s="1"/>
    </row>
    <row r="2">
      <c r="A2" s="1" t="s">
        <v>12</v>
      </c>
      <c r="C2" s="2">
        <v>32000.0</v>
      </c>
      <c r="D2" s="2">
        <v>32000.0</v>
      </c>
      <c r="E2" s="2">
        <v>32000.0</v>
      </c>
      <c r="F2" s="2">
        <v>32000.0</v>
      </c>
      <c r="G2" s="2">
        <v>32000.0</v>
      </c>
      <c r="H2" s="2">
        <v>32000.0</v>
      </c>
      <c r="I2" s="2">
        <v>32000.0</v>
      </c>
      <c r="J2" s="2">
        <v>32000.0</v>
      </c>
      <c r="K2" s="2">
        <v>32000.0</v>
      </c>
      <c r="L2" s="2">
        <v>32000.0</v>
      </c>
      <c r="M2" s="2">
        <v>32000.0</v>
      </c>
      <c r="N2" s="2">
        <v>32000.0</v>
      </c>
      <c r="Q2" s="3">
        <f>N2</f>
        <v>32000</v>
      </c>
      <c r="R2" s="3">
        <f t="shared" ref="R2:AB2" si="1">Q2</f>
        <v>32000</v>
      </c>
      <c r="S2" s="3">
        <f t="shared" si="1"/>
        <v>32000</v>
      </c>
      <c r="T2" s="3">
        <f t="shared" si="1"/>
        <v>32000</v>
      </c>
      <c r="U2" s="3">
        <f t="shared" si="1"/>
        <v>32000</v>
      </c>
      <c r="V2" s="3">
        <f t="shared" si="1"/>
        <v>32000</v>
      </c>
      <c r="W2" s="3">
        <f t="shared" si="1"/>
        <v>32000</v>
      </c>
      <c r="X2" s="3">
        <f t="shared" si="1"/>
        <v>32000</v>
      </c>
      <c r="Y2" s="3">
        <f t="shared" si="1"/>
        <v>32000</v>
      </c>
      <c r="Z2" s="3">
        <f t="shared" si="1"/>
        <v>32000</v>
      </c>
      <c r="AA2" s="3">
        <f t="shared" si="1"/>
        <v>32000</v>
      </c>
      <c r="AB2" s="3">
        <f t="shared" si="1"/>
        <v>32000</v>
      </c>
      <c r="AE2" s="3">
        <f>AB2</f>
        <v>32000</v>
      </c>
      <c r="AF2" s="3">
        <f t="shared" ref="AF2:AP2" si="2">AE2</f>
        <v>32000</v>
      </c>
      <c r="AG2" s="3">
        <f t="shared" si="2"/>
        <v>32000</v>
      </c>
      <c r="AH2" s="3">
        <f t="shared" si="2"/>
        <v>32000</v>
      </c>
      <c r="AI2" s="3">
        <f t="shared" si="2"/>
        <v>32000</v>
      </c>
      <c r="AJ2" s="3">
        <f t="shared" si="2"/>
        <v>32000</v>
      </c>
      <c r="AK2" s="3">
        <f t="shared" si="2"/>
        <v>32000</v>
      </c>
      <c r="AL2" s="3">
        <f t="shared" si="2"/>
        <v>32000</v>
      </c>
      <c r="AM2" s="3">
        <f t="shared" si="2"/>
        <v>32000</v>
      </c>
      <c r="AN2" s="3">
        <f t="shared" si="2"/>
        <v>32000</v>
      </c>
      <c r="AO2" s="3">
        <f t="shared" si="2"/>
        <v>32000</v>
      </c>
      <c r="AP2" s="3">
        <f t="shared" si="2"/>
        <v>32000</v>
      </c>
    </row>
    <row r="3">
      <c r="A3" s="7" t="s">
        <v>91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1" t="s">
        <v>13</v>
      </c>
      <c r="C4" s="4">
        <v>0.0</v>
      </c>
      <c r="D4" s="4">
        <v>0.0</v>
      </c>
      <c r="E4" s="4">
        <v>0.0</v>
      </c>
      <c r="F4" s="4">
        <v>500.0</v>
      </c>
      <c r="G4" s="4">
        <v>500.0</v>
      </c>
      <c r="H4" s="4">
        <v>500.0</v>
      </c>
      <c r="I4" s="4">
        <v>500.0</v>
      </c>
      <c r="J4" s="4">
        <v>500.0</v>
      </c>
      <c r="K4" s="4">
        <v>7500.0</v>
      </c>
      <c r="L4" s="4">
        <v>7500.0</v>
      </c>
      <c r="M4" s="4">
        <v>7500.0</v>
      </c>
      <c r="N4" s="4">
        <v>7500.0</v>
      </c>
      <c r="Q4" s="5">
        <f t="shared" ref="Q4:Q7" si="5">N4</f>
        <v>7500</v>
      </c>
      <c r="R4" s="5">
        <f t="shared" ref="R4:AB4" si="3">Q4</f>
        <v>7500</v>
      </c>
      <c r="S4" s="5">
        <f t="shared" si="3"/>
        <v>7500</v>
      </c>
      <c r="T4" s="5">
        <f t="shared" si="3"/>
        <v>7500</v>
      </c>
      <c r="U4" s="5">
        <f t="shared" si="3"/>
        <v>7500</v>
      </c>
      <c r="V4" s="5">
        <f t="shared" si="3"/>
        <v>7500</v>
      </c>
      <c r="W4" s="5">
        <f t="shared" si="3"/>
        <v>7500</v>
      </c>
      <c r="X4" s="5">
        <f t="shared" si="3"/>
        <v>7500</v>
      </c>
      <c r="Y4" s="5">
        <f t="shared" si="3"/>
        <v>7500</v>
      </c>
      <c r="Z4" s="5">
        <f t="shared" si="3"/>
        <v>7500</v>
      </c>
      <c r="AA4" s="5">
        <f t="shared" si="3"/>
        <v>7500</v>
      </c>
      <c r="AB4" s="5">
        <f t="shared" si="3"/>
        <v>7500</v>
      </c>
      <c r="AE4" s="5">
        <f t="shared" ref="AE4:AE6" si="7">AB4</f>
        <v>7500</v>
      </c>
      <c r="AF4" s="5">
        <f t="shared" ref="AF4:AP4" si="4">AE4</f>
        <v>7500</v>
      </c>
      <c r="AG4" s="5">
        <f t="shared" si="4"/>
        <v>7500</v>
      </c>
      <c r="AH4" s="5">
        <f t="shared" si="4"/>
        <v>7500</v>
      </c>
      <c r="AI4" s="5">
        <f t="shared" si="4"/>
        <v>7500</v>
      </c>
      <c r="AJ4" s="5">
        <f t="shared" si="4"/>
        <v>7500</v>
      </c>
      <c r="AK4" s="5">
        <f t="shared" si="4"/>
        <v>7500</v>
      </c>
      <c r="AL4" s="5">
        <f t="shared" si="4"/>
        <v>7500</v>
      </c>
      <c r="AM4" s="5">
        <f t="shared" si="4"/>
        <v>7500</v>
      </c>
      <c r="AN4" s="5">
        <f t="shared" si="4"/>
        <v>7500</v>
      </c>
      <c r="AO4" s="5">
        <f t="shared" si="4"/>
        <v>7500</v>
      </c>
      <c r="AP4" s="5">
        <f t="shared" si="4"/>
        <v>7500</v>
      </c>
    </row>
    <row r="5">
      <c r="A5" s="1" t="s">
        <v>92</v>
      </c>
      <c r="C5" s="4">
        <v>250.0</v>
      </c>
      <c r="D5" s="4">
        <v>1250.0</v>
      </c>
      <c r="E5" s="4">
        <v>1250.0</v>
      </c>
      <c r="F5" s="4">
        <v>2500.0</v>
      </c>
      <c r="G5" s="4">
        <v>2500.0</v>
      </c>
      <c r="H5" s="4">
        <v>2500.0</v>
      </c>
      <c r="I5" s="4">
        <v>2500.0</v>
      </c>
      <c r="J5" s="4">
        <v>2500.0</v>
      </c>
      <c r="K5" s="4">
        <v>2500.0</v>
      </c>
      <c r="L5" s="4">
        <v>2500.0</v>
      </c>
      <c r="M5" s="4">
        <v>2500.0</v>
      </c>
      <c r="N5" s="4">
        <v>2500.0</v>
      </c>
      <c r="Q5" s="5">
        <f t="shared" si="5"/>
        <v>2500</v>
      </c>
      <c r="R5" s="5">
        <f t="shared" ref="R5:AB5" si="6">Q5</f>
        <v>2500</v>
      </c>
      <c r="S5" s="5">
        <f t="shared" si="6"/>
        <v>2500</v>
      </c>
      <c r="T5" s="5">
        <f t="shared" si="6"/>
        <v>2500</v>
      </c>
      <c r="U5" s="5">
        <f t="shared" si="6"/>
        <v>2500</v>
      </c>
      <c r="V5" s="5">
        <f t="shared" si="6"/>
        <v>2500</v>
      </c>
      <c r="W5" s="5">
        <f t="shared" si="6"/>
        <v>2500</v>
      </c>
      <c r="X5" s="5">
        <f t="shared" si="6"/>
        <v>2500</v>
      </c>
      <c r="Y5" s="5">
        <f t="shared" si="6"/>
        <v>2500</v>
      </c>
      <c r="Z5" s="5">
        <f t="shared" si="6"/>
        <v>2500</v>
      </c>
      <c r="AA5" s="5">
        <f t="shared" si="6"/>
        <v>2500</v>
      </c>
      <c r="AB5" s="5">
        <f t="shared" si="6"/>
        <v>2500</v>
      </c>
      <c r="AE5" s="5">
        <f t="shared" si="7"/>
        <v>2500</v>
      </c>
      <c r="AF5" s="5">
        <f t="shared" ref="AF5:AP5" si="8">AE5</f>
        <v>2500</v>
      </c>
      <c r="AG5" s="5">
        <f t="shared" si="8"/>
        <v>2500</v>
      </c>
      <c r="AH5" s="5">
        <f t="shared" si="8"/>
        <v>2500</v>
      </c>
      <c r="AI5" s="5">
        <f t="shared" si="8"/>
        <v>2500</v>
      </c>
      <c r="AJ5" s="5">
        <f t="shared" si="8"/>
        <v>2500</v>
      </c>
      <c r="AK5" s="5">
        <f t="shared" si="8"/>
        <v>2500</v>
      </c>
      <c r="AL5" s="5">
        <f t="shared" si="8"/>
        <v>2500</v>
      </c>
      <c r="AM5" s="5">
        <f t="shared" si="8"/>
        <v>2500</v>
      </c>
      <c r="AN5" s="5">
        <f t="shared" si="8"/>
        <v>2500</v>
      </c>
      <c r="AO5" s="5">
        <f t="shared" si="8"/>
        <v>2500</v>
      </c>
      <c r="AP5" s="5">
        <f t="shared" si="8"/>
        <v>2500</v>
      </c>
    </row>
    <row r="6">
      <c r="A6" s="1" t="s">
        <v>93</v>
      </c>
      <c r="C6" s="4">
        <v>1500.0</v>
      </c>
      <c r="D6" s="4">
        <v>1500.0</v>
      </c>
      <c r="E6" s="4">
        <v>1500.0</v>
      </c>
      <c r="F6" s="4">
        <v>1500.0</v>
      </c>
      <c r="G6" s="4">
        <v>1500.0</v>
      </c>
      <c r="H6" s="4">
        <v>1500.0</v>
      </c>
      <c r="I6" s="4">
        <v>1500.0</v>
      </c>
      <c r="J6" s="4">
        <v>1500.0</v>
      </c>
      <c r="K6" s="4">
        <v>1500.0</v>
      </c>
      <c r="L6" s="4">
        <v>1500.0</v>
      </c>
      <c r="M6" s="4">
        <v>1500.0</v>
      </c>
      <c r="N6" s="4">
        <v>1500.0</v>
      </c>
      <c r="Q6" s="5">
        <f t="shared" si="5"/>
        <v>1500</v>
      </c>
      <c r="R6" s="5">
        <f t="shared" ref="R6:AB6" si="9">Q6</f>
        <v>1500</v>
      </c>
      <c r="S6" s="5">
        <f t="shared" si="9"/>
        <v>1500</v>
      </c>
      <c r="T6" s="5">
        <f t="shared" si="9"/>
        <v>1500</v>
      </c>
      <c r="U6" s="5">
        <f t="shared" si="9"/>
        <v>1500</v>
      </c>
      <c r="V6" s="5">
        <f t="shared" si="9"/>
        <v>1500</v>
      </c>
      <c r="W6" s="5">
        <f t="shared" si="9"/>
        <v>1500</v>
      </c>
      <c r="X6" s="5">
        <f t="shared" si="9"/>
        <v>1500</v>
      </c>
      <c r="Y6" s="5">
        <f t="shared" si="9"/>
        <v>1500</v>
      </c>
      <c r="Z6" s="5">
        <f t="shared" si="9"/>
        <v>1500</v>
      </c>
      <c r="AA6" s="5">
        <f t="shared" si="9"/>
        <v>1500</v>
      </c>
      <c r="AB6" s="5">
        <f t="shared" si="9"/>
        <v>1500</v>
      </c>
      <c r="AE6" s="5">
        <f t="shared" si="7"/>
        <v>1500</v>
      </c>
      <c r="AF6" s="5">
        <f t="shared" ref="AF6:AP6" si="10">AE6</f>
        <v>1500</v>
      </c>
      <c r="AG6" s="5">
        <f t="shared" si="10"/>
        <v>1500</v>
      </c>
      <c r="AH6" s="5">
        <f t="shared" si="10"/>
        <v>1500</v>
      </c>
      <c r="AI6" s="5">
        <f t="shared" si="10"/>
        <v>1500</v>
      </c>
      <c r="AJ6" s="5">
        <f t="shared" si="10"/>
        <v>1500</v>
      </c>
      <c r="AK6" s="5">
        <f t="shared" si="10"/>
        <v>1500</v>
      </c>
      <c r="AL6" s="5">
        <f t="shared" si="10"/>
        <v>1500</v>
      </c>
      <c r="AM6" s="5">
        <f t="shared" si="10"/>
        <v>1500</v>
      </c>
      <c r="AN6" s="5">
        <f t="shared" si="10"/>
        <v>1500</v>
      </c>
      <c r="AO6" s="5">
        <f t="shared" si="10"/>
        <v>1500</v>
      </c>
      <c r="AP6" s="5">
        <f t="shared" si="10"/>
        <v>1500</v>
      </c>
    </row>
    <row r="7">
      <c r="A7" s="1"/>
      <c r="Q7" s="12" t="str">
        <f t="shared" si="5"/>
        <v/>
      </c>
    </row>
    <row r="8">
      <c r="A8" s="1" t="s">
        <v>30</v>
      </c>
      <c r="C8" s="5">
        <f t="shared" ref="C8:N8" si="11">SUM(C4:C6)</f>
        <v>1750</v>
      </c>
      <c r="D8" s="5">
        <f t="shared" si="11"/>
        <v>2750</v>
      </c>
      <c r="E8" s="5">
        <f t="shared" si="11"/>
        <v>2750</v>
      </c>
      <c r="F8" s="5">
        <f t="shared" si="11"/>
        <v>4500</v>
      </c>
      <c r="G8" s="5">
        <f t="shared" si="11"/>
        <v>4500</v>
      </c>
      <c r="H8" s="5">
        <f t="shared" si="11"/>
        <v>4500</v>
      </c>
      <c r="I8" s="5">
        <f t="shared" si="11"/>
        <v>4500</v>
      </c>
      <c r="J8" s="5">
        <f t="shared" si="11"/>
        <v>4500</v>
      </c>
      <c r="K8" s="5">
        <f t="shared" si="11"/>
        <v>11500</v>
      </c>
      <c r="L8" s="5">
        <f t="shared" si="11"/>
        <v>11500</v>
      </c>
      <c r="M8" s="5">
        <f t="shared" si="11"/>
        <v>11500</v>
      </c>
      <c r="N8" s="5">
        <f t="shared" si="11"/>
        <v>11500</v>
      </c>
      <c r="Q8" s="5">
        <f t="shared" ref="Q8:AB8" si="12">SUM(Q4:Q6)</f>
        <v>11500</v>
      </c>
      <c r="R8" s="5">
        <f t="shared" si="12"/>
        <v>11500</v>
      </c>
      <c r="S8" s="5">
        <f t="shared" si="12"/>
        <v>11500</v>
      </c>
      <c r="T8" s="5">
        <f t="shared" si="12"/>
        <v>11500</v>
      </c>
      <c r="U8" s="5">
        <f t="shared" si="12"/>
        <v>11500</v>
      </c>
      <c r="V8" s="5">
        <f t="shared" si="12"/>
        <v>11500</v>
      </c>
      <c r="W8" s="5">
        <f t="shared" si="12"/>
        <v>11500</v>
      </c>
      <c r="X8" s="5">
        <f t="shared" si="12"/>
        <v>11500</v>
      </c>
      <c r="Y8" s="5">
        <f t="shared" si="12"/>
        <v>11500</v>
      </c>
      <c r="Z8" s="5">
        <f t="shared" si="12"/>
        <v>11500</v>
      </c>
      <c r="AA8" s="5">
        <f t="shared" si="12"/>
        <v>11500</v>
      </c>
      <c r="AB8" s="5">
        <f t="shared" si="12"/>
        <v>11500</v>
      </c>
      <c r="AE8" s="5">
        <f t="shared" ref="AE8:AP8" si="13">SUM(AE4:AE6)</f>
        <v>11500</v>
      </c>
      <c r="AF8" s="5">
        <f t="shared" si="13"/>
        <v>11500</v>
      </c>
      <c r="AG8" s="5">
        <f t="shared" si="13"/>
        <v>11500</v>
      </c>
      <c r="AH8" s="5">
        <f t="shared" si="13"/>
        <v>11500</v>
      </c>
      <c r="AI8" s="5">
        <f t="shared" si="13"/>
        <v>11500</v>
      </c>
      <c r="AJ8" s="5">
        <f t="shared" si="13"/>
        <v>11500</v>
      </c>
      <c r="AK8" s="5">
        <f t="shared" si="13"/>
        <v>11500</v>
      </c>
      <c r="AL8" s="5">
        <f t="shared" si="13"/>
        <v>11500</v>
      </c>
      <c r="AM8" s="5">
        <f t="shared" si="13"/>
        <v>11500</v>
      </c>
      <c r="AN8" s="5">
        <f t="shared" si="13"/>
        <v>11500</v>
      </c>
      <c r="AO8" s="5">
        <f t="shared" si="13"/>
        <v>11500</v>
      </c>
      <c r="AP8" s="5">
        <f t="shared" si="13"/>
        <v>11500</v>
      </c>
    </row>
    <row r="9">
      <c r="A9" s="1"/>
    </row>
    <row r="10">
      <c r="A10" s="7" t="s">
        <v>94</v>
      </c>
    </row>
    <row r="11">
      <c r="A11" s="7" t="s">
        <v>95</v>
      </c>
      <c r="C11" s="8">
        <v>500.0</v>
      </c>
      <c r="D11" s="9">
        <f t="shared" ref="D11:N11" si="14">C11</f>
        <v>500</v>
      </c>
      <c r="E11" s="9">
        <f t="shared" si="14"/>
        <v>500</v>
      </c>
      <c r="F11" s="9">
        <f t="shared" si="14"/>
        <v>500</v>
      </c>
      <c r="G11" s="9">
        <f t="shared" si="14"/>
        <v>500</v>
      </c>
      <c r="H11" s="9">
        <f t="shared" si="14"/>
        <v>500</v>
      </c>
      <c r="I11" s="9">
        <f t="shared" si="14"/>
        <v>500</v>
      </c>
      <c r="J11" s="9">
        <f t="shared" si="14"/>
        <v>500</v>
      </c>
      <c r="K11" s="9">
        <f t="shared" si="14"/>
        <v>500</v>
      </c>
      <c r="L11" s="9">
        <f t="shared" si="14"/>
        <v>500</v>
      </c>
      <c r="M11" s="9">
        <f t="shared" si="14"/>
        <v>500</v>
      </c>
      <c r="N11" s="9">
        <f t="shared" si="14"/>
        <v>500</v>
      </c>
      <c r="Q11" s="9">
        <f t="shared" ref="Q11:Q12" si="18">N11</f>
        <v>500</v>
      </c>
      <c r="R11" s="9">
        <f t="shared" ref="R11:AB11" si="15">Q11</f>
        <v>500</v>
      </c>
      <c r="S11" s="9">
        <f t="shared" si="15"/>
        <v>500</v>
      </c>
      <c r="T11" s="9">
        <f t="shared" si="15"/>
        <v>500</v>
      </c>
      <c r="U11" s="9">
        <f t="shared" si="15"/>
        <v>500</v>
      </c>
      <c r="V11" s="9">
        <f t="shared" si="15"/>
        <v>500</v>
      </c>
      <c r="W11" s="9">
        <f t="shared" si="15"/>
        <v>500</v>
      </c>
      <c r="X11" s="9">
        <f t="shared" si="15"/>
        <v>500</v>
      </c>
      <c r="Y11" s="9">
        <f t="shared" si="15"/>
        <v>500</v>
      </c>
      <c r="Z11" s="9">
        <f t="shared" si="15"/>
        <v>500</v>
      </c>
      <c r="AA11" s="9">
        <f t="shared" si="15"/>
        <v>500</v>
      </c>
      <c r="AB11" s="9">
        <f t="shared" si="15"/>
        <v>500</v>
      </c>
      <c r="AE11" s="9">
        <f t="shared" ref="AE11:AE12" si="20">AB11</f>
        <v>500</v>
      </c>
      <c r="AF11" s="9">
        <f t="shared" ref="AF11:AP11" si="16">AE11</f>
        <v>500</v>
      </c>
      <c r="AG11" s="9">
        <f t="shared" si="16"/>
        <v>500</v>
      </c>
      <c r="AH11" s="9">
        <f t="shared" si="16"/>
        <v>500</v>
      </c>
      <c r="AI11" s="9">
        <f t="shared" si="16"/>
        <v>500</v>
      </c>
      <c r="AJ11" s="9">
        <f t="shared" si="16"/>
        <v>500</v>
      </c>
      <c r="AK11" s="9">
        <f t="shared" si="16"/>
        <v>500</v>
      </c>
      <c r="AL11" s="9">
        <f t="shared" si="16"/>
        <v>500</v>
      </c>
      <c r="AM11" s="9">
        <f t="shared" si="16"/>
        <v>500</v>
      </c>
      <c r="AN11" s="9">
        <f t="shared" si="16"/>
        <v>500</v>
      </c>
      <c r="AO11" s="9">
        <f t="shared" si="16"/>
        <v>500</v>
      </c>
      <c r="AP11" s="9">
        <f t="shared" si="16"/>
        <v>500</v>
      </c>
    </row>
    <row r="12">
      <c r="A12" s="7" t="s">
        <v>96</v>
      </c>
      <c r="C12" s="8">
        <v>2500.0</v>
      </c>
      <c r="D12" s="9">
        <f t="shared" ref="D12:N12" si="17">C12</f>
        <v>2500</v>
      </c>
      <c r="E12" s="9">
        <f t="shared" si="17"/>
        <v>2500</v>
      </c>
      <c r="F12" s="9">
        <f t="shared" si="17"/>
        <v>2500</v>
      </c>
      <c r="G12" s="9">
        <f t="shared" si="17"/>
        <v>2500</v>
      </c>
      <c r="H12" s="9">
        <f t="shared" si="17"/>
        <v>2500</v>
      </c>
      <c r="I12" s="9">
        <f t="shared" si="17"/>
        <v>2500</v>
      </c>
      <c r="J12" s="9">
        <f t="shared" si="17"/>
        <v>2500</v>
      </c>
      <c r="K12" s="9">
        <f t="shared" si="17"/>
        <v>2500</v>
      </c>
      <c r="L12" s="9">
        <f t="shared" si="17"/>
        <v>2500</v>
      </c>
      <c r="M12" s="9">
        <f t="shared" si="17"/>
        <v>2500</v>
      </c>
      <c r="N12" s="9">
        <f t="shared" si="17"/>
        <v>2500</v>
      </c>
      <c r="Q12" s="9">
        <f t="shared" si="18"/>
        <v>2500</v>
      </c>
      <c r="R12" s="9">
        <f t="shared" ref="R12:AB12" si="19">Q12</f>
        <v>2500</v>
      </c>
      <c r="S12" s="9">
        <f t="shared" si="19"/>
        <v>2500</v>
      </c>
      <c r="T12" s="9">
        <f t="shared" si="19"/>
        <v>2500</v>
      </c>
      <c r="U12" s="9">
        <f t="shared" si="19"/>
        <v>2500</v>
      </c>
      <c r="V12" s="9">
        <f t="shared" si="19"/>
        <v>2500</v>
      </c>
      <c r="W12" s="9">
        <f t="shared" si="19"/>
        <v>2500</v>
      </c>
      <c r="X12" s="9">
        <f t="shared" si="19"/>
        <v>2500</v>
      </c>
      <c r="Y12" s="9">
        <f t="shared" si="19"/>
        <v>2500</v>
      </c>
      <c r="Z12" s="9">
        <f t="shared" si="19"/>
        <v>2500</v>
      </c>
      <c r="AA12" s="9">
        <f t="shared" si="19"/>
        <v>2500</v>
      </c>
      <c r="AB12" s="9">
        <f t="shared" si="19"/>
        <v>2500</v>
      </c>
      <c r="AE12" s="9">
        <f t="shared" si="20"/>
        <v>2500</v>
      </c>
      <c r="AF12" s="9">
        <f t="shared" ref="AF12:AP12" si="21">AE12</f>
        <v>2500</v>
      </c>
      <c r="AG12" s="9">
        <f t="shared" si="21"/>
        <v>2500</v>
      </c>
      <c r="AH12" s="9">
        <f t="shared" si="21"/>
        <v>2500</v>
      </c>
      <c r="AI12" s="9">
        <f t="shared" si="21"/>
        <v>2500</v>
      </c>
      <c r="AJ12" s="9">
        <f t="shared" si="21"/>
        <v>2500</v>
      </c>
      <c r="AK12" s="9">
        <f t="shared" si="21"/>
        <v>2500</v>
      </c>
      <c r="AL12" s="9">
        <f t="shared" si="21"/>
        <v>2500</v>
      </c>
      <c r="AM12" s="9">
        <f t="shared" si="21"/>
        <v>2500</v>
      </c>
      <c r="AN12" s="9">
        <f t="shared" si="21"/>
        <v>2500</v>
      </c>
      <c r="AO12" s="9">
        <f t="shared" si="21"/>
        <v>2500</v>
      </c>
      <c r="AP12" s="9">
        <f t="shared" si="21"/>
        <v>2500</v>
      </c>
    </row>
    <row r="13">
      <c r="A13" s="7"/>
    </row>
    <row r="14">
      <c r="A14" s="7" t="s">
        <v>15</v>
      </c>
    </row>
    <row r="15">
      <c r="A15" s="1" t="s">
        <v>16</v>
      </c>
      <c r="C15" s="4">
        <f>3*1000</f>
        <v>3000</v>
      </c>
      <c r="D15" s="4">
        <f t="shared" ref="D15:N15" si="22">C15</f>
        <v>3000</v>
      </c>
      <c r="E15" s="4">
        <f t="shared" si="22"/>
        <v>3000</v>
      </c>
      <c r="F15" s="4">
        <f t="shared" si="22"/>
        <v>3000</v>
      </c>
      <c r="G15" s="4">
        <f t="shared" si="22"/>
        <v>3000</v>
      </c>
      <c r="H15" s="4">
        <f t="shared" si="22"/>
        <v>3000</v>
      </c>
      <c r="I15" s="4">
        <f t="shared" si="22"/>
        <v>3000</v>
      </c>
      <c r="J15" s="4">
        <f t="shared" si="22"/>
        <v>3000</v>
      </c>
      <c r="K15" s="4">
        <f t="shared" si="22"/>
        <v>3000</v>
      </c>
      <c r="L15" s="4">
        <f t="shared" si="22"/>
        <v>3000</v>
      </c>
      <c r="M15" s="4">
        <f t="shared" si="22"/>
        <v>3000</v>
      </c>
      <c r="N15" s="4">
        <f t="shared" si="22"/>
        <v>3000</v>
      </c>
      <c r="Q15" s="5">
        <f t="shared" ref="Q15:Q29" si="27">N15</f>
        <v>3000</v>
      </c>
      <c r="R15" s="5">
        <f t="shared" ref="R15:AB15" si="23">Q15</f>
        <v>3000</v>
      </c>
      <c r="S15" s="5">
        <f t="shared" si="23"/>
        <v>3000</v>
      </c>
      <c r="T15" s="5">
        <f t="shared" si="23"/>
        <v>3000</v>
      </c>
      <c r="U15" s="5">
        <f t="shared" si="23"/>
        <v>3000</v>
      </c>
      <c r="V15" s="5">
        <f t="shared" si="23"/>
        <v>3000</v>
      </c>
      <c r="W15" s="5">
        <f t="shared" si="23"/>
        <v>3000</v>
      </c>
      <c r="X15" s="5">
        <f t="shared" si="23"/>
        <v>3000</v>
      </c>
      <c r="Y15" s="5">
        <f t="shared" si="23"/>
        <v>3000</v>
      </c>
      <c r="Z15" s="5">
        <f t="shared" si="23"/>
        <v>3000</v>
      </c>
      <c r="AA15" s="5">
        <f t="shared" si="23"/>
        <v>3000</v>
      </c>
      <c r="AB15" s="5">
        <f t="shared" si="23"/>
        <v>3000</v>
      </c>
      <c r="AE15" s="5">
        <f t="shared" ref="AE15:AE29" si="29">AB15</f>
        <v>3000</v>
      </c>
      <c r="AF15" s="5">
        <f t="shared" ref="AF15:AP15" si="24">AE15</f>
        <v>3000</v>
      </c>
      <c r="AG15" s="5">
        <f t="shared" si="24"/>
        <v>3000</v>
      </c>
      <c r="AH15" s="5">
        <f t="shared" si="24"/>
        <v>3000</v>
      </c>
      <c r="AI15" s="5">
        <f t="shared" si="24"/>
        <v>3000</v>
      </c>
      <c r="AJ15" s="5">
        <f t="shared" si="24"/>
        <v>3000</v>
      </c>
      <c r="AK15" s="5">
        <f t="shared" si="24"/>
        <v>3000</v>
      </c>
      <c r="AL15" s="5">
        <f t="shared" si="24"/>
        <v>3000</v>
      </c>
      <c r="AM15" s="5">
        <f t="shared" si="24"/>
        <v>3000</v>
      </c>
      <c r="AN15" s="5">
        <f t="shared" si="24"/>
        <v>3000</v>
      </c>
      <c r="AO15" s="5">
        <f t="shared" si="24"/>
        <v>3000</v>
      </c>
      <c r="AP15" s="5">
        <f t="shared" si="24"/>
        <v>3000</v>
      </c>
    </row>
    <row r="16">
      <c r="A16" s="1" t="s">
        <v>17</v>
      </c>
      <c r="C16" s="4">
        <v>8000.0</v>
      </c>
      <c r="D16" s="4">
        <f t="shared" ref="D16:E16" si="25">C16</f>
        <v>8000</v>
      </c>
      <c r="E16" s="4">
        <f t="shared" si="25"/>
        <v>8000</v>
      </c>
      <c r="F16" s="4">
        <v>10000.0</v>
      </c>
      <c r="G16" s="4">
        <f t="shared" ref="G16:N16" si="26">F16</f>
        <v>10000</v>
      </c>
      <c r="H16" s="4">
        <f t="shared" si="26"/>
        <v>10000</v>
      </c>
      <c r="I16" s="4">
        <f t="shared" si="26"/>
        <v>10000</v>
      </c>
      <c r="J16" s="4">
        <f t="shared" si="26"/>
        <v>10000</v>
      </c>
      <c r="K16" s="4">
        <f t="shared" si="26"/>
        <v>10000</v>
      </c>
      <c r="L16" s="4">
        <f t="shared" si="26"/>
        <v>10000</v>
      </c>
      <c r="M16" s="4">
        <f t="shared" si="26"/>
        <v>10000</v>
      </c>
      <c r="N16" s="4">
        <f t="shared" si="26"/>
        <v>10000</v>
      </c>
      <c r="Q16" s="5">
        <f t="shared" si="27"/>
        <v>10000</v>
      </c>
      <c r="R16" s="5">
        <f t="shared" ref="R16:AB16" si="28">Q16</f>
        <v>10000</v>
      </c>
      <c r="S16" s="5">
        <f t="shared" si="28"/>
        <v>10000</v>
      </c>
      <c r="T16" s="5">
        <f t="shared" si="28"/>
        <v>10000</v>
      </c>
      <c r="U16" s="5">
        <f t="shared" si="28"/>
        <v>10000</v>
      </c>
      <c r="V16" s="5">
        <f t="shared" si="28"/>
        <v>10000</v>
      </c>
      <c r="W16" s="5">
        <f t="shared" si="28"/>
        <v>10000</v>
      </c>
      <c r="X16" s="5">
        <f t="shared" si="28"/>
        <v>10000</v>
      </c>
      <c r="Y16" s="5">
        <f t="shared" si="28"/>
        <v>10000</v>
      </c>
      <c r="Z16" s="5">
        <f t="shared" si="28"/>
        <v>10000</v>
      </c>
      <c r="AA16" s="5">
        <f t="shared" si="28"/>
        <v>10000</v>
      </c>
      <c r="AB16" s="5">
        <f t="shared" si="28"/>
        <v>10000</v>
      </c>
      <c r="AE16" s="5">
        <f t="shared" si="29"/>
        <v>10000</v>
      </c>
      <c r="AF16" s="5">
        <f t="shared" ref="AF16:AP16" si="30">AE16</f>
        <v>10000</v>
      </c>
      <c r="AG16" s="5">
        <f t="shared" si="30"/>
        <v>10000</v>
      </c>
      <c r="AH16" s="5">
        <f t="shared" si="30"/>
        <v>10000</v>
      </c>
      <c r="AI16" s="5">
        <f t="shared" si="30"/>
        <v>10000</v>
      </c>
      <c r="AJ16" s="5">
        <f t="shared" si="30"/>
        <v>10000</v>
      </c>
      <c r="AK16" s="5">
        <f t="shared" si="30"/>
        <v>10000</v>
      </c>
      <c r="AL16" s="5">
        <f t="shared" si="30"/>
        <v>10000</v>
      </c>
      <c r="AM16" s="5">
        <f t="shared" si="30"/>
        <v>10000</v>
      </c>
      <c r="AN16" s="5">
        <f t="shared" si="30"/>
        <v>10000</v>
      </c>
      <c r="AO16" s="5">
        <f t="shared" si="30"/>
        <v>10000</v>
      </c>
      <c r="AP16" s="5">
        <f t="shared" si="30"/>
        <v>10000</v>
      </c>
    </row>
    <row r="17">
      <c r="A17" s="1" t="s">
        <v>18</v>
      </c>
      <c r="C17" s="4">
        <v>8000.0</v>
      </c>
      <c r="D17" s="4">
        <f t="shared" ref="D17:E17" si="31">C17</f>
        <v>8000</v>
      </c>
      <c r="E17" s="4">
        <f t="shared" si="31"/>
        <v>8000</v>
      </c>
      <c r="F17" s="4">
        <v>10000.0</v>
      </c>
      <c r="G17" s="4">
        <f t="shared" ref="G17:N17" si="32">F17</f>
        <v>10000</v>
      </c>
      <c r="H17" s="4">
        <f t="shared" si="32"/>
        <v>10000</v>
      </c>
      <c r="I17" s="4">
        <f t="shared" si="32"/>
        <v>10000</v>
      </c>
      <c r="J17" s="4">
        <f t="shared" si="32"/>
        <v>10000</v>
      </c>
      <c r="K17" s="4">
        <f t="shared" si="32"/>
        <v>10000</v>
      </c>
      <c r="L17" s="4">
        <f t="shared" si="32"/>
        <v>10000</v>
      </c>
      <c r="M17" s="4">
        <f t="shared" si="32"/>
        <v>10000</v>
      </c>
      <c r="N17" s="4">
        <f t="shared" si="32"/>
        <v>10000</v>
      </c>
      <c r="Q17" s="5">
        <f t="shared" si="27"/>
        <v>10000</v>
      </c>
      <c r="R17" s="5">
        <f t="shared" ref="R17:AB17" si="33">Q17</f>
        <v>10000</v>
      </c>
      <c r="S17" s="5">
        <f t="shared" si="33"/>
        <v>10000</v>
      </c>
      <c r="T17" s="5">
        <f t="shared" si="33"/>
        <v>10000</v>
      </c>
      <c r="U17" s="5">
        <f t="shared" si="33"/>
        <v>10000</v>
      </c>
      <c r="V17" s="5">
        <f t="shared" si="33"/>
        <v>10000</v>
      </c>
      <c r="W17" s="5">
        <f t="shared" si="33"/>
        <v>10000</v>
      </c>
      <c r="X17" s="5">
        <f t="shared" si="33"/>
        <v>10000</v>
      </c>
      <c r="Y17" s="5">
        <f t="shared" si="33"/>
        <v>10000</v>
      </c>
      <c r="Z17" s="5">
        <f t="shared" si="33"/>
        <v>10000</v>
      </c>
      <c r="AA17" s="5">
        <f t="shared" si="33"/>
        <v>10000</v>
      </c>
      <c r="AB17" s="5">
        <f t="shared" si="33"/>
        <v>10000</v>
      </c>
      <c r="AE17" s="5">
        <f t="shared" si="29"/>
        <v>10000</v>
      </c>
      <c r="AF17" s="5">
        <f t="shared" ref="AF17:AP17" si="34">AE17</f>
        <v>10000</v>
      </c>
      <c r="AG17" s="5">
        <f t="shared" si="34"/>
        <v>10000</v>
      </c>
      <c r="AH17" s="5">
        <f t="shared" si="34"/>
        <v>10000</v>
      </c>
      <c r="AI17" s="5">
        <f t="shared" si="34"/>
        <v>10000</v>
      </c>
      <c r="AJ17" s="5">
        <f t="shared" si="34"/>
        <v>10000</v>
      </c>
      <c r="AK17" s="5">
        <f t="shared" si="34"/>
        <v>10000</v>
      </c>
      <c r="AL17" s="5">
        <f t="shared" si="34"/>
        <v>10000</v>
      </c>
      <c r="AM17" s="5">
        <f t="shared" si="34"/>
        <v>10000</v>
      </c>
      <c r="AN17" s="5">
        <f t="shared" si="34"/>
        <v>10000</v>
      </c>
      <c r="AO17" s="5">
        <f t="shared" si="34"/>
        <v>10000</v>
      </c>
      <c r="AP17" s="5">
        <f t="shared" si="34"/>
        <v>10000</v>
      </c>
    </row>
    <row r="18">
      <c r="A18" s="1" t="s">
        <v>19</v>
      </c>
      <c r="C18" s="4">
        <v>0.0</v>
      </c>
      <c r="D18" s="4">
        <v>6000.0</v>
      </c>
      <c r="E18" s="4">
        <f t="shared" ref="E18:N18" si="35">D18</f>
        <v>6000</v>
      </c>
      <c r="F18" s="4">
        <f t="shared" si="35"/>
        <v>6000</v>
      </c>
      <c r="G18" s="4">
        <f t="shared" si="35"/>
        <v>6000</v>
      </c>
      <c r="H18" s="4">
        <f t="shared" si="35"/>
        <v>6000</v>
      </c>
      <c r="I18" s="4">
        <f t="shared" si="35"/>
        <v>6000</v>
      </c>
      <c r="J18" s="4">
        <f t="shared" si="35"/>
        <v>6000</v>
      </c>
      <c r="K18" s="4">
        <f t="shared" si="35"/>
        <v>6000</v>
      </c>
      <c r="L18" s="4">
        <f t="shared" si="35"/>
        <v>6000</v>
      </c>
      <c r="M18" s="4">
        <f t="shared" si="35"/>
        <v>6000</v>
      </c>
      <c r="N18" s="4">
        <f t="shared" si="35"/>
        <v>6000</v>
      </c>
      <c r="Q18" s="5">
        <f t="shared" si="27"/>
        <v>6000</v>
      </c>
      <c r="R18" s="5">
        <f t="shared" ref="R18:AB18" si="36">Q18</f>
        <v>6000</v>
      </c>
      <c r="S18" s="5">
        <f t="shared" si="36"/>
        <v>6000</v>
      </c>
      <c r="T18" s="5">
        <f t="shared" si="36"/>
        <v>6000</v>
      </c>
      <c r="U18" s="5">
        <f t="shared" si="36"/>
        <v>6000</v>
      </c>
      <c r="V18" s="5">
        <f t="shared" si="36"/>
        <v>6000</v>
      </c>
      <c r="W18" s="5">
        <f t="shared" si="36"/>
        <v>6000</v>
      </c>
      <c r="X18" s="5">
        <f t="shared" si="36"/>
        <v>6000</v>
      </c>
      <c r="Y18" s="5">
        <f t="shared" si="36"/>
        <v>6000</v>
      </c>
      <c r="Z18" s="5">
        <f t="shared" si="36"/>
        <v>6000</v>
      </c>
      <c r="AA18" s="5">
        <f t="shared" si="36"/>
        <v>6000</v>
      </c>
      <c r="AB18" s="5">
        <f t="shared" si="36"/>
        <v>6000</v>
      </c>
      <c r="AE18" s="5">
        <f t="shared" si="29"/>
        <v>6000</v>
      </c>
      <c r="AF18" s="5">
        <f t="shared" ref="AF18:AP18" si="37">AE18</f>
        <v>6000</v>
      </c>
      <c r="AG18" s="5">
        <f t="shared" si="37"/>
        <v>6000</v>
      </c>
      <c r="AH18" s="5">
        <f t="shared" si="37"/>
        <v>6000</v>
      </c>
      <c r="AI18" s="5">
        <f t="shared" si="37"/>
        <v>6000</v>
      </c>
      <c r="AJ18" s="5">
        <f t="shared" si="37"/>
        <v>6000</v>
      </c>
      <c r="AK18" s="5">
        <f t="shared" si="37"/>
        <v>6000</v>
      </c>
      <c r="AL18" s="5">
        <f t="shared" si="37"/>
        <v>6000</v>
      </c>
      <c r="AM18" s="5">
        <f t="shared" si="37"/>
        <v>6000</v>
      </c>
      <c r="AN18" s="5">
        <f t="shared" si="37"/>
        <v>6000</v>
      </c>
      <c r="AO18" s="5">
        <f t="shared" si="37"/>
        <v>6000</v>
      </c>
      <c r="AP18" s="5">
        <f t="shared" si="37"/>
        <v>6000</v>
      </c>
    </row>
    <row r="19">
      <c r="A19" s="1" t="s">
        <v>20</v>
      </c>
      <c r="C19" s="4">
        <v>0.0</v>
      </c>
      <c r="D19" s="4">
        <f t="shared" ref="D19:D26" si="41">C19</f>
        <v>0</v>
      </c>
      <c r="E19" s="4">
        <v>6000.0</v>
      </c>
      <c r="F19" s="4">
        <f t="shared" ref="F19:N19" si="38">E19</f>
        <v>6000</v>
      </c>
      <c r="G19" s="4">
        <f t="shared" si="38"/>
        <v>6000</v>
      </c>
      <c r="H19" s="4">
        <f t="shared" si="38"/>
        <v>6000</v>
      </c>
      <c r="I19" s="4">
        <f t="shared" si="38"/>
        <v>6000</v>
      </c>
      <c r="J19" s="4">
        <f t="shared" si="38"/>
        <v>6000</v>
      </c>
      <c r="K19" s="4">
        <f t="shared" si="38"/>
        <v>6000</v>
      </c>
      <c r="L19" s="4">
        <f t="shared" si="38"/>
        <v>6000</v>
      </c>
      <c r="M19" s="4">
        <f t="shared" si="38"/>
        <v>6000</v>
      </c>
      <c r="N19" s="4">
        <f t="shared" si="38"/>
        <v>6000</v>
      </c>
      <c r="Q19" s="5">
        <f t="shared" si="27"/>
        <v>6000</v>
      </c>
      <c r="R19" s="5">
        <f t="shared" ref="R19:AB19" si="39">Q19</f>
        <v>6000</v>
      </c>
      <c r="S19" s="5">
        <f t="shared" si="39"/>
        <v>6000</v>
      </c>
      <c r="T19" s="5">
        <f t="shared" si="39"/>
        <v>6000</v>
      </c>
      <c r="U19" s="5">
        <f t="shared" si="39"/>
        <v>6000</v>
      </c>
      <c r="V19" s="5">
        <f t="shared" si="39"/>
        <v>6000</v>
      </c>
      <c r="W19" s="5">
        <f t="shared" si="39"/>
        <v>6000</v>
      </c>
      <c r="X19" s="5">
        <f t="shared" si="39"/>
        <v>6000</v>
      </c>
      <c r="Y19" s="5">
        <f t="shared" si="39"/>
        <v>6000</v>
      </c>
      <c r="Z19" s="5">
        <f t="shared" si="39"/>
        <v>6000</v>
      </c>
      <c r="AA19" s="5">
        <f t="shared" si="39"/>
        <v>6000</v>
      </c>
      <c r="AB19" s="5">
        <f t="shared" si="39"/>
        <v>6000</v>
      </c>
      <c r="AE19" s="5">
        <f t="shared" si="29"/>
        <v>6000</v>
      </c>
      <c r="AF19" s="5">
        <f t="shared" ref="AF19:AP19" si="40">AE19</f>
        <v>6000</v>
      </c>
      <c r="AG19" s="5">
        <f t="shared" si="40"/>
        <v>6000</v>
      </c>
      <c r="AH19" s="5">
        <f t="shared" si="40"/>
        <v>6000</v>
      </c>
      <c r="AI19" s="5">
        <f t="shared" si="40"/>
        <v>6000</v>
      </c>
      <c r="AJ19" s="5">
        <f t="shared" si="40"/>
        <v>6000</v>
      </c>
      <c r="AK19" s="5">
        <f t="shared" si="40"/>
        <v>6000</v>
      </c>
      <c r="AL19" s="5">
        <f t="shared" si="40"/>
        <v>6000</v>
      </c>
      <c r="AM19" s="5">
        <f t="shared" si="40"/>
        <v>6000</v>
      </c>
      <c r="AN19" s="5">
        <f t="shared" si="40"/>
        <v>6000</v>
      </c>
      <c r="AO19" s="5">
        <f t="shared" si="40"/>
        <v>6000</v>
      </c>
      <c r="AP19" s="5">
        <f t="shared" si="40"/>
        <v>6000</v>
      </c>
    </row>
    <row r="20">
      <c r="A20" s="1" t="s">
        <v>21</v>
      </c>
      <c r="C20" s="4">
        <v>0.0</v>
      </c>
      <c r="D20" s="4">
        <f t="shared" si="41"/>
        <v>0</v>
      </c>
      <c r="E20" s="4">
        <f t="shared" ref="E20:E24" si="45">D20</f>
        <v>0</v>
      </c>
      <c r="F20" s="4">
        <v>6000.0</v>
      </c>
      <c r="G20" s="4">
        <f t="shared" ref="G20:N20" si="42">F20</f>
        <v>6000</v>
      </c>
      <c r="H20" s="4">
        <f t="shared" si="42"/>
        <v>6000</v>
      </c>
      <c r="I20" s="4">
        <f t="shared" si="42"/>
        <v>6000</v>
      </c>
      <c r="J20" s="4">
        <f t="shared" si="42"/>
        <v>6000</v>
      </c>
      <c r="K20" s="4">
        <f t="shared" si="42"/>
        <v>6000</v>
      </c>
      <c r="L20" s="4">
        <f t="shared" si="42"/>
        <v>6000</v>
      </c>
      <c r="M20" s="4">
        <f t="shared" si="42"/>
        <v>6000</v>
      </c>
      <c r="N20" s="4">
        <f t="shared" si="42"/>
        <v>6000</v>
      </c>
      <c r="Q20" s="5">
        <f t="shared" si="27"/>
        <v>6000</v>
      </c>
      <c r="R20" s="5">
        <f t="shared" ref="R20:AB20" si="43">Q20</f>
        <v>6000</v>
      </c>
      <c r="S20" s="5">
        <f t="shared" si="43"/>
        <v>6000</v>
      </c>
      <c r="T20" s="5">
        <f t="shared" si="43"/>
        <v>6000</v>
      </c>
      <c r="U20" s="5">
        <f t="shared" si="43"/>
        <v>6000</v>
      </c>
      <c r="V20" s="5">
        <f t="shared" si="43"/>
        <v>6000</v>
      </c>
      <c r="W20" s="5">
        <f t="shared" si="43"/>
        <v>6000</v>
      </c>
      <c r="X20" s="5">
        <f t="shared" si="43"/>
        <v>6000</v>
      </c>
      <c r="Y20" s="5">
        <f t="shared" si="43"/>
        <v>6000</v>
      </c>
      <c r="Z20" s="5">
        <f t="shared" si="43"/>
        <v>6000</v>
      </c>
      <c r="AA20" s="5">
        <f t="shared" si="43"/>
        <v>6000</v>
      </c>
      <c r="AB20" s="5">
        <f t="shared" si="43"/>
        <v>6000</v>
      </c>
      <c r="AE20" s="5">
        <f t="shared" si="29"/>
        <v>6000</v>
      </c>
      <c r="AF20" s="5">
        <f t="shared" ref="AF20:AP20" si="44">AE20</f>
        <v>6000</v>
      </c>
      <c r="AG20" s="5">
        <f t="shared" si="44"/>
        <v>6000</v>
      </c>
      <c r="AH20" s="5">
        <f t="shared" si="44"/>
        <v>6000</v>
      </c>
      <c r="AI20" s="5">
        <f t="shared" si="44"/>
        <v>6000</v>
      </c>
      <c r="AJ20" s="5">
        <f t="shared" si="44"/>
        <v>6000</v>
      </c>
      <c r="AK20" s="5">
        <f t="shared" si="44"/>
        <v>6000</v>
      </c>
      <c r="AL20" s="5">
        <f t="shared" si="44"/>
        <v>6000</v>
      </c>
      <c r="AM20" s="5">
        <f t="shared" si="44"/>
        <v>6000</v>
      </c>
      <c r="AN20" s="5">
        <f t="shared" si="44"/>
        <v>6000</v>
      </c>
      <c r="AO20" s="5">
        <f t="shared" si="44"/>
        <v>6000</v>
      </c>
      <c r="AP20" s="5">
        <f t="shared" si="44"/>
        <v>6000</v>
      </c>
    </row>
    <row r="21">
      <c r="A21" s="1" t="s">
        <v>22</v>
      </c>
      <c r="C21" s="4">
        <v>8000.0</v>
      </c>
      <c r="D21" s="4">
        <f t="shared" si="41"/>
        <v>8000</v>
      </c>
      <c r="E21" s="4">
        <f t="shared" si="45"/>
        <v>8000</v>
      </c>
      <c r="F21" s="4">
        <v>10000.0</v>
      </c>
      <c r="G21" s="4">
        <f t="shared" ref="G21:N21" si="46">F21</f>
        <v>10000</v>
      </c>
      <c r="H21" s="4">
        <f t="shared" si="46"/>
        <v>10000</v>
      </c>
      <c r="I21" s="4">
        <f t="shared" si="46"/>
        <v>10000</v>
      </c>
      <c r="J21" s="4">
        <f t="shared" si="46"/>
        <v>10000</v>
      </c>
      <c r="K21" s="4">
        <f t="shared" si="46"/>
        <v>10000</v>
      </c>
      <c r="L21" s="4">
        <f t="shared" si="46"/>
        <v>10000</v>
      </c>
      <c r="M21" s="4">
        <f t="shared" si="46"/>
        <v>10000</v>
      </c>
      <c r="N21" s="4">
        <f t="shared" si="46"/>
        <v>10000</v>
      </c>
      <c r="Q21" s="5">
        <f t="shared" si="27"/>
        <v>10000</v>
      </c>
      <c r="R21" s="5">
        <f t="shared" ref="R21:AB21" si="47">Q21</f>
        <v>10000</v>
      </c>
      <c r="S21" s="5">
        <f t="shared" si="47"/>
        <v>10000</v>
      </c>
      <c r="T21" s="5">
        <f t="shared" si="47"/>
        <v>10000</v>
      </c>
      <c r="U21" s="5">
        <f t="shared" si="47"/>
        <v>10000</v>
      </c>
      <c r="V21" s="5">
        <f t="shared" si="47"/>
        <v>10000</v>
      </c>
      <c r="W21" s="5">
        <f t="shared" si="47"/>
        <v>10000</v>
      </c>
      <c r="X21" s="5">
        <f t="shared" si="47"/>
        <v>10000</v>
      </c>
      <c r="Y21" s="5">
        <f t="shared" si="47"/>
        <v>10000</v>
      </c>
      <c r="Z21" s="5">
        <f t="shared" si="47"/>
        <v>10000</v>
      </c>
      <c r="AA21" s="5">
        <f t="shared" si="47"/>
        <v>10000</v>
      </c>
      <c r="AB21" s="5">
        <f t="shared" si="47"/>
        <v>10000</v>
      </c>
      <c r="AE21" s="5">
        <f t="shared" si="29"/>
        <v>10000</v>
      </c>
      <c r="AF21" s="5">
        <f t="shared" ref="AF21:AP21" si="48">AE21</f>
        <v>10000</v>
      </c>
      <c r="AG21" s="5">
        <f t="shared" si="48"/>
        <v>10000</v>
      </c>
      <c r="AH21" s="5">
        <f t="shared" si="48"/>
        <v>10000</v>
      </c>
      <c r="AI21" s="5">
        <f t="shared" si="48"/>
        <v>10000</v>
      </c>
      <c r="AJ21" s="5">
        <f t="shared" si="48"/>
        <v>10000</v>
      </c>
      <c r="AK21" s="5">
        <f t="shared" si="48"/>
        <v>10000</v>
      </c>
      <c r="AL21" s="5">
        <f t="shared" si="48"/>
        <v>10000</v>
      </c>
      <c r="AM21" s="5">
        <f t="shared" si="48"/>
        <v>10000</v>
      </c>
      <c r="AN21" s="5">
        <f t="shared" si="48"/>
        <v>10000</v>
      </c>
      <c r="AO21" s="5">
        <f t="shared" si="48"/>
        <v>10000</v>
      </c>
      <c r="AP21" s="5">
        <f t="shared" si="48"/>
        <v>10000</v>
      </c>
    </row>
    <row r="22">
      <c r="A22" s="1" t="s">
        <v>97</v>
      </c>
      <c r="C22" s="4">
        <v>5000.0</v>
      </c>
      <c r="D22" s="4">
        <f t="shared" si="41"/>
        <v>5000</v>
      </c>
      <c r="E22" s="4">
        <f t="shared" si="45"/>
        <v>5000</v>
      </c>
      <c r="F22" s="4">
        <f t="shared" ref="F22:N22" si="49">E22</f>
        <v>5000</v>
      </c>
      <c r="G22" s="4">
        <f t="shared" si="49"/>
        <v>5000</v>
      </c>
      <c r="H22" s="4">
        <f t="shared" si="49"/>
        <v>5000</v>
      </c>
      <c r="I22" s="4">
        <f t="shared" si="49"/>
        <v>5000</v>
      </c>
      <c r="J22" s="4">
        <f t="shared" si="49"/>
        <v>5000</v>
      </c>
      <c r="K22" s="4">
        <f t="shared" si="49"/>
        <v>5000</v>
      </c>
      <c r="L22" s="4">
        <f t="shared" si="49"/>
        <v>5000</v>
      </c>
      <c r="M22" s="4">
        <f t="shared" si="49"/>
        <v>5000</v>
      </c>
      <c r="N22" s="4">
        <f t="shared" si="49"/>
        <v>5000</v>
      </c>
      <c r="Q22" s="5">
        <f t="shared" si="27"/>
        <v>5000</v>
      </c>
      <c r="R22" s="5">
        <f t="shared" ref="R22:AB22" si="50">Q22</f>
        <v>5000</v>
      </c>
      <c r="S22" s="5">
        <f t="shared" si="50"/>
        <v>5000</v>
      </c>
      <c r="T22" s="5">
        <f t="shared" si="50"/>
        <v>5000</v>
      </c>
      <c r="U22" s="5">
        <f t="shared" si="50"/>
        <v>5000</v>
      </c>
      <c r="V22" s="5">
        <f t="shared" si="50"/>
        <v>5000</v>
      </c>
      <c r="W22" s="5">
        <f t="shared" si="50"/>
        <v>5000</v>
      </c>
      <c r="X22" s="5">
        <f t="shared" si="50"/>
        <v>5000</v>
      </c>
      <c r="Y22" s="5">
        <f t="shared" si="50"/>
        <v>5000</v>
      </c>
      <c r="Z22" s="5">
        <f t="shared" si="50"/>
        <v>5000</v>
      </c>
      <c r="AA22" s="5">
        <f t="shared" si="50"/>
        <v>5000</v>
      </c>
      <c r="AB22" s="5">
        <f t="shared" si="50"/>
        <v>5000</v>
      </c>
      <c r="AE22" s="5">
        <f t="shared" si="29"/>
        <v>5000</v>
      </c>
      <c r="AF22" s="5">
        <f t="shared" ref="AF22:AP22" si="51">AE22</f>
        <v>5000</v>
      </c>
      <c r="AG22" s="5">
        <f t="shared" si="51"/>
        <v>5000</v>
      </c>
      <c r="AH22" s="5">
        <f t="shared" si="51"/>
        <v>5000</v>
      </c>
      <c r="AI22" s="5">
        <f t="shared" si="51"/>
        <v>5000</v>
      </c>
      <c r="AJ22" s="5">
        <f t="shared" si="51"/>
        <v>5000</v>
      </c>
      <c r="AK22" s="5">
        <f t="shared" si="51"/>
        <v>5000</v>
      </c>
      <c r="AL22" s="5">
        <f t="shared" si="51"/>
        <v>5000</v>
      </c>
      <c r="AM22" s="5">
        <f t="shared" si="51"/>
        <v>5000</v>
      </c>
      <c r="AN22" s="5">
        <f t="shared" si="51"/>
        <v>5000</v>
      </c>
      <c r="AO22" s="5">
        <f t="shared" si="51"/>
        <v>5000</v>
      </c>
      <c r="AP22" s="5">
        <f t="shared" si="51"/>
        <v>5000</v>
      </c>
    </row>
    <row r="23">
      <c r="A23" s="1" t="s">
        <v>98</v>
      </c>
      <c r="C23" s="4">
        <v>0.0</v>
      </c>
      <c r="D23" s="4">
        <f t="shared" si="41"/>
        <v>0</v>
      </c>
      <c r="E23" s="4">
        <f t="shared" si="45"/>
        <v>0</v>
      </c>
      <c r="F23" s="4">
        <v>5000.0</v>
      </c>
      <c r="G23" s="4">
        <f t="shared" ref="G23:N23" si="52">F23</f>
        <v>5000</v>
      </c>
      <c r="H23" s="4">
        <f t="shared" si="52"/>
        <v>5000</v>
      </c>
      <c r="I23" s="4">
        <f t="shared" si="52"/>
        <v>5000</v>
      </c>
      <c r="J23" s="4">
        <f t="shared" si="52"/>
        <v>5000</v>
      </c>
      <c r="K23" s="4">
        <f t="shared" si="52"/>
        <v>5000</v>
      </c>
      <c r="L23" s="4">
        <f t="shared" si="52"/>
        <v>5000</v>
      </c>
      <c r="M23" s="4">
        <f t="shared" si="52"/>
        <v>5000</v>
      </c>
      <c r="N23" s="4">
        <f t="shared" si="52"/>
        <v>5000</v>
      </c>
      <c r="Q23" s="5">
        <f t="shared" si="27"/>
        <v>5000</v>
      </c>
      <c r="R23" s="5">
        <f t="shared" ref="R23:AB23" si="53">Q23</f>
        <v>5000</v>
      </c>
      <c r="S23" s="5">
        <f t="shared" si="53"/>
        <v>5000</v>
      </c>
      <c r="T23" s="5">
        <f t="shared" si="53"/>
        <v>5000</v>
      </c>
      <c r="U23" s="5">
        <f t="shared" si="53"/>
        <v>5000</v>
      </c>
      <c r="V23" s="5">
        <f t="shared" si="53"/>
        <v>5000</v>
      </c>
      <c r="W23" s="5">
        <f t="shared" si="53"/>
        <v>5000</v>
      </c>
      <c r="X23" s="5">
        <f t="shared" si="53"/>
        <v>5000</v>
      </c>
      <c r="Y23" s="5">
        <f t="shared" si="53"/>
        <v>5000</v>
      </c>
      <c r="Z23" s="5">
        <f t="shared" si="53"/>
        <v>5000</v>
      </c>
      <c r="AA23" s="5">
        <f t="shared" si="53"/>
        <v>5000</v>
      </c>
      <c r="AB23" s="5">
        <f t="shared" si="53"/>
        <v>5000</v>
      </c>
      <c r="AE23" s="5">
        <f t="shared" si="29"/>
        <v>5000</v>
      </c>
      <c r="AF23" s="5">
        <f t="shared" ref="AF23:AP23" si="54">AE23</f>
        <v>5000</v>
      </c>
      <c r="AG23" s="5">
        <f t="shared" si="54"/>
        <v>5000</v>
      </c>
      <c r="AH23" s="5">
        <f t="shared" si="54"/>
        <v>5000</v>
      </c>
      <c r="AI23" s="5">
        <f t="shared" si="54"/>
        <v>5000</v>
      </c>
      <c r="AJ23" s="5">
        <f t="shared" si="54"/>
        <v>5000</v>
      </c>
      <c r="AK23" s="5">
        <f t="shared" si="54"/>
        <v>5000</v>
      </c>
      <c r="AL23" s="5">
        <f t="shared" si="54"/>
        <v>5000</v>
      </c>
      <c r="AM23" s="5">
        <f t="shared" si="54"/>
        <v>5000</v>
      </c>
      <c r="AN23" s="5">
        <f t="shared" si="54"/>
        <v>5000</v>
      </c>
      <c r="AO23" s="5">
        <f t="shared" si="54"/>
        <v>5000</v>
      </c>
      <c r="AP23" s="5">
        <f t="shared" si="54"/>
        <v>5000</v>
      </c>
    </row>
    <row r="24">
      <c r="A24" s="1" t="s">
        <v>99</v>
      </c>
      <c r="C24" s="4">
        <v>0.0</v>
      </c>
      <c r="D24" s="4">
        <f t="shared" si="41"/>
        <v>0</v>
      </c>
      <c r="E24" s="4">
        <f t="shared" si="45"/>
        <v>0</v>
      </c>
      <c r="F24" s="4">
        <f t="shared" ref="F24:H24" si="55">E24</f>
        <v>0</v>
      </c>
      <c r="G24" s="4">
        <f t="shared" si="55"/>
        <v>0</v>
      </c>
      <c r="H24" s="4">
        <f t="shared" si="55"/>
        <v>0</v>
      </c>
      <c r="I24" s="4">
        <v>5000.0</v>
      </c>
      <c r="J24" s="4">
        <f t="shared" ref="J24:N24" si="56">I24</f>
        <v>5000</v>
      </c>
      <c r="K24" s="4">
        <f t="shared" si="56"/>
        <v>5000</v>
      </c>
      <c r="L24" s="4">
        <f t="shared" si="56"/>
        <v>5000</v>
      </c>
      <c r="M24" s="4">
        <f t="shared" si="56"/>
        <v>5000</v>
      </c>
      <c r="N24" s="4">
        <f t="shared" si="56"/>
        <v>5000</v>
      </c>
      <c r="Q24" s="5">
        <f t="shared" si="27"/>
        <v>5000</v>
      </c>
      <c r="R24" s="5">
        <f t="shared" ref="R24:AB24" si="57">Q24</f>
        <v>5000</v>
      </c>
      <c r="S24" s="5">
        <f t="shared" si="57"/>
        <v>5000</v>
      </c>
      <c r="T24" s="5">
        <f t="shared" si="57"/>
        <v>5000</v>
      </c>
      <c r="U24" s="5">
        <f t="shared" si="57"/>
        <v>5000</v>
      </c>
      <c r="V24" s="5">
        <f t="shared" si="57"/>
        <v>5000</v>
      </c>
      <c r="W24" s="5">
        <f t="shared" si="57"/>
        <v>5000</v>
      </c>
      <c r="X24" s="5">
        <f t="shared" si="57"/>
        <v>5000</v>
      </c>
      <c r="Y24" s="5">
        <f t="shared" si="57"/>
        <v>5000</v>
      </c>
      <c r="Z24" s="5">
        <f t="shared" si="57"/>
        <v>5000</v>
      </c>
      <c r="AA24" s="5">
        <f t="shared" si="57"/>
        <v>5000</v>
      </c>
      <c r="AB24" s="5">
        <f t="shared" si="57"/>
        <v>5000</v>
      </c>
      <c r="AE24" s="5">
        <f t="shared" si="29"/>
        <v>5000</v>
      </c>
      <c r="AF24" s="5">
        <f t="shared" ref="AF24:AP24" si="58">AE24</f>
        <v>5000</v>
      </c>
      <c r="AG24" s="5">
        <f t="shared" si="58"/>
        <v>5000</v>
      </c>
      <c r="AH24" s="5">
        <f t="shared" si="58"/>
        <v>5000</v>
      </c>
      <c r="AI24" s="5">
        <f t="shared" si="58"/>
        <v>5000</v>
      </c>
      <c r="AJ24" s="5">
        <f t="shared" si="58"/>
        <v>5000</v>
      </c>
      <c r="AK24" s="5">
        <f t="shared" si="58"/>
        <v>5000</v>
      </c>
      <c r="AL24" s="5">
        <f t="shared" si="58"/>
        <v>5000</v>
      </c>
      <c r="AM24" s="5">
        <f t="shared" si="58"/>
        <v>5000</v>
      </c>
      <c r="AN24" s="5">
        <f t="shared" si="58"/>
        <v>5000</v>
      </c>
      <c r="AO24" s="5">
        <f t="shared" si="58"/>
        <v>5000</v>
      </c>
      <c r="AP24" s="5">
        <f t="shared" si="58"/>
        <v>5000</v>
      </c>
    </row>
    <row r="25">
      <c r="A25" s="1" t="s">
        <v>100</v>
      </c>
      <c r="C25" s="4">
        <v>0.0</v>
      </c>
      <c r="D25" s="4">
        <f t="shared" si="41"/>
        <v>0</v>
      </c>
      <c r="E25" s="4">
        <v>5000.0</v>
      </c>
      <c r="F25" s="4">
        <f t="shared" ref="F25:N25" si="59">E25</f>
        <v>5000</v>
      </c>
      <c r="G25" s="4">
        <f t="shared" si="59"/>
        <v>5000</v>
      </c>
      <c r="H25" s="4">
        <f t="shared" si="59"/>
        <v>5000</v>
      </c>
      <c r="I25" s="4">
        <f t="shared" si="59"/>
        <v>5000</v>
      </c>
      <c r="J25" s="4">
        <f t="shared" si="59"/>
        <v>5000</v>
      </c>
      <c r="K25" s="4">
        <f t="shared" si="59"/>
        <v>5000</v>
      </c>
      <c r="L25" s="4">
        <f t="shared" si="59"/>
        <v>5000</v>
      </c>
      <c r="M25" s="4">
        <f t="shared" si="59"/>
        <v>5000</v>
      </c>
      <c r="N25" s="4">
        <f t="shared" si="59"/>
        <v>5000</v>
      </c>
      <c r="Q25" s="5">
        <f t="shared" si="27"/>
        <v>5000</v>
      </c>
      <c r="R25" s="5">
        <f t="shared" ref="R25:AB25" si="60">Q25</f>
        <v>5000</v>
      </c>
      <c r="S25" s="5">
        <f t="shared" si="60"/>
        <v>5000</v>
      </c>
      <c r="T25" s="5">
        <f t="shared" si="60"/>
        <v>5000</v>
      </c>
      <c r="U25" s="5">
        <f t="shared" si="60"/>
        <v>5000</v>
      </c>
      <c r="V25" s="5">
        <f t="shared" si="60"/>
        <v>5000</v>
      </c>
      <c r="W25" s="5">
        <f t="shared" si="60"/>
        <v>5000</v>
      </c>
      <c r="X25" s="5">
        <f t="shared" si="60"/>
        <v>5000</v>
      </c>
      <c r="Y25" s="5">
        <f t="shared" si="60"/>
        <v>5000</v>
      </c>
      <c r="Z25" s="5">
        <f t="shared" si="60"/>
        <v>5000</v>
      </c>
      <c r="AA25" s="5">
        <f t="shared" si="60"/>
        <v>5000</v>
      </c>
      <c r="AB25" s="5">
        <f t="shared" si="60"/>
        <v>5000</v>
      </c>
      <c r="AE25" s="5">
        <f t="shared" si="29"/>
        <v>5000</v>
      </c>
      <c r="AF25" s="5">
        <f t="shared" ref="AF25:AP25" si="61">AE25</f>
        <v>5000</v>
      </c>
      <c r="AG25" s="5">
        <f t="shared" si="61"/>
        <v>5000</v>
      </c>
      <c r="AH25" s="5">
        <f t="shared" si="61"/>
        <v>5000</v>
      </c>
      <c r="AI25" s="5">
        <f t="shared" si="61"/>
        <v>5000</v>
      </c>
      <c r="AJ25" s="5">
        <f t="shared" si="61"/>
        <v>5000</v>
      </c>
      <c r="AK25" s="5">
        <f t="shared" si="61"/>
        <v>5000</v>
      </c>
      <c r="AL25" s="5">
        <f t="shared" si="61"/>
        <v>5000</v>
      </c>
      <c r="AM25" s="5">
        <f t="shared" si="61"/>
        <v>5000</v>
      </c>
      <c r="AN25" s="5">
        <f t="shared" si="61"/>
        <v>5000</v>
      </c>
      <c r="AO25" s="5">
        <f t="shared" si="61"/>
        <v>5000</v>
      </c>
      <c r="AP25" s="5">
        <f t="shared" si="61"/>
        <v>5000</v>
      </c>
    </row>
    <row r="26">
      <c r="A26" s="1" t="s">
        <v>26</v>
      </c>
      <c r="C26" s="4">
        <v>10000.0</v>
      </c>
      <c r="D26" s="4">
        <f t="shared" si="41"/>
        <v>10000</v>
      </c>
      <c r="E26" s="4">
        <f t="shared" ref="E26:N26" si="62">D26</f>
        <v>10000</v>
      </c>
      <c r="F26" s="4">
        <f t="shared" si="62"/>
        <v>10000</v>
      </c>
      <c r="G26" s="4">
        <f t="shared" si="62"/>
        <v>10000</v>
      </c>
      <c r="H26" s="4">
        <f t="shared" si="62"/>
        <v>10000</v>
      </c>
      <c r="I26" s="4">
        <f t="shared" si="62"/>
        <v>10000</v>
      </c>
      <c r="J26" s="4">
        <f t="shared" si="62"/>
        <v>10000</v>
      </c>
      <c r="K26" s="4">
        <f t="shared" si="62"/>
        <v>10000</v>
      </c>
      <c r="L26" s="4">
        <f t="shared" si="62"/>
        <v>10000</v>
      </c>
      <c r="M26" s="4">
        <f t="shared" si="62"/>
        <v>10000</v>
      </c>
      <c r="N26" s="4">
        <f t="shared" si="62"/>
        <v>10000</v>
      </c>
      <c r="Q26" s="5">
        <f t="shared" si="27"/>
        <v>10000</v>
      </c>
      <c r="R26" s="5">
        <f t="shared" ref="R26:AB26" si="63">Q26</f>
        <v>10000</v>
      </c>
      <c r="S26" s="5">
        <f t="shared" si="63"/>
        <v>10000</v>
      </c>
      <c r="T26" s="5">
        <f t="shared" si="63"/>
        <v>10000</v>
      </c>
      <c r="U26" s="5">
        <f t="shared" si="63"/>
        <v>10000</v>
      </c>
      <c r="V26" s="5">
        <f t="shared" si="63"/>
        <v>10000</v>
      </c>
      <c r="W26" s="5">
        <f t="shared" si="63"/>
        <v>10000</v>
      </c>
      <c r="X26" s="5">
        <f t="shared" si="63"/>
        <v>10000</v>
      </c>
      <c r="Y26" s="5">
        <f t="shared" si="63"/>
        <v>10000</v>
      </c>
      <c r="Z26" s="5">
        <f t="shared" si="63"/>
        <v>10000</v>
      </c>
      <c r="AA26" s="5">
        <f t="shared" si="63"/>
        <v>10000</v>
      </c>
      <c r="AB26" s="5">
        <f t="shared" si="63"/>
        <v>10000</v>
      </c>
      <c r="AE26" s="5">
        <f t="shared" si="29"/>
        <v>10000</v>
      </c>
      <c r="AF26" s="5">
        <f t="shared" ref="AF26:AP26" si="64">AE26</f>
        <v>10000</v>
      </c>
      <c r="AG26" s="5">
        <f t="shared" si="64"/>
        <v>10000</v>
      </c>
      <c r="AH26" s="5">
        <f t="shared" si="64"/>
        <v>10000</v>
      </c>
      <c r="AI26" s="5">
        <f t="shared" si="64"/>
        <v>10000</v>
      </c>
      <c r="AJ26" s="5">
        <f t="shared" si="64"/>
        <v>10000</v>
      </c>
      <c r="AK26" s="5">
        <f t="shared" si="64"/>
        <v>10000</v>
      </c>
      <c r="AL26" s="5">
        <f t="shared" si="64"/>
        <v>10000</v>
      </c>
      <c r="AM26" s="5">
        <f t="shared" si="64"/>
        <v>10000</v>
      </c>
      <c r="AN26" s="5">
        <f t="shared" si="64"/>
        <v>10000</v>
      </c>
      <c r="AO26" s="5">
        <f t="shared" si="64"/>
        <v>10000</v>
      </c>
      <c r="AP26" s="5">
        <f t="shared" si="64"/>
        <v>10000</v>
      </c>
    </row>
    <row r="27">
      <c r="A27" s="1" t="s">
        <v>101</v>
      </c>
      <c r="C27" s="4">
        <v>0.0</v>
      </c>
      <c r="D27" s="4">
        <v>7000.0</v>
      </c>
      <c r="E27" s="4">
        <f>D27</f>
        <v>7000</v>
      </c>
      <c r="F27" s="4">
        <v>7000.0</v>
      </c>
      <c r="G27" s="4">
        <f t="shared" ref="G27:N27" si="65">F27</f>
        <v>7000</v>
      </c>
      <c r="H27" s="4">
        <f t="shared" si="65"/>
        <v>7000</v>
      </c>
      <c r="I27" s="4">
        <f t="shared" si="65"/>
        <v>7000</v>
      </c>
      <c r="J27" s="4">
        <f t="shared" si="65"/>
        <v>7000</v>
      </c>
      <c r="K27" s="4">
        <f t="shared" si="65"/>
        <v>7000</v>
      </c>
      <c r="L27" s="4">
        <f t="shared" si="65"/>
        <v>7000</v>
      </c>
      <c r="M27" s="4">
        <f t="shared" si="65"/>
        <v>7000</v>
      </c>
      <c r="N27" s="4">
        <f t="shared" si="65"/>
        <v>7000</v>
      </c>
      <c r="Q27" s="5">
        <f t="shared" si="27"/>
        <v>7000</v>
      </c>
      <c r="R27" s="5">
        <f t="shared" ref="R27:AB27" si="66">Q27</f>
        <v>7000</v>
      </c>
      <c r="S27" s="5">
        <f t="shared" si="66"/>
        <v>7000</v>
      </c>
      <c r="T27" s="5">
        <f t="shared" si="66"/>
        <v>7000</v>
      </c>
      <c r="U27" s="5">
        <f t="shared" si="66"/>
        <v>7000</v>
      </c>
      <c r="V27" s="5">
        <f t="shared" si="66"/>
        <v>7000</v>
      </c>
      <c r="W27" s="5">
        <f t="shared" si="66"/>
        <v>7000</v>
      </c>
      <c r="X27" s="5">
        <f t="shared" si="66"/>
        <v>7000</v>
      </c>
      <c r="Y27" s="5">
        <f t="shared" si="66"/>
        <v>7000</v>
      </c>
      <c r="Z27" s="5">
        <f t="shared" si="66"/>
        <v>7000</v>
      </c>
      <c r="AA27" s="5">
        <f t="shared" si="66"/>
        <v>7000</v>
      </c>
      <c r="AB27" s="5">
        <f t="shared" si="66"/>
        <v>7000</v>
      </c>
      <c r="AE27" s="5">
        <f t="shared" si="29"/>
        <v>7000</v>
      </c>
      <c r="AF27" s="5">
        <f t="shared" ref="AF27:AP27" si="67">AE27</f>
        <v>7000</v>
      </c>
      <c r="AG27" s="5">
        <f t="shared" si="67"/>
        <v>7000</v>
      </c>
      <c r="AH27" s="5">
        <f t="shared" si="67"/>
        <v>7000</v>
      </c>
      <c r="AI27" s="5">
        <f t="shared" si="67"/>
        <v>7000</v>
      </c>
      <c r="AJ27" s="5">
        <f t="shared" si="67"/>
        <v>7000</v>
      </c>
      <c r="AK27" s="5">
        <f t="shared" si="67"/>
        <v>7000</v>
      </c>
      <c r="AL27" s="5">
        <f t="shared" si="67"/>
        <v>7000</v>
      </c>
      <c r="AM27" s="5">
        <f t="shared" si="67"/>
        <v>7000</v>
      </c>
      <c r="AN27" s="5">
        <f t="shared" si="67"/>
        <v>7000</v>
      </c>
      <c r="AO27" s="5">
        <f t="shared" si="67"/>
        <v>7000</v>
      </c>
      <c r="AP27" s="5">
        <f t="shared" si="67"/>
        <v>7000</v>
      </c>
    </row>
    <row r="28">
      <c r="A28" s="1" t="s">
        <v>28</v>
      </c>
      <c r="C28" s="4">
        <v>0.0</v>
      </c>
      <c r="D28" s="4">
        <f t="shared" ref="D28:D29" si="71">C28</f>
        <v>0</v>
      </c>
      <c r="E28" s="4">
        <v>7000.0</v>
      </c>
      <c r="F28" s="4">
        <f t="shared" ref="F28:N28" si="68">E28</f>
        <v>7000</v>
      </c>
      <c r="G28" s="4">
        <f t="shared" si="68"/>
        <v>7000</v>
      </c>
      <c r="H28" s="4">
        <f t="shared" si="68"/>
        <v>7000</v>
      </c>
      <c r="I28" s="4">
        <f t="shared" si="68"/>
        <v>7000</v>
      </c>
      <c r="J28" s="4">
        <f t="shared" si="68"/>
        <v>7000</v>
      </c>
      <c r="K28" s="4">
        <f t="shared" si="68"/>
        <v>7000</v>
      </c>
      <c r="L28" s="4">
        <f t="shared" si="68"/>
        <v>7000</v>
      </c>
      <c r="M28" s="4">
        <f t="shared" si="68"/>
        <v>7000</v>
      </c>
      <c r="N28" s="4">
        <f t="shared" si="68"/>
        <v>7000</v>
      </c>
      <c r="Q28" s="5">
        <f t="shared" si="27"/>
        <v>7000</v>
      </c>
      <c r="R28" s="5">
        <f t="shared" ref="R28:AB28" si="69">Q28</f>
        <v>7000</v>
      </c>
      <c r="S28" s="5">
        <f t="shared" si="69"/>
        <v>7000</v>
      </c>
      <c r="T28" s="5">
        <f t="shared" si="69"/>
        <v>7000</v>
      </c>
      <c r="U28" s="5">
        <f t="shared" si="69"/>
        <v>7000</v>
      </c>
      <c r="V28" s="5">
        <f t="shared" si="69"/>
        <v>7000</v>
      </c>
      <c r="W28" s="5">
        <f t="shared" si="69"/>
        <v>7000</v>
      </c>
      <c r="X28" s="5">
        <f t="shared" si="69"/>
        <v>7000</v>
      </c>
      <c r="Y28" s="5">
        <f t="shared" si="69"/>
        <v>7000</v>
      </c>
      <c r="Z28" s="5">
        <f t="shared" si="69"/>
        <v>7000</v>
      </c>
      <c r="AA28" s="5">
        <f t="shared" si="69"/>
        <v>7000</v>
      </c>
      <c r="AB28" s="5">
        <f t="shared" si="69"/>
        <v>7000</v>
      </c>
      <c r="AE28" s="5">
        <f t="shared" si="29"/>
        <v>7000</v>
      </c>
      <c r="AF28" s="5">
        <f t="shared" ref="AF28:AP28" si="70">AE28</f>
        <v>7000</v>
      </c>
      <c r="AG28" s="5">
        <f t="shared" si="70"/>
        <v>7000</v>
      </c>
      <c r="AH28" s="5">
        <f t="shared" si="70"/>
        <v>7000</v>
      </c>
      <c r="AI28" s="5">
        <f t="shared" si="70"/>
        <v>7000</v>
      </c>
      <c r="AJ28" s="5">
        <f t="shared" si="70"/>
        <v>7000</v>
      </c>
      <c r="AK28" s="5">
        <f t="shared" si="70"/>
        <v>7000</v>
      </c>
      <c r="AL28" s="5">
        <f t="shared" si="70"/>
        <v>7000</v>
      </c>
      <c r="AM28" s="5">
        <f t="shared" si="70"/>
        <v>7000</v>
      </c>
      <c r="AN28" s="5">
        <f t="shared" si="70"/>
        <v>7000</v>
      </c>
      <c r="AO28" s="5">
        <f t="shared" si="70"/>
        <v>7000</v>
      </c>
      <c r="AP28" s="5">
        <f t="shared" si="70"/>
        <v>7000</v>
      </c>
    </row>
    <row r="29">
      <c r="A29" s="1" t="s">
        <v>29</v>
      </c>
      <c r="C29" s="4">
        <v>0.0</v>
      </c>
      <c r="D29" s="4">
        <f t="shared" si="71"/>
        <v>0</v>
      </c>
      <c r="E29" s="4">
        <f>D29</f>
        <v>0</v>
      </c>
      <c r="F29" s="4">
        <v>7000.0</v>
      </c>
      <c r="G29" s="4">
        <f t="shared" ref="G29:N29" si="72">F29</f>
        <v>7000</v>
      </c>
      <c r="H29" s="4">
        <f t="shared" si="72"/>
        <v>7000</v>
      </c>
      <c r="I29" s="4">
        <f t="shared" si="72"/>
        <v>7000</v>
      </c>
      <c r="J29" s="4">
        <f t="shared" si="72"/>
        <v>7000</v>
      </c>
      <c r="K29" s="4">
        <f t="shared" si="72"/>
        <v>7000</v>
      </c>
      <c r="L29" s="4">
        <f t="shared" si="72"/>
        <v>7000</v>
      </c>
      <c r="M29" s="4">
        <f t="shared" si="72"/>
        <v>7000</v>
      </c>
      <c r="N29" s="4">
        <f t="shared" si="72"/>
        <v>7000</v>
      </c>
      <c r="Q29" s="5">
        <f t="shared" si="27"/>
        <v>7000</v>
      </c>
      <c r="R29" s="5">
        <f t="shared" ref="R29:AB29" si="73">Q29</f>
        <v>7000</v>
      </c>
      <c r="S29" s="5">
        <f t="shared" si="73"/>
        <v>7000</v>
      </c>
      <c r="T29" s="5">
        <f t="shared" si="73"/>
        <v>7000</v>
      </c>
      <c r="U29" s="5">
        <f t="shared" si="73"/>
        <v>7000</v>
      </c>
      <c r="V29" s="5">
        <f t="shared" si="73"/>
        <v>7000</v>
      </c>
      <c r="W29" s="5">
        <f t="shared" si="73"/>
        <v>7000</v>
      </c>
      <c r="X29" s="5">
        <f t="shared" si="73"/>
        <v>7000</v>
      </c>
      <c r="Y29" s="5">
        <f t="shared" si="73"/>
        <v>7000</v>
      </c>
      <c r="Z29" s="5">
        <f t="shared" si="73"/>
        <v>7000</v>
      </c>
      <c r="AA29" s="5">
        <f t="shared" si="73"/>
        <v>7000</v>
      </c>
      <c r="AB29" s="5">
        <f t="shared" si="73"/>
        <v>7000</v>
      </c>
      <c r="AE29" s="5">
        <f t="shared" si="29"/>
        <v>7000</v>
      </c>
      <c r="AF29" s="5">
        <f t="shared" ref="AF29:AP29" si="74">AE29</f>
        <v>7000</v>
      </c>
      <c r="AG29" s="5">
        <f t="shared" si="74"/>
        <v>7000</v>
      </c>
      <c r="AH29" s="5">
        <f t="shared" si="74"/>
        <v>7000</v>
      </c>
      <c r="AI29" s="5">
        <f t="shared" si="74"/>
        <v>7000</v>
      </c>
      <c r="AJ29" s="5">
        <f t="shared" si="74"/>
        <v>7000</v>
      </c>
      <c r="AK29" s="5">
        <f t="shared" si="74"/>
        <v>7000</v>
      </c>
      <c r="AL29" s="5">
        <f t="shared" si="74"/>
        <v>7000</v>
      </c>
      <c r="AM29" s="5">
        <f t="shared" si="74"/>
        <v>7000</v>
      </c>
      <c r="AN29" s="5">
        <f t="shared" si="74"/>
        <v>7000</v>
      </c>
      <c r="AO29" s="5">
        <f t="shared" si="74"/>
        <v>7000</v>
      </c>
      <c r="AP29" s="5">
        <f t="shared" si="74"/>
        <v>7000</v>
      </c>
    </row>
    <row r="31">
      <c r="A31" s="1" t="s">
        <v>30</v>
      </c>
      <c r="C31" s="5">
        <f t="shared" ref="C31:N31" si="75">SUM(C27:C29)</f>
        <v>0</v>
      </c>
      <c r="D31" s="5">
        <f t="shared" si="75"/>
        <v>7000</v>
      </c>
      <c r="E31" s="5">
        <f t="shared" si="75"/>
        <v>14000</v>
      </c>
      <c r="F31" s="5">
        <f t="shared" si="75"/>
        <v>21000</v>
      </c>
      <c r="G31" s="5">
        <f t="shared" si="75"/>
        <v>21000</v>
      </c>
      <c r="H31" s="5">
        <f t="shared" si="75"/>
        <v>21000</v>
      </c>
      <c r="I31" s="5">
        <f t="shared" si="75"/>
        <v>21000</v>
      </c>
      <c r="J31" s="5">
        <f t="shared" si="75"/>
        <v>21000</v>
      </c>
      <c r="K31" s="5">
        <f t="shared" si="75"/>
        <v>21000</v>
      </c>
      <c r="L31" s="5">
        <f t="shared" si="75"/>
        <v>21000</v>
      </c>
      <c r="M31" s="5">
        <f t="shared" si="75"/>
        <v>21000</v>
      </c>
      <c r="N31" s="5">
        <f t="shared" si="75"/>
        <v>21000</v>
      </c>
      <c r="Q31" s="5">
        <f t="shared" ref="Q31:AB31" si="76">SUM(Q27:Q29)</f>
        <v>21000</v>
      </c>
      <c r="R31" s="5">
        <f t="shared" si="76"/>
        <v>21000</v>
      </c>
      <c r="S31" s="5">
        <f t="shared" si="76"/>
        <v>21000</v>
      </c>
      <c r="T31" s="5">
        <f t="shared" si="76"/>
        <v>21000</v>
      </c>
      <c r="U31" s="5">
        <f t="shared" si="76"/>
        <v>21000</v>
      </c>
      <c r="V31" s="5">
        <f t="shared" si="76"/>
        <v>21000</v>
      </c>
      <c r="W31" s="5">
        <f t="shared" si="76"/>
        <v>21000</v>
      </c>
      <c r="X31" s="5">
        <f t="shared" si="76"/>
        <v>21000</v>
      </c>
      <c r="Y31" s="5">
        <f t="shared" si="76"/>
        <v>21000</v>
      </c>
      <c r="Z31" s="5">
        <f t="shared" si="76"/>
        <v>21000</v>
      </c>
      <c r="AA31" s="5">
        <f t="shared" si="76"/>
        <v>21000</v>
      </c>
      <c r="AB31" s="5">
        <f t="shared" si="76"/>
        <v>21000</v>
      </c>
      <c r="AE31" s="5">
        <f t="shared" ref="AE31:AP31" si="77">SUM(AE27:AE29)</f>
        <v>21000</v>
      </c>
      <c r="AF31" s="5">
        <f t="shared" si="77"/>
        <v>21000</v>
      </c>
      <c r="AG31" s="5">
        <f t="shared" si="77"/>
        <v>21000</v>
      </c>
      <c r="AH31" s="5">
        <f t="shared" si="77"/>
        <v>21000</v>
      </c>
      <c r="AI31" s="5">
        <f t="shared" si="77"/>
        <v>21000</v>
      </c>
      <c r="AJ31" s="5">
        <f t="shared" si="77"/>
        <v>21000</v>
      </c>
      <c r="AK31" s="5">
        <f t="shared" si="77"/>
        <v>21000</v>
      </c>
      <c r="AL31" s="5">
        <f t="shared" si="77"/>
        <v>21000</v>
      </c>
      <c r="AM31" s="5">
        <f t="shared" si="77"/>
        <v>21000</v>
      </c>
      <c r="AN31" s="5">
        <f t="shared" si="77"/>
        <v>21000</v>
      </c>
      <c r="AO31" s="5">
        <f t="shared" si="77"/>
        <v>21000</v>
      </c>
      <c r="AP31" s="5">
        <f t="shared" si="77"/>
        <v>21000</v>
      </c>
    </row>
    <row r="33">
      <c r="A33" s="1" t="s">
        <v>102</v>
      </c>
      <c r="C33" s="5">
        <f t="shared" ref="C33:N33" si="78">C31+C13+C8+C2</f>
        <v>33750</v>
      </c>
      <c r="D33" s="5">
        <f t="shared" si="78"/>
        <v>41750</v>
      </c>
      <c r="E33" s="5">
        <f t="shared" si="78"/>
        <v>48750</v>
      </c>
      <c r="F33" s="5">
        <f t="shared" si="78"/>
        <v>57500</v>
      </c>
      <c r="G33" s="5">
        <f t="shared" si="78"/>
        <v>57500</v>
      </c>
      <c r="H33" s="5">
        <f t="shared" si="78"/>
        <v>57500</v>
      </c>
      <c r="I33" s="5">
        <f t="shared" si="78"/>
        <v>57500</v>
      </c>
      <c r="J33" s="5">
        <f t="shared" si="78"/>
        <v>57500</v>
      </c>
      <c r="K33" s="5">
        <f t="shared" si="78"/>
        <v>64500</v>
      </c>
      <c r="L33" s="5">
        <f t="shared" si="78"/>
        <v>64500</v>
      </c>
      <c r="M33" s="5">
        <f t="shared" si="78"/>
        <v>64500</v>
      </c>
      <c r="N33" s="5">
        <f t="shared" si="78"/>
        <v>64500</v>
      </c>
      <c r="O33" s="5">
        <f>sum(C33:N33)</f>
        <v>669750</v>
      </c>
      <c r="Q33" s="5">
        <f t="shared" ref="Q33:AA33" si="79">Q31+Q13+Q8+Q2</f>
        <v>64500</v>
      </c>
      <c r="R33" s="5">
        <f t="shared" si="79"/>
        <v>64500</v>
      </c>
      <c r="S33" s="5">
        <f t="shared" si="79"/>
        <v>64500</v>
      </c>
      <c r="T33" s="5">
        <f t="shared" si="79"/>
        <v>64500</v>
      </c>
      <c r="U33" s="5">
        <f t="shared" si="79"/>
        <v>64500</v>
      </c>
      <c r="V33" s="5">
        <f t="shared" si="79"/>
        <v>64500</v>
      </c>
      <c r="W33" s="5">
        <f t="shared" si="79"/>
        <v>64500</v>
      </c>
      <c r="X33" s="5">
        <f t="shared" si="79"/>
        <v>64500</v>
      </c>
      <c r="Y33" s="5">
        <f t="shared" si="79"/>
        <v>64500</v>
      </c>
      <c r="Z33" s="5">
        <f t="shared" si="79"/>
        <v>64500</v>
      </c>
      <c r="AA33" s="5">
        <f t="shared" si="79"/>
        <v>64500</v>
      </c>
      <c r="AB33" s="5">
        <f>SUM(AB29:AB31)</f>
        <v>28000</v>
      </c>
      <c r="AC33" s="5">
        <f>sum(Q33:AB33)</f>
        <v>737500</v>
      </c>
      <c r="AE33" s="5">
        <f t="shared" ref="AE33:AO33" si="80">AE31+AE13+AE8+AE2</f>
        <v>64500</v>
      </c>
      <c r="AF33" s="5">
        <f t="shared" si="80"/>
        <v>64500</v>
      </c>
      <c r="AG33" s="5">
        <f t="shared" si="80"/>
        <v>64500</v>
      </c>
      <c r="AH33" s="5">
        <f t="shared" si="80"/>
        <v>64500</v>
      </c>
      <c r="AI33" s="5">
        <f t="shared" si="80"/>
        <v>64500</v>
      </c>
      <c r="AJ33" s="5">
        <f t="shared" si="80"/>
        <v>64500</v>
      </c>
      <c r="AK33" s="5">
        <f t="shared" si="80"/>
        <v>64500</v>
      </c>
      <c r="AL33" s="5">
        <f t="shared" si="80"/>
        <v>64500</v>
      </c>
      <c r="AM33" s="5">
        <f t="shared" si="80"/>
        <v>64500</v>
      </c>
      <c r="AN33" s="5">
        <f t="shared" si="80"/>
        <v>64500</v>
      </c>
      <c r="AO33" s="5">
        <f t="shared" si="80"/>
        <v>64500</v>
      </c>
      <c r="AP33" s="5">
        <f>SUM(AP29:AP31)</f>
        <v>28000</v>
      </c>
      <c r="AQ33" s="5">
        <f>sum(AE33:AP33)</f>
        <v>737500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